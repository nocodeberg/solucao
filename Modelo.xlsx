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showInkAnnotation="0" codeName="EstaPasta_de_trabalho" defaultThemeVersion="124226"/>
  <mc:AlternateContent xmlns:mc="http://schemas.openxmlformats.org/markup-compatibility/2006">
    <mc:Choice Requires="x15">
      <x15ac:absPath xmlns:x15ac="http://schemas.microsoft.com/office/spreadsheetml/2010/11/ac" url="C:\Users\bergn\Downloads\"/>
    </mc:Choice>
  </mc:AlternateContent>
  <xr:revisionPtr revIDLastSave="0" documentId="8_{A6279623-A6D1-4DA4-B040-FF5612CA2266}" xr6:coauthVersionLast="47" xr6:coauthVersionMax="47" xr10:uidLastSave="{00000000-0000-0000-0000-000000000000}"/>
  <bookViews>
    <workbookView xWindow="-108" yWindow="-108" windowWidth="23256" windowHeight="12456" tabRatio="573" activeTab="2" xr2:uid="{00000000-000D-0000-FFFF-FFFF00000000}"/>
  </bookViews>
  <sheets>
    <sheet name="Menu" sheetId="39" r:id="rId1"/>
    <sheet name="Resumo de Custo" sheetId="36" r:id="rId2"/>
    <sheet name="Custo Galvanoplastia (2)" sheetId="54" r:id="rId3"/>
    <sheet name="Peças por Hora Galvanoplast (2" sheetId="55" r:id="rId4"/>
    <sheet name="Custo Galvanoplastia" sheetId="45" state="hidden" r:id="rId5"/>
    <sheet name="Peças por Hora Galvanoplastia" sheetId="52" state="hidden" r:id="rId6"/>
    <sheet name="Custo Verniz" sheetId="41" r:id="rId7"/>
    <sheet name="Peças por Hora Verniz" sheetId="53" r:id="rId8"/>
    <sheet name="Pré Tratamento" sheetId="16" r:id="rId9"/>
    <sheet name="Cobre Alcalino" sheetId="1" r:id="rId10"/>
    <sheet name="Níquel Strik" sheetId="2" r:id="rId11"/>
    <sheet name="Cobre Ácido" sheetId="3" r:id="rId12"/>
    <sheet name="Desengraxante Quí" sheetId="4" r:id="rId13"/>
    <sheet name="Níquel Brilhante" sheetId="6" r:id="rId14"/>
    <sheet name="Níquel Strik (2)" sheetId="7" r:id="rId15"/>
    <sheet name="Cromo" sheetId="8" r:id="rId16"/>
    <sheet name="Linha 9" sheetId="9" state="hidden" r:id="rId17"/>
    <sheet name="Linha 10" sheetId="10" state="hidden" r:id="rId18"/>
    <sheet name="Linha 11" sheetId="11" state="hidden" r:id="rId19"/>
    <sheet name="Desplacante  " sheetId="46" r:id="rId20"/>
    <sheet name="Pré Tratamento Verniz" sheetId="50" r:id="rId21"/>
    <sheet name="Verniz Cataforético" sheetId="40" r:id="rId22"/>
    <sheet name="Verniz Imersão" sheetId="12" r:id="rId23"/>
    <sheet name="Desplacante de gancheira " sheetId="47" r:id="rId24"/>
    <sheet name="E.T.E" sheetId="14" r:id="rId25"/>
    <sheet name="Transporte" sheetId="15" r:id="rId26"/>
    <sheet name="Manutenção" sheetId="49" r:id="rId27"/>
    <sheet name="Outros Custos" sheetId="48" r:id="rId28"/>
    <sheet name="M.O" sheetId="13" r:id="rId29"/>
    <sheet name="Resumo M.O" sheetId="31" r:id="rId30"/>
    <sheet name="Resumo Custos Variáveis" sheetId="32" r:id="rId31"/>
    <sheet name="Custos Variáveis" sheetId="34" r:id="rId32"/>
    <sheet name="Investimentos" sheetId="51" r:id="rId33"/>
    <sheet name="Plan1" sheetId="56" r:id="rId34"/>
    <sheet name="Plan2" sheetId="57" r:id="rId35"/>
    <sheet name="Plan3" sheetId="58" r:id="rId3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14" i="6" l="1"/>
  <c r="V14" i="3"/>
  <c r="S14" i="3"/>
  <c r="S14" i="6"/>
  <c r="M14" i="6"/>
  <c r="M14" i="3"/>
  <c r="N31" i="48" l="1"/>
  <c r="M31" i="48"/>
  <c r="L31" i="48"/>
  <c r="K31" i="48"/>
  <c r="J31" i="48"/>
  <c r="I31" i="48"/>
  <c r="H31" i="48"/>
  <c r="G31" i="48"/>
  <c r="F31" i="48"/>
  <c r="E31" i="48"/>
  <c r="D31" i="48"/>
  <c r="C31" i="48"/>
  <c r="N21" i="49"/>
  <c r="M21" i="49"/>
  <c r="L21" i="49"/>
  <c r="K21" i="49"/>
  <c r="J21" i="49"/>
  <c r="I21" i="49"/>
  <c r="H21" i="49"/>
  <c r="G21" i="49"/>
  <c r="F21" i="49"/>
  <c r="E21" i="49"/>
  <c r="D21" i="49"/>
  <c r="C21" i="49"/>
  <c r="C35" i="52" l="1"/>
  <c r="C11" i="52"/>
  <c r="C35" i="55" l="1"/>
  <c r="C11" i="55"/>
  <c r="AN13" i="58" l="1"/>
  <c r="AK13" i="58"/>
  <c r="AH13" i="58"/>
  <c r="AE13" i="58"/>
  <c r="AB13" i="58"/>
  <c r="Y13" i="58"/>
  <c r="V13" i="58"/>
  <c r="S13" i="58"/>
  <c r="P13" i="58"/>
  <c r="M13" i="58"/>
  <c r="J13" i="58"/>
  <c r="G13" i="58"/>
  <c r="AN12" i="58"/>
  <c r="AK12" i="58"/>
  <c r="AH12" i="58"/>
  <c r="AE12" i="58"/>
  <c r="AB12" i="58"/>
  <c r="Y12" i="58"/>
  <c r="V12" i="58"/>
  <c r="S12" i="58"/>
  <c r="P12" i="58"/>
  <c r="M12" i="58"/>
  <c r="J12" i="58"/>
  <c r="G12" i="58"/>
  <c r="AN11" i="58"/>
  <c r="AK11" i="58"/>
  <c r="AH11" i="58"/>
  <c r="AE11" i="58"/>
  <c r="AB11" i="58"/>
  <c r="Y11" i="58"/>
  <c r="V11" i="58"/>
  <c r="S11" i="58"/>
  <c r="P11" i="58"/>
  <c r="M11" i="58"/>
  <c r="J11" i="58"/>
  <c r="G11" i="58"/>
  <c r="AN10" i="58"/>
  <c r="AK10" i="58"/>
  <c r="AH10" i="58"/>
  <c r="AE10" i="58"/>
  <c r="AB10" i="58"/>
  <c r="Y10" i="58"/>
  <c r="V10" i="58"/>
  <c r="S10" i="58"/>
  <c r="P10" i="58"/>
  <c r="M10" i="58"/>
  <c r="J10" i="58"/>
  <c r="G10" i="58"/>
  <c r="AN9" i="58"/>
  <c r="AK9" i="58"/>
  <c r="AH9" i="58"/>
  <c r="AE9" i="58"/>
  <c r="AB9" i="58"/>
  <c r="Y9" i="58"/>
  <c r="V9" i="58"/>
  <c r="S9" i="58"/>
  <c r="P9" i="58"/>
  <c r="M9" i="58"/>
  <c r="J9" i="58"/>
  <c r="G9" i="58"/>
  <c r="AN8" i="58"/>
  <c r="AK8" i="58"/>
  <c r="AH8" i="58"/>
  <c r="AE8" i="58"/>
  <c r="AB8" i="58"/>
  <c r="Y8" i="58"/>
  <c r="V8" i="58"/>
  <c r="S8" i="58"/>
  <c r="P8" i="58"/>
  <c r="M8" i="58"/>
  <c r="J8" i="58"/>
  <c r="G8" i="58"/>
  <c r="AN7" i="58"/>
  <c r="AK7" i="58"/>
  <c r="AK15" i="58" s="1"/>
  <c r="AH7" i="58"/>
  <c r="AE7" i="58"/>
  <c r="AB7" i="58"/>
  <c r="Y7" i="58"/>
  <c r="V7" i="58"/>
  <c r="S7" i="58"/>
  <c r="S15" i="58" s="1"/>
  <c r="P7" i="58"/>
  <c r="M7" i="58"/>
  <c r="J7" i="58"/>
  <c r="G7" i="58"/>
  <c r="AN13" i="57"/>
  <c r="AK13" i="57"/>
  <c r="AH13" i="57"/>
  <c r="AE13" i="57"/>
  <c r="AB13" i="57"/>
  <c r="Y13" i="57"/>
  <c r="V13" i="57"/>
  <c r="S13" i="57"/>
  <c r="P13" i="57"/>
  <c r="M13" i="57"/>
  <c r="J13" i="57"/>
  <c r="G13" i="57"/>
  <c r="AN12" i="57"/>
  <c r="AK12" i="57"/>
  <c r="AH12" i="57"/>
  <c r="AE12" i="57"/>
  <c r="AB12" i="57"/>
  <c r="Y12" i="57"/>
  <c r="V12" i="57"/>
  <c r="S12" i="57"/>
  <c r="P12" i="57"/>
  <c r="M12" i="57"/>
  <c r="J12" i="57"/>
  <c r="G12" i="57"/>
  <c r="AN11" i="57"/>
  <c r="AK11" i="57"/>
  <c r="AH11" i="57"/>
  <c r="AE11" i="57"/>
  <c r="AB11" i="57"/>
  <c r="Y11" i="57"/>
  <c r="V11" i="57"/>
  <c r="S11" i="57"/>
  <c r="P11" i="57"/>
  <c r="M11" i="57"/>
  <c r="J11" i="57"/>
  <c r="G11" i="57"/>
  <c r="AN10" i="57"/>
  <c r="AK10" i="57"/>
  <c r="AH10" i="57"/>
  <c r="AE10" i="57"/>
  <c r="AB10" i="57"/>
  <c r="Y10" i="57"/>
  <c r="V10" i="57"/>
  <c r="S10" i="57"/>
  <c r="P10" i="57"/>
  <c r="M10" i="57"/>
  <c r="J10" i="57"/>
  <c r="G10" i="57"/>
  <c r="AN9" i="57"/>
  <c r="AK9" i="57"/>
  <c r="AH9" i="57"/>
  <c r="AE9" i="57"/>
  <c r="AB9" i="57"/>
  <c r="Y9" i="57"/>
  <c r="V9" i="57"/>
  <c r="S9" i="57"/>
  <c r="P9" i="57"/>
  <c r="M9" i="57"/>
  <c r="J9" i="57"/>
  <c r="G9" i="57"/>
  <c r="AN8" i="57"/>
  <c r="AK8" i="57"/>
  <c r="AH8" i="57"/>
  <c r="AE8" i="57"/>
  <c r="AB8" i="57"/>
  <c r="Y8" i="57"/>
  <c r="V8" i="57"/>
  <c r="S8" i="57"/>
  <c r="P8" i="57"/>
  <c r="M8" i="57"/>
  <c r="J8" i="57"/>
  <c r="G8" i="57"/>
  <c r="AN7" i="57"/>
  <c r="AN15" i="57" s="1"/>
  <c r="AK7" i="57"/>
  <c r="AH7" i="57"/>
  <c r="AE7" i="57"/>
  <c r="AE15" i="57" s="1"/>
  <c r="AB7" i="57"/>
  <c r="Y7" i="57"/>
  <c r="V7" i="57"/>
  <c r="S7" i="57"/>
  <c r="P7" i="57"/>
  <c r="M7" i="57"/>
  <c r="J7" i="57"/>
  <c r="G7" i="57"/>
  <c r="AH15" i="57" l="1"/>
  <c r="AK15" i="57"/>
  <c r="V15" i="58"/>
  <c r="AE15" i="58"/>
  <c r="AH15" i="58"/>
  <c r="AN15" i="58"/>
  <c r="AB15" i="58"/>
  <c r="Y15" i="58"/>
  <c r="G15" i="57"/>
  <c r="M15" i="57"/>
  <c r="J15" i="57"/>
  <c r="P15" i="57"/>
  <c r="G15" i="58"/>
  <c r="J15" i="58"/>
  <c r="Y15" i="57"/>
  <c r="M15" i="58"/>
  <c r="S15" i="57"/>
  <c r="V15" i="57"/>
  <c r="AB15" i="57"/>
  <c r="P15" i="58"/>
  <c r="P14" i="6"/>
  <c r="P14" i="3"/>
  <c r="C59" i="55" l="1"/>
  <c r="C51" i="55"/>
  <c r="C27" i="55"/>
  <c r="C19" i="55"/>
  <c r="E63" i="55"/>
  <c r="F63" i="55" s="1"/>
  <c r="E67" i="55" s="1"/>
  <c r="F67" i="55" s="1"/>
  <c r="C67" i="55" s="1"/>
  <c r="E55" i="55"/>
  <c r="F55" i="55" s="1"/>
  <c r="E59" i="55" s="1"/>
  <c r="E47" i="55"/>
  <c r="F47" i="55" s="1"/>
  <c r="E51" i="55" s="1"/>
  <c r="E39" i="55"/>
  <c r="F39" i="55" s="1"/>
  <c r="E43" i="55" s="1"/>
  <c r="F43" i="55" s="1"/>
  <c r="C43" i="55" s="1"/>
  <c r="E31" i="55"/>
  <c r="E23" i="55"/>
  <c r="F23" i="55" s="1"/>
  <c r="E27" i="55" s="1"/>
  <c r="E15" i="55"/>
  <c r="F15" i="55" s="1"/>
  <c r="E19" i="55" s="1"/>
  <c r="E7" i="55"/>
  <c r="I43" i="54"/>
  <c r="I30" i="54"/>
  <c r="I15" i="54"/>
  <c r="F31" i="55" l="1"/>
  <c r="E35" i="55" s="1"/>
  <c r="B35" i="55"/>
  <c r="B27" i="55"/>
  <c r="B43" i="55"/>
  <c r="B51" i="55"/>
  <c r="D30" i="54" s="1"/>
  <c r="B59" i="55"/>
  <c r="F7" i="55"/>
  <c r="E11" i="55" s="1"/>
  <c r="B11" i="55"/>
  <c r="B67" i="55"/>
  <c r="B19" i="55"/>
  <c r="D43" i="54" l="1"/>
  <c r="D15" i="54"/>
  <c r="GS114" i="13" l="1"/>
  <c r="HD114" i="13" s="1"/>
  <c r="FM114" i="13"/>
  <c r="FN114" i="13" s="1"/>
  <c r="HG164" i="13"/>
  <c r="GY164" i="13"/>
  <c r="GW164" i="13"/>
  <c r="GX164" i="13" s="1"/>
  <c r="GV164" i="13"/>
  <c r="GU164" i="13"/>
  <c r="GS164" i="13"/>
  <c r="HC164" i="13" s="1"/>
  <c r="HG163" i="13"/>
  <c r="GY163" i="13"/>
  <c r="GW163" i="13"/>
  <c r="GX163" i="13" s="1"/>
  <c r="GV163" i="13"/>
  <c r="GU163" i="13"/>
  <c r="GS163" i="13"/>
  <c r="HD163" i="13" s="1"/>
  <c r="HG162" i="13"/>
  <c r="GY162" i="13"/>
  <c r="GW162" i="13"/>
  <c r="GX162" i="13" s="1"/>
  <c r="GV162" i="13"/>
  <c r="GU162" i="13"/>
  <c r="GS162" i="13"/>
  <c r="HD162" i="13" s="1"/>
  <c r="HG161" i="13"/>
  <c r="GY161" i="13"/>
  <c r="GW161" i="13"/>
  <c r="GX161" i="13" s="1"/>
  <c r="GV161" i="13"/>
  <c r="GU161" i="13"/>
  <c r="GS161" i="13"/>
  <c r="HD161" i="13" s="1"/>
  <c r="HG160" i="13"/>
  <c r="GY160" i="13"/>
  <c r="GW160" i="13"/>
  <c r="GX160" i="13" s="1"/>
  <c r="GV160" i="13"/>
  <c r="GU160" i="13"/>
  <c r="GS160" i="13"/>
  <c r="HD160" i="13" s="1"/>
  <c r="HG159" i="13"/>
  <c r="GY159" i="13"/>
  <c r="GW159" i="13"/>
  <c r="GX159" i="13" s="1"/>
  <c r="GV159" i="13"/>
  <c r="GU159" i="13"/>
  <c r="GS159" i="13"/>
  <c r="HD159" i="13" s="1"/>
  <c r="HG158" i="13"/>
  <c r="GY158" i="13"/>
  <c r="GW158" i="13"/>
  <c r="GX158" i="13" s="1"/>
  <c r="GV158" i="13"/>
  <c r="GU158" i="13"/>
  <c r="GS158" i="13"/>
  <c r="HD158" i="13" s="1"/>
  <c r="HG157" i="13"/>
  <c r="GY157" i="13"/>
  <c r="GW157" i="13"/>
  <c r="GX157" i="13" s="1"/>
  <c r="GV157" i="13"/>
  <c r="GU157" i="13"/>
  <c r="GS157" i="13"/>
  <c r="HD157" i="13" s="1"/>
  <c r="HG154" i="13"/>
  <c r="GY154" i="13"/>
  <c r="GW154" i="13"/>
  <c r="GX154" i="13" s="1"/>
  <c r="GV154" i="13"/>
  <c r="GU154" i="13"/>
  <c r="GS154" i="13"/>
  <c r="HD154" i="13" s="1"/>
  <c r="HG153" i="13"/>
  <c r="GY153" i="13"/>
  <c r="GW153" i="13"/>
  <c r="GX153" i="13" s="1"/>
  <c r="GV153" i="13"/>
  <c r="GU153" i="13"/>
  <c r="GS153" i="13"/>
  <c r="HD153" i="13" s="1"/>
  <c r="HG152" i="13"/>
  <c r="GY152" i="13"/>
  <c r="GW152" i="13"/>
  <c r="GX152" i="13" s="1"/>
  <c r="GV152" i="13"/>
  <c r="GU152" i="13"/>
  <c r="GS152" i="13"/>
  <c r="HD152" i="13" s="1"/>
  <c r="HG149" i="13"/>
  <c r="GY149" i="13"/>
  <c r="GW149" i="13"/>
  <c r="GX149" i="13" s="1"/>
  <c r="GV149" i="13"/>
  <c r="GU149" i="13"/>
  <c r="GS149" i="13"/>
  <c r="HD149" i="13" s="1"/>
  <c r="HG148" i="13"/>
  <c r="GY148" i="13"/>
  <c r="GW148" i="13"/>
  <c r="GX148" i="13" s="1"/>
  <c r="GV148" i="13"/>
  <c r="GU148" i="13"/>
  <c r="GS148" i="13"/>
  <c r="HD148" i="13" s="1"/>
  <c r="HG147" i="13"/>
  <c r="GY147" i="13"/>
  <c r="GW147" i="13"/>
  <c r="GX147" i="13" s="1"/>
  <c r="GV147" i="13"/>
  <c r="GU147" i="13"/>
  <c r="GS147" i="13"/>
  <c r="HD147" i="13" s="1"/>
  <c r="HG144" i="13"/>
  <c r="GY144" i="13"/>
  <c r="GW144" i="13"/>
  <c r="GX144" i="13" s="1"/>
  <c r="GV144" i="13"/>
  <c r="GU144" i="13"/>
  <c r="GS144" i="13"/>
  <c r="HD144" i="13" s="1"/>
  <c r="HG143" i="13"/>
  <c r="GY143" i="13"/>
  <c r="GW143" i="13"/>
  <c r="GX143" i="13" s="1"/>
  <c r="GV143" i="13"/>
  <c r="GU143" i="13"/>
  <c r="GS143" i="13"/>
  <c r="HD143" i="13" s="1"/>
  <c r="HG142" i="13"/>
  <c r="GY142" i="13"/>
  <c r="GW142" i="13"/>
  <c r="GX142" i="13" s="1"/>
  <c r="GV142" i="13"/>
  <c r="GU142" i="13"/>
  <c r="GS142" i="13"/>
  <c r="HD142" i="13" s="1"/>
  <c r="HG139" i="13"/>
  <c r="GY139" i="13"/>
  <c r="GW139" i="13"/>
  <c r="GX139" i="13" s="1"/>
  <c r="GV139" i="13"/>
  <c r="GU139" i="13"/>
  <c r="GS139" i="13"/>
  <c r="HD139" i="13" s="1"/>
  <c r="HG138" i="13"/>
  <c r="GY138" i="13"/>
  <c r="GW138" i="13"/>
  <c r="GX138" i="13" s="1"/>
  <c r="GV138" i="13"/>
  <c r="GU138" i="13"/>
  <c r="GS138" i="13"/>
  <c r="HD138" i="13" s="1"/>
  <c r="HG137" i="13"/>
  <c r="GY137" i="13"/>
  <c r="GW137" i="13"/>
  <c r="GX137" i="13" s="1"/>
  <c r="GV137" i="13"/>
  <c r="GU137" i="13"/>
  <c r="GS137" i="13"/>
  <c r="HD137" i="13" s="1"/>
  <c r="HG134" i="13"/>
  <c r="GY134" i="13"/>
  <c r="GW134" i="13"/>
  <c r="GX134" i="13" s="1"/>
  <c r="GV134" i="13"/>
  <c r="GU134" i="13"/>
  <c r="GS134" i="13"/>
  <c r="HG133" i="13"/>
  <c r="GY133" i="13"/>
  <c r="GW133" i="13"/>
  <c r="GX133" i="13" s="1"/>
  <c r="GV133" i="13"/>
  <c r="GU133" i="13"/>
  <c r="GS133" i="13"/>
  <c r="HC133" i="13" s="1"/>
  <c r="HG132" i="13"/>
  <c r="GY132" i="13"/>
  <c r="GW132" i="13"/>
  <c r="GX132" i="13" s="1"/>
  <c r="GV132" i="13"/>
  <c r="GU132" i="13"/>
  <c r="GS132" i="13"/>
  <c r="HC132" i="13" s="1"/>
  <c r="HG129" i="13"/>
  <c r="GY129" i="13"/>
  <c r="GW129" i="13"/>
  <c r="GX129" i="13" s="1"/>
  <c r="GV129" i="13"/>
  <c r="GU129" i="13"/>
  <c r="GS129" i="13"/>
  <c r="HD129" i="13" s="1"/>
  <c r="HG128" i="13"/>
  <c r="GY128" i="13"/>
  <c r="GW128" i="13"/>
  <c r="GX128" i="13" s="1"/>
  <c r="GV128" i="13"/>
  <c r="GU128" i="13"/>
  <c r="GS128" i="13"/>
  <c r="HD128" i="13" s="1"/>
  <c r="HG127" i="13"/>
  <c r="GY127" i="13"/>
  <c r="GW127" i="13"/>
  <c r="GX127" i="13" s="1"/>
  <c r="GV127" i="13"/>
  <c r="GU127" i="13"/>
  <c r="GS127" i="13"/>
  <c r="HD127" i="13" s="1"/>
  <c r="HG126" i="13"/>
  <c r="GY126" i="13"/>
  <c r="GW126" i="13"/>
  <c r="GX126" i="13" s="1"/>
  <c r="GV126" i="13"/>
  <c r="GU126" i="13"/>
  <c r="GS126" i="13"/>
  <c r="HD126" i="13" s="1"/>
  <c r="HG125" i="13"/>
  <c r="GY125" i="13"/>
  <c r="GW125" i="13"/>
  <c r="GX125" i="13" s="1"/>
  <c r="GV125" i="13"/>
  <c r="GU125" i="13"/>
  <c r="GS125" i="13"/>
  <c r="HD125" i="13" s="1"/>
  <c r="HG122" i="13"/>
  <c r="GY122" i="13"/>
  <c r="GW122" i="13"/>
  <c r="GX122" i="13" s="1"/>
  <c r="GV122" i="13"/>
  <c r="GU122" i="13"/>
  <c r="GS122" i="13"/>
  <c r="HC122" i="13" s="1"/>
  <c r="HG121" i="13"/>
  <c r="GY121" i="13"/>
  <c r="GW121" i="13"/>
  <c r="GX121" i="13" s="1"/>
  <c r="GV121" i="13"/>
  <c r="GU121" i="13"/>
  <c r="GS121" i="13"/>
  <c r="HC121" i="13" s="1"/>
  <c r="HG120" i="13"/>
  <c r="GY120" i="13"/>
  <c r="GW120" i="13"/>
  <c r="GX120" i="13" s="1"/>
  <c r="GV120" i="13"/>
  <c r="GU120" i="13"/>
  <c r="GS120" i="13"/>
  <c r="HC120" i="13" s="1"/>
  <c r="HG119" i="13"/>
  <c r="GY119" i="13"/>
  <c r="GW119" i="13"/>
  <c r="GX119" i="13" s="1"/>
  <c r="GV119" i="13"/>
  <c r="GU119" i="13"/>
  <c r="GS119" i="13"/>
  <c r="HC119" i="13" s="1"/>
  <c r="HG116" i="13"/>
  <c r="GY116" i="13"/>
  <c r="GW116" i="13"/>
  <c r="GX116" i="13" s="1"/>
  <c r="GV116" i="13"/>
  <c r="GU116" i="13"/>
  <c r="GS116" i="13"/>
  <c r="HD116" i="13" s="1"/>
  <c r="HG115" i="13"/>
  <c r="GY115" i="13"/>
  <c r="GW115" i="13"/>
  <c r="GX115" i="13" s="1"/>
  <c r="GV115" i="13"/>
  <c r="GU115" i="13"/>
  <c r="GS115" i="13"/>
  <c r="HD115" i="13" s="1"/>
  <c r="HG114" i="13"/>
  <c r="GU114" i="13"/>
  <c r="HG111" i="13"/>
  <c r="GY111" i="13"/>
  <c r="GW111" i="13"/>
  <c r="GX111" i="13" s="1"/>
  <c r="GV111" i="13"/>
  <c r="GU111" i="13"/>
  <c r="GS111" i="13"/>
  <c r="HD111" i="13" s="1"/>
  <c r="HG110" i="13"/>
  <c r="GY110" i="13"/>
  <c r="GW110" i="13"/>
  <c r="GX110" i="13" s="1"/>
  <c r="GV110" i="13"/>
  <c r="GU110" i="13"/>
  <c r="GS110" i="13"/>
  <c r="HD110" i="13" s="1"/>
  <c r="HG109" i="13"/>
  <c r="GY109" i="13"/>
  <c r="GW109" i="13"/>
  <c r="GX109" i="13" s="1"/>
  <c r="GV109" i="13"/>
  <c r="GU109" i="13"/>
  <c r="GS109" i="13"/>
  <c r="HD109" i="13" s="1"/>
  <c r="HG106" i="13"/>
  <c r="GY106" i="13"/>
  <c r="GW106" i="13"/>
  <c r="GX106" i="13" s="1"/>
  <c r="GV106" i="13"/>
  <c r="GU106" i="13"/>
  <c r="GS106" i="13"/>
  <c r="HC106" i="13" s="1"/>
  <c r="HG105" i="13"/>
  <c r="GY105" i="13"/>
  <c r="GW105" i="13"/>
  <c r="GX105" i="13" s="1"/>
  <c r="GV105" i="13"/>
  <c r="GU105" i="13"/>
  <c r="GS105" i="13"/>
  <c r="HC105" i="13" s="1"/>
  <c r="HG104" i="13"/>
  <c r="GY104" i="13"/>
  <c r="GW104" i="13"/>
  <c r="GX104" i="13" s="1"/>
  <c r="GV104" i="13"/>
  <c r="GU104" i="13"/>
  <c r="GS104" i="13"/>
  <c r="HC104" i="13" s="1"/>
  <c r="HG101" i="13"/>
  <c r="GY101" i="13"/>
  <c r="GW101" i="13"/>
  <c r="GX101" i="13" s="1"/>
  <c r="GV101" i="13"/>
  <c r="GU101" i="13"/>
  <c r="GZ101" i="13" s="1"/>
  <c r="GS101" i="13"/>
  <c r="HD101" i="13" s="1"/>
  <c r="HG100" i="13"/>
  <c r="GY100" i="13"/>
  <c r="GW100" i="13"/>
  <c r="GX100" i="13" s="1"/>
  <c r="GV100" i="13"/>
  <c r="GU100" i="13"/>
  <c r="GZ100" i="13" s="1"/>
  <c r="GS100" i="13"/>
  <c r="HD100" i="13" s="1"/>
  <c r="HG99" i="13"/>
  <c r="GY99" i="13"/>
  <c r="GW99" i="13"/>
  <c r="GX99" i="13" s="1"/>
  <c r="GV99" i="13"/>
  <c r="GU99" i="13"/>
  <c r="GS99" i="13"/>
  <c r="HD99" i="13" s="1"/>
  <c r="HG96" i="13"/>
  <c r="GY96" i="13"/>
  <c r="GW96" i="13"/>
  <c r="GX96" i="13" s="1"/>
  <c r="GV96" i="13"/>
  <c r="GU96" i="13"/>
  <c r="GS96" i="13"/>
  <c r="HC96" i="13" s="1"/>
  <c r="HG95" i="13"/>
  <c r="GY95" i="13"/>
  <c r="GW95" i="13"/>
  <c r="GX95" i="13" s="1"/>
  <c r="GV95" i="13"/>
  <c r="GU95" i="13"/>
  <c r="GS95" i="13"/>
  <c r="HC95" i="13" s="1"/>
  <c r="HG94" i="13"/>
  <c r="GY94" i="13"/>
  <c r="GW94" i="13"/>
  <c r="GX94" i="13" s="1"/>
  <c r="GV94" i="13"/>
  <c r="GU94" i="13"/>
  <c r="GS94" i="13"/>
  <c r="HC94" i="13" s="1"/>
  <c r="HG91" i="13"/>
  <c r="GY91" i="13"/>
  <c r="GW91" i="13"/>
  <c r="GX91" i="13" s="1"/>
  <c r="GV91" i="13"/>
  <c r="GU91" i="13"/>
  <c r="GS91" i="13"/>
  <c r="HD91" i="13" s="1"/>
  <c r="HG90" i="13"/>
  <c r="GY90" i="13"/>
  <c r="GW90" i="13"/>
  <c r="GX90" i="13" s="1"/>
  <c r="GV90" i="13"/>
  <c r="GU90" i="13"/>
  <c r="GS90" i="13"/>
  <c r="HD90" i="13" s="1"/>
  <c r="HG89" i="13"/>
  <c r="GY89" i="13"/>
  <c r="GW89" i="13"/>
  <c r="GX89" i="13" s="1"/>
  <c r="GV89" i="13"/>
  <c r="GU89" i="13"/>
  <c r="GS89" i="13"/>
  <c r="HD89" i="13" s="1"/>
  <c r="HG86" i="13"/>
  <c r="GY86" i="13"/>
  <c r="GW86" i="13"/>
  <c r="GX86" i="13" s="1"/>
  <c r="GV86" i="13"/>
  <c r="GU86" i="13"/>
  <c r="GS86" i="13"/>
  <c r="HC86" i="13" s="1"/>
  <c r="HG85" i="13"/>
  <c r="GY85" i="13"/>
  <c r="GW85" i="13"/>
  <c r="GX85" i="13" s="1"/>
  <c r="GV85" i="13"/>
  <c r="GU85" i="13"/>
  <c r="GS85" i="13"/>
  <c r="HC85" i="13" s="1"/>
  <c r="HG84" i="13"/>
  <c r="GY84" i="13"/>
  <c r="GW84" i="13"/>
  <c r="GX84" i="13" s="1"/>
  <c r="GV84" i="13"/>
  <c r="GU84" i="13"/>
  <c r="GS84" i="13"/>
  <c r="HC84" i="13" s="1"/>
  <c r="HG81" i="13"/>
  <c r="GY81" i="13"/>
  <c r="GW81" i="13"/>
  <c r="GX81" i="13" s="1"/>
  <c r="GV81" i="13"/>
  <c r="GU81" i="13"/>
  <c r="GS81" i="13"/>
  <c r="HD81" i="13" s="1"/>
  <c r="HG80" i="13"/>
  <c r="GY80" i="13"/>
  <c r="GW80" i="13"/>
  <c r="GX80" i="13" s="1"/>
  <c r="GV80" i="13"/>
  <c r="GU80" i="13"/>
  <c r="GS80" i="13"/>
  <c r="HD80" i="13" s="1"/>
  <c r="HG79" i="13"/>
  <c r="GY79" i="13"/>
  <c r="GW79" i="13"/>
  <c r="GX79" i="13" s="1"/>
  <c r="GV79" i="13"/>
  <c r="GU79" i="13"/>
  <c r="GS79" i="13"/>
  <c r="HD79" i="13" s="1"/>
  <c r="HG76" i="13"/>
  <c r="GY76" i="13"/>
  <c r="GW76" i="13"/>
  <c r="GX76" i="13" s="1"/>
  <c r="GV76" i="13"/>
  <c r="GU76" i="13"/>
  <c r="GS76" i="13"/>
  <c r="HC76" i="13" s="1"/>
  <c r="HG75" i="13"/>
  <c r="GY75" i="13"/>
  <c r="GW75" i="13"/>
  <c r="GX75" i="13" s="1"/>
  <c r="GV75" i="13"/>
  <c r="GU75" i="13"/>
  <c r="GS75" i="13"/>
  <c r="HC75" i="13" s="1"/>
  <c r="HG74" i="13"/>
  <c r="GY74" i="13"/>
  <c r="GW74" i="13"/>
  <c r="GX74" i="13" s="1"/>
  <c r="GV74" i="13"/>
  <c r="GU74" i="13"/>
  <c r="GZ74" i="13" s="1"/>
  <c r="GS74" i="13"/>
  <c r="HC74" i="13" s="1"/>
  <c r="HG71" i="13"/>
  <c r="GY71" i="13"/>
  <c r="GW71" i="13"/>
  <c r="GX71" i="13" s="1"/>
  <c r="GV71" i="13"/>
  <c r="GU71" i="13"/>
  <c r="GS71" i="13"/>
  <c r="HD71" i="13" s="1"/>
  <c r="HG70" i="13"/>
  <c r="GY70" i="13"/>
  <c r="GW70" i="13"/>
  <c r="GX70" i="13" s="1"/>
  <c r="GV70" i="13"/>
  <c r="GU70" i="13"/>
  <c r="GS70" i="13"/>
  <c r="HD70" i="13" s="1"/>
  <c r="HG69" i="13"/>
  <c r="GY69" i="13"/>
  <c r="GW69" i="13"/>
  <c r="GX69" i="13" s="1"/>
  <c r="GV69" i="13"/>
  <c r="GU69" i="13"/>
  <c r="GS69" i="13"/>
  <c r="HD69" i="13" s="1"/>
  <c r="HG66" i="13"/>
  <c r="GY66" i="13"/>
  <c r="GW66" i="13"/>
  <c r="GX66" i="13" s="1"/>
  <c r="GV66" i="13"/>
  <c r="GU66" i="13"/>
  <c r="GS66" i="13"/>
  <c r="HC66" i="13" s="1"/>
  <c r="HG65" i="13"/>
  <c r="GY65" i="13"/>
  <c r="GW65" i="13"/>
  <c r="GX65" i="13" s="1"/>
  <c r="GV65" i="13"/>
  <c r="GU65" i="13"/>
  <c r="GS65" i="13"/>
  <c r="HC65" i="13" s="1"/>
  <c r="HG64" i="13"/>
  <c r="GY64" i="13"/>
  <c r="GW64" i="13"/>
  <c r="GX64" i="13" s="1"/>
  <c r="GV64" i="13"/>
  <c r="GU64" i="13"/>
  <c r="GZ64" i="13" s="1"/>
  <c r="GS64" i="13"/>
  <c r="HC64" i="13" s="1"/>
  <c r="HG61" i="13"/>
  <c r="GY61" i="13"/>
  <c r="GW61" i="13"/>
  <c r="GX61" i="13" s="1"/>
  <c r="GV61" i="13"/>
  <c r="GU61" i="13"/>
  <c r="GZ61" i="13" s="1"/>
  <c r="GS61" i="13"/>
  <c r="HD61" i="13" s="1"/>
  <c r="HG60" i="13"/>
  <c r="GY60" i="13"/>
  <c r="GW60" i="13"/>
  <c r="GX60" i="13" s="1"/>
  <c r="GV60" i="13"/>
  <c r="GU60" i="13"/>
  <c r="GZ60" i="13" s="1"/>
  <c r="GS60" i="13"/>
  <c r="HD60" i="13" s="1"/>
  <c r="HG59" i="13"/>
  <c r="GY59" i="13"/>
  <c r="GW59" i="13"/>
  <c r="GX59" i="13" s="1"/>
  <c r="GV59" i="13"/>
  <c r="GU59" i="13"/>
  <c r="GS59" i="13"/>
  <c r="HD59" i="13" s="1"/>
  <c r="HG58" i="13"/>
  <c r="GY58" i="13"/>
  <c r="GW58" i="13"/>
  <c r="GX58" i="13" s="1"/>
  <c r="GV58" i="13"/>
  <c r="GU58" i="13"/>
  <c r="GS58" i="13"/>
  <c r="HD58" i="13" s="1"/>
  <c r="HG55" i="13"/>
  <c r="GY55" i="13"/>
  <c r="GW55" i="13"/>
  <c r="GX55" i="13" s="1"/>
  <c r="GU55" i="13"/>
  <c r="GS55" i="13"/>
  <c r="HC55" i="13" s="1"/>
  <c r="HG54" i="13"/>
  <c r="GY54" i="13"/>
  <c r="GW54" i="13"/>
  <c r="GX54" i="13" s="1"/>
  <c r="GU54" i="13"/>
  <c r="GS54" i="13"/>
  <c r="HC54" i="13" s="1"/>
  <c r="HG53" i="13"/>
  <c r="GY53" i="13"/>
  <c r="GW53" i="13"/>
  <c r="GX53" i="13" s="1"/>
  <c r="GU53" i="13"/>
  <c r="GS53" i="13"/>
  <c r="HC53" i="13" s="1"/>
  <c r="HG52" i="13"/>
  <c r="GY52" i="13"/>
  <c r="GW52" i="13"/>
  <c r="GX52" i="13" s="1"/>
  <c r="GV52" i="13"/>
  <c r="GU52" i="13"/>
  <c r="GS52" i="13"/>
  <c r="HC52" i="13" s="1"/>
  <c r="HG51" i="13"/>
  <c r="GY51" i="13"/>
  <c r="GW51" i="13"/>
  <c r="GX51" i="13" s="1"/>
  <c r="GV51" i="13"/>
  <c r="GU51" i="13"/>
  <c r="GS51" i="13"/>
  <c r="HC51" i="13" s="1"/>
  <c r="HG50" i="13"/>
  <c r="GY50" i="13"/>
  <c r="GW50" i="13"/>
  <c r="GX50" i="13" s="1"/>
  <c r="GV50" i="13"/>
  <c r="GU50" i="13"/>
  <c r="GS50" i="13"/>
  <c r="HC50" i="13" s="1"/>
  <c r="HG47" i="13"/>
  <c r="GY47" i="13"/>
  <c r="GW47" i="13"/>
  <c r="GX47" i="13" s="1"/>
  <c r="GV47" i="13"/>
  <c r="GU47" i="13"/>
  <c r="GS47" i="13"/>
  <c r="HD47" i="13" s="1"/>
  <c r="HG46" i="13"/>
  <c r="GY46" i="13"/>
  <c r="GW46" i="13"/>
  <c r="GX46" i="13" s="1"/>
  <c r="GV46" i="13"/>
  <c r="GU46" i="13"/>
  <c r="GS46" i="13"/>
  <c r="HD46" i="13" s="1"/>
  <c r="HG45" i="13"/>
  <c r="GY45" i="13"/>
  <c r="GW45" i="13"/>
  <c r="GX45" i="13" s="1"/>
  <c r="GV45" i="13"/>
  <c r="GU45" i="13"/>
  <c r="GS45" i="13"/>
  <c r="HD45" i="13" s="1"/>
  <c r="HG44" i="13"/>
  <c r="GY44" i="13"/>
  <c r="GW44" i="13"/>
  <c r="GX44" i="13" s="1"/>
  <c r="GV44" i="13"/>
  <c r="GU44" i="13"/>
  <c r="GS44" i="13"/>
  <c r="HD44" i="13" s="1"/>
  <c r="HG43" i="13"/>
  <c r="GY43" i="13"/>
  <c r="GW43" i="13"/>
  <c r="GX43" i="13" s="1"/>
  <c r="GV43" i="13"/>
  <c r="GU43" i="13"/>
  <c r="GS43" i="13"/>
  <c r="HD43" i="13" s="1"/>
  <c r="HG42" i="13"/>
  <c r="GY42" i="13"/>
  <c r="GW42" i="13"/>
  <c r="GX42" i="13" s="1"/>
  <c r="GV42" i="13"/>
  <c r="GU42" i="13"/>
  <c r="GS42" i="13"/>
  <c r="HD42" i="13" s="1"/>
  <c r="HG39" i="13"/>
  <c r="GY39" i="13"/>
  <c r="GW39" i="13"/>
  <c r="GX39" i="13" s="1"/>
  <c r="GV39" i="13"/>
  <c r="GU39" i="13"/>
  <c r="GS39" i="13"/>
  <c r="HD39" i="13" s="1"/>
  <c r="HG38" i="13"/>
  <c r="GY38" i="13"/>
  <c r="GW38" i="13"/>
  <c r="GX38" i="13" s="1"/>
  <c r="GV38" i="13"/>
  <c r="GU38" i="13"/>
  <c r="GS38" i="13"/>
  <c r="HD38" i="13" s="1"/>
  <c r="HG37" i="13"/>
  <c r="GY37" i="13"/>
  <c r="GW37" i="13"/>
  <c r="GX37" i="13" s="1"/>
  <c r="GV37" i="13"/>
  <c r="GU37" i="13"/>
  <c r="GS37" i="13"/>
  <c r="HD37" i="13" s="1"/>
  <c r="HG36" i="13"/>
  <c r="GY36" i="13"/>
  <c r="GW36" i="13"/>
  <c r="GX36" i="13" s="1"/>
  <c r="GV36" i="13"/>
  <c r="GU36" i="13"/>
  <c r="GS36" i="13"/>
  <c r="HD36" i="13" s="1"/>
  <c r="HG33" i="13"/>
  <c r="GY33" i="13"/>
  <c r="GW33" i="13"/>
  <c r="GX33" i="13" s="1"/>
  <c r="GV33" i="13"/>
  <c r="GU33" i="13"/>
  <c r="GS33" i="13"/>
  <c r="HD33" i="13" s="1"/>
  <c r="HG32" i="13"/>
  <c r="GY32" i="13"/>
  <c r="GW32" i="13"/>
  <c r="GX32" i="13" s="1"/>
  <c r="GV32" i="13"/>
  <c r="GU32" i="13"/>
  <c r="GS32" i="13"/>
  <c r="HD32" i="13" s="1"/>
  <c r="HG31" i="13"/>
  <c r="GY31" i="13"/>
  <c r="GW31" i="13"/>
  <c r="GX31" i="13" s="1"/>
  <c r="GV31" i="13"/>
  <c r="GU31" i="13"/>
  <c r="GS31" i="13"/>
  <c r="HD31" i="13" s="1"/>
  <c r="HG30" i="13"/>
  <c r="GY30" i="13"/>
  <c r="GW30" i="13"/>
  <c r="GX30" i="13" s="1"/>
  <c r="GV30" i="13"/>
  <c r="GU30" i="13"/>
  <c r="GS30" i="13"/>
  <c r="HD30" i="13" s="1"/>
  <c r="HG29" i="13"/>
  <c r="GY29" i="13"/>
  <c r="GW29" i="13"/>
  <c r="GX29" i="13" s="1"/>
  <c r="GV29" i="13"/>
  <c r="GU29" i="13"/>
  <c r="GS29" i="13"/>
  <c r="HD29" i="13" s="1"/>
  <c r="HG28" i="13"/>
  <c r="GY28" i="13"/>
  <c r="GW28" i="13"/>
  <c r="GX28" i="13" s="1"/>
  <c r="GV28" i="13"/>
  <c r="GU28" i="13"/>
  <c r="GS28" i="13"/>
  <c r="HD28" i="13" s="1"/>
  <c r="HG27" i="13"/>
  <c r="GY27" i="13"/>
  <c r="GW27" i="13"/>
  <c r="GX27" i="13" s="1"/>
  <c r="GV27" i="13"/>
  <c r="GU27" i="13"/>
  <c r="GS27" i="13"/>
  <c r="HD27" i="13" s="1"/>
  <c r="HG24" i="13"/>
  <c r="GY24" i="13"/>
  <c r="GW24" i="13"/>
  <c r="GX24" i="13" s="1"/>
  <c r="GV24" i="13"/>
  <c r="GU24" i="13"/>
  <c r="GS24" i="13"/>
  <c r="HD24" i="13" s="1"/>
  <c r="HG23" i="13"/>
  <c r="GY23" i="13"/>
  <c r="GW23" i="13"/>
  <c r="GX23" i="13" s="1"/>
  <c r="GV23" i="13"/>
  <c r="GU23" i="13"/>
  <c r="GS23" i="13"/>
  <c r="HD23" i="13" s="1"/>
  <c r="HG22" i="13"/>
  <c r="GY22" i="13"/>
  <c r="GW22" i="13"/>
  <c r="GX22" i="13" s="1"/>
  <c r="GV22" i="13"/>
  <c r="GU22" i="13"/>
  <c r="GS22" i="13"/>
  <c r="HD22" i="13" s="1"/>
  <c r="HG21" i="13"/>
  <c r="GY21" i="13"/>
  <c r="GW21" i="13"/>
  <c r="GX21" i="13" s="1"/>
  <c r="GV21" i="13"/>
  <c r="GU21" i="13"/>
  <c r="GS21" i="13"/>
  <c r="HD21" i="13" s="1"/>
  <c r="HG18" i="13"/>
  <c r="GY18" i="13"/>
  <c r="GW18" i="13"/>
  <c r="GX18" i="13" s="1"/>
  <c r="GV18" i="13"/>
  <c r="GU18" i="13"/>
  <c r="GS18" i="13"/>
  <c r="HD18" i="13" s="1"/>
  <c r="HG17" i="13"/>
  <c r="GY17" i="13"/>
  <c r="GW17" i="13"/>
  <c r="GX17" i="13" s="1"/>
  <c r="GV17" i="13"/>
  <c r="GU17" i="13"/>
  <c r="GS17" i="13"/>
  <c r="HG16" i="13"/>
  <c r="GY16" i="13"/>
  <c r="GW16" i="13"/>
  <c r="GX16" i="13" s="1"/>
  <c r="GV16" i="13"/>
  <c r="GU16" i="13"/>
  <c r="GS16" i="13"/>
  <c r="HC16" i="13" s="1"/>
  <c r="HG15" i="13"/>
  <c r="GY15" i="13"/>
  <c r="GW15" i="13"/>
  <c r="GX15" i="13" s="1"/>
  <c r="GV15" i="13"/>
  <c r="GU15" i="13"/>
  <c r="GS15" i="13"/>
  <c r="HD15" i="13" s="1"/>
  <c r="HG14" i="13"/>
  <c r="GY14" i="13"/>
  <c r="GW14" i="13"/>
  <c r="GX14" i="13" s="1"/>
  <c r="GV14" i="13"/>
  <c r="GU14" i="13"/>
  <c r="GS14" i="13"/>
  <c r="HD14" i="13" s="1"/>
  <c r="HG13" i="13"/>
  <c r="GY13" i="13"/>
  <c r="GW13" i="13"/>
  <c r="GX13" i="13" s="1"/>
  <c r="GV13" i="13"/>
  <c r="GU13" i="13"/>
  <c r="GS13" i="13"/>
  <c r="HD13" i="13" s="1"/>
  <c r="HG10" i="13"/>
  <c r="GY10" i="13"/>
  <c r="GW10" i="13"/>
  <c r="GX10" i="13" s="1"/>
  <c r="GV10" i="13"/>
  <c r="GV55" i="13" s="1"/>
  <c r="GU10" i="13"/>
  <c r="GS10" i="13"/>
  <c r="HC10" i="13" s="1"/>
  <c r="HG9" i="13"/>
  <c r="GY9" i="13"/>
  <c r="GW9" i="13"/>
  <c r="GX9" i="13" s="1"/>
  <c r="GV9" i="13"/>
  <c r="GV54" i="13" s="1"/>
  <c r="GU9" i="13"/>
  <c r="GS9" i="13"/>
  <c r="HC9" i="13" s="1"/>
  <c r="HG8" i="13"/>
  <c r="GY8" i="13"/>
  <c r="GW8" i="13"/>
  <c r="GX8" i="13" s="1"/>
  <c r="GV8" i="13"/>
  <c r="GV53" i="13" s="1"/>
  <c r="GU8" i="13"/>
  <c r="GS8" i="13"/>
  <c r="HC8" i="13" s="1"/>
  <c r="GO164" i="13"/>
  <c r="GG164" i="13"/>
  <c r="GE164" i="13"/>
  <c r="GF164" i="13" s="1"/>
  <c r="GD164" i="13"/>
  <c r="GC164" i="13"/>
  <c r="GA164" i="13"/>
  <c r="GK164" i="13" s="1"/>
  <c r="GO163" i="13"/>
  <c r="GG163" i="13"/>
  <c r="GE163" i="13"/>
  <c r="GF163" i="13" s="1"/>
  <c r="GD163" i="13"/>
  <c r="GC163" i="13"/>
  <c r="GA163" i="13"/>
  <c r="GL163" i="13" s="1"/>
  <c r="GO162" i="13"/>
  <c r="GG162" i="13"/>
  <c r="GE162" i="13"/>
  <c r="GF162" i="13" s="1"/>
  <c r="GD162" i="13"/>
  <c r="GC162" i="13"/>
  <c r="GA162" i="13"/>
  <c r="GL162" i="13" s="1"/>
  <c r="GO161" i="13"/>
  <c r="GG161" i="13"/>
  <c r="GE161" i="13"/>
  <c r="GF161" i="13" s="1"/>
  <c r="GD161" i="13"/>
  <c r="GC161" i="13"/>
  <c r="GA161" i="13"/>
  <c r="GL161" i="13" s="1"/>
  <c r="GO160" i="13"/>
  <c r="GG160" i="13"/>
  <c r="GE160" i="13"/>
  <c r="GF160" i="13" s="1"/>
  <c r="GD160" i="13"/>
  <c r="GC160" i="13"/>
  <c r="GA160" i="13"/>
  <c r="GL160" i="13" s="1"/>
  <c r="GO159" i="13"/>
  <c r="GG159" i="13"/>
  <c r="GE159" i="13"/>
  <c r="GF159" i="13" s="1"/>
  <c r="GD159" i="13"/>
  <c r="GC159" i="13"/>
  <c r="GA159" i="13"/>
  <c r="GL159" i="13" s="1"/>
  <c r="GO158" i="13"/>
  <c r="GG158" i="13"/>
  <c r="GE158" i="13"/>
  <c r="GF158" i="13" s="1"/>
  <c r="GD158" i="13"/>
  <c r="GC158" i="13"/>
  <c r="GA158" i="13"/>
  <c r="GL158" i="13" s="1"/>
  <c r="GO157" i="13"/>
  <c r="GG157" i="13"/>
  <c r="GE157" i="13"/>
  <c r="GF157" i="13" s="1"/>
  <c r="GD157" i="13"/>
  <c r="GC157" i="13"/>
  <c r="GA157" i="13"/>
  <c r="GL157" i="13" s="1"/>
  <c r="GO154" i="13"/>
  <c r="GG154" i="13"/>
  <c r="GE154" i="13"/>
  <c r="GF154" i="13" s="1"/>
  <c r="GD154" i="13"/>
  <c r="GC154" i="13"/>
  <c r="GA154" i="13"/>
  <c r="GL154" i="13" s="1"/>
  <c r="GO153" i="13"/>
  <c r="GG153" i="13"/>
  <c r="GE153" i="13"/>
  <c r="GF153" i="13" s="1"/>
  <c r="GD153" i="13"/>
  <c r="GC153" i="13"/>
  <c r="GA153" i="13"/>
  <c r="GL153" i="13" s="1"/>
  <c r="GO152" i="13"/>
  <c r="GG152" i="13"/>
  <c r="GE152" i="13"/>
  <c r="GF152" i="13" s="1"/>
  <c r="GD152" i="13"/>
  <c r="GC152" i="13"/>
  <c r="GA152" i="13"/>
  <c r="GL152" i="13" s="1"/>
  <c r="GO149" i="13"/>
  <c r="GG149" i="13"/>
  <c r="GE149" i="13"/>
  <c r="GF149" i="13" s="1"/>
  <c r="GD149" i="13"/>
  <c r="GC149" i="13"/>
  <c r="GA149" i="13"/>
  <c r="GL149" i="13" s="1"/>
  <c r="GO148" i="13"/>
  <c r="GG148" i="13"/>
  <c r="GE148" i="13"/>
  <c r="GF148" i="13" s="1"/>
  <c r="GD148" i="13"/>
  <c r="GC148" i="13"/>
  <c r="GA148" i="13"/>
  <c r="GL148" i="13" s="1"/>
  <c r="GO147" i="13"/>
  <c r="GG147" i="13"/>
  <c r="GE147" i="13"/>
  <c r="GF147" i="13" s="1"/>
  <c r="GD147" i="13"/>
  <c r="GC147" i="13"/>
  <c r="GA147" i="13"/>
  <c r="GL147" i="13" s="1"/>
  <c r="GO144" i="13"/>
  <c r="GG144" i="13"/>
  <c r="GE144" i="13"/>
  <c r="GF144" i="13" s="1"/>
  <c r="GD144" i="13"/>
  <c r="GC144" i="13"/>
  <c r="GA144" i="13"/>
  <c r="GL144" i="13" s="1"/>
  <c r="GO143" i="13"/>
  <c r="GG143" i="13"/>
  <c r="GE143" i="13"/>
  <c r="GF143" i="13" s="1"/>
  <c r="GD143" i="13"/>
  <c r="GC143" i="13"/>
  <c r="GA143" i="13"/>
  <c r="GL143" i="13" s="1"/>
  <c r="GO142" i="13"/>
  <c r="GG142" i="13"/>
  <c r="GE142" i="13"/>
  <c r="GF142" i="13" s="1"/>
  <c r="GD142" i="13"/>
  <c r="GC142" i="13"/>
  <c r="GA142" i="13"/>
  <c r="GL142" i="13" s="1"/>
  <c r="GO139" i="13"/>
  <c r="GG139" i="13"/>
  <c r="GE139" i="13"/>
  <c r="GF139" i="13" s="1"/>
  <c r="GD139" i="13"/>
  <c r="GC139" i="13"/>
  <c r="GA139" i="13"/>
  <c r="GL139" i="13" s="1"/>
  <c r="GO138" i="13"/>
  <c r="GG138" i="13"/>
  <c r="GE138" i="13"/>
  <c r="GF138" i="13" s="1"/>
  <c r="GD138" i="13"/>
  <c r="GC138" i="13"/>
  <c r="GA138" i="13"/>
  <c r="GL138" i="13" s="1"/>
  <c r="GO137" i="13"/>
  <c r="GG137" i="13"/>
  <c r="GE137" i="13"/>
  <c r="GF137" i="13" s="1"/>
  <c r="GD137" i="13"/>
  <c r="GC137" i="13"/>
  <c r="GA137" i="13"/>
  <c r="GL137" i="13" s="1"/>
  <c r="GO134" i="13"/>
  <c r="GG134" i="13"/>
  <c r="GE134" i="13"/>
  <c r="GF134" i="13" s="1"/>
  <c r="GD134" i="13"/>
  <c r="GC134" i="13"/>
  <c r="GA134" i="13"/>
  <c r="GL134" i="13" s="1"/>
  <c r="GO133" i="13"/>
  <c r="GG133" i="13"/>
  <c r="GE133" i="13"/>
  <c r="GF133" i="13" s="1"/>
  <c r="GD133" i="13"/>
  <c r="GC133" i="13"/>
  <c r="GA133" i="13"/>
  <c r="GO132" i="13"/>
  <c r="GG132" i="13"/>
  <c r="GE132" i="13"/>
  <c r="GF132" i="13" s="1"/>
  <c r="GD132" i="13"/>
  <c r="GC132" i="13"/>
  <c r="GA132" i="13"/>
  <c r="GK132" i="13" s="1"/>
  <c r="GO129" i="13"/>
  <c r="GG129" i="13"/>
  <c r="GE129" i="13"/>
  <c r="GF129" i="13" s="1"/>
  <c r="GD129" i="13"/>
  <c r="GC129" i="13"/>
  <c r="GA129" i="13"/>
  <c r="GL129" i="13" s="1"/>
  <c r="GO128" i="13"/>
  <c r="GG128" i="13"/>
  <c r="GE128" i="13"/>
  <c r="GF128" i="13" s="1"/>
  <c r="GD128" i="13"/>
  <c r="GC128" i="13"/>
  <c r="GA128" i="13"/>
  <c r="GL128" i="13" s="1"/>
  <c r="GO127" i="13"/>
  <c r="GG127" i="13"/>
  <c r="GE127" i="13"/>
  <c r="GF127" i="13" s="1"/>
  <c r="GD127" i="13"/>
  <c r="GC127" i="13"/>
  <c r="GA127" i="13"/>
  <c r="GL127" i="13" s="1"/>
  <c r="GO126" i="13"/>
  <c r="GG126" i="13"/>
  <c r="GE126" i="13"/>
  <c r="GF126" i="13" s="1"/>
  <c r="GD126" i="13"/>
  <c r="GC126" i="13"/>
  <c r="GA126" i="13"/>
  <c r="GL126" i="13" s="1"/>
  <c r="GO125" i="13"/>
  <c r="GG125" i="13"/>
  <c r="GE125" i="13"/>
  <c r="GF125" i="13" s="1"/>
  <c r="GD125" i="13"/>
  <c r="GC125" i="13"/>
  <c r="GA125" i="13"/>
  <c r="GL125" i="13" s="1"/>
  <c r="GO122" i="13"/>
  <c r="GG122" i="13"/>
  <c r="GE122" i="13"/>
  <c r="GF122" i="13" s="1"/>
  <c r="GD122" i="13"/>
  <c r="GC122" i="13"/>
  <c r="GA122" i="13"/>
  <c r="GK122" i="13" s="1"/>
  <c r="GO121" i="13"/>
  <c r="GG121" i="13"/>
  <c r="GE121" i="13"/>
  <c r="GF121" i="13" s="1"/>
  <c r="GD121" i="13"/>
  <c r="GC121" i="13"/>
  <c r="GA121" i="13"/>
  <c r="GK121" i="13" s="1"/>
  <c r="GO120" i="13"/>
  <c r="GG120" i="13"/>
  <c r="GE120" i="13"/>
  <c r="GF120" i="13" s="1"/>
  <c r="GD120" i="13"/>
  <c r="GC120" i="13"/>
  <c r="GA120" i="13"/>
  <c r="GK120" i="13" s="1"/>
  <c r="GO119" i="13"/>
  <c r="GG119" i="13"/>
  <c r="GE119" i="13"/>
  <c r="GF119" i="13" s="1"/>
  <c r="GD119" i="13"/>
  <c r="GC119" i="13"/>
  <c r="GA119" i="13"/>
  <c r="GK119" i="13" s="1"/>
  <c r="GO116" i="13"/>
  <c r="GG116" i="13"/>
  <c r="GE116" i="13"/>
  <c r="GF116" i="13" s="1"/>
  <c r="GD116" i="13"/>
  <c r="GC116" i="13"/>
  <c r="GA116" i="13"/>
  <c r="GL116" i="13" s="1"/>
  <c r="GO115" i="13"/>
  <c r="GG115" i="13"/>
  <c r="GE115" i="13"/>
  <c r="GF115" i="13" s="1"/>
  <c r="GD115" i="13"/>
  <c r="GC115" i="13"/>
  <c r="GA115" i="13"/>
  <c r="GL115" i="13" s="1"/>
  <c r="GO114" i="13"/>
  <c r="GG114" i="13"/>
  <c r="GE114" i="13"/>
  <c r="GF114" i="13" s="1"/>
  <c r="GC114" i="13"/>
  <c r="GA114" i="13"/>
  <c r="GL114" i="13" s="1"/>
  <c r="GO111" i="13"/>
  <c r="GG111" i="13"/>
  <c r="GE111" i="13"/>
  <c r="GF111" i="13" s="1"/>
  <c r="GD111" i="13"/>
  <c r="GC111" i="13"/>
  <c r="GA111" i="13"/>
  <c r="GL111" i="13" s="1"/>
  <c r="GO110" i="13"/>
  <c r="GG110" i="13"/>
  <c r="GE110" i="13"/>
  <c r="GF110" i="13" s="1"/>
  <c r="GD110" i="13"/>
  <c r="GC110" i="13"/>
  <c r="GA110" i="13"/>
  <c r="GL110" i="13" s="1"/>
  <c r="GO109" i="13"/>
  <c r="GG109" i="13"/>
  <c r="GE109" i="13"/>
  <c r="GF109" i="13" s="1"/>
  <c r="GD109" i="13"/>
  <c r="GC109" i="13"/>
  <c r="GA109" i="13"/>
  <c r="GL109" i="13" s="1"/>
  <c r="GO106" i="13"/>
  <c r="GG106" i="13"/>
  <c r="GE106" i="13"/>
  <c r="GF106" i="13" s="1"/>
  <c r="GD106" i="13"/>
  <c r="GC106" i="13"/>
  <c r="GA106" i="13"/>
  <c r="GK106" i="13" s="1"/>
  <c r="GO105" i="13"/>
  <c r="GG105" i="13"/>
  <c r="GE105" i="13"/>
  <c r="GF105" i="13" s="1"/>
  <c r="GD105" i="13"/>
  <c r="GC105" i="13"/>
  <c r="GA105" i="13"/>
  <c r="GK105" i="13" s="1"/>
  <c r="GO104" i="13"/>
  <c r="GG104" i="13"/>
  <c r="GE104" i="13"/>
  <c r="GF104" i="13" s="1"/>
  <c r="GD104" i="13"/>
  <c r="GC104" i="13"/>
  <c r="GA104" i="13"/>
  <c r="GK104" i="13" s="1"/>
  <c r="GO101" i="13"/>
  <c r="GG101" i="13"/>
  <c r="GE101" i="13"/>
  <c r="GF101" i="13" s="1"/>
  <c r="GD101" i="13"/>
  <c r="GC101" i="13"/>
  <c r="GA101" i="13"/>
  <c r="GL101" i="13" s="1"/>
  <c r="GO100" i="13"/>
  <c r="GG100" i="13"/>
  <c r="GE100" i="13"/>
  <c r="GF100" i="13" s="1"/>
  <c r="GD100" i="13"/>
  <c r="GC100" i="13"/>
  <c r="GA100" i="13"/>
  <c r="GL100" i="13" s="1"/>
  <c r="GO99" i="13"/>
  <c r="GG99" i="13"/>
  <c r="GE99" i="13"/>
  <c r="GF99" i="13" s="1"/>
  <c r="GD99" i="13"/>
  <c r="GC99" i="13"/>
  <c r="GA99" i="13"/>
  <c r="GL99" i="13" s="1"/>
  <c r="GO96" i="13"/>
  <c r="GG96" i="13"/>
  <c r="GE96" i="13"/>
  <c r="GF96" i="13" s="1"/>
  <c r="GD96" i="13"/>
  <c r="GC96" i="13"/>
  <c r="GA96" i="13"/>
  <c r="GK96" i="13" s="1"/>
  <c r="GO95" i="13"/>
  <c r="GG95" i="13"/>
  <c r="GE95" i="13"/>
  <c r="GF95" i="13" s="1"/>
  <c r="GD95" i="13"/>
  <c r="GC95" i="13"/>
  <c r="GA95" i="13"/>
  <c r="GK95" i="13" s="1"/>
  <c r="GO94" i="13"/>
  <c r="GG94" i="13"/>
  <c r="GE94" i="13"/>
  <c r="GF94" i="13" s="1"/>
  <c r="GD94" i="13"/>
  <c r="GC94" i="13"/>
  <c r="GA94" i="13"/>
  <c r="GK94" i="13" s="1"/>
  <c r="GO91" i="13"/>
  <c r="GG91" i="13"/>
  <c r="GE91" i="13"/>
  <c r="GF91" i="13" s="1"/>
  <c r="GD91" i="13"/>
  <c r="GC91" i="13"/>
  <c r="GA91" i="13"/>
  <c r="GL91" i="13" s="1"/>
  <c r="GO90" i="13"/>
  <c r="GG90" i="13"/>
  <c r="GE90" i="13"/>
  <c r="GF90" i="13" s="1"/>
  <c r="GD90" i="13"/>
  <c r="GC90" i="13"/>
  <c r="GA90" i="13"/>
  <c r="GL90" i="13" s="1"/>
  <c r="GO89" i="13"/>
  <c r="GG89" i="13"/>
  <c r="GE89" i="13"/>
  <c r="GF89" i="13" s="1"/>
  <c r="GD89" i="13"/>
  <c r="GC89" i="13"/>
  <c r="GA89" i="13"/>
  <c r="GL89" i="13" s="1"/>
  <c r="GO86" i="13"/>
  <c r="GG86" i="13"/>
  <c r="GE86" i="13"/>
  <c r="GF86" i="13" s="1"/>
  <c r="GD86" i="13"/>
  <c r="GC86" i="13"/>
  <c r="GA86" i="13"/>
  <c r="GL86" i="13" s="1"/>
  <c r="GO85" i="13"/>
  <c r="GG85" i="13"/>
  <c r="GE85" i="13"/>
  <c r="GF85" i="13" s="1"/>
  <c r="GD85" i="13"/>
  <c r="GC85" i="13"/>
  <c r="GA85" i="13"/>
  <c r="GL85" i="13" s="1"/>
  <c r="GO84" i="13"/>
  <c r="GG84" i="13"/>
  <c r="GE84" i="13"/>
  <c r="GF84" i="13" s="1"/>
  <c r="GD84" i="13"/>
  <c r="GC84" i="13"/>
  <c r="GA84" i="13"/>
  <c r="GL84" i="13" s="1"/>
  <c r="GO81" i="13"/>
  <c r="GG81" i="13"/>
  <c r="GE81" i="13"/>
  <c r="GF81" i="13" s="1"/>
  <c r="GD81" i="13"/>
  <c r="GC81" i="13"/>
  <c r="GA81" i="13"/>
  <c r="GL81" i="13" s="1"/>
  <c r="GO80" i="13"/>
  <c r="GG80" i="13"/>
  <c r="GE80" i="13"/>
  <c r="GF80" i="13" s="1"/>
  <c r="GD80" i="13"/>
  <c r="GC80" i="13"/>
  <c r="GA80" i="13"/>
  <c r="GL80" i="13" s="1"/>
  <c r="GO79" i="13"/>
  <c r="GG79" i="13"/>
  <c r="GE79" i="13"/>
  <c r="GF79" i="13" s="1"/>
  <c r="GD79" i="13"/>
  <c r="GC79" i="13"/>
  <c r="GA79" i="13"/>
  <c r="GL79" i="13" s="1"/>
  <c r="GO76" i="13"/>
  <c r="GG76" i="13"/>
  <c r="GE76" i="13"/>
  <c r="GF76" i="13" s="1"/>
  <c r="GD76" i="13"/>
  <c r="GC76" i="13"/>
  <c r="GA76" i="13"/>
  <c r="GL76" i="13" s="1"/>
  <c r="GO75" i="13"/>
  <c r="GG75" i="13"/>
  <c r="GE75" i="13"/>
  <c r="GF75" i="13" s="1"/>
  <c r="GD75" i="13"/>
  <c r="GC75" i="13"/>
  <c r="GA75" i="13"/>
  <c r="GL75" i="13" s="1"/>
  <c r="GO74" i="13"/>
  <c r="GG74" i="13"/>
  <c r="GE74" i="13"/>
  <c r="GF74" i="13" s="1"/>
  <c r="GD74" i="13"/>
  <c r="GC74" i="13"/>
  <c r="GA74" i="13"/>
  <c r="GL74" i="13" s="1"/>
  <c r="GO71" i="13"/>
  <c r="GG71" i="13"/>
  <c r="GE71" i="13"/>
  <c r="GF71" i="13" s="1"/>
  <c r="GD71" i="13"/>
  <c r="GC71" i="13"/>
  <c r="GA71" i="13"/>
  <c r="GL71" i="13" s="1"/>
  <c r="GO70" i="13"/>
  <c r="GG70" i="13"/>
  <c r="GE70" i="13"/>
  <c r="GF70" i="13" s="1"/>
  <c r="GD70" i="13"/>
  <c r="GC70" i="13"/>
  <c r="GA70" i="13"/>
  <c r="GL70" i="13" s="1"/>
  <c r="GO69" i="13"/>
  <c r="GG69" i="13"/>
  <c r="GE69" i="13"/>
  <c r="GF69" i="13" s="1"/>
  <c r="GD69" i="13"/>
  <c r="GC69" i="13"/>
  <c r="GA69" i="13"/>
  <c r="GL69" i="13" s="1"/>
  <c r="GO66" i="13"/>
  <c r="GG66" i="13"/>
  <c r="GE66" i="13"/>
  <c r="GF66" i="13" s="1"/>
  <c r="GD66" i="13"/>
  <c r="GC66" i="13"/>
  <c r="GA66" i="13"/>
  <c r="GL66" i="13" s="1"/>
  <c r="GO65" i="13"/>
  <c r="GG65" i="13"/>
  <c r="GE65" i="13"/>
  <c r="GF65" i="13" s="1"/>
  <c r="GD65" i="13"/>
  <c r="GC65" i="13"/>
  <c r="GA65" i="13"/>
  <c r="GL65" i="13" s="1"/>
  <c r="GO64" i="13"/>
  <c r="GG64" i="13"/>
  <c r="GE64" i="13"/>
  <c r="GF64" i="13" s="1"/>
  <c r="GD64" i="13"/>
  <c r="GC64" i="13"/>
  <c r="GA64" i="13"/>
  <c r="GL64" i="13" s="1"/>
  <c r="GO61" i="13"/>
  <c r="GG61" i="13"/>
  <c r="GE61" i="13"/>
  <c r="GF61" i="13" s="1"/>
  <c r="GD61" i="13"/>
  <c r="GC61" i="13"/>
  <c r="GA61" i="13"/>
  <c r="GL61" i="13" s="1"/>
  <c r="GO60" i="13"/>
  <c r="GG60" i="13"/>
  <c r="GE60" i="13"/>
  <c r="GF60" i="13" s="1"/>
  <c r="GD60" i="13"/>
  <c r="GC60" i="13"/>
  <c r="GA60" i="13"/>
  <c r="GL60" i="13" s="1"/>
  <c r="GO59" i="13"/>
  <c r="GG59" i="13"/>
  <c r="GE59" i="13"/>
  <c r="GF59" i="13" s="1"/>
  <c r="GD59" i="13"/>
  <c r="GC59" i="13"/>
  <c r="GA59" i="13"/>
  <c r="GL59" i="13" s="1"/>
  <c r="GO58" i="13"/>
  <c r="GG58" i="13"/>
  <c r="GE58" i="13"/>
  <c r="GF58" i="13" s="1"/>
  <c r="GD58" i="13"/>
  <c r="GC58" i="13"/>
  <c r="GA58" i="13"/>
  <c r="GL58" i="13" s="1"/>
  <c r="GO55" i="13"/>
  <c r="GG55" i="13"/>
  <c r="GE55" i="13"/>
  <c r="GF55" i="13" s="1"/>
  <c r="GC55" i="13"/>
  <c r="GA55" i="13"/>
  <c r="GL55" i="13" s="1"/>
  <c r="GO54" i="13"/>
  <c r="GG54" i="13"/>
  <c r="GE54" i="13"/>
  <c r="GF54" i="13" s="1"/>
  <c r="GC54" i="13"/>
  <c r="GA54" i="13"/>
  <c r="GL54" i="13" s="1"/>
  <c r="GO53" i="13"/>
  <c r="GG53" i="13"/>
  <c r="GE53" i="13"/>
  <c r="GF53" i="13" s="1"/>
  <c r="GC53" i="13"/>
  <c r="GA53" i="13"/>
  <c r="GL53" i="13" s="1"/>
  <c r="GO52" i="13"/>
  <c r="GG52" i="13"/>
  <c r="GE52" i="13"/>
  <c r="GF52" i="13" s="1"/>
  <c r="GD52" i="13"/>
  <c r="GC52" i="13"/>
  <c r="GA52" i="13"/>
  <c r="GL52" i="13" s="1"/>
  <c r="GO51" i="13"/>
  <c r="GG51" i="13"/>
  <c r="GE51" i="13"/>
  <c r="GF51" i="13" s="1"/>
  <c r="GD51" i="13"/>
  <c r="GC51" i="13"/>
  <c r="GA51" i="13"/>
  <c r="GL51" i="13" s="1"/>
  <c r="GO50" i="13"/>
  <c r="GG50" i="13"/>
  <c r="GE50" i="13"/>
  <c r="GF50" i="13" s="1"/>
  <c r="GD50" i="13"/>
  <c r="GC50" i="13"/>
  <c r="GA50" i="13"/>
  <c r="GL50" i="13" s="1"/>
  <c r="GO47" i="13"/>
  <c r="GG47" i="13"/>
  <c r="GE47" i="13"/>
  <c r="GF47" i="13" s="1"/>
  <c r="GD47" i="13"/>
  <c r="GC47" i="13"/>
  <c r="GA47" i="13"/>
  <c r="GL47" i="13" s="1"/>
  <c r="GO46" i="13"/>
  <c r="GG46" i="13"/>
  <c r="GE46" i="13"/>
  <c r="GF46" i="13" s="1"/>
  <c r="GD46" i="13"/>
  <c r="GC46" i="13"/>
  <c r="GA46" i="13"/>
  <c r="GL46" i="13" s="1"/>
  <c r="GO45" i="13"/>
  <c r="GG45" i="13"/>
  <c r="GE45" i="13"/>
  <c r="GF45" i="13" s="1"/>
  <c r="GD45" i="13"/>
  <c r="GC45" i="13"/>
  <c r="GA45" i="13"/>
  <c r="GL45" i="13" s="1"/>
  <c r="GO44" i="13"/>
  <c r="GG44" i="13"/>
  <c r="GE44" i="13"/>
  <c r="GF44" i="13" s="1"/>
  <c r="GD44" i="13"/>
  <c r="GC44" i="13"/>
  <c r="GA44" i="13"/>
  <c r="GL44" i="13" s="1"/>
  <c r="GO43" i="13"/>
  <c r="GG43" i="13"/>
  <c r="GE43" i="13"/>
  <c r="GF43" i="13" s="1"/>
  <c r="GD43" i="13"/>
  <c r="GC43" i="13"/>
  <c r="GA43" i="13"/>
  <c r="GL43" i="13" s="1"/>
  <c r="GO42" i="13"/>
  <c r="GG42" i="13"/>
  <c r="GE42" i="13"/>
  <c r="GF42" i="13" s="1"/>
  <c r="GD42" i="13"/>
  <c r="GC42" i="13"/>
  <c r="GA42" i="13"/>
  <c r="GL42" i="13" s="1"/>
  <c r="GO39" i="13"/>
  <c r="GG39" i="13"/>
  <c r="GE39" i="13"/>
  <c r="GF39" i="13" s="1"/>
  <c r="GD39" i="13"/>
  <c r="GC39" i="13"/>
  <c r="GA39" i="13"/>
  <c r="GL39" i="13" s="1"/>
  <c r="GO38" i="13"/>
  <c r="GG38" i="13"/>
  <c r="GE38" i="13"/>
  <c r="GF38" i="13" s="1"/>
  <c r="GD38" i="13"/>
  <c r="GC38" i="13"/>
  <c r="GA38" i="13"/>
  <c r="GL38" i="13" s="1"/>
  <c r="GO37" i="13"/>
  <c r="GG37" i="13"/>
  <c r="GE37" i="13"/>
  <c r="GF37" i="13" s="1"/>
  <c r="GD37" i="13"/>
  <c r="GC37" i="13"/>
  <c r="GA37" i="13"/>
  <c r="GL37" i="13" s="1"/>
  <c r="GO36" i="13"/>
  <c r="GG36" i="13"/>
  <c r="GE36" i="13"/>
  <c r="GF36" i="13" s="1"/>
  <c r="GD36" i="13"/>
  <c r="GC36" i="13"/>
  <c r="GA36" i="13"/>
  <c r="GL36" i="13" s="1"/>
  <c r="GO33" i="13"/>
  <c r="GG33" i="13"/>
  <c r="GE33" i="13"/>
  <c r="GF33" i="13" s="1"/>
  <c r="GD33" i="13"/>
  <c r="GC33" i="13"/>
  <c r="GA33" i="13"/>
  <c r="GL33" i="13" s="1"/>
  <c r="GO32" i="13"/>
  <c r="GG32" i="13"/>
  <c r="GE32" i="13"/>
  <c r="GF32" i="13" s="1"/>
  <c r="GD32" i="13"/>
  <c r="GC32" i="13"/>
  <c r="GA32" i="13"/>
  <c r="GL32" i="13" s="1"/>
  <c r="GO31" i="13"/>
  <c r="GG31" i="13"/>
  <c r="GE31" i="13"/>
  <c r="GF31" i="13" s="1"/>
  <c r="GD31" i="13"/>
  <c r="GC31" i="13"/>
  <c r="GA31" i="13"/>
  <c r="GL31" i="13" s="1"/>
  <c r="GO30" i="13"/>
  <c r="GG30" i="13"/>
  <c r="GE30" i="13"/>
  <c r="GF30" i="13" s="1"/>
  <c r="GD30" i="13"/>
  <c r="GC30" i="13"/>
  <c r="GA30" i="13"/>
  <c r="GL30" i="13" s="1"/>
  <c r="GO29" i="13"/>
  <c r="GG29" i="13"/>
  <c r="GE29" i="13"/>
  <c r="GF29" i="13" s="1"/>
  <c r="GD29" i="13"/>
  <c r="GC29" i="13"/>
  <c r="GA29" i="13"/>
  <c r="GL29" i="13" s="1"/>
  <c r="GO28" i="13"/>
  <c r="GG28" i="13"/>
  <c r="GE28" i="13"/>
  <c r="GF28" i="13" s="1"/>
  <c r="GD28" i="13"/>
  <c r="GC28" i="13"/>
  <c r="GA28" i="13"/>
  <c r="GO27" i="13"/>
  <c r="GG27" i="13"/>
  <c r="GE27" i="13"/>
  <c r="GF27" i="13" s="1"/>
  <c r="GD27" i="13"/>
  <c r="GC27" i="13"/>
  <c r="GA27" i="13"/>
  <c r="GK27" i="13" s="1"/>
  <c r="GO24" i="13"/>
  <c r="GG24" i="13"/>
  <c r="GE24" i="13"/>
  <c r="GF24" i="13" s="1"/>
  <c r="GD24" i="13"/>
  <c r="GC24" i="13"/>
  <c r="GA24" i="13"/>
  <c r="GL24" i="13" s="1"/>
  <c r="GO23" i="13"/>
  <c r="GG23" i="13"/>
  <c r="GE23" i="13"/>
  <c r="GF23" i="13" s="1"/>
  <c r="GD23" i="13"/>
  <c r="GC23" i="13"/>
  <c r="GA23" i="13"/>
  <c r="GL23" i="13" s="1"/>
  <c r="GO22" i="13"/>
  <c r="GG22" i="13"/>
  <c r="GE22" i="13"/>
  <c r="GF22" i="13" s="1"/>
  <c r="GD22" i="13"/>
  <c r="GC22" i="13"/>
  <c r="GA22" i="13"/>
  <c r="GK22" i="13" s="1"/>
  <c r="GO21" i="13"/>
  <c r="GG21" i="13"/>
  <c r="GE21" i="13"/>
  <c r="GF21" i="13" s="1"/>
  <c r="GD21" i="13"/>
  <c r="GC21" i="13"/>
  <c r="GA21" i="13"/>
  <c r="GK21" i="13" s="1"/>
  <c r="GO18" i="13"/>
  <c r="GG18" i="13"/>
  <c r="GE18" i="13"/>
  <c r="GF18" i="13" s="1"/>
  <c r="GD18" i="13"/>
  <c r="GC18" i="13"/>
  <c r="GA18" i="13"/>
  <c r="GL18" i="13" s="1"/>
  <c r="GO17" i="13"/>
  <c r="GG17" i="13"/>
  <c r="GE17" i="13"/>
  <c r="GF17" i="13" s="1"/>
  <c r="GD17" i="13"/>
  <c r="GC17" i="13"/>
  <c r="GA17" i="13"/>
  <c r="GL17" i="13" s="1"/>
  <c r="GO16" i="13"/>
  <c r="GG16" i="13"/>
  <c r="GE16" i="13"/>
  <c r="GF16" i="13" s="1"/>
  <c r="GD16" i="13"/>
  <c r="GC16" i="13"/>
  <c r="GA16" i="13"/>
  <c r="GL16" i="13" s="1"/>
  <c r="GO15" i="13"/>
  <c r="GG15" i="13"/>
  <c r="GE15" i="13"/>
  <c r="GF15" i="13" s="1"/>
  <c r="GD15" i="13"/>
  <c r="GC15" i="13"/>
  <c r="GA15" i="13"/>
  <c r="GL15" i="13" s="1"/>
  <c r="GO14" i="13"/>
  <c r="GG14" i="13"/>
  <c r="GE14" i="13"/>
  <c r="GF14" i="13" s="1"/>
  <c r="GD14" i="13"/>
  <c r="GC14" i="13"/>
  <c r="GA14" i="13"/>
  <c r="GL14" i="13" s="1"/>
  <c r="GO13" i="13"/>
  <c r="GG13" i="13"/>
  <c r="GE13" i="13"/>
  <c r="GF13" i="13" s="1"/>
  <c r="GD13" i="13"/>
  <c r="GC13" i="13"/>
  <c r="GA13" i="13"/>
  <c r="GL13" i="13" s="1"/>
  <c r="GO10" i="13"/>
  <c r="GG10" i="13"/>
  <c r="GE10" i="13"/>
  <c r="GF10" i="13" s="1"/>
  <c r="GD10" i="13"/>
  <c r="GD55" i="13" s="1"/>
  <c r="GC10" i="13"/>
  <c r="GA10" i="13"/>
  <c r="GK10" i="13" s="1"/>
  <c r="GO9" i="13"/>
  <c r="GG9" i="13"/>
  <c r="GE9" i="13"/>
  <c r="GF9" i="13" s="1"/>
  <c r="GD9" i="13"/>
  <c r="GD54" i="13" s="1"/>
  <c r="GC9" i="13"/>
  <c r="GA9" i="13"/>
  <c r="GK9" i="13" s="1"/>
  <c r="GO8" i="13"/>
  <c r="GG8" i="13"/>
  <c r="GE8" i="13"/>
  <c r="GF8" i="13" s="1"/>
  <c r="GD8" i="13"/>
  <c r="GD53" i="13" s="1"/>
  <c r="GC8" i="13"/>
  <c r="GA8" i="13"/>
  <c r="GK8" i="13" s="1"/>
  <c r="FW164" i="13"/>
  <c r="FO164" i="13"/>
  <c r="FM164" i="13"/>
  <c r="FN164" i="13" s="1"/>
  <c r="FL164" i="13"/>
  <c r="FK164" i="13"/>
  <c r="FI164" i="13"/>
  <c r="FS164" i="13" s="1"/>
  <c r="FW163" i="13"/>
  <c r="FO163" i="13"/>
  <c r="FM163" i="13"/>
  <c r="FN163" i="13" s="1"/>
  <c r="FL163" i="13"/>
  <c r="FK163" i="13"/>
  <c r="FI163" i="13"/>
  <c r="FT163" i="13" s="1"/>
  <c r="FW162" i="13"/>
  <c r="FO162" i="13"/>
  <c r="FM162" i="13"/>
  <c r="FN162" i="13" s="1"/>
  <c r="FL162" i="13"/>
  <c r="FK162" i="13"/>
  <c r="FI162" i="13"/>
  <c r="FW161" i="13"/>
  <c r="FO161" i="13"/>
  <c r="FM161" i="13"/>
  <c r="FN161" i="13" s="1"/>
  <c r="FL161" i="13"/>
  <c r="FK161" i="13"/>
  <c r="FI161" i="13"/>
  <c r="FT161" i="13" s="1"/>
  <c r="FW160" i="13"/>
  <c r="FO160" i="13"/>
  <c r="FM160" i="13"/>
  <c r="FN160" i="13" s="1"/>
  <c r="FL160" i="13"/>
  <c r="FK160" i="13"/>
  <c r="FI160" i="13"/>
  <c r="FT160" i="13" s="1"/>
  <c r="FW159" i="13"/>
  <c r="FO159" i="13"/>
  <c r="FM159" i="13"/>
  <c r="FN159" i="13" s="1"/>
  <c r="FL159" i="13"/>
  <c r="FK159" i="13"/>
  <c r="FI159" i="13"/>
  <c r="FT159" i="13" s="1"/>
  <c r="FW158" i="13"/>
  <c r="FO158" i="13"/>
  <c r="FM158" i="13"/>
  <c r="FN158" i="13" s="1"/>
  <c r="FL158" i="13"/>
  <c r="FK158" i="13"/>
  <c r="FI158" i="13"/>
  <c r="FW157" i="13"/>
  <c r="FO157" i="13"/>
  <c r="FM157" i="13"/>
  <c r="FN157" i="13" s="1"/>
  <c r="FL157" i="13"/>
  <c r="FK157" i="13"/>
  <c r="FI157" i="13"/>
  <c r="FT157" i="13" s="1"/>
  <c r="FW154" i="13"/>
  <c r="FO154" i="13"/>
  <c r="FM154" i="13"/>
  <c r="FN154" i="13" s="1"/>
  <c r="FL154" i="13"/>
  <c r="FK154" i="13"/>
  <c r="FI154" i="13"/>
  <c r="FT154" i="13" s="1"/>
  <c r="FW153" i="13"/>
  <c r="FO153" i="13"/>
  <c r="FM153" i="13"/>
  <c r="FN153" i="13" s="1"/>
  <c r="FL153" i="13"/>
  <c r="FK153" i="13"/>
  <c r="FI153" i="13"/>
  <c r="FT153" i="13" s="1"/>
  <c r="FW152" i="13"/>
  <c r="FO152" i="13"/>
  <c r="FM152" i="13"/>
  <c r="FN152" i="13" s="1"/>
  <c r="FL152" i="13"/>
  <c r="FK152" i="13"/>
  <c r="FI152" i="13"/>
  <c r="FT152" i="13" s="1"/>
  <c r="FW149" i="13"/>
  <c r="FO149" i="13"/>
  <c r="FM149" i="13"/>
  <c r="FN149" i="13" s="1"/>
  <c r="FL149" i="13"/>
  <c r="FK149" i="13"/>
  <c r="FI149" i="13"/>
  <c r="FT149" i="13" s="1"/>
  <c r="FW148" i="13"/>
  <c r="FO148" i="13"/>
  <c r="FM148" i="13"/>
  <c r="FN148" i="13" s="1"/>
  <c r="FL148" i="13"/>
  <c r="FK148" i="13"/>
  <c r="FI148" i="13"/>
  <c r="FT148" i="13" s="1"/>
  <c r="FW147" i="13"/>
  <c r="FO147" i="13"/>
  <c r="FM147" i="13"/>
  <c r="FN147" i="13" s="1"/>
  <c r="FL147" i="13"/>
  <c r="FK147" i="13"/>
  <c r="FI147" i="13"/>
  <c r="FT147" i="13" s="1"/>
  <c r="FW144" i="13"/>
  <c r="FO144" i="13"/>
  <c r="FM144" i="13"/>
  <c r="FN144" i="13" s="1"/>
  <c r="FL144" i="13"/>
  <c r="FK144" i="13"/>
  <c r="FI144" i="13"/>
  <c r="FT144" i="13" s="1"/>
  <c r="FW143" i="13"/>
  <c r="FO143" i="13"/>
  <c r="FM143" i="13"/>
  <c r="FN143" i="13" s="1"/>
  <c r="FL143" i="13"/>
  <c r="FK143" i="13"/>
  <c r="FI143" i="13"/>
  <c r="FT143" i="13" s="1"/>
  <c r="FW142" i="13"/>
  <c r="FO142" i="13"/>
  <c r="FM142" i="13"/>
  <c r="FN142" i="13" s="1"/>
  <c r="FL142" i="13"/>
  <c r="FK142" i="13"/>
  <c r="FI142" i="13"/>
  <c r="FT142" i="13" s="1"/>
  <c r="FW139" i="13"/>
  <c r="FO139" i="13"/>
  <c r="FM139" i="13"/>
  <c r="FN139" i="13" s="1"/>
  <c r="FL139" i="13"/>
  <c r="FK139" i="13"/>
  <c r="FI139" i="13"/>
  <c r="FT139" i="13" s="1"/>
  <c r="FW138" i="13"/>
  <c r="FO138" i="13"/>
  <c r="FM138" i="13"/>
  <c r="FN138" i="13" s="1"/>
  <c r="FL138" i="13"/>
  <c r="FK138" i="13"/>
  <c r="FI138" i="13"/>
  <c r="FT138" i="13" s="1"/>
  <c r="FW137" i="13"/>
  <c r="FO137" i="13"/>
  <c r="FM137" i="13"/>
  <c r="FN137" i="13" s="1"/>
  <c r="FL137" i="13"/>
  <c r="FK137" i="13"/>
  <c r="FI137" i="13"/>
  <c r="FT137" i="13" s="1"/>
  <c r="FW134" i="13"/>
  <c r="FO134" i="13"/>
  <c r="FM134" i="13"/>
  <c r="FN134" i="13" s="1"/>
  <c r="FL134" i="13"/>
  <c r="FK134" i="13"/>
  <c r="FI134" i="13"/>
  <c r="FT134" i="13" s="1"/>
  <c r="FW133" i="13"/>
  <c r="FO133" i="13"/>
  <c r="FM133" i="13"/>
  <c r="FN133" i="13" s="1"/>
  <c r="FL133" i="13"/>
  <c r="FK133" i="13"/>
  <c r="FI133" i="13"/>
  <c r="FT133" i="13" s="1"/>
  <c r="FW132" i="13"/>
  <c r="FO132" i="13"/>
  <c r="FM132" i="13"/>
  <c r="FN132" i="13" s="1"/>
  <c r="FL132" i="13"/>
  <c r="FK132" i="13"/>
  <c r="FI132" i="13"/>
  <c r="FS132" i="13" s="1"/>
  <c r="FW129" i="13"/>
  <c r="FO129" i="13"/>
  <c r="FM129" i="13"/>
  <c r="FN129" i="13" s="1"/>
  <c r="FL129" i="13"/>
  <c r="FK129" i="13"/>
  <c r="FI129" i="13"/>
  <c r="FW128" i="13"/>
  <c r="FO128" i="13"/>
  <c r="FM128" i="13"/>
  <c r="FN128" i="13" s="1"/>
  <c r="FL128" i="13"/>
  <c r="FK128" i="13"/>
  <c r="FI128" i="13"/>
  <c r="FT128" i="13" s="1"/>
  <c r="FW127" i="13"/>
  <c r="FO127" i="13"/>
  <c r="FM127" i="13"/>
  <c r="FN127" i="13" s="1"/>
  <c r="FL127" i="13"/>
  <c r="FK127" i="13"/>
  <c r="FI127" i="13"/>
  <c r="FT127" i="13" s="1"/>
  <c r="FW126" i="13"/>
  <c r="FO126" i="13"/>
  <c r="FM126" i="13"/>
  <c r="FN126" i="13" s="1"/>
  <c r="FL126" i="13"/>
  <c r="FK126" i="13"/>
  <c r="FI126" i="13"/>
  <c r="FT126" i="13" s="1"/>
  <c r="FW125" i="13"/>
  <c r="FO125" i="13"/>
  <c r="FM125" i="13"/>
  <c r="FN125" i="13" s="1"/>
  <c r="FL125" i="13"/>
  <c r="FK125" i="13"/>
  <c r="FI125" i="13"/>
  <c r="FT125" i="13" s="1"/>
  <c r="FW122" i="13"/>
  <c r="FO122" i="13"/>
  <c r="FM122" i="13"/>
  <c r="FN122" i="13" s="1"/>
  <c r="FL122" i="13"/>
  <c r="FK122" i="13"/>
  <c r="FI122" i="13"/>
  <c r="FS122" i="13" s="1"/>
  <c r="FW121" i="13"/>
  <c r="FO121" i="13"/>
  <c r="FM121" i="13"/>
  <c r="FN121" i="13" s="1"/>
  <c r="FL121" i="13"/>
  <c r="FK121" i="13"/>
  <c r="FI121" i="13"/>
  <c r="FS121" i="13" s="1"/>
  <c r="FW120" i="13"/>
  <c r="FO120" i="13"/>
  <c r="FM120" i="13"/>
  <c r="FN120" i="13" s="1"/>
  <c r="FL120" i="13"/>
  <c r="FK120" i="13"/>
  <c r="FI120" i="13"/>
  <c r="FS120" i="13" s="1"/>
  <c r="FW119" i="13"/>
  <c r="FO119" i="13"/>
  <c r="FM119" i="13"/>
  <c r="FN119" i="13" s="1"/>
  <c r="FL119" i="13"/>
  <c r="FK119" i="13"/>
  <c r="FI119" i="13"/>
  <c r="FS119" i="13" s="1"/>
  <c r="FW116" i="13"/>
  <c r="FO116" i="13"/>
  <c r="FM116" i="13"/>
  <c r="FN116" i="13" s="1"/>
  <c r="FL116" i="13"/>
  <c r="FK116" i="13"/>
  <c r="FI116" i="13"/>
  <c r="FW115" i="13"/>
  <c r="FO115" i="13"/>
  <c r="FM115" i="13"/>
  <c r="FN115" i="13" s="1"/>
  <c r="FL115" i="13"/>
  <c r="FK115" i="13"/>
  <c r="FI115" i="13"/>
  <c r="FT115" i="13" s="1"/>
  <c r="FW114" i="13"/>
  <c r="FO114" i="13"/>
  <c r="FK114" i="13"/>
  <c r="FW111" i="13"/>
  <c r="FO111" i="13"/>
  <c r="FM111" i="13"/>
  <c r="FN111" i="13" s="1"/>
  <c r="FL111" i="13"/>
  <c r="FK111" i="13"/>
  <c r="FI111" i="13"/>
  <c r="FT111" i="13" s="1"/>
  <c r="FW110" i="13"/>
  <c r="FO110" i="13"/>
  <c r="FM110" i="13"/>
  <c r="FN110" i="13" s="1"/>
  <c r="FL110" i="13"/>
  <c r="FK110" i="13"/>
  <c r="FI110" i="13"/>
  <c r="FW109" i="13"/>
  <c r="FO109" i="13"/>
  <c r="FM109" i="13"/>
  <c r="FN109" i="13" s="1"/>
  <c r="FL109" i="13"/>
  <c r="FK109" i="13"/>
  <c r="FI109" i="13"/>
  <c r="FT109" i="13" s="1"/>
  <c r="FW106" i="13"/>
  <c r="FO106" i="13"/>
  <c r="FM106" i="13"/>
  <c r="FN106" i="13" s="1"/>
  <c r="FL106" i="13"/>
  <c r="FK106" i="13"/>
  <c r="FI106" i="13"/>
  <c r="FS106" i="13" s="1"/>
  <c r="FW105" i="13"/>
  <c r="FO105" i="13"/>
  <c r="FM105" i="13"/>
  <c r="FN105" i="13" s="1"/>
  <c r="FL105" i="13"/>
  <c r="FK105" i="13"/>
  <c r="FI105" i="13"/>
  <c r="FW104" i="13"/>
  <c r="FO104" i="13"/>
  <c r="FM104" i="13"/>
  <c r="FN104" i="13" s="1"/>
  <c r="FL104" i="13"/>
  <c r="FK104" i="13"/>
  <c r="FI104" i="13"/>
  <c r="FS104" i="13" s="1"/>
  <c r="FW101" i="13"/>
  <c r="FO101" i="13"/>
  <c r="FM101" i="13"/>
  <c r="FN101" i="13" s="1"/>
  <c r="FL101" i="13"/>
  <c r="FK101" i="13"/>
  <c r="FI101" i="13"/>
  <c r="FT101" i="13" s="1"/>
  <c r="FW100" i="13"/>
  <c r="FO100" i="13"/>
  <c r="FM100" i="13"/>
  <c r="FN100" i="13" s="1"/>
  <c r="FL100" i="13"/>
  <c r="FK100" i="13"/>
  <c r="FI100" i="13"/>
  <c r="FT100" i="13" s="1"/>
  <c r="FW99" i="13"/>
  <c r="FO99" i="13"/>
  <c r="FM99" i="13"/>
  <c r="FN99" i="13" s="1"/>
  <c r="FL99" i="13"/>
  <c r="FK99" i="13"/>
  <c r="FI99" i="13"/>
  <c r="FT99" i="13" s="1"/>
  <c r="FW96" i="13"/>
  <c r="FO96" i="13"/>
  <c r="FM96" i="13"/>
  <c r="FN96" i="13" s="1"/>
  <c r="FL96" i="13"/>
  <c r="FK96" i="13"/>
  <c r="FI96" i="13"/>
  <c r="FS96" i="13" s="1"/>
  <c r="FW95" i="13"/>
  <c r="FO95" i="13"/>
  <c r="FM95" i="13"/>
  <c r="FN95" i="13" s="1"/>
  <c r="FL95" i="13"/>
  <c r="FK95" i="13"/>
  <c r="FI95" i="13"/>
  <c r="FS95" i="13" s="1"/>
  <c r="FW94" i="13"/>
  <c r="FO94" i="13"/>
  <c r="FM94" i="13"/>
  <c r="FN94" i="13" s="1"/>
  <c r="FL94" i="13"/>
  <c r="FK94" i="13"/>
  <c r="FI94" i="13"/>
  <c r="FT94" i="13" s="1"/>
  <c r="FW91" i="13"/>
  <c r="FO91" i="13"/>
  <c r="FM91" i="13"/>
  <c r="FN91" i="13" s="1"/>
  <c r="FL91" i="13"/>
  <c r="FK91" i="13"/>
  <c r="FI91" i="13"/>
  <c r="FT91" i="13" s="1"/>
  <c r="FW90" i="13"/>
  <c r="FO90" i="13"/>
  <c r="FM90" i="13"/>
  <c r="FN90" i="13" s="1"/>
  <c r="FL90" i="13"/>
  <c r="FK90" i="13"/>
  <c r="FI90" i="13"/>
  <c r="FT90" i="13" s="1"/>
  <c r="FW89" i="13"/>
  <c r="FO89" i="13"/>
  <c r="FM89" i="13"/>
  <c r="FN89" i="13" s="1"/>
  <c r="FL89" i="13"/>
  <c r="FK89" i="13"/>
  <c r="FI89" i="13"/>
  <c r="FT89" i="13" s="1"/>
  <c r="FW86" i="13"/>
  <c r="FO86" i="13"/>
  <c r="FM86" i="13"/>
  <c r="FN86" i="13" s="1"/>
  <c r="FL86" i="13"/>
  <c r="FK86" i="13"/>
  <c r="FI86" i="13"/>
  <c r="FW85" i="13"/>
  <c r="FO85" i="13"/>
  <c r="FM85" i="13"/>
  <c r="FN85" i="13" s="1"/>
  <c r="FL85" i="13"/>
  <c r="FK85" i="13"/>
  <c r="FI85" i="13"/>
  <c r="FT85" i="13" s="1"/>
  <c r="FW84" i="13"/>
  <c r="FO84" i="13"/>
  <c r="FM84" i="13"/>
  <c r="FN84" i="13" s="1"/>
  <c r="FL84" i="13"/>
  <c r="FK84" i="13"/>
  <c r="FI84" i="13"/>
  <c r="FT84" i="13" s="1"/>
  <c r="FW81" i="13"/>
  <c r="FO81" i="13"/>
  <c r="FM81" i="13"/>
  <c r="FN81" i="13" s="1"/>
  <c r="FL81" i="13"/>
  <c r="FK81" i="13"/>
  <c r="FI81" i="13"/>
  <c r="FT81" i="13" s="1"/>
  <c r="FW80" i="13"/>
  <c r="FO80" i="13"/>
  <c r="FM80" i="13"/>
  <c r="FN80" i="13" s="1"/>
  <c r="FL80" i="13"/>
  <c r="FK80" i="13"/>
  <c r="FI80" i="13"/>
  <c r="FT80" i="13" s="1"/>
  <c r="FW79" i="13"/>
  <c r="FO79" i="13"/>
  <c r="FM79" i="13"/>
  <c r="FN79" i="13" s="1"/>
  <c r="FL79" i="13"/>
  <c r="FK79" i="13"/>
  <c r="FI79" i="13"/>
  <c r="FT79" i="13" s="1"/>
  <c r="FW76" i="13"/>
  <c r="FO76" i="13"/>
  <c r="FM76" i="13"/>
  <c r="FN76" i="13" s="1"/>
  <c r="FL76" i="13"/>
  <c r="FK76" i="13"/>
  <c r="FI76" i="13"/>
  <c r="FT76" i="13" s="1"/>
  <c r="FW75" i="13"/>
  <c r="FO75" i="13"/>
  <c r="FM75" i="13"/>
  <c r="FN75" i="13" s="1"/>
  <c r="FL75" i="13"/>
  <c r="FK75" i="13"/>
  <c r="FI75" i="13"/>
  <c r="FT75" i="13" s="1"/>
  <c r="FW74" i="13"/>
  <c r="FO74" i="13"/>
  <c r="FM74" i="13"/>
  <c r="FN74" i="13" s="1"/>
  <c r="FL74" i="13"/>
  <c r="FK74" i="13"/>
  <c r="FI74" i="13"/>
  <c r="FT74" i="13" s="1"/>
  <c r="FW71" i="13"/>
  <c r="FO71" i="13"/>
  <c r="FM71" i="13"/>
  <c r="FN71" i="13" s="1"/>
  <c r="FL71" i="13"/>
  <c r="FK71" i="13"/>
  <c r="FI71" i="13"/>
  <c r="FT71" i="13" s="1"/>
  <c r="FW70" i="13"/>
  <c r="FO70" i="13"/>
  <c r="FM70" i="13"/>
  <c r="FN70" i="13" s="1"/>
  <c r="FL70" i="13"/>
  <c r="FK70" i="13"/>
  <c r="FI70" i="13"/>
  <c r="FT70" i="13" s="1"/>
  <c r="FW69" i="13"/>
  <c r="FO69" i="13"/>
  <c r="FM69" i="13"/>
  <c r="FN69" i="13" s="1"/>
  <c r="FL69" i="13"/>
  <c r="FK69" i="13"/>
  <c r="FI69" i="13"/>
  <c r="FT69" i="13" s="1"/>
  <c r="FW66" i="13"/>
  <c r="FO66" i="13"/>
  <c r="FM66" i="13"/>
  <c r="FN66" i="13" s="1"/>
  <c r="FL66" i="13"/>
  <c r="FK66" i="13"/>
  <c r="FI66" i="13"/>
  <c r="FT66" i="13" s="1"/>
  <c r="FW65" i="13"/>
  <c r="FO65" i="13"/>
  <c r="FM65" i="13"/>
  <c r="FN65" i="13" s="1"/>
  <c r="FL65" i="13"/>
  <c r="FK65" i="13"/>
  <c r="FI65" i="13"/>
  <c r="FT65" i="13" s="1"/>
  <c r="FW64" i="13"/>
  <c r="FO64" i="13"/>
  <c r="FM64" i="13"/>
  <c r="FN64" i="13" s="1"/>
  <c r="FL64" i="13"/>
  <c r="FK64" i="13"/>
  <c r="FI64" i="13"/>
  <c r="FT64" i="13" s="1"/>
  <c r="FW61" i="13"/>
  <c r="FO61" i="13"/>
  <c r="FM61" i="13"/>
  <c r="FN61" i="13" s="1"/>
  <c r="FL61" i="13"/>
  <c r="FK61" i="13"/>
  <c r="FI61" i="13"/>
  <c r="FT61" i="13" s="1"/>
  <c r="FW60" i="13"/>
  <c r="FO60" i="13"/>
  <c r="FM60" i="13"/>
  <c r="FN60" i="13" s="1"/>
  <c r="FL60" i="13"/>
  <c r="FK60" i="13"/>
  <c r="FI60" i="13"/>
  <c r="FT60" i="13" s="1"/>
  <c r="FW59" i="13"/>
  <c r="FO59" i="13"/>
  <c r="FM59" i="13"/>
  <c r="FN59" i="13" s="1"/>
  <c r="FL59" i="13"/>
  <c r="FK59" i="13"/>
  <c r="FI59" i="13"/>
  <c r="FT59" i="13" s="1"/>
  <c r="FW58" i="13"/>
  <c r="FO58" i="13"/>
  <c r="FM58" i="13"/>
  <c r="FN58" i="13" s="1"/>
  <c r="FL58" i="13"/>
  <c r="FK58" i="13"/>
  <c r="FI58" i="13"/>
  <c r="FT58" i="13" s="1"/>
  <c r="FW55" i="13"/>
  <c r="FO55" i="13"/>
  <c r="FM55" i="13"/>
  <c r="FN55" i="13" s="1"/>
  <c r="FK55" i="13"/>
  <c r="FI55" i="13"/>
  <c r="FT55" i="13" s="1"/>
  <c r="FW54" i="13"/>
  <c r="FO54" i="13"/>
  <c r="FM54" i="13"/>
  <c r="FN54" i="13" s="1"/>
  <c r="FK54" i="13"/>
  <c r="FI54" i="13"/>
  <c r="FT54" i="13" s="1"/>
  <c r="FW53" i="13"/>
  <c r="FO53" i="13"/>
  <c r="FM53" i="13"/>
  <c r="FN53" i="13" s="1"/>
  <c r="FK53" i="13"/>
  <c r="FI53" i="13"/>
  <c r="FT53" i="13" s="1"/>
  <c r="FW52" i="13"/>
  <c r="FO52" i="13"/>
  <c r="FM52" i="13"/>
  <c r="FN52" i="13" s="1"/>
  <c r="FL52" i="13"/>
  <c r="FK52" i="13"/>
  <c r="FI52" i="13"/>
  <c r="FT52" i="13" s="1"/>
  <c r="FW51" i="13"/>
  <c r="FO51" i="13"/>
  <c r="FM51" i="13"/>
  <c r="FN51" i="13" s="1"/>
  <c r="FL51" i="13"/>
  <c r="FK51" i="13"/>
  <c r="FI51" i="13"/>
  <c r="FT51" i="13" s="1"/>
  <c r="FW50" i="13"/>
  <c r="FO50" i="13"/>
  <c r="FM50" i="13"/>
  <c r="FN50" i="13" s="1"/>
  <c r="FL50" i="13"/>
  <c r="FK50" i="13"/>
  <c r="FI50" i="13"/>
  <c r="FT50" i="13" s="1"/>
  <c r="FW47" i="13"/>
  <c r="FO47" i="13"/>
  <c r="FM47" i="13"/>
  <c r="FN47" i="13" s="1"/>
  <c r="FL47" i="13"/>
  <c r="FK47" i="13"/>
  <c r="FI47" i="13"/>
  <c r="FT47" i="13" s="1"/>
  <c r="FW46" i="13"/>
  <c r="FO46" i="13"/>
  <c r="FM46" i="13"/>
  <c r="FN46" i="13" s="1"/>
  <c r="FL46" i="13"/>
  <c r="FK46" i="13"/>
  <c r="FI46" i="13"/>
  <c r="FT46" i="13" s="1"/>
  <c r="FW45" i="13"/>
  <c r="FO45" i="13"/>
  <c r="FM45" i="13"/>
  <c r="FN45" i="13" s="1"/>
  <c r="FL45" i="13"/>
  <c r="FK45" i="13"/>
  <c r="FI45" i="13"/>
  <c r="FT45" i="13" s="1"/>
  <c r="FW44" i="13"/>
  <c r="FO44" i="13"/>
  <c r="FM44" i="13"/>
  <c r="FN44" i="13" s="1"/>
  <c r="FL44" i="13"/>
  <c r="FK44" i="13"/>
  <c r="FI44" i="13"/>
  <c r="FT44" i="13" s="1"/>
  <c r="FW43" i="13"/>
  <c r="FO43" i="13"/>
  <c r="FM43" i="13"/>
  <c r="FN43" i="13" s="1"/>
  <c r="FL43" i="13"/>
  <c r="FK43" i="13"/>
  <c r="FI43" i="13"/>
  <c r="FT43" i="13" s="1"/>
  <c r="FW42" i="13"/>
  <c r="FO42" i="13"/>
  <c r="FM42" i="13"/>
  <c r="FN42" i="13" s="1"/>
  <c r="FL42" i="13"/>
  <c r="FK42" i="13"/>
  <c r="FI42" i="13"/>
  <c r="FT42" i="13" s="1"/>
  <c r="FW39" i="13"/>
  <c r="FO39" i="13"/>
  <c r="FM39" i="13"/>
  <c r="FN39" i="13" s="1"/>
  <c r="FL39" i="13"/>
  <c r="FK39" i="13"/>
  <c r="FI39" i="13"/>
  <c r="FT39" i="13" s="1"/>
  <c r="FW38" i="13"/>
  <c r="FO38" i="13"/>
  <c r="FM38" i="13"/>
  <c r="FN38" i="13" s="1"/>
  <c r="FL38" i="13"/>
  <c r="FK38" i="13"/>
  <c r="FI38" i="13"/>
  <c r="FT38" i="13" s="1"/>
  <c r="FW37" i="13"/>
  <c r="FO37" i="13"/>
  <c r="FM37" i="13"/>
  <c r="FN37" i="13" s="1"/>
  <c r="FL37" i="13"/>
  <c r="FK37" i="13"/>
  <c r="FI37" i="13"/>
  <c r="FT37" i="13" s="1"/>
  <c r="FW36" i="13"/>
  <c r="FO36" i="13"/>
  <c r="FM36" i="13"/>
  <c r="FN36" i="13" s="1"/>
  <c r="FL36" i="13"/>
  <c r="FK36" i="13"/>
  <c r="FI36" i="13"/>
  <c r="FT36" i="13" s="1"/>
  <c r="FW33" i="13"/>
  <c r="FO33" i="13"/>
  <c r="FM33" i="13"/>
  <c r="FN33" i="13" s="1"/>
  <c r="FL33" i="13"/>
  <c r="FK33" i="13"/>
  <c r="FI33" i="13"/>
  <c r="FT33" i="13" s="1"/>
  <c r="FW32" i="13"/>
  <c r="FO32" i="13"/>
  <c r="FM32" i="13"/>
  <c r="FN32" i="13" s="1"/>
  <c r="FL32" i="13"/>
  <c r="FK32" i="13"/>
  <c r="FI32" i="13"/>
  <c r="FS32" i="13" s="1"/>
  <c r="FW31" i="13"/>
  <c r="FO31" i="13"/>
  <c r="FM31" i="13"/>
  <c r="FN31" i="13" s="1"/>
  <c r="FL31" i="13"/>
  <c r="FK31" i="13"/>
  <c r="FI31" i="13"/>
  <c r="FS31" i="13" s="1"/>
  <c r="FW30" i="13"/>
  <c r="FO30" i="13"/>
  <c r="FM30" i="13"/>
  <c r="FN30" i="13" s="1"/>
  <c r="FL30" i="13"/>
  <c r="FK30" i="13"/>
  <c r="FI30" i="13"/>
  <c r="FS30" i="13" s="1"/>
  <c r="FW29" i="13"/>
  <c r="FO29" i="13"/>
  <c r="FM29" i="13"/>
  <c r="FN29" i="13" s="1"/>
  <c r="FL29" i="13"/>
  <c r="FK29" i="13"/>
  <c r="FI29" i="13"/>
  <c r="FS29" i="13" s="1"/>
  <c r="FW28" i="13"/>
  <c r="FO28" i="13"/>
  <c r="FM28" i="13"/>
  <c r="FN28" i="13" s="1"/>
  <c r="FL28" i="13"/>
  <c r="FK28" i="13"/>
  <c r="FI28" i="13"/>
  <c r="FS28" i="13" s="1"/>
  <c r="FW27" i="13"/>
  <c r="FO27" i="13"/>
  <c r="FM27" i="13"/>
  <c r="FN27" i="13" s="1"/>
  <c r="FL27" i="13"/>
  <c r="FK27" i="13"/>
  <c r="FI27" i="13"/>
  <c r="FS27" i="13" s="1"/>
  <c r="FW24" i="13"/>
  <c r="FO24" i="13"/>
  <c r="FM24" i="13"/>
  <c r="FN24" i="13" s="1"/>
  <c r="FL24" i="13"/>
  <c r="FK24" i="13"/>
  <c r="FI24" i="13"/>
  <c r="FT24" i="13" s="1"/>
  <c r="FW23" i="13"/>
  <c r="FO23" i="13"/>
  <c r="FM23" i="13"/>
  <c r="FN23" i="13" s="1"/>
  <c r="FL23" i="13"/>
  <c r="FK23" i="13"/>
  <c r="FI23" i="13"/>
  <c r="FT23" i="13" s="1"/>
  <c r="FW22" i="13"/>
  <c r="FO22" i="13"/>
  <c r="FM22" i="13"/>
  <c r="FN22" i="13" s="1"/>
  <c r="FL22" i="13"/>
  <c r="FK22" i="13"/>
  <c r="FI22" i="13"/>
  <c r="FT22" i="13" s="1"/>
  <c r="FW21" i="13"/>
  <c r="FO21" i="13"/>
  <c r="FM21" i="13"/>
  <c r="FN21" i="13" s="1"/>
  <c r="FL21" i="13"/>
  <c r="FK21" i="13"/>
  <c r="FI21" i="13"/>
  <c r="FT21" i="13" s="1"/>
  <c r="FW18" i="13"/>
  <c r="FO18" i="13"/>
  <c r="FM18" i="13"/>
  <c r="FN18" i="13" s="1"/>
  <c r="FL18" i="13"/>
  <c r="FK18" i="13"/>
  <c r="FI18" i="13"/>
  <c r="FT18" i="13" s="1"/>
  <c r="FW17" i="13"/>
  <c r="FO17" i="13"/>
  <c r="FM17" i="13"/>
  <c r="FN17" i="13" s="1"/>
  <c r="FL17" i="13"/>
  <c r="FK17" i="13"/>
  <c r="FI17" i="13"/>
  <c r="FT17" i="13" s="1"/>
  <c r="FW16" i="13"/>
  <c r="FO16" i="13"/>
  <c r="FM16" i="13"/>
  <c r="FN16" i="13" s="1"/>
  <c r="FL16" i="13"/>
  <c r="FK16" i="13"/>
  <c r="FI16" i="13"/>
  <c r="FT16" i="13" s="1"/>
  <c r="FW15" i="13"/>
  <c r="FO15" i="13"/>
  <c r="FM15" i="13"/>
  <c r="FN15" i="13" s="1"/>
  <c r="FL15" i="13"/>
  <c r="FK15" i="13"/>
  <c r="FI15" i="13"/>
  <c r="FT15" i="13" s="1"/>
  <c r="FW14" i="13"/>
  <c r="FO14" i="13"/>
  <c r="FM14" i="13"/>
  <c r="FN14" i="13" s="1"/>
  <c r="FL14" i="13"/>
  <c r="FK14" i="13"/>
  <c r="FI14" i="13"/>
  <c r="FT14" i="13" s="1"/>
  <c r="FW13" i="13"/>
  <c r="FO13" i="13"/>
  <c r="FM13" i="13"/>
  <c r="FN13" i="13" s="1"/>
  <c r="FL13" i="13"/>
  <c r="FK13" i="13"/>
  <c r="FI13" i="13"/>
  <c r="FT13" i="13" s="1"/>
  <c r="FW10" i="13"/>
  <c r="FO10" i="13"/>
  <c r="FM10" i="13"/>
  <c r="FN10" i="13" s="1"/>
  <c r="FL10" i="13"/>
  <c r="FL55" i="13" s="1"/>
  <c r="FK10" i="13"/>
  <c r="FI10" i="13"/>
  <c r="FT10" i="13" s="1"/>
  <c r="FW9" i="13"/>
  <c r="FO9" i="13"/>
  <c r="FM9" i="13"/>
  <c r="FN9" i="13" s="1"/>
  <c r="FL9" i="13"/>
  <c r="FL54" i="13" s="1"/>
  <c r="FK9" i="13"/>
  <c r="FI9" i="13"/>
  <c r="FT9" i="13" s="1"/>
  <c r="FW8" i="13"/>
  <c r="FO8" i="13"/>
  <c r="FM8" i="13"/>
  <c r="FN8" i="13" s="1"/>
  <c r="FL8" i="13"/>
  <c r="FL53" i="13" s="1"/>
  <c r="FK8" i="13"/>
  <c r="FI8" i="13"/>
  <c r="FT8" i="13" s="1"/>
  <c r="FE164" i="13"/>
  <c r="EW164" i="13"/>
  <c r="EU164" i="13"/>
  <c r="EV164" i="13" s="1"/>
  <c r="ET164" i="13"/>
  <c r="ES164" i="13"/>
  <c r="EQ164" i="13"/>
  <c r="FA164" i="13" s="1"/>
  <c r="FE163" i="13"/>
  <c r="EW163" i="13"/>
  <c r="EU163" i="13"/>
  <c r="EV163" i="13" s="1"/>
  <c r="ET163" i="13"/>
  <c r="ES163" i="13"/>
  <c r="EQ163" i="13"/>
  <c r="FB163" i="13" s="1"/>
  <c r="FE162" i="13"/>
  <c r="EW162" i="13"/>
  <c r="EU162" i="13"/>
  <c r="EV162" i="13" s="1"/>
  <c r="ET162" i="13"/>
  <c r="ES162" i="13"/>
  <c r="EQ162" i="13"/>
  <c r="FB162" i="13" s="1"/>
  <c r="FE161" i="13"/>
  <c r="EW161" i="13"/>
  <c r="EU161" i="13"/>
  <c r="EV161" i="13" s="1"/>
  <c r="ET161" i="13"/>
  <c r="ES161" i="13"/>
  <c r="EQ161" i="13"/>
  <c r="FB161" i="13" s="1"/>
  <c r="FE160" i="13"/>
  <c r="EW160" i="13"/>
  <c r="EU160" i="13"/>
  <c r="EV160" i="13" s="1"/>
  <c r="ET160" i="13"/>
  <c r="ES160" i="13"/>
  <c r="EQ160" i="13"/>
  <c r="FB160" i="13" s="1"/>
  <c r="FE159" i="13"/>
  <c r="EW159" i="13"/>
  <c r="EU159" i="13"/>
  <c r="EV159" i="13" s="1"/>
  <c r="ET159" i="13"/>
  <c r="ES159" i="13"/>
  <c r="EQ159" i="13"/>
  <c r="FB159" i="13" s="1"/>
  <c r="FE158" i="13"/>
  <c r="EW158" i="13"/>
  <c r="EU158" i="13"/>
  <c r="EV158" i="13" s="1"/>
  <c r="ET158" i="13"/>
  <c r="ES158" i="13"/>
  <c r="EQ158" i="13"/>
  <c r="FB158" i="13" s="1"/>
  <c r="FE157" i="13"/>
  <c r="EW157" i="13"/>
  <c r="EU157" i="13"/>
  <c r="EV157" i="13" s="1"/>
  <c r="ET157" i="13"/>
  <c r="ES157" i="13"/>
  <c r="EQ157" i="13"/>
  <c r="FB157" i="13" s="1"/>
  <c r="FE154" i="13"/>
  <c r="EW154" i="13"/>
  <c r="EU154" i="13"/>
  <c r="EV154" i="13" s="1"/>
  <c r="ET154" i="13"/>
  <c r="ES154" i="13"/>
  <c r="EQ154" i="13"/>
  <c r="FB154" i="13" s="1"/>
  <c r="FE153" i="13"/>
  <c r="EW153" i="13"/>
  <c r="EU153" i="13"/>
  <c r="EV153" i="13" s="1"/>
  <c r="ET153" i="13"/>
  <c r="ES153" i="13"/>
  <c r="EQ153" i="13"/>
  <c r="FB153" i="13" s="1"/>
  <c r="FE152" i="13"/>
  <c r="EW152" i="13"/>
  <c r="EU152" i="13"/>
  <c r="EV152" i="13" s="1"/>
  <c r="ET152" i="13"/>
  <c r="ES152" i="13"/>
  <c r="EQ152" i="13"/>
  <c r="FB152" i="13" s="1"/>
  <c r="FE149" i="13"/>
  <c r="EW149" i="13"/>
  <c r="EU149" i="13"/>
  <c r="EV149" i="13" s="1"/>
  <c r="ET149" i="13"/>
  <c r="ES149" i="13"/>
  <c r="EQ149" i="13"/>
  <c r="FB149" i="13" s="1"/>
  <c r="FE148" i="13"/>
  <c r="EW148" i="13"/>
  <c r="EU148" i="13"/>
  <c r="EV148" i="13" s="1"/>
  <c r="ET148" i="13"/>
  <c r="ES148" i="13"/>
  <c r="EQ148" i="13"/>
  <c r="FB148" i="13" s="1"/>
  <c r="FE147" i="13"/>
  <c r="EW147" i="13"/>
  <c r="EU147" i="13"/>
  <c r="EV147" i="13" s="1"/>
  <c r="ET147" i="13"/>
  <c r="ES147" i="13"/>
  <c r="EQ147" i="13"/>
  <c r="FB147" i="13" s="1"/>
  <c r="FE144" i="13"/>
  <c r="EW144" i="13"/>
  <c r="EU144" i="13"/>
  <c r="EV144" i="13" s="1"/>
  <c r="ET144" i="13"/>
  <c r="ES144" i="13"/>
  <c r="EQ144" i="13"/>
  <c r="FB144" i="13" s="1"/>
  <c r="FE143" i="13"/>
  <c r="EW143" i="13"/>
  <c r="EU143" i="13"/>
  <c r="EV143" i="13" s="1"/>
  <c r="ET143" i="13"/>
  <c r="ES143" i="13"/>
  <c r="EQ143" i="13"/>
  <c r="FB143" i="13" s="1"/>
  <c r="FE142" i="13"/>
  <c r="EW142" i="13"/>
  <c r="EU142" i="13"/>
  <c r="EV142" i="13" s="1"/>
  <c r="ET142" i="13"/>
  <c r="ES142" i="13"/>
  <c r="EQ142" i="13"/>
  <c r="FB142" i="13" s="1"/>
  <c r="FE139" i="13"/>
  <c r="EW139" i="13"/>
  <c r="EU139" i="13"/>
  <c r="EV139" i="13" s="1"/>
  <c r="ET139" i="13"/>
  <c r="ES139" i="13"/>
  <c r="EQ139" i="13"/>
  <c r="FB139" i="13" s="1"/>
  <c r="FE138" i="13"/>
  <c r="EW138" i="13"/>
  <c r="EU138" i="13"/>
  <c r="EV138" i="13" s="1"/>
  <c r="ET138" i="13"/>
  <c r="ES138" i="13"/>
  <c r="EQ138" i="13"/>
  <c r="FB138" i="13" s="1"/>
  <c r="FE137" i="13"/>
  <c r="EW137" i="13"/>
  <c r="EU137" i="13"/>
  <c r="EV137" i="13" s="1"/>
  <c r="ET137" i="13"/>
  <c r="ES137" i="13"/>
  <c r="EQ137" i="13"/>
  <c r="FB137" i="13" s="1"/>
  <c r="FE134" i="13"/>
  <c r="EW134" i="13"/>
  <c r="EU134" i="13"/>
  <c r="EV134" i="13" s="1"/>
  <c r="ET134" i="13"/>
  <c r="ES134" i="13"/>
  <c r="EQ134" i="13"/>
  <c r="FA134" i="13" s="1"/>
  <c r="FE133" i="13"/>
  <c r="EW133" i="13"/>
  <c r="EU133" i="13"/>
  <c r="EV133" i="13" s="1"/>
  <c r="ET133" i="13"/>
  <c r="ES133" i="13"/>
  <c r="EQ133" i="13"/>
  <c r="FA133" i="13" s="1"/>
  <c r="FE132" i="13"/>
  <c r="EW132" i="13"/>
  <c r="EU132" i="13"/>
  <c r="EV132" i="13" s="1"/>
  <c r="ET132" i="13"/>
  <c r="ES132" i="13"/>
  <c r="EQ132" i="13"/>
  <c r="FA132" i="13" s="1"/>
  <c r="FE129" i="13"/>
  <c r="EW129" i="13"/>
  <c r="EU129" i="13"/>
  <c r="EV129" i="13" s="1"/>
  <c r="ET129" i="13"/>
  <c r="ES129" i="13"/>
  <c r="EQ129" i="13"/>
  <c r="FB129" i="13" s="1"/>
  <c r="FE128" i="13"/>
  <c r="EW128" i="13"/>
  <c r="EU128" i="13"/>
  <c r="EV128" i="13" s="1"/>
  <c r="ET128" i="13"/>
  <c r="ES128" i="13"/>
  <c r="EQ128" i="13"/>
  <c r="FB128" i="13" s="1"/>
  <c r="FE127" i="13"/>
  <c r="EW127" i="13"/>
  <c r="EU127" i="13"/>
  <c r="EV127" i="13" s="1"/>
  <c r="ET127" i="13"/>
  <c r="ES127" i="13"/>
  <c r="EQ127" i="13"/>
  <c r="FB127" i="13" s="1"/>
  <c r="FE126" i="13"/>
  <c r="EW126" i="13"/>
  <c r="EU126" i="13"/>
  <c r="EV126" i="13" s="1"/>
  <c r="ET126" i="13"/>
  <c r="ES126" i="13"/>
  <c r="EQ126" i="13"/>
  <c r="FB126" i="13" s="1"/>
  <c r="FE125" i="13"/>
  <c r="EW125" i="13"/>
  <c r="EU125" i="13"/>
  <c r="EV125" i="13" s="1"/>
  <c r="ET125" i="13"/>
  <c r="ES125" i="13"/>
  <c r="EQ125" i="13"/>
  <c r="FA125" i="13" s="1"/>
  <c r="FE122" i="13"/>
  <c r="EW122" i="13"/>
  <c r="EU122" i="13"/>
  <c r="EV122" i="13" s="1"/>
  <c r="ET122" i="13"/>
  <c r="ES122" i="13"/>
  <c r="EQ122" i="13"/>
  <c r="FB122" i="13" s="1"/>
  <c r="FE121" i="13"/>
  <c r="EW121" i="13"/>
  <c r="EU121" i="13"/>
  <c r="EV121" i="13" s="1"/>
  <c r="ET121" i="13"/>
  <c r="ES121" i="13"/>
  <c r="EQ121" i="13"/>
  <c r="FB121" i="13" s="1"/>
  <c r="FE120" i="13"/>
  <c r="EW120" i="13"/>
  <c r="EU120" i="13"/>
  <c r="EV120" i="13" s="1"/>
  <c r="ET120" i="13"/>
  <c r="ES120" i="13"/>
  <c r="EQ120" i="13"/>
  <c r="FB120" i="13" s="1"/>
  <c r="FE119" i="13"/>
  <c r="EW119" i="13"/>
  <c r="EU119" i="13"/>
  <c r="EV119" i="13" s="1"/>
  <c r="ET119" i="13"/>
  <c r="ES119" i="13"/>
  <c r="EQ119" i="13"/>
  <c r="FB119" i="13" s="1"/>
  <c r="FE116" i="13"/>
  <c r="EW116" i="13"/>
  <c r="EU116" i="13"/>
  <c r="EV116" i="13" s="1"/>
  <c r="ET116" i="13"/>
  <c r="ES116" i="13"/>
  <c r="EQ116" i="13"/>
  <c r="FA116" i="13" s="1"/>
  <c r="FE115" i="13"/>
  <c r="EW115" i="13"/>
  <c r="EU115" i="13"/>
  <c r="EV115" i="13" s="1"/>
  <c r="ET115" i="13"/>
  <c r="ES115" i="13"/>
  <c r="EQ115" i="13"/>
  <c r="FA115" i="13" s="1"/>
  <c r="FE114" i="13"/>
  <c r="EW114" i="13"/>
  <c r="FE111" i="13"/>
  <c r="EW111" i="13"/>
  <c r="EU111" i="13"/>
  <c r="EV111" i="13" s="1"/>
  <c r="ET111" i="13"/>
  <c r="ES111" i="13"/>
  <c r="EQ111" i="13"/>
  <c r="FA111" i="13" s="1"/>
  <c r="FE110" i="13"/>
  <c r="EW110" i="13"/>
  <c r="EU110" i="13"/>
  <c r="EV110" i="13" s="1"/>
  <c r="ET110" i="13"/>
  <c r="ES110" i="13"/>
  <c r="EQ110" i="13"/>
  <c r="FA110" i="13" s="1"/>
  <c r="FE109" i="13"/>
  <c r="EW109" i="13"/>
  <c r="EU109" i="13"/>
  <c r="EV109" i="13" s="1"/>
  <c r="ET109" i="13"/>
  <c r="ES109" i="13"/>
  <c r="EQ109" i="13"/>
  <c r="FA109" i="13" s="1"/>
  <c r="FE106" i="13"/>
  <c r="EW106" i="13"/>
  <c r="EU106" i="13"/>
  <c r="EV106" i="13" s="1"/>
  <c r="ET106" i="13"/>
  <c r="ES106" i="13"/>
  <c r="EQ106" i="13"/>
  <c r="FB106" i="13" s="1"/>
  <c r="FE105" i="13"/>
  <c r="EW105" i="13"/>
  <c r="EU105" i="13"/>
  <c r="EV105" i="13" s="1"/>
  <c r="ET105" i="13"/>
  <c r="ES105" i="13"/>
  <c r="EQ105" i="13"/>
  <c r="FB105" i="13" s="1"/>
  <c r="FE104" i="13"/>
  <c r="EW104" i="13"/>
  <c r="EU104" i="13"/>
  <c r="EV104" i="13" s="1"/>
  <c r="ET104" i="13"/>
  <c r="ES104" i="13"/>
  <c r="EQ104" i="13"/>
  <c r="FB104" i="13" s="1"/>
  <c r="FE101" i="13"/>
  <c r="EW101" i="13"/>
  <c r="EU101" i="13"/>
  <c r="EV101" i="13" s="1"/>
  <c r="ET101" i="13"/>
  <c r="ES101" i="13"/>
  <c r="EQ101" i="13"/>
  <c r="FA101" i="13" s="1"/>
  <c r="FE100" i="13"/>
  <c r="EW100" i="13"/>
  <c r="EU100" i="13"/>
  <c r="EV100" i="13" s="1"/>
  <c r="ET100" i="13"/>
  <c r="ES100" i="13"/>
  <c r="EQ100" i="13"/>
  <c r="FA100" i="13" s="1"/>
  <c r="FE99" i="13"/>
  <c r="EW99" i="13"/>
  <c r="EU99" i="13"/>
  <c r="EV99" i="13" s="1"/>
  <c r="ET99" i="13"/>
  <c r="ES99" i="13"/>
  <c r="EQ99" i="13"/>
  <c r="FA99" i="13" s="1"/>
  <c r="FE96" i="13"/>
  <c r="EW96" i="13"/>
  <c r="EU96" i="13"/>
  <c r="EV96" i="13" s="1"/>
  <c r="ET96" i="13"/>
  <c r="ES96" i="13"/>
  <c r="EQ96" i="13"/>
  <c r="FB96" i="13" s="1"/>
  <c r="FE95" i="13"/>
  <c r="EW95" i="13"/>
  <c r="EU95" i="13"/>
  <c r="EV95" i="13" s="1"/>
  <c r="ET95" i="13"/>
  <c r="ES95" i="13"/>
  <c r="EQ95" i="13"/>
  <c r="FB95" i="13" s="1"/>
  <c r="FE94" i="13"/>
  <c r="EW94" i="13"/>
  <c r="EU94" i="13"/>
  <c r="EV94" i="13" s="1"/>
  <c r="ET94" i="13"/>
  <c r="ES94" i="13"/>
  <c r="EQ94" i="13"/>
  <c r="FB94" i="13" s="1"/>
  <c r="FE91" i="13"/>
  <c r="EW91" i="13"/>
  <c r="EU91" i="13"/>
  <c r="EV91" i="13" s="1"/>
  <c r="ET91" i="13"/>
  <c r="ES91" i="13"/>
  <c r="EQ91" i="13"/>
  <c r="FA91" i="13" s="1"/>
  <c r="FE90" i="13"/>
  <c r="EW90" i="13"/>
  <c r="EU90" i="13"/>
  <c r="EV90" i="13" s="1"/>
  <c r="ET90" i="13"/>
  <c r="ES90" i="13"/>
  <c r="EQ90" i="13"/>
  <c r="FB90" i="13" s="1"/>
  <c r="FE89" i="13"/>
  <c r="EW89" i="13"/>
  <c r="EU89" i="13"/>
  <c r="EV89" i="13" s="1"/>
  <c r="ET89" i="13"/>
  <c r="ES89" i="13"/>
  <c r="EQ89" i="13"/>
  <c r="FB89" i="13" s="1"/>
  <c r="FE86" i="13"/>
  <c r="EW86" i="13"/>
  <c r="EU86" i="13"/>
  <c r="EV86" i="13" s="1"/>
  <c r="ET86" i="13"/>
  <c r="ES86" i="13"/>
  <c r="EQ86" i="13"/>
  <c r="FB86" i="13" s="1"/>
  <c r="FE85" i="13"/>
  <c r="EW85" i="13"/>
  <c r="EU85" i="13"/>
  <c r="EV85" i="13" s="1"/>
  <c r="ET85" i="13"/>
  <c r="ES85" i="13"/>
  <c r="EQ85" i="13"/>
  <c r="FB85" i="13" s="1"/>
  <c r="FE84" i="13"/>
  <c r="EW84" i="13"/>
  <c r="EU84" i="13"/>
  <c r="EV84" i="13" s="1"/>
  <c r="ET84" i="13"/>
  <c r="ES84" i="13"/>
  <c r="EQ84" i="13"/>
  <c r="FB84" i="13" s="1"/>
  <c r="FE81" i="13"/>
  <c r="EW81" i="13"/>
  <c r="EU81" i="13"/>
  <c r="EV81" i="13" s="1"/>
  <c r="ET81" i="13"/>
  <c r="ES81" i="13"/>
  <c r="EQ81" i="13"/>
  <c r="FB81" i="13" s="1"/>
  <c r="FE80" i="13"/>
  <c r="EW80" i="13"/>
  <c r="EU80" i="13"/>
  <c r="EV80" i="13" s="1"/>
  <c r="ET80" i="13"/>
  <c r="ES80" i="13"/>
  <c r="EQ80" i="13"/>
  <c r="FB80" i="13" s="1"/>
  <c r="FE79" i="13"/>
  <c r="EW79" i="13"/>
  <c r="EU79" i="13"/>
  <c r="EV79" i="13" s="1"/>
  <c r="ET79" i="13"/>
  <c r="ES79" i="13"/>
  <c r="EQ79" i="13"/>
  <c r="FB79" i="13" s="1"/>
  <c r="FE76" i="13"/>
  <c r="EW76" i="13"/>
  <c r="EU76" i="13"/>
  <c r="EV76" i="13" s="1"/>
  <c r="ET76" i="13"/>
  <c r="ES76" i="13"/>
  <c r="EQ76" i="13"/>
  <c r="FB76" i="13" s="1"/>
  <c r="FE75" i="13"/>
  <c r="EW75" i="13"/>
  <c r="EU75" i="13"/>
  <c r="EV75" i="13" s="1"/>
  <c r="ET75" i="13"/>
  <c r="ES75" i="13"/>
  <c r="EQ75" i="13"/>
  <c r="FB75" i="13" s="1"/>
  <c r="FE74" i="13"/>
  <c r="EW74" i="13"/>
  <c r="EU74" i="13"/>
  <c r="EV74" i="13" s="1"/>
  <c r="ET74" i="13"/>
  <c r="ES74" i="13"/>
  <c r="EQ74" i="13"/>
  <c r="FB74" i="13" s="1"/>
  <c r="FE71" i="13"/>
  <c r="EW71" i="13"/>
  <c r="EU71" i="13"/>
  <c r="EV71" i="13" s="1"/>
  <c r="ET71" i="13"/>
  <c r="ES71" i="13"/>
  <c r="EQ71" i="13"/>
  <c r="FB71" i="13" s="1"/>
  <c r="FE70" i="13"/>
  <c r="EW70" i="13"/>
  <c r="EU70" i="13"/>
  <c r="EV70" i="13" s="1"/>
  <c r="ET70" i="13"/>
  <c r="ES70" i="13"/>
  <c r="EQ70" i="13"/>
  <c r="FB70" i="13" s="1"/>
  <c r="FE69" i="13"/>
  <c r="EW69" i="13"/>
  <c r="EU69" i="13"/>
  <c r="EV69" i="13" s="1"/>
  <c r="ET69" i="13"/>
  <c r="ES69" i="13"/>
  <c r="EQ69" i="13"/>
  <c r="FB69" i="13" s="1"/>
  <c r="FE66" i="13"/>
  <c r="EW66" i="13"/>
  <c r="EU66" i="13"/>
  <c r="EV66" i="13" s="1"/>
  <c r="ET66" i="13"/>
  <c r="ES66" i="13"/>
  <c r="EQ66" i="13"/>
  <c r="FB66" i="13" s="1"/>
  <c r="FE65" i="13"/>
  <c r="EW65" i="13"/>
  <c r="EU65" i="13"/>
  <c r="EV65" i="13" s="1"/>
  <c r="ET65" i="13"/>
  <c r="ES65" i="13"/>
  <c r="EQ65" i="13"/>
  <c r="FB65" i="13" s="1"/>
  <c r="FE64" i="13"/>
  <c r="EW64" i="13"/>
  <c r="EU64" i="13"/>
  <c r="EV64" i="13" s="1"/>
  <c r="ET64" i="13"/>
  <c r="ES64" i="13"/>
  <c r="EQ64" i="13"/>
  <c r="FB64" i="13" s="1"/>
  <c r="FE61" i="13"/>
  <c r="EW61" i="13"/>
  <c r="EU61" i="13"/>
  <c r="EV61" i="13" s="1"/>
  <c r="ET61" i="13"/>
  <c r="ES61" i="13"/>
  <c r="EQ61" i="13"/>
  <c r="FB61" i="13" s="1"/>
  <c r="FE60" i="13"/>
  <c r="EW60" i="13"/>
  <c r="EU60" i="13"/>
  <c r="EV60" i="13" s="1"/>
  <c r="ET60" i="13"/>
  <c r="ES60" i="13"/>
  <c r="EQ60" i="13"/>
  <c r="FB60" i="13" s="1"/>
  <c r="FE59" i="13"/>
  <c r="EW59" i="13"/>
  <c r="EU59" i="13"/>
  <c r="EV59" i="13" s="1"/>
  <c r="ET59" i="13"/>
  <c r="ES59" i="13"/>
  <c r="EQ59" i="13"/>
  <c r="FB59" i="13" s="1"/>
  <c r="FE58" i="13"/>
  <c r="EW58" i="13"/>
  <c r="EU58" i="13"/>
  <c r="EV58" i="13" s="1"/>
  <c r="ET58" i="13"/>
  <c r="ES58" i="13"/>
  <c r="EQ58" i="13"/>
  <c r="FB58" i="13" s="1"/>
  <c r="FE55" i="13"/>
  <c r="EW55" i="13"/>
  <c r="EU55" i="13"/>
  <c r="EV55" i="13" s="1"/>
  <c r="ES55" i="13"/>
  <c r="EQ55" i="13"/>
  <c r="FB55" i="13" s="1"/>
  <c r="FE54" i="13"/>
  <c r="EW54" i="13"/>
  <c r="EU54" i="13"/>
  <c r="EV54" i="13" s="1"/>
  <c r="ES54" i="13"/>
  <c r="EQ54" i="13"/>
  <c r="FB54" i="13" s="1"/>
  <c r="FE53" i="13"/>
  <c r="EW53" i="13"/>
  <c r="EU53" i="13"/>
  <c r="EV53" i="13" s="1"/>
  <c r="ES53" i="13"/>
  <c r="EQ53" i="13"/>
  <c r="FB53" i="13" s="1"/>
  <c r="FE52" i="13"/>
  <c r="EW52" i="13"/>
  <c r="EU52" i="13"/>
  <c r="EV52" i="13" s="1"/>
  <c r="ET52" i="13"/>
  <c r="ES52" i="13"/>
  <c r="EQ52" i="13"/>
  <c r="FB52" i="13" s="1"/>
  <c r="FE51" i="13"/>
  <c r="EW51" i="13"/>
  <c r="EU51" i="13"/>
  <c r="EV51" i="13" s="1"/>
  <c r="ET51" i="13"/>
  <c r="ES51" i="13"/>
  <c r="EQ51" i="13"/>
  <c r="FB51" i="13" s="1"/>
  <c r="FE50" i="13"/>
  <c r="EW50" i="13"/>
  <c r="EU50" i="13"/>
  <c r="EV50" i="13" s="1"/>
  <c r="ET50" i="13"/>
  <c r="ES50" i="13"/>
  <c r="EQ50" i="13"/>
  <c r="FB50" i="13" s="1"/>
  <c r="FE47" i="13"/>
  <c r="EW47" i="13"/>
  <c r="EU47" i="13"/>
  <c r="EV47" i="13" s="1"/>
  <c r="ET47" i="13"/>
  <c r="ES47" i="13"/>
  <c r="EQ47" i="13"/>
  <c r="FB47" i="13" s="1"/>
  <c r="FE46" i="13"/>
  <c r="EW46" i="13"/>
  <c r="EU46" i="13"/>
  <c r="EV46" i="13" s="1"/>
  <c r="ET46" i="13"/>
  <c r="ES46" i="13"/>
  <c r="EQ46" i="13"/>
  <c r="FB46" i="13" s="1"/>
  <c r="FE45" i="13"/>
  <c r="EW45" i="13"/>
  <c r="EU45" i="13"/>
  <c r="EV45" i="13" s="1"/>
  <c r="ET45" i="13"/>
  <c r="ES45" i="13"/>
  <c r="EQ45" i="13"/>
  <c r="FB45" i="13" s="1"/>
  <c r="FE44" i="13"/>
  <c r="EW44" i="13"/>
  <c r="EU44" i="13"/>
  <c r="EV44" i="13" s="1"/>
  <c r="ET44" i="13"/>
  <c r="ES44" i="13"/>
  <c r="EQ44" i="13"/>
  <c r="FB44" i="13" s="1"/>
  <c r="FE43" i="13"/>
  <c r="EW43" i="13"/>
  <c r="EU43" i="13"/>
  <c r="EV43" i="13" s="1"/>
  <c r="ET43" i="13"/>
  <c r="ES43" i="13"/>
  <c r="EQ43" i="13"/>
  <c r="FB43" i="13" s="1"/>
  <c r="FE42" i="13"/>
  <c r="EW42" i="13"/>
  <c r="EU42" i="13"/>
  <c r="EV42" i="13" s="1"/>
  <c r="ET42" i="13"/>
  <c r="ES42" i="13"/>
  <c r="EQ42" i="13"/>
  <c r="FB42" i="13" s="1"/>
  <c r="FE39" i="13"/>
  <c r="EW39" i="13"/>
  <c r="EU39" i="13"/>
  <c r="EV39" i="13" s="1"/>
  <c r="ET39" i="13"/>
  <c r="ES39" i="13"/>
  <c r="EQ39" i="13"/>
  <c r="FB39" i="13" s="1"/>
  <c r="FE38" i="13"/>
  <c r="EW38" i="13"/>
  <c r="EU38" i="13"/>
  <c r="EV38" i="13" s="1"/>
  <c r="ET38" i="13"/>
  <c r="ES38" i="13"/>
  <c r="EQ38" i="13"/>
  <c r="FB38" i="13" s="1"/>
  <c r="FE37" i="13"/>
  <c r="EW37" i="13"/>
  <c r="EU37" i="13"/>
  <c r="EV37" i="13" s="1"/>
  <c r="ET37" i="13"/>
  <c r="ES37" i="13"/>
  <c r="EQ37" i="13"/>
  <c r="FB37" i="13" s="1"/>
  <c r="FE36" i="13"/>
  <c r="EW36" i="13"/>
  <c r="EU36" i="13"/>
  <c r="EV36" i="13" s="1"/>
  <c r="ET36" i="13"/>
  <c r="ES36" i="13"/>
  <c r="EQ36" i="13"/>
  <c r="FB36" i="13" s="1"/>
  <c r="FE33" i="13"/>
  <c r="EW33" i="13"/>
  <c r="EU33" i="13"/>
  <c r="EV33" i="13" s="1"/>
  <c r="ET33" i="13"/>
  <c r="ES33" i="13"/>
  <c r="EQ33" i="13"/>
  <c r="FE32" i="13"/>
  <c r="EW32" i="13"/>
  <c r="EU32" i="13"/>
  <c r="EV32" i="13" s="1"/>
  <c r="ET32" i="13"/>
  <c r="ES32" i="13"/>
  <c r="EQ32" i="13"/>
  <c r="FB32" i="13" s="1"/>
  <c r="FE31" i="13"/>
  <c r="EW31" i="13"/>
  <c r="EU31" i="13"/>
  <c r="EV31" i="13" s="1"/>
  <c r="ET31" i="13"/>
  <c r="ES31" i="13"/>
  <c r="EQ31" i="13"/>
  <c r="FE30" i="13"/>
  <c r="EW30" i="13"/>
  <c r="EU30" i="13"/>
  <c r="EV30" i="13" s="1"/>
  <c r="ET30" i="13"/>
  <c r="ES30" i="13"/>
  <c r="EQ30" i="13"/>
  <c r="FB30" i="13" s="1"/>
  <c r="FE29" i="13"/>
  <c r="EW29" i="13"/>
  <c r="EU29" i="13"/>
  <c r="EV29" i="13" s="1"/>
  <c r="ET29" i="13"/>
  <c r="ES29" i="13"/>
  <c r="EQ29" i="13"/>
  <c r="FE28" i="13"/>
  <c r="EW28" i="13"/>
  <c r="EU28" i="13"/>
  <c r="EV28" i="13" s="1"/>
  <c r="ET28" i="13"/>
  <c r="ES28" i="13"/>
  <c r="EQ28" i="13"/>
  <c r="FB28" i="13" s="1"/>
  <c r="FE27" i="13"/>
  <c r="EW27" i="13"/>
  <c r="EU27" i="13"/>
  <c r="EV27" i="13" s="1"/>
  <c r="ET27" i="13"/>
  <c r="ES27" i="13"/>
  <c r="EQ27" i="13"/>
  <c r="FE24" i="13"/>
  <c r="EW24" i="13"/>
  <c r="EU24" i="13"/>
  <c r="EV24" i="13" s="1"/>
  <c r="ET24" i="13"/>
  <c r="ES24" i="13"/>
  <c r="EQ24" i="13"/>
  <c r="FA24" i="13" s="1"/>
  <c r="FE23" i="13"/>
  <c r="EW23" i="13"/>
  <c r="EU23" i="13"/>
  <c r="EV23" i="13" s="1"/>
  <c r="ET23" i="13"/>
  <c r="ES23" i="13"/>
  <c r="EQ23" i="13"/>
  <c r="FE22" i="13"/>
  <c r="EW22" i="13"/>
  <c r="EU22" i="13"/>
  <c r="EV22" i="13" s="1"/>
  <c r="ET22" i="13"/>
  <c r="ES22" i="13"/>
  <c r="EQ22" i="13"/>
  <c r="FA22" i="13" s="1"/>
  <c r="FE21" i="13"/>
  <c r="EW21" i="13"/>
  <c r="EU21" i="13"/>
  <c r="EV21" i="13" s="1"/>
  <c r="ET21" i="13"/>
  <c r="ES21" i="13"/>
  <c r="EQ21" i="13"/>
  <c r="FA21" i="13" s="1"/>
  <c r="FE18" i="13"/>
  <c r="EW18" i="13"/>
  <c r="EU18" i="13"/>
  <c r="EV18" i="13" s="1"/>
  <c r="ET18" i="13"/>
  <c r="ES18" i="13"/>
  <c r="EQ18" i="13"/>
  <c r="FB18" i="13" s="1"/>
  <c r="FE17" i="13"/>
  <c r="EW17" i="13"/>
  <c r="EU17" i="13"/>
  <c r="EV17" i="13" s="1"/>
  <c r="ET17" i="13"/>
  <c r="ES17" i="13"/>
  <c r="EQ17" i="13"/>
  <c r="FB17" i="13" s="1"/>
  <c r="FE16" i="13"/>
  <c r="EW16" i="13"/>
  <c r="EU16" i="13"/>
  <c r="EV16" i="13" s="1"/>
  <c r="ET16" i="13"/>
  <c r="ES16" i="13"/>
  <c r="EQ16" i="13"/>
  <c r="FB16" i="13" s="1"/>
  <c r="FE15" i="13"/>
  <c r="EW15" i="13"/>
  <c r="EU15" i="13"/>
  <c r="EV15" i="13" s="1"/>
  <c r="ET15" i="13"/>
  <c r="ES15" i="13"/>
  <c r="EQ15" i="13"/>
  <c r="FB15" i="13" s="1"/>
  <c r="FE14" i="13"/>
  <c r="EW14" i="13"/>
  <c r="EU14" i="13"/>
  <c r="EV14" i="13" s="1"/>
  <c r="ET14" i="13"/>
  <c r="ES14" i="13"/>
  <c r="EQ14" i="13"/>
  <c r="FB14" i="13" s="1"/>
  <c r="FE13" i="13"/>
  <c r="EW13" i="13"/>
  <c r="EU13" i="13"/>
  <c r="EV13" i="13" s="1"/>
  <c r="ET13" i="13"/>
  <c r="ES13" i="13"/>
  <c r="EQ13" i="13"/>
  <c r="FB13" i="13" s="1"/>
  <c r="FE10" i="13"/>
  <c r="EW10" i="13"/>
  <c r="EU10" i="13"/>
  <c r="EV10" i="13" s="1"/>
  <c r="ET10" i="13"/>
  <c r="ET55" i="13" s="1"/>
  <c r="EX55" i="13" s="1"/>
  <c r="ES10" i="13"/>
  <c r="EQ10" i="13"/>
  <c r="FA10" i="13" s="1"/>
  <c r="FE9" i="13"/>
  <c r="EW9" i="13"/>
  <c r="EU9" i="13"/>
  <c r="EV9" i="13" s="1"/>
  <c r="ET9" i="13"/>
  <c r="ET54" i="13" s="1"/>
  <c r="ES9" i="13"/>
  <c r="EQ9" i="13"/>
  <c r="FA9" i="13" s="1"/>
  <c r="FE8" i="13"/>
  <c r="EW8" i="13"/>
  <c r="EU8" i="13"/>
  <c r="EV8" i="13" s="1"/>
  <c r="ET8" i="13"/>
  <c r="ET53" i="13" s="1"/>
  <c r="EX53" i="13" s="1"/>
  <c r="ES8" i="13"/>
  <c r="EQ8" i="13"/>
  <c r="FA8" i="13" s="1"/>
  <c r="EM164" i="13"/>
  <c r="EE164" i="13"/>
  <c r="EC164" i="13"/>
  <c r="ED164" i="13" s="1"/>
  <c r="EB164" i="13"/>
  <c r="EA164" i="13"/>
  <c r="DY164" i="13"/>
  <c r="EI164" i="13" s="1"/>
  <c r="EM163" i="13"/>
  <c r="EE163" i="13"/>
  <c r="EC163" i="13"/>
  <c r="ED163" i="13" s="1"/>
  <c r="EB163" i="13"/>
  <c r="EA163" i="13"/>
  <c r="DY163" i="13"/>
  <c r="EI163" i="13" s="1"/>
  <c r="EM162" i="13"/>
  <c r="EE162" i="13"/>
  <c r="EC162" i="13"/>
  <c r="ED162" i="13" s="1"/>
  <c r="EB162" i="13"/>
  <c r="EA162" i="13"/>
  <c r="DY162" i="13"/>
  <c r="EI162" i="13" s="1"/>
  <c r="EM161" i="13"/>
  <c r="EE161" i="13"/>
  <c r="EC161" i="13"/>
  <c r="ED161" i="13" s="1"/>
  <c r="EB161" i="13"/>
  <c r="EA161" i="13"/>
  <c r="DY161" i="13"/>
  <c r="EI161" i="13" s="1"/>
  <c r="EM160" i="13"/>
  <c r="EE160" i="13"/>
  <c r="EC160" i="13"/>
  <c r="ED160" i="13" s="1"/>
  <c r="EB160" i="13"/>
  <c r="EA160" i="13"/>
  <c r="DY160" i="13"/>
  <c r="EI160" i="13" s="1"/>
  <c r="EM159" i="13"/>
  <c r="EE159" i="13"/>
  <c r="EC159" i="13"/>
  <c r="ED159" i="13" s="1"/>
  <c r="EB159" i="13"/>
  <c r="EA159" i="13"/>
  <c r="DY159" i="13"/>
  <c r="EI159" i="13" s="1"/>
  <c r="EM158" i="13"/>
  <c r="EE158" i="13"/>
  <c r="EC158" i="13"/>
  <c r="ED158" i="13" s="1"/>
  <c r="EB158" i="13"/>
  <c r="EA158" i="13"/>
  <c r="DY158" i="13"/>
  <c r="EI158" i="13" s="1"/>
  <c r="EM157" i="13"/>
  <c r="EE157" i="13"/>
  <c r="EC157" i="13"/>
  <c r="ED157" i="13" s="1"/>
  <c r="EB157" i="13"/>
  <c r="EA157" i="13"/>
  <c r="DY157" i="13"/>
  <c r="EI157" i="13" s="1"/>
  <c r="EM154" i="13"/>
  <c r="EE154" i="13"/>
  <c r="EC154" i="13"/>
  <c r="ED154" i="13" s="1"/>
  <c r="EB154" i="13"/>
  <c r="EA154" i="13"/>
  <c r="DY154" i="13"/>
  <c r="EJ154" i="13" s="1"/>
  <c r="EM153" i="13"/>
  <c r="EE153" i="13"/>
  <c r="EC153" i="13"/>
  <c r="ED153" i="13" s="1"/>
  <c r="EB153" i="13"/>
  <c r="EA153" i="13"/>
  <c r="DY153" i="13"/>
  <c r="EJ153" i="13" s="1"/>
  <c r="EM152" i="13"/>
  <c r="EE152" i="13"/>
  <c r="EC152" i="13"/>
  <c r="ED152" i="13" s="1"/>
  <c r="EB152" i="13"/>
  <c r="EA152" i="13"/>
  <c r="DY152" i="13"/>
  <c r="EJ152" i="13" s="1"/>
  <c r="EM149" i="13"/>
  <c r="EE149" i="13"/>
  <c r="EC149" i="13"/>
  <c r="ED149" i="13" s="1"/>
  <c r="EB149" i="13"/>
  <c r="EA149" i="13"/>
  <c r="DY149" i="13"/>
  <c r="EI149" i="13" s="1"/>
  <c r="EM148" i="13"/>
  <c r="EE148" i="13"/>
  <c r="EC148" i="13"/>
  <c r="ED148" i="13" s="1"/>
  <c r="EB148" i="13"/>
  <c r="EA148" i="13"/>
  <c r="DY148" i="13"/>
  <c r="EI148" i="13" s="1"/>
  <c r="EM147" i="13"/>
  <c r="EE147" i="13"/>
  <c r="EC147" i="13"/>
  <c r="ED147" i="13" s="1"/>
  <c r="EB147" i="13"/>
  <c r="EA147" i="13"/>
  <c r="DY147" i="13"/>
  <c r="EI147" i="13" s="1"/>
  <c r="EM144" i="13"/>
  <c r="EE144" i="13"/>
  <c r="EC144" i="13"/>
  <c r="ED144" i="13" s="1"/>
  <c r="EB144" i="13"/>
  <c r="EA144" i="13"/>
  <c r="DY144" i="13"/>
  <c r="EJ144" i="13" s="1"/>
  <c r="EM143" i="13"/>
  <c r="EE143" i="13"/>
  <c r="EC143" i="13"/>
  <c r="ED143" i="13" s="1"/>
  <c r="EB143" i="13"/>
  <c r="EA143" i="13"/>
  <c r="DY143" i="13"/>
  <c r="EJ143" i="13" s="1"/>
  <c r="EM142" i="13"/>
  <c r="EE142" i="13"/>
  <c r="EC142" i="13"/>
  <c r="ED142" i="13" s="1"/>
  <c r="EB142" i="13"/>
  <c r="EA142" i="13"/>
  <c r="DY142" i="13"/>
  <c r="EJ142" i="13" s="1"/>
  <c r="EM139" i="13"/>
  <c r="EE139" i="13"/>
  <c r="EC139" i="13"/>
  <c r="ED139" i="13" s="1"/>
  <c r="EB139" i="13"/>
  <c r="EA139" i="13"/>
  <c r="DY139" i="13"/>
  <c r="EI139" i="13" s="1"/>
  <c r="EM138" i="13"/>
  <c r="EE138" i="13"/>
  <c r="EC138" i="13"/>
  <c r="ED138" i="13" s="1"/>
  <c r="EB138" i="13"/>
  <c r="EA138" i="13"/>
  <c r="DY138" i="13"/>
  <c r="EI138" i="13" s="1"/>
  <c r="EM137" i="13"/>
  <c r="EE137" i="13"/>
  <c r="EC137" i="13"/>
  <c r="ED137" i="13" s="1"/>
  <c r="EB137" i="13"/>
  <c r="EA137" i="13"/>
  <c r="DY137" i="13"/>
  <c r="EI137" i="13" s="1"/>
  <c r="EM134" i="13"/>
  <c r="EE134" i="13"/>
  <c r="EC134" i="13"/>
  <c r="ED134" i="13" s="1"/>
  <c r="EB134" i="13"/>
  <c r="EA134" i="13"/>
  <c r="DY134" i="13"/>
  <c r="EJ134" i="13" s="1"/>
  <c r="EM133" i="13"/>
  <c r="EE133" i="13"/>
  <c r="EC133" i="13"/>
  <c r="ED133" i="13" s="1"/>
  <c r="EB133" i="13"/>
  <c r="EA133" i="13"/>
  <c r="DY133" i="13"/>
  <c r="EJ133" i="13" s="1"/>
  <c r="EM132" i="13"/>
  <c r="EE132" i="13"/>
  <c r="EC132" i="13"/>
  <c r="ED132" i="13" s="1"/>
  <c r="EB132" i="13"/>
  <c r="EA132" i="13"/>
  <c r="DY132" i="13"/>
  <c r="EJ132" i="13" s="1"/>
  <c r="EM129" i="13"/>
  <c r="EE129" i="13"/>
  <c r="EC129" i="13"/>
  <c r="ED129" i="13" s="1"/>
  <c r="EB129" i="13"/>
  <c r="EA129" i="13"/>
  <c r="DY129" i="13"/>
  <c r="EI129" i="13" s="1"/>
  <c r="EM128" i="13"/>
  <c r="EE128" i="13"/>
  <c r="EC128" i="13"/>
  <c r="ED128" i="13" s="1"/>
  <c r="EB128" i="13"/>
  <c r="EA128" i="13"/>
  <c r="DY128" i="13"/>
  <c r="EI128" i="13" s="1"/>
  <c r="EM127" i="13"/>
  <c r="EE127" i="13"/>
  <c r="EC127" i="13"/>
  <c r="ED127" i="13" s="1"/>
  <c r="EB127" i="13"/>
  <c r="EA127" i="13"/>
  <c r="DY127" i="13"/>
  <c r="EI127" i="13" s="1"/>
  <c r="EM126" i="13"/>
  <c r="EE126" i="13"/>
  <c r="EC126" i="13"/>
  <c r="ED126" i="13" s="1"/>
  <c r="EB126" i="13"/>
  <c r="EA126" i="13"/>
  <c r="DY126" i="13"/>
  <c r="EJ126" i="13" s="1"/>
  <c r="EM125" i="13"/>
  <c r="EE125" i="13"/>
  <c r="EC125" i="13"/>
  <c r="ED125" i="13" s="1"/>
  <c r="EB125" i="13"/>
  <c r="EA125" i="13"/>
  <c r="DY125" i="13"/>
  <c r="EJ125" i="13" s="1"/>
  <c r="EM122" i="13"/>
  <c r="EE122" i="13"/>
  <c r="EC122" i="13"/>
  <c r="ED122" i="13" s="1"/>
  <c r="EB122" i="13"/>
  <c r="EA122" i="13"/>
  <c r="DY122" i="13"/>
  <c r="EI122" i="13" s="1"/>
  <c r="EM121" i="13"/>
  <c r="EE121" i="13"/>
  <c r="EC121" i="13"/>
  <c r="ED121" i="13" s="1"/>
  <c r="EB121" i="13"/>
  <c r="EA121" i="13"/>
  <c r="DY121" i="13"/>
  <c r="EI121" i="13" s="1"/>
  <c r="EM120" i="13"/>
  <c r="EE120" i="13"/>
  <c r="EC120" i="13"/>
  <c r="ED120" i="13" s="1"/>
  <c r="EB120" i="13"/>
  <c r="EA120" i="13"/>
  <c r="DY120" i="13"/>
  <c r="EI120" i="13" s="1"/>
  <c r="EM119" i="13"/>
  <c r="EE119" i="13"/>
  <c r="EC119" i="13"/>
  <c r="ED119" i="13" s="1"/>
  <c r="EB119" i="13"/>
  <c r="EA119" i="13"/>
  <c r="DY119" i="13"/>
  <c r="EI119" i="13" s="1"/>
  <c r="EM116" i="13"/>
  <c r="EE116" i="13"/>
  <c r="EC116" i="13"/>
  <c r="ED116" i="13" s="1"/>
  <c r="EB116" i="13"/>
  <c r="EA116" i="13"/>
  <c r="DY116" i="13"/>
  <c r="EJ116" i="13" s="1"/>
  <c r="EM115" i="13"/>
  <c r="EE115" i="13"/>
  <c r="EC115" i="13"/>
  <c r="ED115" i="13" s="1"/>
  <c r="EB115" i="13"/>
  <c r="EA115" i="13"/>
  <c r="DY115" i="13"/>
  <c r="EJ115" i="13" s="1"/>
  <c r="EM114" i="13"/>
  <c r="EM111" i="13"/>
  <c r="EE111" i="13"/>
  <c r="EC111" i="13"/>
  <c r="ED111" i="13" s="1"/>
  <c r="EB111" i="13"/>
  <c r="EA111" i="13"/>
  <c r="DY111" i="13"/>
  <c r="EJ111" i="13" s="1"/>
  <c r="EM110" i="13"/>
  <c r="EE110" i="13"/>
  <c r="EC110" i="13"/>
  <c r="ED110" i="13" s="1"/>
  <c r="EB110" i="13"/>
  <c r="EA110" i="13"/>
  <c r="DY110" i="13"/>
  <c r="EJ110" i="13" s="1"/>
  <c r="EM109" i="13"/>
  <c r="EE109" i="13"/>
  <c r="EC109" i="13"/>
  <c r="ED109" i="13" s="1"/>
  <c r="EB109" i="13"/>
  <c r="EA109" i="13"/>
  <c r="DY109" i="13"/>
  <c r="EJ109" i="13" s="1"/>
  <c r="EM106" i="13"/>
  <c r="EE106" i="13"/>
  <c r="EC106" i="13"/>
  <c r="ED106" i="13" s="1"/>
  <c r="EB106" i="13"/>
  <c r="EA106" i="13"/>
  <c r="DY106" i="13"/>
  <c r="EI106" i="13" s="1"/>
  <c r="EM105" i="13"/>
  <c r="EE105" i="13"/>
  <c r="EC105" i="13"/>
  <c r="ED105" i="13" s="1"/>
  <c r="EB105" i="13"/>
  <c r="EA105" i="13"/>
  <c r="DY105" i="13"/>
  <c r="EI105" i="13" s="1"/>
  <c r="EM104" i="13"/>
  <c r="EE104" i="13"/>
  <c r="EC104" i="13"/>
  <c r="ED104" i="13" s="1"/>
  <c r="EB104" i="13"/>
  <c r="EA104" i="13"/>
  <c r="DY104" i="13"/>
  <c r="EI104" i="13" s="1"/>
  <c r="EM101" i="13"/>
  <c r="EE101" i="13"/>
  <c r="EC101" i="13"/>
  <c r="ED101" i="13" s="1"/>
  <c r="EB101" i="13"/>
  <c r="EA101" i="13"/>
  <c r="DY101" i="13"/>
  <c r="EM100" i="13"/>
  <c r="EE100" i="13"/>
  <c r="EC100" i="13"/>
  <c r="ED100" i="13" s="1"/>
  <c r="EB100" i="13"/>
  <c r="EA100" i="13"/>
  <c r="DY100" i="13"/>
  <c r="EJ100" i="13" s="1"/>
  <c r="EM99" i="13"/>
  <c r="EE99" i="13"/>
  <c r="EC99" i="13"/>
  <c r="ED99" i="13" s="1"/>
  <c r="EB99" i="13"/>
  <c r="EA99" i="13"/>
  <c r="DY99" i="13"/>
  <c r="EJ99" i="13" s="1"/>
  <c r="EM96" i="13"/>
  <c r="EE96" i="13"/>
  <c r="EC96" i="13"/>
  <c r="ED96" i="13" s="1"/>
  <c r="EB96" i="13"/>
  <c r="EA96" i="13"/>
  <c r="DY96" i="13"/>
  <c r="EI96" i="13" s="1"/>
  <c r="EM95" i="13"/>
  <c r="EE95" i="13"/>
  <c r="EC95" i="13"/>
  <c r="ED95" i="13" s="1"/>
  <c r="EB95" i="13"/>
  <c r="EA95" i="13"/>
  <c r="DY95" i="13"/>
  <c r="EI95" i="13" s="1"/>
  <c r="EM94" i="13"/>
  <c r="EE94" i="13"/>
  <c r="EC94" i="13"/>
  <c r="ED94" i="13" s="1"/>
  <c r="EB94" i="13"/>
  <c r="EA94" i="13"/>
  <c r="DY94" i="13"/>
  <c r="EI94" i="13" s="1"/>
  <c r="EM91" i="13"/>
  <c r="EE91" i="13"/>
  <c r="EC91" i="13"/>
  <c r="ED91" i="13" s="1"/>
  <c r="EB91" i="13"/>
  <c r="EA91" i="13"/>
  <c r="DY91" i="13"/>
  <c r="EJ91" i="13" s="1"/>
  <c r="EM90" i="13"/>
  <c r="EE90" i="13"/>
  <c r="EC90" i="13"/>
  <c r="ED90" i="13" s="1"/>
  <c r="EB90" i="13"/>
  <c r="EA90" i="13"/>
  <c r="DY90" i="13"/>
  <c r="EJ90" i="13" s="1"/>
  <c r="EM89" i="13"/>
  <c r="EE89" i="13"/>
  <c r="EC89" i="13"/>
  <c r="ED89" i="13" s="1"/>
  <c r="EB89" i="13"/>
  <c r="EA89" i="13"/>
  <c r="DY89" i="13"/>
  <c r="EJ89" i="13" s="1"/>
  <c r="EM86" i="13"/>
  <c r="EE86" i="13"/>
  <c r="EC86" i="13"/>
  <c r="ED86" i="13" s="1"/>
  <c r="EB86" i="13"/>
  <c r="EA86" i="13"/>
  <c r="DY86" i="13"/>
  <c r="EI86" i="13" s="1"/>
  <c r="EM85" i="13"/>
  <c r="EE85" i="13"/>
  <c r="EC85" i="13"/>
  <c r="ED85" i="13" s="1"/>
  <c r="EB85" i="13"/>
  <c r="EA85" i="13"/>
  <c r="DY85" i="13"/>
  <c r="EI85" i="13" s="1"/>
  <c r="EM84" i="13"/>
  <c r="EE84" i="13"/>
  <c r="EC84" i="13"/>
  <c r="ED84" i="13" s="1"/>
  <c r="EB84" i="13"/>
  <c r="EA84" i="13"/>
  <c r="DY84" i="13"/>
  <c r="EI84" i="13" s="1"/>
  <c r="EM81" i="13"/>
  <c r="EE81" i="13"/>
  <c r="EC81" i="13"/>
  <c r="ED81" i="13" s="1"/>
  <c r="EB81" i="13"/>
  <c r="EA81" i="13"/>
  <c r="DY81" i="13"/>
  <c r="EJ81" i="13" s="1"/>
  <c r="EM80" i="13"/>
  <c r="EE80" i="13"/>
  <c r="EC80" i="13"/>
  <c r="ED80" i="13" s="1"/>
  <c r="EB80" i="13"/>
  <c r="EA80" i="13"/>
  <c r="DY80" i="13"/>
  <c r="EJ80" i="13" s="1"/>
  <c r="EM79" i="13"/>
  <c r="EE79" i="13"/>
  <c r="EC79" i="13"/>
  <c r="ED79" i="13" s="1"/>
  <c r="EB79" i="13"/>
  <c r="EA79" i="13"/>
  <c r="DY79" i="13"/>
  <c r="EJ79" i="13" s="1"/>
  <c r="EM76" i="13"/>
  <c r="EE76" i="13"/>
  <c r="EC76" i="13"/>
  <c r="ED76" i="13" s="1"/>
  <c r="EB76" i="13"/>
  <c r="EA76" i="13"/>
  <c r="DY76" i="13"/>
  <c r="EI76" i="13" s="1"/>
  <c r="EM75" i="13"/>
  <c r="EE75" i="13"/>
  <c r="EC75" i="13"/>
  <c r="ED75" i="13" s="1"/>
  <c r="EB75" i="13"/>
  <c r="EA75" i="13"/>
  <c r="DY75" i="13"/>
  <c r="EI75" i="13" s="1"/>
  <c r="EM74" i="13"/>
  <c r="EE74" i="13"/>
  <c r="EC74" i="13"/>
  <c r="ED74" i="13" s="1"/>
  <c r="EB74" i="13"/>
  <c r="EA74" i="13"/>
  <c r="DY74" i="13"/>
  <c r="EI74" i="13" s="1"/>
  <c r="EM71" i="13"/>
  <c r="EE71" i="13"/>
  <c r="EC71" i="13"/>
  <c r="ED71" i="13" s="1"/>
  <c r="EB71" i="13"/>
  <c r="EA71" i="13"/>
  <c r="DY71" i="13"/>
  <c r="EJ71" i="13" s="1"/>
  <c r="EM70" i="13"/>
  <c r="EE70" i="13"/>
  <c r="EC70" i="13"/>
  <c r="ED70" i="13" s="1"/>
  <c r="EB70" i="13"/>
  <c r="EA70" i="13"/>
  <c r="DY70" i="13"/>
  <c r="EJ70" i="13" s="1"/>
  <c r="EM69" i="13"/>
  <c r="EE69" i="13"/>
  <c r="EC69" i="13"/>
  <c r="ED69" i="13" s="1"/>
  <c r="EB69" i="13"/>
  <c r="EA69" i="13"/>
  <c r="DY69" i="13"/>
  <c r="EJ69" i="13" s="1"/>
  <c r="EM66" i="13"/>
  <c r="EE66" i="13"/>
  <c r="EC66" i="13"/>
  <c r="ED66" i="13" s="1"/>
  <c r="EB66" i="13"/>
  <c r="EA66" i="13"/>
  <c r="DY66" i="13"/>
  <c r="EI66" i="13" s="1"/>
  <c r="EM65" i="13"/>
  <c r="EE65" i="13"/>
  <c r="EC65" i="13"/>
  <c r="ED65" i="13" s="1"/>
  <c r="EB65" i="13"/>
  <c r="EA65" i="13"/>
  <c r="DY65" i="13"/>
  <c r="EI65" i="13" s="1"/>
  <c r="EM64" i="13"/>
  <c r="EE64" i="13"/>
  <c r="EC64" i="13"/>
  <c r="ED64" i="13" s="1"/>
  <c r="EB64" i="13"/>
  <c r="EA64" i="13"/>
  <c r="DY64" i="13"/>
  <c r="EI64" i="13" s="1"/>
  <c r="EM61" i="13"/>
  <c r="EE61" i="13"/>
  <c r="EC61" i="13"/>
  <c r="ED61" i="13" s="1"/>
  <c r="EB61" i="13"/>
  <c r="EA61" i="13"/>
  <c r="DY61" i="13"/>
  <c r="EJ61" i="13" s="1"/>
  <c r="EM60" i="13"/>
  <c r="EE60" i="13"/>
  <c r="EC60" i="13"/>
  <c r="ED60" i="13" s="1"/>
  <c r="EB60" i="13"/>
  <c r="EA60" i="13"/>
  <c r="DY60" i="13"/>
  <c r="EJ60" i="13" s="1"/>
  <c r="EM59" i="13"/>
  <c r="EE59" i="13"/>
  <c r="EC59" i="13"/>
  <c r="ED59" i="13" s="1"/>
  <c r="EB59" i="13"/>
  <c r="EA59" i="13"/>
  <c r="DY59" i="13"/>
  <c r="EJ59" i="13" s="1"/>
  <c r="EM58" i="13"/>
  <c r="EE58" i="13"/>
  <c r="EC58" i="13"/>
  <c r="ED58" i="13" s="1"/>
  <c r="EB58" i="13"/>
  <c r="EA58" i="13"/>
  <c r="DY58" i="13"/>
  <c r="EJ58" i="13" s="1"/>
  <c r="EM55" i="13"/>
  <c r="EE55" i="13"/>
  <c r="EC55" i="13"/>
  <c r="ED55" i="13" s="1"/>
  <c r="EA55" i="13"/>
  <c r="DY55" i="13"/>
  <c r="EI55" i="13" s="1"/>
  <c r="EM54" i="13"/>
  <c r="EE54" i="13"/>
  <c r="EC54" i="13"/>
  <c r="ED54" i="13" s="1"/>
  <c r="EA54" i="13"/>
  <c r="DY54" i="13"/>
  <c r="EI54" i="13" s="1"/>
  <c r="EM53" i="13"/>
  <c r="EE53" i="13"/>
  <c r="EC53" i="13"/>
  <c r="ED53" i="13" s="1"/>
  <c r="EA53" i="13"/>
  <c r="DY53" i="13"/>
  <c r="EI53" i="13" s="1"/>
  <c r="EM52" i="13"/>
  <c r="EE52" i="13"/>
  <c r="EC52" i="13"/>
  <c r="ED52" i="13" s="1"/>
  <c r="EB52" i="13"/>
  <c r="EA52" i="13"/>
  <c r="DY52" i="13"/>
  <c r="EI52" i="13" s="1"/>
  <c r="EM51" i="13"/>
  <c r="EE51" i="13"/>
  <c r="EC51" i="13"/>
  <c r="ED51" i="13" s="1"/>
  <c r="EB51" i="13"/>
  <c r="EA51" i="13"/>
  <c r="DY51" i="13"/>
  <c r="EI51" i="13" s="1"/>
  <c r="EM50" i="13"/>
  <c r="EE50" i="13"/>
  <c r="EC50" i="13"/>
  <c r="ED50" i="13" s="1"/>
  <c r="EB50" i="13"/>
  <c r="EA50" i="13"/>
  <c r="DY50" i="13"/>
  <c r="EI50" i="13" s="1"/>
  <c r="EM47" i="13"/>
  <c r="EE47" i="13"/>
  <c r="EC47" i="13"/>
  <c r="ED47" i="13" s="1"/>
  <c r="EB47" i="13"/>
  <c r="EA47" i="13"/>
  <c r="DY47" i="13"/>
  <c r="EJ47" i="13" s="1"/>
  <c r="EM46" i="13"/>
  <c r="EE46" i="13"/>
  <c r="EC46" i="13"/>
  <c r="ED46" i="13" s="1"/>
  <c r="EB46" i="13"/>
  <c r="EA46" i="13"/>
  <c r="DY46" i="13"/>
  <c r="EJ46" i="13" s="1"/>
  <c r="EM45" i="13"/>
  <c r="EE45" i="13"/>
  <c r="EC45" i="13"/>
  <c r="ED45" i="13" s="1"/>
  <c r="EB45" i="13"/>
  <c r="EA45" i="13"/>
  <c r="DY45" i="13"/>
  <c r="EJ45" i="13" s="1"/>
  <c r="EM44" i="13"/>
  <c r="EE44" i="13"/>
  <c r="EC44" i="13"/>
  <c r="ED44" i="13" s="1"/>
  <c r="EB44" i="13"/>
  <c r="EA44" i="13"/>
  <c r="DY44" i="13"/>
  <c r="EJ44" i="13" s="1"/>
  <c r="EM43" i="13"/>
  <c r="EE43" i="13"/>
  <c r="EC43" i="13"/>
  <c r="ED43" i="13" s="1"/>
  <c r="EB43" i="13"/>
  <c r="EA43" i="13"/>
  <c r="DY43" i="13"/>
  <c r="EJ43" i="13" s="1"/>
  <c r="EM42" i="13"/>
  <c r="EE42" i="13"/>
  <c r="EC42" i="13"/>
  <c r="ED42" i="13" s="1"/>
  <c r="EB42" i="13"/>
  <c r="EA42" i="13"/>
  <c r="DY42" i="13"/>
  <c r="EJ42" i="13" s="1"/>
  <c r="EM39" i="13"/>
  <c r="EE39" i="13"/>
  <c r="EC39" i="13"/>
  <c r="ED39" i="13" s="1"/>
  <c r="EB39" i="13"/>
  <c r="EA39" i="13"/>
  <c r="DY39" i="13"/>
  <c r="EI39" i="13" s="1"/>
  <c r="EM38" i="13"/>
  <c r="EE38" i="13"/>
  <c r="EC38" i="13"/>
  <c r="ED38" i="13" s="1"/>
  <c r="EB38" i="13"/>
  <c r="EA38" i="13"/>
  <c r="DY38" i="13"/>
  <c r="EI38" i="13" s="1"/>
  <c r="EM37" i="13"/>
  <c r="EE37" i="13"/>
  <c r="EC37" i="13"/>
  <c r="ED37" i="13" s="1"/>
  <c r="EB37" i="13"/>
  <c r="EA37" i="13"/>
  <c r="DY37" i="13"/>
  <c r="EI37" i="13" s="1"/>
  <c r="EM36" i="13"/>
  <c r="EE36" i="13"/>
  <c r="EC36" i="13"/>
  <c r="ED36" i="13" s="1"/>
  <c r="EB36" i="13"/>
  <c r="EA36" i="13"/>
  <c r="DY36" i="13"/>
  <c r="EI36" i="13" s="1"/>
  <c r="EM33" i="13"/>
  <c r="EE33" i="13"/>
  <c r="EC33" i="13"/>
  <c r="ED33" i="13" s="1"/>
  <c r="EB33" i="13"/>
  <c r="EA33" i="13"/>
  <c r="DY33" i="13"/>
  <c r="EJ33" i="13" s="1"/>
  <c r="EM32" i="13"/>
  <c r="EE32" i="13"/>
  <c r="EC32" i="13"/>
  <c r="ED32" i="13" s="1"/>
  <c r="EB32" i="13"/>
  <c r="EA32" i="13"/>
  <c r="DY32" i="13"/>
  <c r="EJ32" i="13" s="1"/>
  <c r="EM31" i="13"/>
  <c r="EE31" i="13"/>
  <c r="EC31" i="13"/>
  <c r="ED31" i="13" s="1"/>
  <c r="EB31" i="13"/>
  <c r="EA31" i="13"/>
  <c r="DY31" i="13"/>
  <c r="EJ31" i="13" s="1"/>
  <c r="EM30" i="13"/>
  <c r="EE30" i="13"/>
  <c r="EC30" i="13"/>
  <c r="ED30" i="13" s="1"/>
  <c r="EB30" i="13"/>
  <c r="EA30" i="13"/>
  <c r="DY30" i="13"/>
  <c r="EJ30" i="13" s="1"/>
  <c r="EM29" i="13"/>
  <c r="EE29" i="13"/>
  <c r="EC29" i="13"/>
  <c r="ED29" i="13" s="1"/>
  <c r="EB29" i="13"/>
  <c r="EA29" i="13"/>
  <c r="DY29" i="13"/>
  <c r="EI29" i="13" s="1"/>
  <c r="EM28" i="13"/>
  <c r="EE28" i="13"/>
  <c r="EC28" i="13"/>
  <c r="ED28" i="13" s="1"/>
  <c r="EB28" i="13"/>
  <c r="EA28" i="13"/>
  <c r="DY28" i="13"/>
  <c r="EI28" i="13" s="1"/>
  <c r="EM27" i="13"/>
  <c r="EE27" i="13"/>
  <c r="EC27" i="13"/>
  <c r="ED27" i="13" s="1"/>
  <c r="EB27" i="13"/>
  <c r="EA27" i="13"/>
  <c r="DY27" i="13"/>
  <c r="EI27" i="13" s="1"/>
  <c r="EM24" i="13"/>
  <c r="EE24" i="13"/>
  <c r="EC24" i="13"/>
  <c r="ED24" i="13" s="1"/>
  <c r="EB24" i="13"/>
  <c r="EA24" i="13"/>
  <c r="DY24" i="13"/>
  <c r="EJ24" i="13" s="1"/>
  <c r="EM23" i="13"/>
  <c r="EE23" i="13"/>
  <c r="EC23" i="13"/>
  <c r="ED23" i="13" s="1"/>
  <c r="EB23" i="13"/>
  <c r="EA23" i="13"/>
  <c r="DY23" i="13"/>
  <c r="EJ23" i="13" s="1"/>
  <c r="EM22" i="13"/>
  <c r="EE22" i="13"/>
  <c r="EC22" i="13"/>
  <c r="ED22" i="13" s="1"/>
  <c r="EB22" i="13"/>
  <c r="EA22" i="13"/>
  <c r="DY22" i="13"/>
  <c r="EJ22" i="13" s="1"/>
  <c r="EM21" i="13"/>
  <c r="EE21" i="13"/>
  <c r="EC21" i="13"/>
  <c r="ED21" i="13" s="1"/>
  <c r="EB21" i="13"/>
  <c r="EA21" i="13"/>
  <c r="DY21" i="13"/>
  <c r="EJ21" i="13" s="1"/>
  <c r="EM18" i="13"/>
  <c r="EE18" i="13"/>
  <c r="EC18" i="13"/>
  <c r="ED18" i="13" s="1"/>
  <c r="EB18" i="13"/>
  <c r="EA18" i="13"/>
  <c r="DY18" i="13"/>
  <c r="EI18" i="13" s="1"/>
  <c r="EM17" i="13"/>
  <c r="EE17" i="13"/>
  <c r="EC17" i="13"/>
  <c r="ED17" i="13" s="1"/>
  <c r="EB17" i="13"/>
  <c r="EA17" i="13"/>
  <c r="DY17" i="13"/>
  <c r="EI17" i="13" s="1"/>
  <c r="EM16" i="13"/>
  <c r="EE16" i="13"/>
  <c r="EC16" i="13"/>
  <c r="ED16" i="13" s="1"/>
  <c r="EB16" i="13"/>
  <c r="EA16" i="13"/>
  <c r="DY16" i="13"/>
  <c r="EI16" i="13" s="1"/>
  <c r="EM15" i="13"/>
  <c r="EE15" i="13"/>
  <c r="EC15" i="13"/>
  <c r="ED15" i="13" s="1"/>
  <c r="EB15" i="13"/>
  <c r="EA15" i="13"/>
  <c r="DY15" i="13"/>
  <c r="EI15" i="13" s="1"/>
  <c r="EM14" i="13"/>
  <c r="EE14" i="13"/>
  <c r="EC14" i="13"/>
  <c r="ED14" i="13" s="1"/>
  <c r="EB14" i="13"/>
  <c r="EA14" i="13"/>
  <c r="DY14" i="13"/>
  <c r="EI14" i="13" s="1"/>
  <c r="EM13" i="13"/>
  <c r="EE13" i="13"/>
  <c r="EC13" i="13"/>
  <c r="ED13" i="13" s="1"/>
  <c r="EB13" i="13"/>
  <c r="EA13" i="13"/>
  <c r="DY13" i="13"/>
  <c r="EI13" i="13" s="1"/>
  <c r="EM10" i="13"/>
  <c r="EE10" i="13"/>
  <c r="EC10" i="13"/>
  <c r="ED10" i="13" s="1"/>
  <c r="EB10" i="13"/>
  <c r="EB55" i="13" s="1"/>
  <c r="EA10" i="13"/>
  <c r="DY10" i="13"/>
  <c r="EJ10" i="13" s="1"/>
  <c r="EM9" i="13"/>
  <c r="EE9" i="13"/>
  <c r="EC9" i="13"/>
  <c r="ED9" i="13" s="1"/>
  <c r="EB9" i="13"/>
  <c r="EB54" i="13" s="1"/>
  <c r="EA9" i="13"/>
  <c r="DY9" i="13"/>
  <c r="EJ9" i="13" s="1"/>
  <c r="EM8" i="13"/>
  <c r="EE8" i="13"/>
  <c r="EC8" i="13"/>
  <c r="ED8" i="13" s="1"/>
  <c r="EB8" i="13"/>
  <c r="EB53" i="13" s="1"/>
  <c r="EA8" i="13"/>
  <c r="DY8" i="13"/>
  <c r="EJ8" i="13" s="1"/>
  <c r="DU164" i="13"/>
  <c r="DM164" i="13"/>
  <c r="DK164" i="13"/>
  <c r="DL164" i="13" s="1"/>
  <c r="DJ164" i="13"/>
  <c r="DI164" i="13"/>
  <c r="DG164" i="13"/>
  <c r="DQ164" i="13" s="1"/>
  <c r="DU163" i="13"/>
  <c r="DM163" i="13"/>
  <c r="DK163" i="13"/>
  <c r="DL163" i="13" s="1"/>
  <c r="DJ163" i="13"/>
  <c r="DI163" i="13"/>
  <c r="DG163" i="13"/>
  <c r="DR163" i="13" s="1"/>
  <c r="DU162" i="13"/>
  <c r="DM162" i="13"/>
  <c r="DK162" i="13"/>
  <c r="DL162" i="13" s="1"/>
  <c r="DJ162" i="13"/>
  <c r="DI162" i="13"/>
  <c r="DG162" i="13"/>
  <c r="DR162" i="13" s="1"/>
  <c r="DU161" i="13"/>
  <c r="DM161" i="13"/>
  <c r="DK161" i="13"/>
  <c r="DL161" i="13" s="1"/>
  <c r="DJ161" i="13"/>
  <c r="DI161" i="13"/>
  <c r="DG161" i="13"/>
  <c r="DR161" i="13" s="1"/>
  <c r="DU160" i="13"/>
  <c r="DM160" i="13"/>
  <c r="DK160" i="13"/>
  <c r="DL160" i="13" s="1"/>
  <c r="DJ160" i="13"/>
  <c r="DI160" i="13"/>
  <c r="DG160" i="13"/>
  <c r="DR160" i="13" s="1"/>
  <c r="DU159" i="13"/>
  <c r="DM159" i="13"/>
  <c r="DK159" i="13"/>
  <c r="DL159" i="13" s="1"/>
  <c r="DJ159" i="13"/>
  <c r="DI159" i="13"/>
  <c r="DG159" i="13"/>
  <c r="DR159" i="13" s="1"/>
  <c r="DU158" i="13"/>
  <c r="DM158" i="13"/>
  <c r="DK158" i="13"/>
  <c r="DL158" i="13" s="1"/>
  <c r="DJ158" i="13"/>
  <c r="DI158" i="13"/>
  <c r="DG158" i="13"/>
  <c r="DR158" i="13" s="1"/>
  <c r="DU157" i="13"/>
  <c r="DM157" i="13"/>
  <c r="DK157" i="13"/>
  <c r="DL157" i="13" s="1"/>
  <c r="DJ157" i="13"/>
  <c r="DI157" i="13"/>
  <c r="DG157" i="13"/>
  <c r="DR157" i="13" s="1"/>
  <c r="DU154" i="13"/>
  <c r="DM154" i="13"/>
  <c r="DK154" i="13"/>
  <c r="DL154" i="13" s="1"/>
  <c r="DJ154" i="13"/>
  <c r="DI154" i="13"/>
  <c r="DG154" i="13"/>
  <c r="DR154" i="13" s="1"/>
  <c r="DU153" i="13"/>
  <c r="DM153" i="13"/>
  <c r="DK153" i="13"/>
  <c r="DL153" i="13" s="1"/>
  <c r="DJ153" i="13"/>
  <c r="DI153" i="13"/>
  <c r="DG153" i="13"/>
  <c r="DR153" i="13" s="1"/>
  <c r="DU152" i="13"/>
  <c r="DM152" i="13"/>
  <c r="DK152" i="13"/>
  <c r="DL152" i="13" s="1"/>
  <c r="DJ152" i="13"/>
  <c r="DI152" i="13"/>
  <c r="DG152" i="13"/>
  <c r="DR152" i="13" s="1"/>
  <c r="DU149" i="13"/>
  <c r="DM149" i="13"/>
  <c r="DK149" i="13"/>
  <c r="DL149" i="13" s="1"/>
  <c r="DJ149" i="13"/>
  <c r="DI149" i="13"/>
  <c r="DG149" i="13"/>
  <c r="DR149" i="13" s="1"/>
  <c r="DU148" i="13"/>
  <c r="DM148" i="13"/>
  <c r="DK148" i="13"/>
  <c r="DL148" i="13" s="1"/>
  <c r="DJ148" i="13"/>
  <c r="DI148" i="13"/>
  <c r="DG148" i="13"/>
  <c r="DR148" i="13" s="1"/>
  <c r="DU147" i="13"/>
  <c r="DM147" i="13"/>
  <c r="DK147" i="13"/>
  <c r="DL147" i="13" s="1"/>
  <c r="DJ147" i="13"/>
  <c r="DI147" i="13"/>
  <c r="DG147" i="13"/>
  <c r="DR147" i="13" s="1"/>
  <c r="DU144" i="13"/>
  <c r="DM144" i="13"/>
  <c r="DK144" i="13"/>
  <c r="DL144" i="13" s="1"/>
  <c r="DJ144" i="13"/>
  <c r="DI144" i="13"/>
  <c r="DG144" i="13"/>
  <c r="DR144" i="13" s="1"/>
  <c r="DU143" i="13"/>
  <c r="DM143" i="13"/>
  <c r="DK143" i="13"/>
  <c r="DL143" i="13" s="1"/>
  <c r="DJ143" i="13"/>
  <c r="DI143" i="13"/>
  <c r="DG143" i="13"/>
  <c r="DR143" i="13" s="1"/>
  <c r="DU142" i="13"/>
  <c r="DM142" i="13"/>
  <c r="DK142" i="13"/>
  <c r="DL142" i="13" s="1"/>
  <c r="DJ142" i="13"/>
  <c r="DI142" i="13"/>
  <c r="DG142" i="13"/>
  <c r="DR142" i="13" s="1"/>
  <c r="DU139" i="13"/>
  <c r="DM139" i="13"/>
  <c r="DK139" i="13"/>
  <c r="DL139" i="13" s="1"/>
  <c r="DJ139" i="13"/>
  <c r="DI139" i="13"/>
  <c r="DG139" i="13"/>
  <c r="DR139" i="13" s="1"/>
  <c r="DU138" i="13"/>
  <c r="DM138" i="13"/>
  <c r="DK138" i="13"/>
  <c r="DL138" i="13" s="1"/>
  <c r="DJ138" i="13"/>
  <c r="DI138" i="13"/>
  <c r="DG138" i="13"/>
  <c r="DR138" i="13" s="1"/>
  <c r="DU137" i="13"/>
  <c r="DM137" i="13"/>
  <c r="DK137" i="13"/>
  <c r="DL137" i="13" s="1"/>
  <c r="DJ137" i="13"/>
  <c r="DI137" i="13"/>
  <c r="DG137" i="13"/>
  <c r="DR137" i="13" s="1"/>
  <c r="DU134" i="13"/>
  <c r="DM134" i="13"/>
  <c r="DK134" i="13"/>
  <c r="DL134" i="13" s="1"/>
  <c r="DJ134" i="13"/>
  <c r="DI134" i="13"/>
  <c r="DG134" i="13"/>
  <c r="DR134" i="13" s="1"/>
  <c r="DU133" i="13"/>
  <c r="DM133" i="13"/>
  <c r="DK133" i="13"/>
  <c r="DL133" i="13" s="1"/>
  <c r="DJ133" i="13"/>
  <c r="DI133" i="13"/>
  <c r="DG133" i="13"/>
  <c r="DU132" i="13"/>
  <c r="DM132" i="13"/>
  <c r="DK132" i="13"/>
  <c r="DL132" i="13" s="1"/>
  <c r="DJ132" i="13"/>
  <c r="DI132" i="13"/>
  <c r="DG132" i="13"/>
  <c r="DQ132" i="13" s="1"/>
  <c r="DU129" i="13"/>
  <c r="DM129" i="13"/>
  <c r="DK129" i="13"/>
  <c r="DL129" i="13" s="1"/>
  <c r="DJ129" i="13"/>
  <c r="DI129" i="13"/>
  <c r="DG129" i="13"/>
  <c r="DR129" i="13" s="1"/>
  <c r="DU128" i="13"/>
  <c r="DM128" i="13"/>
  <c r="DK128" i="13"/>
  <c r="DL128" i="13" s="1"/>
  <c r="DJ128" i="13"/>
  <c r="DI128" i="13"/>
  <c r="DG128" i="13"/>
  <c r="DR128" i="13" s="1"/>
  <c r="DU127" i="13"/>
  <c r="DM127" i="13"/>
  <c r="DK127" i="13"/>
  <c r="DL127" i="13" s="1"/>
  <c r="DJ127" i="13"/>
  <c r="DI127" i="13"/>
  <c r="DG127" i="13"/>
  <c r="DR127" i="13" s="1"/>
  <c r="DU126" i="13"/>
  <c r="DM126" i="13"/>
  <c r="DK126" i="13"/>
  <c r="DL126" i="13" s="1"/>
  <c r="DJ126" i="13"/>
  <c r="DI126" i="13"/>
  <c r="DG126" i="13"/>
  <c r="DR126" i="13" s="1"/>
  <c r="DU125" i="13"/>
  <c r="DM125" i="13"/>
  <c r="DK125" i="13"/>
  <c r="DL125" i="13" s="1"/>
  <c r="DJ125" i="13"/>
  <c r="DI125" i="13"/>
  <c r="DG125" i="13"/>
  <c r="DR125" i="13" s="1"/>
  <c r="DU122" i="13"/>
  <c r="DM122" i="13"/>
  <c r="DK122" i="13"/>
  <c r="DL122" i="13" s="1"/>
  <c r="DJ122" i="13"/>
  <c r="DI122" i="13"/>
  <c r="DG122" i="13"/>
  <c r="DQ122" i="13" s="1"/>
  <c r="DU121" i="13"/>
  <c r="DM121" i="13"/>
  <c r="DK121" i="13"/>
  <c r="DL121" i="13" s="1"/>
  <c r="DJ121" i="13"/>
  <c r="DI121" i="13"/>
  <c r="DG121" i="13"/>
  <c r="DQ121" i="13" s="1"/>
  <c r="DU120" i="13"/>
  <c r="DM120" i="13"/>
  <c r="DK120" i="13"/>
  <c r="DL120" i="13" s="1"/>
  <c r="DJ120" i="13"/>
  <c r="DI120" i="13"/>
  <c r="DG120" i="13"/>
  <c r="DQ120" i="13" s="1"/>
  <c r="DU119" i="13"/>
  <c r="DM119" i="13"/>
  <c r="DK119" i="13"/>
  <c r="DL119" i="13" s="1"/>
  <c r="DJ119" i="13"/>
  <c r="DI119" i="13"/>
  <c r="DG119" i="13"/>
  <c r="DQ119" i="13" s="1"/>
  <c r="DU116" i="13"/>
  <c r="DM116" i="13"/>
  <c r="DK116" i="13"/>
  <c r="DL116" i="13" s="1"/>
  <c r="DJ116" i="13"/>
  <c r="DI116" i="13"/>
  <c r="DG116" i="13"/>
  <c r="DR116" i="13" s="1"/>
  <c r="DU115" i="13"/>
  <c r="DM115" i="13"/>
  <c r="DK115" i="13"/>
  <c r="DL115" i="13" s="1"/>
  <c r="DJ115" i="13"/>
  <c r="DI115" i="13"/>
  <c r="DG115" i="13"/>
  <c r="DR115" i="13" s="1"/>
  <c r="DU114" i="13"/>
  <c r="DM114" i="13"/>
  <c r="DK114" i="13"/>
  <c r="DL114" i="13" s="1"/>
  <c r="DI114" i="13"/>
  <c r="DG114" i="13"/>
  <c r="DR114" i="13" s="1"/>
  <c r="DU111" i="13"/>
  <c r="DM111" i="13"/>
  <c r="DK111" i="13"/>
  <c r="DL111" i="13" s="1"/>
  <c r="DJ111" i="13"/>
  <c r="DI111" i="13"/>
  <c r="DG111" i="13"/>
  <c r="DR111" i="13" s="1"/>
  <c r="DU110" i="13"/>
  <c r="DM110" i="13"/>
  <c r="DK110" i="13"/>
  <c r="DL110" i="13" s="1"/>
  <c r="DJ110" i="13"/>
  <c r="DI110" i="13"/>
  <c r="DG110" i="13"/>
  <c r="DR110" i="13" s="1"/>
  <c r="DU109" i="13"/>
  <c r="DM109" i="13"/>
  <c r="DK109" i="13"/>
  <c r="DL109" i="13" s="1"/>
  <c r="DJ109" i="13"/>
  <c r="DI109" i="13"/>
  <c r="DG109" i="13"/>
  <c r="DR109" i="13" s="1"/>
  <c r="DU106" i="13"/>
  <c r="DM106" i="13"/>
  <c r="DK106" i="13"/>
  <c r="DL106" i="13" s="1"/>
  <c r="DJ106" i="13"/>
  <c r="DI106" i="13"/>
  <c r="DG106" i="13"/>
  <c r="DQ106" i="13" s="1"/>
  <c r="DU105" i="13"/>
  <c r="DM105" i="13"/>
  <c r="DK105" i="13"/>
  <c r="DL105" i="13" s="1"/>
  <c r="DJ105" i="13"/>
  <c r="DI105" i="13"/>
  <c r="DG105" i="13"/>
  <c r="DQ105" i="13" s="1"/>
  <c r="DU104" i="13"/>
  <c r="DM104" i="13"/>
  <c r="DK104" i="13"/>
  <c r="DL104" i="13" s="1"/>
  <c r="DJ104" i="13"/>
  <c r="DI104" i="13"/>
  <c r="DG104" i="13"/>
  <c r="DQ104" i="13" s="1"/>
  <c r="DU101" i="13"/>
  <c r="DM101" i="13"/>
  <c r="DK101" i="13"/>
  <c r="DL101" i="13" s="1"/>
  <c r="DJ101" i="13"/>
  <c r="DI101" i="13"/>
  <c r="DG101" i="13"/>
  <c r="DR101" i="13" s="1"/>
  <c r="DU100" i="13"/>
  <c r="DM100" i="13"/>
  <c r="DK100" i="13"/>
  <c r="DL100" i="13" s="1"/>
  <c r="DJ100" i="13"/>
  <c r="DI100" i="13"/>
  <c r="DG100" i="13"/>
  <c r="DR100" i="13" s="1"/>
  <c r="DU99" i="13"/>
  <c r="DM99" i="13"/>
  <c r="DK99" i="13"/>
  <c r="DL99" i="13" s="1"/>
  <c r="DJ99" i="13"/>
  <c r="DI99" i="13"/>
  <c r="DG99" i="13"/>
  <c r="DR99" i="13" s="1"/>
  <c r="DU96" i="13"/>
  <c r="DM96" i="13"/>
  <c r="DK96" i="13"/>
  <c r="DL96" i="13" s="1"/>
  <c r="DJ96" i="13"/>
  <c r="DI96" i="13"/>
  <c r="DG96" i="13"/>
  <c r="DQ96" i="13" s="1"/>
  <c r="DU95" i="13"/>
  <c r="DM95" i="13"/>
  <c r="DK95" i="13"/>
  <c r="DL95" i="13" s="1"/>
  <c r="DJ95" i="13"/>
  <c r="DI95" i="13"/>
  <c r="DG95" i="13"/>
  <c r="DU94" i="13"/>
  <c r="DM94" i="13"/>
  <c r="DK94" i="13"/>
  <c r="DL94" i="13" s="1"/>
  <c r="DJ94" i="13"/>
  <c r="DI94" i="13"/>
  <c r="DG94" i="13"/>
  <c r="DQ94" i="13" s="1"/>
  <c r="DU91" i="13"/>
  <c r="DM91" i="13"/>
  <c r="DK91" i="13"/>
  <c r="DL91" i="13" s="1"/>
  <c r="DJ91" i="13"/>
  <c r="DI91" i="13"/>
  <c r="DG91" i="13"/>
  <c r="DR91" i="13" s="1"/>
  <c r="DU90" i="13"/>
  <c r="DM90" i="13"/>
  <c r="DK90" i="13"/>
  <c r="DL90" i="13" s="1"/>
  <c r="DJ90" i="13"/>
  <c r="DI90" i="13"/>
  <c r="DG90" i="13"/>
  <c r="DR90" i="13" s="1"/>
  <c r="DU89" i="13"/>
  <c r="DM89" i="13"/>
  <c r="DK89" i="13"/>
  <c r="DL89" i="13" s="1"/>
  <c r="DJ89" i="13"/>
  <c r="DI89" i="13"/>
  <c r="DG89" i="13"/>
  <c r="DR89" i="13" s="1"/>
  <c r="DU86" i="13"/>
  <c r="DM86" i="13"/>
  <c r="DK86" i="13"/>
  <c r="DL86" i="13" s="1"/>
  <c r="DJ86" i="13"/>
  <c r="DI86" i="13"/>
  <c r="DG86" i="13"/>
  <c r="DR86" i="13" s="1"/>
  <c r="DU85" i="13"/>
  <c r="DM85" i="13"/>
  <c r="DK85" i="13"/>
  <c r="DL85" i="13" s="1"/>
  <c r="DJ85" i="13"/>
  <c r="DI85" i="13"/>
  <c r="DG85" i="13"/>
  <c r="DR85" i="13" s="1"/>
  <c r="DU84" i="13"/>
  <c r="DM84" i="13"/>
  <c r="DK84" i="13"/>
  <c r="DL84" i="13" s="1"/>
  <c r="DJ84" i="13"/>
  <c r="DI84" i="13"/>
  <c r="DG84" i="13"/>
  <c r="DR84" i="13" s="1"/>
  <c r="DU81" i="13"/>
  <c r="DM81" i="13"/>
  <c r="DK81" i="13"/>
  <c r="DL81" i="13" s="1"/>
  <c r="DJ81" i="13"/>
  <c r="DI81" i="13"/>
  <c r="DG81" i="13"/>
  <c r="DR81" i="13" s="1"/>
  <c r="DU80" i="13"/>
  <c r="DM80" i="13"/>
  <c r="DK80" i="13"/>
  <c r="DL80" i="13" s="1"/>
  <c r="DJ80" i="13"/>
  <c r="DI80" i="13"/>
  <c r="DG80" i="13"/>
  <c r="DR80" i="13" s="1"/>
  <c r="DU79" i="13"/>
  <c r="DM79" i="13"/>
  <c r="DK79" i="13"/>
  <c r="DL79" i="13" s="1"/>
  <c r="DJ79" i="13"/>
  <c r="DI79" i="13"/>
  <c r="DG79" i="13"/>
  <c r="DR79" i="13" s="1"/>
  <c r="DU76" i="13"/>
  <c r="DM76" i="13"/>
  <c r="DK76" i="13"/>
  <c r="DL76" i="13" s="1"/>
  <c r="DJ76" i="13"/>
  <c r="DI76" i="13"/>
  <c r="DG76" i="13"/>
  <c r="DR76" i="13" s="1"/>
  <c r="DU75" i="13"/>
  <c r="DM75" i="13"/>
  <c r="DK75" i="13"/>
  <c r="DL75" i="13" s="1"/>
  <c r="DJ75" i="13"/>
  <c r="DI75" i="13"/>
  <c r="DG75" i="13"/>
  <c r="DR75" i="13" s="1"/>
  <c r="DU74" i="13"/>
  <c r="DM74" i="13"/>
  <c r="DK74" i="13"/>
  <c r="DL74" i="13" s="1"/>
  <c r="DJ74" i="13"/>
  <c r="DI74" i="13"/>
  <c r="DG74" i="13"/>
  <c r="DR74" i="13" s="1"/>
  <c r="DU71" i="13"/>
  <c r="DM71" i="13"/>
  <c r="DK71" i="13"/>
  <c r="DL71" i="13" s="1"/>
  <c r="DJ71" i="13"/>
  <c r="DI71" i="13"/>
  <c r="DG71" i="13"/>
  <c r="DR71" i="13" s="1"/>
  <c r="DU70" i="13"/>
  <c r="DM70" i="13"/>
  <c r="DK70" i="13"/>
  <c r="DL70" i="13" s="1"/>
  <c r="DJ70" i="13"/>
  <c r="DI70" i="13"/>
  <c r="DG70" i="13"/>
  <c r="DR70" i="13" s="1"/>
  <c r="DU69" i="13"/>
  <c r="DM69" i="13"/>
  <c r="DK69" i="13"/>
  <c r="DL69" i="13" s="1"/>
  <c r="DJ69" i="13"/>
  <c r="DI69" i="13"/>
  <c r="DG69" i="13"/>
  <c r="DR69" i="13" s="1"/>
  <c r="DU66" i="13"/>
  <c r="DM66" i="13"/>
  <c r="DK66" i="13"/>
  <c r="DL66" i="13" s="1"/>
  <c r="DJ66" i="13"/>
  <c r="DI66" i="13"/>
  <c r="DG66" i="13"/>
  <c r="DR66" i="13" s="1"/>
  <c r="DU65" i="13"/>
  <c r="DM65" i="13"/>
  <c r="DK65" i="13"/>
  <c r="DL65" i="13" s="1"/>
  <c r="DJ65" i="13"/>
  <c r="DI65" i="13"/>
  <c r="DG65" i="13"/>
  <c r="DR65" i="13" s="1"/>
  <c r="DU64" i="13"/>
  <c r="DM64" i="13"/>
  <c r="DK64" i="13"/>
  <c r="DL64" i="13" s="1"/>
  <c r="DJ64" i="13"/>
  <c r="DI64" i="13"/>
  <c r="DG64" i="13"/>
  <c r="DR64" i="13" s="1"/>
  <c r="DU61" i="13"/>
  <c r="DM61" i="13"/>
  <c r="DK61" i="13"/>
  <c r="DL61" i="13" s="1"/>
  <c r="DJ61" i="13"/>
  <c r="DI61" i="13"/>
  <c r="DG61" i="13"/>
  <c r="DR61" i="13" s="1"/>
  <c r="DU60" i="13"/>
  <c r="DM60" i="13"/>
  <c r="DK60" i="13"/>
  <c r="DL60" i="13" s="1"/>
  <c r="DJ60" i="13"/>
  <c r="DI60" i="13"/>
  <c r="DG60" i="13"/>
  <c r="DR60" i="13" s="1"/>
  <c r="DU59" i="13"/>
  <c r="DM59" i="13"/>
  <c r="DK59" i="13"/>
  <c r="DL59" i="13" s="1"/>
  <c r="DJ59" i="13"/>
  <c r="DI59" i="13"/>
  <c r="DG59" i="13"/>
  <c r="DR59" i="13" s="1"/>
  <c r="DU58" i="13"/>
  <c r="DM58" i="13"/>
  <c r="DK58" i="13"/>
  <c r="DL58" i="13" s="1"/>
  <c r="DJ58" i="13"/>
  <c r="DI58" i="13"/>
  <c r="DG58" i="13"/>
  <c r="DR58" i="13" s="1"/>
  <c r="DU55" i="13"/>
  <c r="DM55" i="13"/>
  <c r="DK55" i="13"/>
  <c r="DL55" i="13" s="1"/>
  <c r="DI55" i="13"/>
  <c r="DG55" i="13"/>
  <c r="DR55" i="13" s="1"/>
  <c r="DU54" i="13"/>
  <c r="DM54" i="13"/>
  <c r="DK54" i="13"/>
  <c r="DL54" i="13" s="1"/>
  <c r="DI54" i="13"/>
  <c r="DG54" i="13"/>
  <c r="DR54" i="13" s="1"/>
  <c r="DU53" i="13"/>
  <c r="DM53" i="13"/>
  <c r="DK53" i="13"/>
  <c r="DL53" i="13" s="1"/>
  <c r="DI53" i="13"/>
  <c r="DG53" i="13"/>
  <c r="DR53" i="13" s="1"/>
  <c r="DU52" i="13"/>
  <c r="DM52" i="13"/>
  <c r="DK52" i="13"/>
  <c r="DL52" i="13" s="1"/>
  <c r="DJ52" i="13"/>
  <c r="DI52" i="13"/>
  <c r="DG52" i="13"/>
  <c r="DR52" i="13" s="1"/>
  <c r="DU51" i="13"/>
  <c r="DM51" i="13"/>
  <c r="DK51" i="13"/>
  <c r="DL51" i="13" s="1"/>
  <c r="DJ51" i="13"/>
  <c r="DI51" i="13"/>
  <c r="DG51" i="13"/>
  <c r="DR51" i="13" s="1"/>
  <c r="DU50" i="13"/>
  <c r="DM50" i="13"/>
  <c r="DK50" i="13"/>
  <c r="DL50" i="13" s="1"/>
  <c r="DJ50" i="13"/>
  <c r="DI50" i="13"/>
  <c r="DG50" i="13"/>
  <c r="DR50" i="13" s="1"/>
  <c r="DU47" i="13"/>
  <c r="DM47" i="13"/>
  <c r="DK47" i="13"/>
  <c r="DL47" i="13" s="1"/>
  <c r="DJ47" i="13"/>
  <c r="DI47" i="13"/>
  <c r="DG47" i="13"/>
  <c r="DR47" i="13" s="1"/>
  <c r="DU46" i="13"/>
  <c r="DM46" i="13"/>
  <c r="DK46" i="13"/>
  <c r="DL46" i="13" s="1"/>
  <c r="DJ46" i="13"/>
  <c r="DI46" i="13"/>
  <c r="DG46" i="13"/>
  <c r="DR46" i="13" s="1"/>
  <c r="DU45" i="13"/>
  <c r="DM45" i="13"/>
  <c r="DK45" i="13"/>
  <c r="DL45" i="13" s="1"/>
  <c r="DJ45" i="13"/>
  <c r="DI45" i="13"/>
  <c r="DG45" i="13"/>
  <c r="DR45" i="13" s="1"/>
  <c r="DU44" i="13"/>
  <c r="DM44" i="13"/>
  <c r="DK44" i="13"/>
  <c r="DL44" i="13" s="1"/>
  <c r="DJ44" i="13"/>
  <c r="DI44" i="13"/>
  <c r="DG44" i="13"/>
  <c r="DR44" i="13" s="1"/>
  <c r="DU43" i="13"/>
  <c r="DM43" i="13"/>
  <c r="DK43" i="13"/>
  <c r="DL43" i="13" s="1"/>
  <c r="DJ43" i="13"/>
  <c r="DI43" i="13"/>
  <c r="DG43" i="13"/>
  <c r="DR43" i="13" s="1"/>
  <c r="DU42" i="13"/>
  <c r="DM42" i="13"/>
  <c r="DK42" i="13"/>
  <c r="DL42" i="13" s="1"/>
  <c r="DJ42" i="13"/>
  <c r="DI42" i="13"/>
  <c r="DG42" i="13"/>
  <c r="DR42" i="13" s="1"/>
  <c r="DU39" i="13"/>
  <c r="DM39" i="13"/>
  <c r="DK39" i="13"/>
  <c r="DL39" i="13" s="1"/>
  <c r="DJ39" i="13"/>
  <c r="DI39" i="13"/>
  <c r="DG39" i="13"/>
  <c r="DR39" i="13" s="1"/>
  <c r="DU38" i="13"/>
  <c r="DM38" i="13"/>
  <c r="DK38" i="13"/>
  <c r="DL38" i="13" s="1"/>
  <c r="DJ38" i="13"/>
  <c r="DI38" i="13"/>
  <c r="DG38" i="13"/>
  <c r="DR38" i="13" s="1"/>
  <c r="DU37" i="13"/>
  <c r="DM37" i="13"/>
  <c r="DK37" i="13"/>
  <c r="DL37" i="13" s="1"/>
  <c r="DJ37" i="13"/>
  <c r="DI37" i="13"/>
  <c r="DG37" i="13"/>
  <c r="DR37" i="13" s="1"/>
  <c r="DU36" i="13"/>
  <c r="DM36" i="13"/>
  <c r="DK36" i="13"/>
  <c r="DL36" i="13" s="1"/>
  <c r="DJ36" i="13"/>
  <c r="DI36" i="13"/>
  <c r="DG36" i="13"/>
  <c r="DR36" i="13" s="1"/>
  <c r="DU33" i="13"/>
  <c r="DM33" i="13"/>
  <c r="DK33" i="13"/>
  <c r="DL33" i="13" s="1"/>
  <c r="DJ33" i="13"/>
  <c r="DI33" i="13"/>
  <c r="DG33" i="13"/>
  <c r="DR33" i="13" s="1"/>
  <c r="DU32" i="13"/>
  <c r="DM32" i="13"/>
  <c r="DK32" i="13"/>
  <c r="DL32" i="13" s="1"/>
  <c r="DJ32" i="13"/>
  <c r="DI32" i="13"/>
  <c r="DG32" i="13"/>
  <c r="DR32" i="13" s="1"/>
  <c r="DU31" i="13"/>
  <c r="DM31" i="13"/>
  <c r="DK31" i="13"/>
  <c r="DL31" i="13" s="1"/>
  <c r="DJ31" i="13"/>
  <c r="DI31" i="13"/>
  <c r="DG31" i="13"/>
  <c r="DR31" i="13" s="1"/>
  <c r="DU30" i="13"/>
  <c r="DM30" i="13"/>
  <c r="DK30" i="13"/>
  <c r="DL30" i="13" s="1"/>
  <c r="DJ30" i="13"/>
  <c r="DI30" i="13"/>
  <c r="DG30" i="13"/>
  <c r="DR30" i="13" s="1"/>
  <c r="DU29" i="13"/>
  <c r="DM29" i="13"/>
  <c r="DK29" i="13"/>
  <c r="DL29" i="13" s="1"/>
  <c r="DJ29" i="13"/>
  <c r="DI29" i="13"/>
  <c r="DG29" i="13"/>
  <c r="DR29" i="13" s="1"/>
  <c r="DU28" i="13"/>
  <c r="DM28" i="13"/>
  <c r="DK28" i="13"/>
  <c r="DL28" i="13" s="1"/>
  <c r="DJ28" i="13"/>
  <c r="DI28" i="13"/>
  <c r="DG28" i="13"/>
  <c r="DU27" i="13"/>
  <c r="DM27" i="13"/>
  <c r="DK27" i="13"/>
  <c r="DL27" i="13" s="1"/>
  <c r="DJ27" i="13"/>
  <c r="DI27" i="13"/>
  <c r="DG27" i="13"/>
  <c r="DQ27" i="13" s="1"/>
  <c r="DU24" i="13"/>
  <c r="DM24" i="13"/>
  <c r="DK24" i="13"/>
  <c r="DL24" i="13" s="1"/>
  <c r="DJ24" i="13"/>
  <c r="DI24" i="13"/>
  <c r="DG24" i="13"/>
  <c r="DR24" i="13" s="1"/>
  <c r="DU23" i="13"/>
  <c r="DM23" i="13"/>
  <c r="DK23" i="13"/>
  <c r="DL23" i="13" s="1"/>
  <c r="DJ23" i="13"/>
  <c r="DI23" i="13"/>
  <c r="DG23" i="13"/>
  <c r="DR23" i="13" s="1"/>
  <c r="DU22" i="13"/>
  <c r="DM22" i="13"/>
  <c r="DK22" i="13"/>
  <c r="DL22" i="13" s="1"/>
  <c r="DJ22" i="13"/>
  <c r="DI22" i="13"/>
  <c r="DG22" i="13"/>
  <c r="DR22" i="13" s="1"/>
  <c r="DU21" i="13"/>
  <c r="DM21" i="13"/>
  <c r="DK21" i="13"/>
  <c r="DL21" i="13" s="1"/>
  <c r="DJ21" i="13"/>
  <c r="DI21" i="13"/>
  <c r="DG21" i="13"/>
  <c r="DR21" i="13" s="1"/>
  <c r="DU18" i="13"/>
  <c r="DM18" i="13"/>
  <c r="DK18" i="13"/>
  <c r="DL18" i="13" s="1"/>
  <c r="DJ18" i="13"/>
  <c r="DI18" i="13"/>
  <c r="DG18" i="13"/>
  <c r="DR18" i="13" s="1"/>
  <c r="DU17" i="13"/>
  <c r="DM17" i="13"/>
  <c r="DK17" i="13"/>
  <c r="DL17" i="13" s="1"/>
  <c r="DJ17" i="13"/>
  <c r="DI17" i="13"/>
  <c r="DG17" i="13"/>
  <c r="DR17" i="13" s="1"/>
  <c r="DU16" i="13"/>
  <c r="DM16" i="13"/>
  <c r="DK16" i="13"/>
  <c r="DL16" i="13" s="1"/>
  <c r="DJ16" i="13"/>
  <c r="DI16" i="13"/>
  <c r="DG16" i="13"/>
  <c r="DR16" i="13" s="1"/>
  <c r="DU15" i="13"/>
  <c r="DM15" i="13"/>
  <c r="DK15" i="13"/>
  <c r="DL15" i="13" s="1"/>
  <c r="DJ15" i="13"/>
  <c r="DI15" i="13"/>
  <c r="DG15" i="13"/>
  <c r="DR15" i="13" s="1"/>
  <c r="DU14" i="13"/>
  <c r="DM14" i="13"/>
  <c r="DK14" i="13"/>
  <c r="DL14" i="13" s="1"/>
  <c r="DJ14" i="13"/>
  <c r="DI14" i="13"/>
  <c r="DG14" i="13"/>
  <c r="DR14" i="13" s="1"/>
  <c r="DU13" i="13"/>
  <c r="DM13" i="13"/>
  <c r="DK13" i="13"/>
  <c r="DL13" i="13" s="1"/>
  <c r="DJ13" i="13"/>
  <c r="DI13" i="13"/>
  <c r="DG13" i="13"/>
  <c r="DR13" i="13" s="1"/>
  <c r="DU10" i="13"/>
  <c r="DM10" i="13"/>
  <c r="DK10" i="13"/>
  <c r="DL10" i="13" s="1"/>
  <c r="DJ10" i="13"/>
  <c r="DJ55" i="13" s="1"/>
  <c r="DI10" i="13"/>
  <c r="DG10" i="13"/>
  <c r="DR10" i="13" s="1"/>
  <c r="DU9" i="13"/>
  <c r="DM9" i="13"/>
  <c r="DK9" i="13"/>
  <c r="DL9" i="13" s="1"/>
  <c r="DJ9" i="13"/>
  <c r="DJ54" i="13" s="1"/>
  <c r="DI9" i="13"/>
  <c r="DG9" i="13"/>
  <c r="DR9" i="13" s="1"/>
  <c r="DU8" i="13"/>
  <c r="DM8" i="13"/>
  <c r="DK8" i="13"/>
  <c r="DL8" i="13" s="1"/>
  <c r="DJ8" i="13"/>
  <c r="DJ53" i="13" s="1"/>
  <c r="DI8" i="13"/>
  <c r="DG8" i="13"/>
  <c r="DR8" i="13" s="1"/>
  <c r="DC164" i="13"/>
  <c r="CU164" i="13"/>
  <c r="CS164" i="13"/>
  <c r="CT164" i="13" s="1"/>
  <c r="CR164" i="13"/>
  <c r="CQ164" i="13"/>
  <c r="CO164" i="13"/>
  <c r="CY164" i="13" s="1"/>
  <c r="DC163" i="13"/>
  <c r="CU163" i="13"/>
  <c r="CS163" i="13"/>
  <c r="CT163" i="13" s="1"/>
  <c r="CR163" i="13"/>
  <c r="CQ163" i="13"/>
  <c r="CO163" i="13"/>
  <c r="CZ163" i="13" s="1"/>
  <c r="DC162" i="13"/>
  <c r="CU162" i="13"/>
  <c r="CS162" i="13"/>
  <c r="CT162" i="13" s="1"/>
  <c r="CR162" i="13"/>
  <c r="CQ162" i="13"/>
  <c r="CO162" i="13"/>
  <c r="CZ162" i="13" s="1"/>
  <c r="DC161" i="13"/>
  <c r="CU161" i="13"/>
  <c r="CS161" i="13"/>
  <c r="CT161" i="13" s="1"/>
  <c r="CR161" i="13"/>
  <c r="CQ161" i="13"/>
  <c r="CO161" i="13"/>
  <c r="CZ161" i="13" s="1"/>
  <c r="DC160" i="13"/>
  <c r="CU160" i="13"/>
  <c r="CS160" i="13"/>
  <c r="CT160" i="13" s="1"/>
  <c r="CR160" i="13"/>
  <c r="CQ160" i="13"/>
  <c r="CO160" i="13"/>
  <c r="CZ160" i="13" s="1"/>
  <c r="DC159" i="13"/>
  <c r="CU159" i="13"/>
  <c r="CS159" i="13"/>
  <c r="CT159" i="13" s="1"/>
  <c r="CR159" i="13"/>
  <c r="CQ159" i="13"/>
  <c r="CO159" i="13"/>
  <c r="CZ159" i="13" s="1"/>
  <c r="DC158" i="13"/>
  <c r="CU158" i="13"/>
  <c r="CS158" i="13"/>
  <c r="CT158" i="13" s="1"/>
  <c r="CR158" i="13"/>
  <c r="CQ158" i="13"/>
  <c r="CO158" i="13"/>
  <c r="CZ158" i="13" s="1"/>
  <c r="DC157" i="13"/>
  <c r="CU157" i="13"/>
  <c r="CS157" i="13"/>
  <c r="CT157" i="13" s="1"/>
  <c r="CR157" i="13"/>
  <c r="CQ157" i="13"/>
  <c r="CO157" i="13"/>
  <c r="CZ157" i="13" s="1"/>
  <c r="DC154" i="13"/>
  <c r="CU154" i="13"/>
  <c r="CS154" i="13"/>
  <c r="CT154" i="13" s="1"/>
  <c r="CR154" i="13"/>
  <c r="CQ154" i="13"/>
  <c r="CO154" i="13"/>
  <c r="CZ154" i="13" s="1"/>
  <c r="DC153" i="13"/>
  <c r="CU153" i="13"/>
  <c r="CS153" i="13"/>
  <c r="CT153" i="13" s="1"/>
  <c r="CR153" i="13"/>
  <c r="CQ153" i="13"/>
  <c r="CO153" i="13"/>
  <c r="CZ153" i="13" s="1"/>
  <c r="DC152" i="13"/>
  <c r="CU152" i="13"/>
  <c r="CS152" i="13"/>
  <c r="CT152" i="13" s="1"/>
  <c r="CR152" i="13"/>
  <c r="CQ152" i="13"/>
  <c r="CO152" i="13"/>
  <c r="CZ152" i="13" s="1"/>
  <c r="DC149" i="13"/>
  <c r="CU149" i="13"/>
  <c r="CS149" i="13"/>
  <c r="CT149" i="13" s="1"/>
  <c r="CR149" i="13"/>
  <c r="CQ149" i="13"/>
  <c r="CO149" i="13"/>
  <c r="CZ149" i="13" s="1"/>
  <c r="DC148" i="13"/>
  <c r="CU148" i="13"/>
  <c r="CS148" i="13"/>
  <c r="CT148" i="13" s="1"/>
  <c r="CR148" i="13"/>
  <c r="CQ148" i="13"/>
  <c r="CO148" i="13"/>
  <c r="CZ148" i="13" s="1"/>
  <c r="DC147" i="13"/>
  <c r="CU147" i="13"/>
  <c r="CS147" i="13"/>
  <c r="CT147" i="13" s="1"/>
  <c r="CR147" i="13"/>
  <c r="CQ147" i="13"/>
  <c r="CO147" i="13"/>
  <c r="CZ147" i="13" s="1"/>
  <c r="DC144" i="13"/>
  <c r="CU144" i="13"/>
  <c r="CS144" i="13"/>
  <c r="CT144" i="13" s="1"/>
  <c r="CR144" i="13"/>
  <c r="CQ144" i="13"/>
  <c r="CO144" i="13"/>
  <c r="CZ144" i="13" s="1"/>
  <c r="DC143" i="13"/>
  <c r="CU143" i="13"/>
  <c r="CS143" i="13"/>
  <c r="CT143" i="13" s="1"/>
  <c r="CR143" i="13"/>
  <c r="CQ143" i="13"/>
  <c r="CO143" i="13"/>
  <c r="CZ143" i="13" s="1"/>
  <c r="DC142" i="13"/>
  <c r="CU142" i="13"/>
  <c r="CS142" i="13"/>
  <c r="CT142" i="13" s="1"/>
  <c r="CR142" i="13"/>
  <c r="CQ142" i="13"/>
  <c r="CO142" i="13"/>
  <c r="CZ142" i="13" s="1"/>
  <c r="DC139" i="13"/>
  <c r="CU139" i="13"/>
  <c r="CS139" i="13"/>
  <c r="CT139" i="13" s="1"/>
  <c r="CR139" i="13"/>
  <c r="CQ139" i="13"/>
  <c r="CO139" i="13"/>
  <c r="CZ139" i="13" s="1"/>
  <c r="DC138" i="13"/>
  <c r="CU138" i="13"/>
  <c r="CS138" i="13"/>
  <c r="CT138" i="13" s="1"/>
  <c r="CR138" i="13"/>
  <c r="CQ138" i="13"/>
  <c r="CO138" i="13"/>
  <c r="CZ138" i="13" s="1"/>
  <c r="DC137" i="13"/>
  <c r="CU137" i="13"/>
  <c r="CS137" i="13"/>
  <c r="CT137" i="13" s="1"/>
  <c r="CR137" i="13"/>
  <c r="CQ137" i="13"/>
  <c r="CO137" i="13"/>
  <c r="CZ137" i="13" s="1"/>
  <c r="DC134" i="13"/>
  <c r="CU134" i="13"/>
  <c r="CS134" i="13"/>
  <c r="CT134" i="13" s="1"/>
  <c r="CR134" i="13"/>
  <c r="CQ134" i="13"/>
  <c r="CO134" i="13"/>
  <c r="CZ134" i="13" s="1"/>
  <c r="DC133" i="13"/>
  <c r="CU133" i="13"/>
  <c r="CS133" i="13"/>
  <c r="CT133" i="13" s="1"/>
  <c r="CR133" i="13"/>
  <c r="CQ133" i="13"/>
  <c r="CO133" i="13"/>
  <c r="DC132" i="13"/>
  <c r="CU132" i="13"/>
  <c r="CS132" i="13"/>
  <c r="CT132" i="13" s="1"/>
  <c r="CR132" i="13"/>
  <c r="CQ132" i="13"/>
  <c r="CO132" i="13"/>
  <c r="CY132" i="13" s="1"/>
  <c r="DC129" i="13"/>
  <c r="CU129" i="13"/>
  <c r="CS129" i="13"/>
  <c r="CT129" i="13" s="1"/>
  <c r="CR129" i="13"/>
  <c r="CQ129" i="13"/>
  <c r="CO129" i="13"/>
  <c r="CZ129" i="13" s="1"/>
  <c r="DC128" i="13"/>
  <c r="CU128" i="13"/>
  <c r="CS128" i="13"/>
  <c r="CT128" i="13" s="1"/>
  <c r="CR128" i="13"/>
  <c r="CQ128" i="13"/>
  <c r="CO128" i="13"/>
  <c r="CZ128" i="13" s="1"/>
  <c r="DC127" i="13"/>
  <c r="CU127" i="13"/>
  <c r="CS127" i="13"/>
  <c r="CT127" i="13" s="1"/>
  <c r="CR127" i="13"/>
  <c r="CQ127" i="13"/>
  <c r="CO127" i="13"/>
  <c r="CZ127" i="13" s="1"/>
  <c r="DC126" i="13"/>
  <c r="CU126" i="13"/>
  <c r="CS126" i="13"/>
  <c r="CT126" i="13" s="1"/>
  <c r="CR126" i="13"/>
  <c r="CQ126" i="13"/>
  <c r="CO126" i="13"/>
  <c r="CZ126" i="13" s="1"/>
  <c r="DC125" i="13"/>
  <c r="CU125" i="13"/>
  <c r="CS125" i="13"/>
  <c r="CT125" i="13" s="1"/>
  <c r="CR125" i="13"/>
  <c r="CQ125" i="13"/>
  <c r="CO125" i="13"/>
  <c r="CZ125" i="13" s="1"/>
  <c r="DC122" i="13"/>
  <c r="CU122" i="13"/>
  <c r="CS122" i="13"/>
  <c r="CT122" i="13" s="1"/>
  <c r="CR122" i="13"/>
  <c r="CQ122" i="13"/>
  <c r="CO122" i="13"/>
  <c r="CY122" i="13" s="1"/>
  <c r="DC121" i="13"/>
  <c r="CU121" i="13"/>
  <c r="CS121" i="13"/>
  <c r="CT121" i="13" s="1"/>
  <c r="CR121" i="13"/>
  <c r="CQ121" i="13"/>
  <c r="CO121" i="13"/>
  <c r="CY121" i="13" s="1"/>
  <c r="DC120" i="13"/>
  <c r="CU120" i="13"/>
  <c r="CS120" i="13"/>
  <c r="CT120" i="13" s="1"/>
  <c r="CR120" i="13"/>
  <c r="CQ120" i="13"/>
  <c r="CO120" i="13"/>
  <c r="CY120" i="13" s="1"/>
  <c r="DC119" i="13"/>
  <c r="CU119" i="13"/>
  <c r="CS119" i="13"/>
  <c r="CT119" i="13" s="1"/>
  <c r="CR119" i="13"/>
  <c r="CQ119" i="13"/>
  <c r="CO119" i="13"/>
  <c r="CY119" i="13" s="1"/>
  <c r="DC116" i="13"/>
  <c r="CU116" i="13"/>
  <c r="CS116" i="13"/>
  <c r="CT116" i="13" s="1"/>
  <c r="CR116" i="13"/>
  <c r="CQ116" i="13"/>
  <c r="CO116" i="13"/>
  <c r="CZ116" i="13" s="1"/>
  <c r="DC115" i="13"/>
  <c r="CU115" i="13"/>
  <c r="CS115" i="13"/>
  <c r="CT115" i="13" s="1"/>
  <c r="CR115" i="13"/>
  <c r="CQ115" i="13"/>
  <c r="CO115" i="13"/>
  <c r="CZ115" i="13" s="1"/>
  <c r="DC114" i="13"/>
  <c r="CS114" i="13"/>
  <c r="CT114" i="13" s="1"/>
  <c r="CQ114" i="13"/>
  <c r="CO114" i="13"/>
  <c r="CZ114" i="13" s="1"/>
  <c r="DC111" i="13"/>
  <c r="CU111" i="13"/>
  <c r="CS111" i="13"/>
  <c r="CT111" i="13" s="1"/>
  <c r="CR111" i="13"/>
  <c r="CQ111" i="13"/>
  <c r="CO111" i="13"/>
  <c r="CZ111" i="13" s="1"/>
  <c r="DC110" i="13"/>
  <c r="CU110" i="13"/>
  <c r="CS110" i="13"/>
  <c r="CT110" i="13" s="1"/>
  <c r="CR110" i="13"/>
  <c r="CQ110" i="13"/>
  <c r="CO110" i="13"/>
  <c r="CZ110" i="13" s="1"/>
  <c r="DC109" i="13"/>
  <c r="CU109" i="13"/>
  <c r="CS109" i="13"/>
  <c r="CT109" i="13" s="1"/>
  <c r="CR109" i="13"/>
  <c r="CQ109" i="13"/>
  <c r="CO109" i="13"/>
  <c r="CZ109" i="13" s="1"/>
  <c r="DC106" i="13"/>
  <c r="CU106" i="13"/>
  <c r="CS106" i="13"/>
  <c r="CT106" i="13" s="1"/>
  <c r="CR106" i="13"/>
  <c r="CQ106" i="13"/>
  <c r="CO106" i="13"/>
  <c r="CY106" i="13" s="1"/>
  <c r="DC105" i="13"/>
  <c r="CU105" i="13"/>
  <c r="CS105" i="13"/>
  <c r="CT105" i="13" s="1"/>
  <c r="CR105" i="13"/>
  <c r="CQ105" i="13"/>
  <c r="CO105" i="13"/>
  <c r="CY105" i="13" s="1"/>
  <c r="DC104" i="13"/>
  <c r="CU104" i="13"/>
  <c r="CS104" i="13"/>
  <c r="CT104" i="13" s="1"/>
  <c r="CR104" i="13"/>
  <c r="CQ104" i="13"/>
  <c r="CO104" i="13"/>
  <c r="CY104" i="13" s="1"/>
  <c r="DC101" i="13"/>
  <c r="CU101" i="13"/>
  <c r="CS101" i="13"/>
  <c r="CT101" i="13" s="1"/>
  <c r="CR101" i="13"/>
  <c r="CQ101" i="13"/>
  <c r="CO101" i="13"/>
  <c r="CZ101" i="13" s="1"/>
  <c r="DC100" i="13"/>
  <c r="CU100" i="13"/>
  <c r="CS100" i="13"/>
  <c r="CT100" i="13" s="1"/>
  <c r="CR100" i="13"/>
  <c r="CQ100" i="13"/>
  <c r="CO100" i="13"/>
  <c r="CZ100" i="13" s="1"/>
  <c r="DC99" i="13"/>
  <c r="CU99" i="13"/>
  <c r="CS99" i="13"/>
  <c r="CT99" i="13" s="1"/>
  <c r="CR99" i="13"/>
  <c r="CQ99" i="13"/>
  <c r="CO99" i="13"/>
  <c r="CZ99" i="13" s="1"/>
  <c r="DC96" i="13"/>
  <c r="CU96" i="13"/>
  <c r="CS96" i="13"/>
  <c r="CT96" i="13" s="1"/>
  <c r="CR96" i="13"/>
  <c r="CQ96" i="13"/>
  <c r="CO96" i="13"/>
  <c r="CY96" i="13" s="1"/>
  <c r="DC95" i="13"/>
  <c r="CU95" i="13"/>
  <c r="CS95" i="13"/>
  <c r="CT95" i="13" s="1"/>
  <c r="CR95" i="13"/>
  <c r="CQ95" i="13"/>
  <c r="CO95" i="13"/>
  <c r="CY95" i="13" s="1"/>
  <c r="DC94" i="13"/>
  <c r="CU94" i="13"/>
  <c r="CS94" i="13"/>
  <c r="CT94" i="13" s="1"/>
  <c r="CR94" i="13"/>
  <c r="CQ94" i="13"/>
  <c r="CO94" i="13"/>
  <c r="CY94" i="13" s="1"/>
  <c r="DC91" i="13"/>
  <c r="CU91" i="13"/>
  <c r="CS91" i="13"/>
  <c r="CT91" i="13" s="1"/>
  <c r="CR91" i="13"/>
  <c r="CQ91" i="13"/>
  <c r="CO91" i="13"/>
  <c r="CZ91" i="13" s="1"/>
  <c r="DC90" i="13"/>
  <c r="CU90" i="13"/>
  <c r="CS90" i="13"/>
  <c r="CT90" i="13" s="1"/>
  <c r="CR90" i="13"/>
  <c r="CQ90" i="13"/>
  <c r="CO90" i="13"/>
  <c r="CZ90" i="13" s="1"/>
  <c r="DC89" i="13"/>
  <c r="CU89" i="13"/>
  <c r="CS89" i="13"/>
  <c r="CT89" i="13" s="1"/>
  <c r="CR89" i="13"/>
  <c r="CQ89" i="13"/>
  <c r="CO89" i="13"/>
  <c r="CZ89" i="13" s="1"/>
  <c r="DC86" i="13"/>
  <c r="CU86" i="13"/>
  <c r="CS86" i="13"/>
  <c r="CT86" i="13" s="1"/>
  <c r="CR86" i="13"/>
  <c r="CQ86" i="13"/>
  <c r="CO86" i="13"/>
  <c r="CZ86" i="13" s="1"/>
  <c r="DC85" i="13"/>
  <c r="CU85" i="13"/>
  <c r="CS85" i="13"/>
  <c r="CT85" i="13" s="1"/>
  <c r="CR85" i="13"/>
  <c r="CQ85" i="13"/>
  <c r="CO85" i="13"/>
  <c r="CZ85" i="13" s="1"/>
  <c r="DC84" i="13"/>
  <c r="CU84" i="13"/>
  <c r="CS84" i="13"/>
  <c r="CT84" i="13" s="1"/>
  <c r="CR84" i="13"/>
  <c r="CQ84" i="13"/>
  <c r="CO84" i="13"/>
  <c r="CZ84" i="13" s="1"/>
  <c r="DC81" i="13"/>
  <c r="CU81" i="13"/>
  <c r="CS81" i="13"/>
  <c r="CT81" i="13" s="1"/>
  <c r="CR81" i="13"/>
  <c r="CQ81" i="13"/>
  <c r="CO81" i="13"/>
  <c r="CZ81" i="13" s="1"/>
  <c r="DC80" i="13"/>
  <c r="CU80" i="13"/>
  <c r="CS80" i="13"/>
  <c r="CT80" i="13" s="1"/>
  <c r="CR80" i="13"/>
  <c r="CQ80" i="13"/>
  <c r="CO80" i="13"/>
  <c r="CZ80" i="13" s="1"/>
  <c r="DC79" i="13"/>
  <c r="CU79" i="13"/>
  <c r="CS79" i="13"/>
  <c r="CT79" i="13" s="1"/>
  <c r="CR79" i="13"/>
  <c r="CQ79" i="13"/>
  <c r="CO79" i="13"/>
  <c r="CZ79" i="13" s="1"/>
  <c r="DC76" i="13"/>
  <c r="CU76" i="13"/>
  <c r="CS76" i="13"/>
  <c r="CT76" i="13" s="1"/>
  <c r="CR76" i="13"/>
  <c r="CQ76" i="13"/>
  <c r="CO76" i="13"/>
  <c r="CZ76" i="13" s="1"/>
  <c r="DC75" i="13"/>
  <c r="CU75" i="13"/>
  <c r="CS75" i="13"/>
  <c r="CT75" i="13" s="1"/>
  <c r="CR75" i="13"/>
  <c r="CQ75" i="13"/>
  <c r="CO75" i="13"/>
  <c r="CZ75" i="13" s="1"/>
  <c r="DC74" i="13"/>
  <c r="CU74" i="13"/>
  <c r="CS74" i="13"/>
  <c r="CT74" i="13" s="1"/>
  <c r="CR74" i="13"/>
  <c r="CQ74" i="13"/>
  <c r="CO74" i="13"/>
  <c r="CZ74" i="13" s="1"/>
  <c r="DC71" i="13"/>
  <c r="CU71" i="13"/>
  <c r="CS71" i="13"/>
  <c r="CT71" i="13" s="1"/>
  <c r="CR71" i="13"/>
  <c r="CQ71" i="13"/>
  <c r="CO71" i="13"/>
  <c r="CZ71" i="13" s="1"/>
  <c r="DC70" i="13"/>
  <c r="CU70" i="13"/>
  <c r="CS70" i="13"/>
  <c r="CT70" i="13" s="1"/>
  <c r="CR70" i="13"/>
  <c r="CQ70" i="13"/>
  <c r="CO70" i="13"/>
  <c r="CZ70" i="13" s="1"/>
  <c r="DC69" i="13"/>
  <c r="CU69" i="13"/>
  <c r="CS69" i="13"/>
  <c r="CT69" i="13" s="1"/>
  <c r="CR69" i="13"/>
  <c r="CQ69" i="13"/>
  <c r="CO69" i="13"/>
  <c r="CZ69" i="13" s="1"/>
  <c r="DC66" i="13"/>
  <c r="CU66" i="13"/>
  <c r="CS66" i="13"/>
  <c r="CT66" i="13" s="1"/>
  <c r="CR66" i="13"/>
  <c r="CQ66" i="13"/>
  <c r="CO66" i="13"/>
  <c r="CZ66" i="13" s="1"/>
  <c r="DC65" i="13"/>
  <c r="CU65" i="13"/>
  <c r="CS65" i="13"/>
  <c r="CT65" i="13" s="1"/>
  <c r="CR65" i="13"/>
  <c r="CQ65" i="13"/>
  <c r="CO65" i="13"/>
  <c r="CZ65" i="13" s="1"/>
  <c r="DC64" i="13"/>
  <c r="CU64" i="13"/>
  <c r="CS64" i="13"/>
  <c r="CT64" i="13" s="1"/>
  <c r="CR64" i="13"/>
  <c r="CQ64" i="13"/>
  <c r="CO64" i="13"/>
  <c r="CZ64" i="13" s="1"/>
  <c r="DC61" i="13"/>
  <c r="CU61" i="13"/>
  <c r="CS61" i="13"/>
  <c r="CT61" i="13" s="1"/>
  <c r="CR61" i="13"/>
  <c r="CQ61" i="13"/>
  <c r="CO61" i="13"/>
  <c r="CZ61" i="13" s="1"/>
  <c r="DC60" i="13"/>
  <c r="CU60" i="13"/>
  <c r="CS60" i="13"/>
  <c r="CT60" i="13" s="1"/>
  <c r="CR60" i="13"/>
  <c r="CQ60" i="13"/>
  <c r="CO60" i="13"/>
  <c r="CZ60" i="13" s="1"/>
  <c r="DC59" i="13"/>
  <c r="CU59" i="13"/>
  <c r="CS59" i="13"/>
  <c r="CT59" i="13" s="1"/>
  <c r="CR59" i="13"/>
  <c r="CQ59" i="13"/>
  <c r="CO59" i="13"/>
  <c r="CZ59" i="13" s="1"/>
  <c r="DC58" i="13"/>
  <c r="CU58" i="13"/>
  <c r="CS58" i="13"/>
  <c r="CT58" i="13" s="1"/>
  <c r="CR58" i="13"/>
  <c r="CQ58" i="13"/>
  <c r="CO58" i="13"/>
  <c r="CZ58" i="13" s="1"/>
  <c r="DC55" i="13"/>
  <c r="CU55" i="13"/>
  <c r="CS55" i="13"/>
  <c r="CT55" i="13" s="1"/>
  <c r="CQ55" i="13"/>
  <c r="CO55" i="13"/>
  <c r="CZ55" i="13" s="1"/>
  <c r="DC54" i="13"/>
  <c r="CU54" i="13"/>
  <c r="CS54" i="13"/>
  <c r="CT54" i="13" s="1"/>
  <c r="CQ54" i="13"/>
  <c r="CO54" i="13"/>
  <c r="CZ54" i="13" s="1"/>
  <c r="DC53" i="13"/>
  <c r="CU53" i="13"/>
  <c r="CS53" i="13"/>
  <c r="CT53" i="13" s="1"/>
  <c r="CQ53" i="13"/>
  <c r="CO53" i="13"/>
  <c r="CZ53" i="13" s="1"/>
  <c r="DC52" i="13"/>
  <c r="CU52" i="13"/>
  <c r="CS52" i="13"/>
  <c r="CT52" i="13" s="1"/>
  <c r="CR52" i="13"/>
  <c r="CQ52" i="13"/>
  <c r="CO52" i="13"/>
  <c r="CZ52" i="13" s="1"/>
  <c r="DC51" i="13"/>
  <c r="CU51" i="13"/>
  <c r="CS51" i="13"/>
  <c r="CT51" i="13" s="1"/>
  <c r="CR51" i="13"/>
  <c r="CQ51" i="13"/>
  <c r="CO51" i="13"/>
  <c r="CZ51" i="13" s="1"/>
  <c r="DC50" i="13"/>
  <c r="CU50" i="13"/>
  <c r="CS50" i="13"/>
  <c r="CT50" i="13" s="1"/>
  <c r="CR50" i="13"/>
  <c r="CQ50" i="13"/>
  <c r="CO50" i="13"/>
  <c r="CZ50" i="13" s="1"/>
  <c r="DC47" i="13"/>
  <c r="CU47" i="13"/>
  <c r="CS47" i="13"/>
  <c r="CT47" i="13" s="1"/>
  <c r="CR47" i="13"/>
  <c r="CQ47" i="13"/>
  <c r="CO47" i="13"/>
  <c r="CZ47" i="13" s="1"/>
  <c r="DC46" i="13"/>
  <c r="CU46" i="13"/>
  <c r="CS46" i="13"/>
  <c r="CT46" i="13" s="1"/>
  <c r="CR46" i="13"/>
  <c r="CQ46" i="13"/>
  <c r="CO46" i="13"/>
  <c r="CZ46" i="13" s="1"/>
  <c r="DC45" i="13"/>
  <c r="CU45" i="13"/>
  <c r="CS45" i="13"/>
  <c r="CT45" i="13" s="1"/>
  <c r="CR45" i="13"/>
  <c r="CQ45" i="13"/>
  <c r="CO45" i="13"/>
  <c r="CZ45" i="13" s="1"/>
  <c r="DC44" i="13"/>
  <c r="CU44" i="13"/>
  <c r="CS44" i="13"/>
  <c r="CT44" i="13" s="1"/>
  <c r="CR44" i="13"/>
  <c r="CQ44" i="13"/>
  <c r="CO44" i="13"/>
  <c r="CZ44" i="13" s="1"/>
  <c r="DC43" i="13"/>
  <c r="CU43" i="13"/>
  <c r="CS43" i="13"/>
  <c r="CT43" i="13" s="1"/>
  <c r="CR43" i="13"/>
  <c r="CQ43" i="13"/>
  <c r="CO43" i="13"/>
  <c r="CZ43" i="13" s="1"/>
  <c r="DC42" i="13"/>
  <c r="CU42" i="13"/>
  <c r="CS42" i="13"/>
  <c r="CT42" i="13" s="1"/>
  <c r="CR42" i="13"/>
  <c r="CQ42" i="13"/>
  <c r="CO42" i="13"/>
  <c r="CZ42" i="13" s="1"/>
  <c r="DC39" i="13"/>
  <c r="CU39" i="13"/>
  <c r="CS39" i="13"/>
  <c r="CT39" i="13" s="1"/>
  <c r="CR39" i="13"/>
  <c r="CQ39" i="13"/>
  <c r="CO39" i="13"/>
  <c r="CZ39" i="13" s="1"/>
  <c r="DC38" i="13"/>
  <c r="CU38" i="13"/>
  <c r="CS38" i="13"/>
  <c r="CT38" i="13" s="1"/>
  <c r="CR38" i="13"/>
  <c r="CQ38" i="13"/>
  <c r="CO38" i="13"/>
  <c r="CZ38" i="13" s="1"/>
  <c r="DC37" i="13"/>
  <c r="CU37" i="13"/>
  <c r="CS37" i="13"/>
  <c r="CT37" i="13" s="1"/>
  <c r="CR37" i="13"/>
  <c r="CQ37" i="13"/>
  <c r="CO37" i="13"/>
  <c r="CZ37" i="13" s="1"/>
  <c r="DC36" i="13"/>
  <c r="CU36" i="13"/>
  <c r="CS36" i="13"/>
  <c r="CT36" i="13" s="1"/>
  <c r="CR36" i="13"/>
  <c r="CQ36" i="13"/>
  <c r="CO36" i="13"/>
  <c r="CZ36" i="13" s="1"/>
  <c r="DC33" i="13"/>
  <c r="CU33" i="13"/>
  <c r="CS33" i="13"/>
  <c r="CT33" i="13" s="1"/>
  <c r="CR33" i="13"/>
  <c r="CQ33" i="13"/>
  <c r="CO33" i="13"/>
  <c r="CZ33" i="13" s="1"/>
  <c r="DC32" i="13"/>
  <c r="CU32" i="13"/>
  <c r="CS32" i="13"/>
  <c r="CT32" i="13" s="1"/>
  <c r="CR32" i="13"/>
  <c r="CQ32" i="13"/>
  <c r="CO32" i="13"/>
  <c r="CZ32" i="13" s="1"/>
  <c r="DC31" i="13"/>
  <c r="CU31" i="13"/>
  <c r="CS31" i="13"/>
  <c r="CT31" i="13" s="1"/>
  <c r="CR31" i="13"/>
  <c r="CQ31" i="13"/>
  <c r="CO31" i="13"/>
  <c r="CZ31" i="13" s="1"/>
  <c r="DC30" i="13"/>
  <c r="CU30" i="13"/>
  <c r="CS30" i="13"/>
  <c r="CT30" i="13" s="1"/>
  <c r="CR30" i="13"/>
  <c r="CQ30" i="13"/>
  <c r="CO30" i="13"/>
  <c r="CZ30" i="13" s="1"/>
  <c r="DC29" i="13"/>
  <c r="CU29" i="13"/>
  <c r="CS29" i="13"/>
  <c r="CT29" i="13" s="1"/>
  <c r="CR29" i="13"/>
  <c r="CQ29" i="13"/>
  <c r="CO29" i="13"/>
  <c r="CZ29" i="13" s="1"/>
  <c r="DC28" i="13"/>
  <c r="CU28" i="13"/>
  <c r="CS28" i="13"/>
  <c r="CT28" i="13" s="1"/>
  <c r="CR28" i="13"/>
  <c r="CQ28" i="13"/>
  <c r="CO28" i="13"/>
  <c r="CZ28" i="13" s="1"/>
  <c r="DC27" i="13"/>
  <c r="CU27" i="13"/>
  <c r="CS27" i="13"/>
  <c r="CT27" i="13" s="1"/>
  <c r="CR27" i="13"/>
  <c r="CQ27" i="13"/>
  <c r="CO27" i="13"/>
  <c r="CZ27" i="13" s="1"/>
  <c r="DC24" i="13"/>
  <c r="CU24" i="13"/>
  <c r="CS24" i="13"/>
  <c r="CT24" i="13" s="1"/>
  <c r="CR24" i="13"/>
  <c r="CQ24" i="13"/>
  <c r="CO24" i="13"/>
  <c r="CY24" i="13" s="1"/>
  <c r="DC23" i="13"/>
  <c r="CU23" i="13"/>
  <c r="CS23" i="13"/>
  <c r="CT23" i="13" s="1"/>
  <c r="CR23" i="13"/>
  <c r="CQ23" i="13"/>
  <c r="CO23" i="13"/>
  <c r="CY23" i="13" s="1"/>
  <c r="DC22" i="13"/>
  <c r="CU22" i="13"/>
  <c r="CS22" i="13"/>
  <c r="CT22" i="13" s="1"/>
  <c r="CR22" i="13"/>
  <c r="CQ22" i="13"/>
  <c r="CO22" i="13"/>
  <c r="CY22" i="13" s="1"/>
  <c r="DC21" i="13"/>
  <c r="CU21" i="13"/>
  <c r="CS21" i="13"/>
  <c r="CT21" i="13" s="1"/>
  <c r="CR21" i="13"/>
  <c r="CQ21" i="13"/>
  <c r="CO21" i="13"/>
  <c r="CY21" i="13" s="1"/>
  <c r="DC18" i="13"/>
  <c r="CU18" i="13"/>
  <c r="CS18" i="13"/>
  <c r="CT18" i="13" s="1"/>
  <c r="CR18" i="13"/>
  <c r="CQ18" i="13"/>
  <c r="CO18" i="13"/>
  <c r="CZ18" i="13" s="1"/>
  <c r="DC17" i="13"/>
  <c r="CU17" i="13"/>
  <c r="CS17" i="13"/>
  <c r="CT17" i="13" s="1"/>
  <c r="CR17" i="13"/>
  <c r="CQ17" i="13"/>
  <c r="CO17" i="13"/>
  <c r="DC16" i="13"/>
  <c r="CU16" i="13"/>
  <c r="CS16" i="13"/>
  <c r="CT16" i="13" s="1"/>
  <c r="CR16" i="13"/>
  <c r="CQ16" i="13"/>
  <c r="CO16" i="13"/>
  <c r="CZ16" i="13" s="1"/>
  <c r="DC15" i="13"/>
  <c r="CU15" i="13"/>
  <c r="CS15" i="13"/>
  <c r="CT15" i="13" s="1"/>
  <c r="CR15" i="13"/>
  <c r="CQ15" i="13"/>
  <c r="CO15" i="13"/>
  <c r="CY15" i="13" s="1"/>
  <c r="DC14" i="13"/>
  <c r="CU14" i="13"/>
  <c r="CS14" i="13"/>
  <c r="CT14" i="13" s="1"/>
  <c r="CR14" i="13"/>
  <c r="CQ14" i="13"/>
  <c r="CO14" i="13"/>
  <c r="CY14" i="13" s="1"/>
  <c r="DC13" i="13"/>
  <c r="CU13" i="13"/>
  <c r="CS13" i="13"/>
  <c r="CT13" i="13" s="1"/>
  <c r="CR13" i="13"/>
  <c r="CQ13" i="13"/>
  <c r="CO13" i="13"/>
  <c r="CY13" i="13" s="1"/>
  <c r="DC10" i="13"/>
  <c r="CU10" i="13"/>
  <c r="CS10" i="13"/>
  <c r="CT10" i="13" s="1"/>
  <c r="CR10" i="13"/>
  <c r="CR55" i="13" s="1"/>
  <c r="CQ10" i="13"/>
  <c r="CO10" i="13"/>
  <c r="CZ10" i="13" s="1"/>
  <c r="DC9" i="13"/>
  <c r="CU9" i="13"/>
  <c r="CS9" i="13"/>
  <c r="CT9" i="13" s="1"/>
  <c r="CR9" i="13"/>
  <c r="CR54" i="13" s="1"/>
  <c r="CQ9" i="13"/>
  <c r="CO9" i="13"/>
  <c r="CZ9" i="13" s="1"/>
  <c r="DC8" i="13"/>
  <c r="CU8" i="13"/>
  <c r="CS8" i="13"/>
  <c r="CT8" i="13" s="1"/>
  <c r="CR8" i="13"/>
  <c r="CR53" i="13" s="1"/>
  <c r="CQ8" i="13"/>
  <c r="CO8" i="13"/>
  <c r="CZ8" i="13" s="1"/>
  <c r="CK164" i="13"/>
  <c r="CC164" i="13"/>
  <c r="CA164" i="13"/>
  <c r="CB164" i="13" s="1"/>
  <c r="BZ164" i="13"/>
  <c r="BY164" i="13"/>
  <c r="BW164" i="13"/>
  <c r="CG164" i="13" s="1"/>
  <c r="CK163" i="13"/>
  <c r="CC163" i="13"/>
  <c r="CA163" i="13"/>
  <c r="CB163" i="13" s="1"/>
  <c r="BZ163" i="13"/>
  <c r="BY163" i="13"/>
  <c r="BW163" i="13"/>
  <c r="CH163" i="13" s="1"/>
  <c r="CK162" i="13"/>
  <c r="CC162" i="13"/>
  <c r="CA162" i="13"/>
  <c r="CB162" i="13" s="1"/>
  <c r="BZ162" i="13"/>
  <c r="BY162" i="13"/>
  <c r="BW162" i="13"/>
  <c r="CH162" i="13" s="1"/>
  <c r="CK161" i="13"/>
  <c r="CC161" i="13"/>
  <c r="CA161" i="13"/>
  <c r="CB161" i="13" s="1"/>
  <c r="BZ161" i="13"/>
  <c r="BY161" i="13"/>
  <c r="BW161" i="13"/>
  <c r="CH161" i="13" s="1"/>
  <c r="CK160" i="13"/>
  <c r="CC160" i="13"/>
  <c r="CA160" i="13"/>
  <c r="CB160" i="13" s="1"/>
  <c r="BZ160" i="13"/>
  <c r="BY160" i="13"/>
  <c r="BW160" i="13"/>
  <c r="CH160" i="13" s="1"/>
  <c r="CK159" i="13"/>
  <c r="CC159" i="13"/>
  <c r="CA159" i="13"/>
  <c r="CB159" i="13" s="1"/>
  <c r="BZ159" i="13"/>
  <c r="BY159" i="13"/>
  <c r="BW159" i="13"/>
  <c r="CH159" i="13" s="1"/>
  <c r="CK158" i="13"/>
  <c r="CC158" i="13"/>
  <c r="CA158" i="13"/>
  <c r="CB158" i="13" s="1"/>
  <c r="BZ158" i="13"/>
  <c r="BY158" i="13"/>
  <c r="CD158" i="13" s="1"/>
  <c r="BW158" i="13"/>
  <c r="CH158" i="13" s="1"/>
  <c r="CK157" i="13"/>
  <c r="CC157" i="13"/>
  <c r="CA157" i="13"/>
  <c r="CB157" i="13" s="1"/>
  <c r="BZ157" i="13"/>
  <c r="BY157" i="13"/>
  <c r="BW157" i="13"/>
  <c r="CH157" i="13" s="1"/>
  <c r="CK154" i="13"/>
  <c r="CC154" i="13"/>
  <c r="CA154" i="13"/>
  <c r="CB154" i="13" s="1"/>
  <c r="BZ154" i="13"/>
  <c r="BY154" i="13"/>
  <c r="BW154" i="13"/>
  <c r="CH154" i="13" s="1"/>
  <c r="CK153" i="13"/>
  <c r="CC153" i="13"/>
  <c r="CA153" i="13"/>
  <c r="CB153" i="13" s="1"/>
  <c r="BZ153" i="13"/>
  <c r="BY153" i="13"/>
  <c r="BW153" i="13"/>
  <c r="CH153" i="13" s="1"/>
  <c r="CK152" i="13"/>
  <c r="CC152" i="13"/>
  <c r="CA152" i="13"/>
  <c r="CB152" i="13" s="1"/>
  <c r="BZ152" i="13"/>
  <c r="BY152" i="13"/>
  <c r="BW152" i="13"/>
  <c r="CH152" i="13" s="1"/>
  <c r="CK149" i="13"/>
  <c r="CC149" i="13"/>
  <c r="CA149" i="13"/>
  <c r="CB149" i="13" s="1"/>
  <c r="BZ149" i="13"/>
  <c r="BY149" i="13"/>
  <c r="CD149" i="13" s="1"/>
  <c r="BW149" i="13"/>
  <c r="CH149" i="13" s="1"/>
  <c r="CK148" i="13"/>
  <c r="CC148" i="13"/>
  <c r="CA148" i="13"/>
  <c r="CB148" i="13" s="1"/>
  <c r="BZ148" i="13"/>
  <c r="BY148" i="13"/>
  <c r="CD148" i="13" s="1"/>
  <c r="BW148" i="13"/>
  <c r="CH148" i="13" s="1"/>
  <c r="CK147" i="13"/>
  <c r="CC147" i="13"/>
  <c r="CA147" i="13"/>
  <c r="CB147" i="13" s="1"/>
  <c r="BZ147" i="13"/>
  <c r="BY147" i="13"/>
  <c r="BW147" i="13"/>
  <c r="CH147" i="13" s="1"/>
  <c r="CK144" i="13"/>
  <c r="CC144" i="13"/>
  <c r="CA144" i="13"/>
  <c r="CB144" i="13" s="1"/>
  <c r="BZ144" i="13"/>
  <c r="BY144" i="13"/>
  <c r="BW144" i="13"/>
  <c r="CH144" i="13" s="1"/>
  <c r="CK143" i="13"/>
  <c r="CC143" i="13"/>
  <c r="CA143" i="13"/>
  <c r="CB143" i="13" s="1"/>
  <c r="BZ143" i="13"/>
  <c r="BY143" i="13"/>
  <c r="BW143" i="13"/>
  <c r="CH143" i="13" s="1"/>
  <c r="CK142" i="13"/>
  <c r="CC142" i="13"/>
  <c r="CA142" i="13"/>
  <c r="CB142" i="13" s="1"/>
  <c r="BZ142" i="13"/>
  <c r="BY142" i="13"/>
  <c r="BW142" i="13"/>
  <c r="CH142" i="13" s="1"/>
  <c r="CK139" i="13"/>
  <c r="CC139" i="13"/>
  <c r="CA139" i="13"/>
  <c r="CB139" i="13" s="1"/>
  <c r="BZ139" i="13"/>
  <c r="BY139" i="13"/>
  <c r="BW139" i="13"/>
  <c r="CH139" i="13" s="1"/>
  <c r="CK138" i="13"/>
  <c r="CC138" i="13"/>
  <c r="CA138" i="13"/>
  <c r="CB138" i="13" s="1"/>
  <c r="BZ138" i="13"/>
  <c r="BY138" i="13"/>
  <c r="CD138" i="13" s="1"/>
  <c r="BW138" i="13"/>
  <c r="CH138" i="13" s="1"/>
  <c r="CK137" i="13"/>
  <c r="CC137" i="13"/>
  <c r="CA137" i="13"/>
  <c r="CB137" i="13" s="1"/>
  <c r="BZ137" i="13"/>
  <c r="BY137" i="13"/>
  <c r="CD137" i="13" s="1"/>
  <c r="BW137" i="13"/>
  <c r="CH137" i="13" s="1"/>
  <c r="CK134" i="13"/>
  <c r="CC134" i="13"/>
  <c r="CA134" i="13"/>
  <c r="CB134" i="13" s="1"/>
  <c r="BZ134" i="13"/>
  <c r="BY134" i="13"/>
  <c r="BW134" i="13"/>
  <c r="CH134" i="13" s="1"/>
  <c r="CK133" i="13"/>
  <c r="CC133" i="13"/>
  <c r="CA133" i="13"/>
  <c r="CB133" i="13" s="1"/>
  <c r="BZ133" i="13"/>
  <c r="BY133" i="13"/>
  <c r="BW133" i="13"/>
  <c r="CH133" i="13" s="1"/>
  <c r="CK132" i="13"/>
  <c r="CC132" i="13"/>
  <c r="CA132" i="13"/>
  <c r="CB132" i="13" s="1"/>
  <c r="BZ132" i="13"/>
  <c r="BY132" i="13"/>
  <c r="BW132" i="13"/>
  <c r="CG132" i="13" s="1"/>
  <c r="CK129" i="13"/>
  <c r="CC129" i="13"/>
  <c r="CA129" i="13"/>
  <c r="CB129" i="13" s="1"/>
  <c r="BZ129" i="13"/>
  <c r="BY129" i="13"/>
  <c r="BW129" i="13"/>
  <c r="CH129" i="13" s="1"/>
  <c r="CK128" i="13"/>
  <c r="CC128" i="13"/>
  <c r="CA128" i="13"/>
  <c r="CB128" i="13" s="1"/>
  <c r="BZ128" i="13"/>
  <c r="BY128" i="13"/>
  <c r="BW128" i="13"/>
  <c r="CH128" i="13" s="1"/>
  <c r="CK127" i="13"/>
  <c r="CC127" i="13"/>
  <c r="CA127" i="13"/>
  <c r="CB127" i="13" s="1"/>
  <c r="BZ127" i="13"/>
  <c r="BY127" i="13"/>
  <c r="BW127" i="13"/>
  <c r="CH127" i="13" s="1"/>
  <c r="CK126" i="13"/>
  <c r="CC126" i="13"/>
  <c r="CA126" i="13"/>
  <c r="CB126" i="13" s="1"/>
  <c r="BZ126" i="13"/>
  <c r="BY126" i="13"/>
  <c r="BW126" i="13"/>
  <c r="CH126" i="13" s="1"/>
  <c r="CK125" i="13"/>
  <c r="CC125" i="13"/>
  <c r="CA125" i="13"/>
  <c r="CB125" i="13" s="1"/>
  <c r="BZ125" i="13"/>
  <c r="BY125" i="13"/>
  <c r="BW125" i="13"/>
  <c r="CH125" i="13" s="1"/>
  <c r="CK122" i="13"/>
  <c r="CC122" i="13"/>
  <c r="CA122" i="13"/>
  <c r="CB122" i="13" s="1"/>
  <c r="BZ122" i="13"/>
  <c r="BY122" i="13"/>
  <c r="BW122" i="13"/>
  <c r="CG122" i="13" s="1"/>
  <c r="CK121" i="13"/>
  <c r="CC121" i="13"/>
  <c r="CB121" i="13"/>
  <c r="CA121" i="13"/>
  <c r="BZ121" i="13"/>
  <c r="BY121" i="13"/>
  <c r="BW121" i="13"/>
  <c r="CG121" i="13" s="1"/>
  <c r="CK120" i="13"/>
  <c r="CC120" i="13"/>
  <c r="CA120" i="13"/>
  <c r="CB120" i="13" s="1"/>
  <c r="BZ120" i="13"/>
  <c r="BY120" i="13"/>
  <c r="BW120" i="13"/>
  <c r="CG120" i="13" s="1"/>
  <c r="CK119" i="13"/>
  <c r="CC119" i="13"/>
  <c r="CA119" i="13"/>
  <c r="CB119" i="13" s="1"/>
  <c r="BZ119" i="13"/>
  <c r="BY119" i="13"/>
  <c r="BW119" i="13"/>
  <c r="CG119" i="13" s="1"/>
  <c r="CK116" i="13"/>
  <c r="CC116" i="13"/>
  <c r="CA116" i="13"/>
  <c r="CB116" i="13" s="1"/>
  <c r="BZ116" i="13"/>
  <c r="BY116" i="13"/>
  <c r="BW116" i="13"/>
  <c r="CH116" i="13" s="1"/>
  <c r="CK115" i="13"/>
  <c r="CC115" i="13"/>
  <c r="CA115" i="13"/>
  <c r="CB115" i="13" s="1"/>
  <c r="BZ115" i="13"/>
  <c r="BY115" i="13"/>
  <c r="BW115" i="13"/>
  <c r="CH115" i="13" s="1"/>
  <c r="CK114" i="13"/>
  <c r="CC114" i="13"/>
  <c r="CA114" i="13"/>
  <c r="CB114" i="13" s="1"/>
  <c r="BY114" i="13"/>
  <c r="BW114" i="13"/>
  <c r="CH114" i="13" s="1"/>
  <c r="CK111" i="13"/>
  <c r="CC111" i="13"/>
  <c r="CA111" i="13"/>
  <c r="CB111" i="13" s="1"/>
  <c r="BZ111" i="13"/>
  <c r="BY111" i="13"/>
  <c r="CD111" i="13" s="1"/>
  <c r="BW111" i="13"/>
  <c r="CH111" i="13" s="1"/>
  <c r="CK110" i="13"/>
  <c r="CC110" i="13"/>
  <c r="CA110" i="13"/>
  <c r="CB110" i="13" s="1"/>
  <c r="BZ110" i="13"/>
  <c r="BY110" i="13"/>
  <c r="CD110" i="13" s="1"/>
  <c r="BW110" i="13"/>
  <c r="CH110" i="13" s="1"/>
  <c r="CK109" i="13"/>
  <c r="CC109" i="13"/>
  <c r="CA109" i="13"/>
  <c r="CB109" i="13" s="1"/>
  <c r="BZ109" i="13"/>
  <c r="BY109" i="13"/>
  <c r="BW109" i="13"/>
  <c r="CH109" i="13" s="1"/>
  <c r="CK106" i="13"/>
  <c r="CC106" i="13"/>
  <c r="CA106" i="13"/>
  <c r="CB106" i="13" s="1"/>
  <c r="BZ106" i="13"/>
  <c r="BY106" i="13"/>
  <c r="BW106" i="13"/>
  <c r="CG106" i="13" s="1"/>
  <c r="CK105" i="13"/>
  <c r="CC105" i="13"/>
  <c r="CA105" i="13"/>
  <c r="CB105" i="13" s="1"/>
  <c r="BZ105" i="13"/>
  <c r="BY105" i="13"/>
  <c r="BW105" i="13"/>
  <c r="CK104" i="13"/>
  <c r="CC104" i="13"/>
  <c r="CA104" i="13"/>
  <c r="CB104" i="13" s="1"/>
  <c r="BZ104" i="13"/>
  <c r="BY104" i="13"/>
  <c r="BW104" i="13"/>
  <c r="CG104" i="13" s="1"/>
  <c r="CK101" i="13"/>
  <c r="CC101" i="13"/>
  <c r="CA101" i="13"/>
  <c r="CB101" i="13" s="1"/>
  <c r="BZ101" i="13"/>
  <c r="BY101" i="13"/>
  <c r="BW101" i="13"/>
  <c r="CH101" i="13" s="1"/>
  <c r="CK100" i="13"/>
  <c r="CC100" i="13"/>
  <c r="CA100" i="13"/>
  <c r="CB100" i="13" s="1"/>
  <c r="BZ100" i="13"/>
  <c r="BY100" i="13"/>
  <c r="CD100" i="13" s="1"/>
  <c r="BW100" i="13"/>
  <c r="CH100" i="13" s="1"/>
  <c r="CK99" i="13"/>
  <c r="CC99" i="13"/>
  <c r="CA99" i="13"/>
  <c r="CB99" i="13" s="1"/>
  <c r="BZ99" i="13"/>
  <c r="BY99" i="13"/>
  <c r="BW99" i="13"/>
  <c r="CH99" i="13" s="1"/>
  <c r="CK96" i="13"/>
  <c r="CC96" i="13"/>
  <c r="CA96" i="13"/>
  <c r="CB96" i="13" s="1"/>
  <c r="BZ96" i="13"/>
  <c r="BY96" i="13"/>
  <c r="BW96" i="13"/>
  <c r="CG96" i="13" s="1"/>
  <c r="CK95" i="13"/>
  <c r="CC95" i="13"/>
  <c r="CA95" i="13"/>
  <c r="CB95" i="13" s="1"/>
  <c r="BZ95" i="13"/>
  <c r="BY95" i="13"/>
  <c r="BW95" i="13"/>
  <c r="CG95" i="13" s="1"/>
  <c r="CK94" i="13"/>
  <c r="CC94" i="13"/>
  <c r="CA94" i="13"/>
  <c r="CB94" i="13" s="1"/>
  <c r="BZ94" i="13"/>
  <c r="BY94" i="13"/>
  <c r="BW94" i="13"/>
  <c r="CH94" i="13" s="1"/>
  <c r="CK91" i="13"/>
  <c r="CC91" i="13"/>
  <c r="CA91" i="13"/>
  <c r="CB91" i="13" s="1"/>
  <c r="BZ91" i="13"/>
  <c r="BY91" i="13"/>
  <c r="BW91" i="13"/>
  <c r="CH91" i="13" s="1"/>
  <c r="CK90" i="13"/>
  <c r="CC90" i="13"/>
  <c r="CA90" i="13"/>
  <c r="CB90" i="13" s="1"/>
  <c r="BZ90" i="13"/>
  <c r="BY90" i="13"/>
  <c r="BW90" i="13"/>
  <c r="CH90" i="13" s="1"/>
  <c r="CK89" i="13"/>
  <c r="CC89" i="13"/>
  <c r="CA89" i="13"/>
  <c r="CB89" i="13" s="1"/>
  <c r="BZ89" i="13"/>
  <c r="BY89" i="13"/>
  <c r="BW89" i="13"/>
  <c r="CH89" i="13" s="1"/>
  <c r="CK86" i="13"/>
  <c r="CC86" i="13"/>
  <c r="CA86" i="13"/>
  <c r="CB86" i="13" s="1"/>
  <c r="BZ86" i="13"/>
  <c r="BY86" i="13"/>
  <c r="BW86" i="13"/>
  <c r="CH86" i="13" s="1"/>
  <c r="CK85" i="13"/>
  <c r="CC85" i="13"/>
  <c r="CA85" i="13"/>
  <c r="CB85" i="13" s="1"/>
  <c r="BZ85" i="13"/>
  <c r="BY85" i="13"/>
  <c r="BW85" i="13"/>
  <c r="CH85" i="13" s="1"/>
  <c r="CK84" i="13"/>
  <c r="CG84" i="13"/>
  <c r="CI84" i="13" s="1"/>
  <c r="CC84" i="13"/>
  <c r="CA84" i="13"/>
  <c r="CB84" i="13" s="1"/>
  <c r="BZ84" i="13"/>
  <c r="BY84" i="13"/>
  <c r="BW84" i="13"/>
  <c r="CH84" i="13" s="1"/>
  <c r="CK81" i="13"/>
  <c r="CC81" i="13"/>
  <c r="CA81" i="13"/>
  <c r="CB81" i="13" s="1"/>
  <c r="BZ81" i="13"/>
  <c r="BY81" i="13"/>
  <c r="BW81" i="13"/>
  <c r="CH81" i="13" s="1"/>
  <c r="CK80" i="13"/>
  <c r="CC80" i="13"/>
  <c r="CA80" i="13"/>
  <c r="CB80" i="13" s="1"/>
  <c r="BZ80" i="13"/>
  <c r="BY80" i="13"/>
  <c r="BW80" i="13"/>
  <c r="CH80" i="13" s="1"/>
  <c r="CK79" i="13"/>
  <c r="CC79" i="13"/>
  <c r="CA79" i="13"/>
  <c r="CB79" i="13" s="1"/>
  <c r="BZ79" i="13"/>
  <c r="BY79" i="13"/>
  <c r="BW79" i="13"/>
  <c r="CH79" i="13" s="1"/>
  <c r="CK76" i="13"/>
  <c r="CC76" i="13"/>
  <c r="CA76" i="13"/>
  <c r="CB76" i="13" s="1"/>
  <c r="BZ76" i="13"/>
  <c r="BY76" i="13"/>
  <c r="BW76" i="13"/>
  <c r="CG76" i="13" s="1"/>
  <c r="CK75" i="13"/>
  <c r="CC75" i="13"/>
  <c r="CA75" i="13"/>
  <c r="CB75" i="13" s="1"/>
  <c r="BZ75" i="13"/>
  <c r="BY75" i="13"/>
  <c r="BW75" i="13"/>
  <c r="CG75" i="13" s="1"/>
  <c r="CK74" i="13"/>
  <c r="CC74" i="13"/>
  <c r="CA74" i="13"/>
  <c r="CB74" i="13" s="1"/>
  <c r="BZ74" i="13"/>
  <c r="BY74" i="13"/>
  <c r="BW74" i="13"/>
  <c r="CG74" i="13" s="1"/>
  <c r="CK71" i="13"/>
  <c r="CC71" i="13"/>
  <c r="CA71" i="13"/>
  <c r="CB71" i="13" s="1"/>
  <c r="BZ71" i="13"/>
  <c r="BY71" i="13"/>
  <c r="BW71" i="13"/>
  <c r="CH71" i="13" s="1"/>
  <c r="CK70" i="13"/>
  <c r="CC70" i="13"/>
  <c r="CA70" i="13"/>
  <c r="CB70" i="13" s="1"/>
  <c r="BZ70" i="13"/>
  <c r="BY70" i="13"/>
  <c r="BW70" i="13"/>
  <c r="CH70" i="13" s="1"/>
  <c r="CK69" i="13"/>
  <c r="CC69" i="13"/>
  <c r="CA69" i="13"/>
  <c r="CB69" i="13" s="1"/>
  <c r="BZ69" i="13"/>
  <c r="BY69" i="13"/>
  <c r="BW69" i="13"/>
  <c r="CH69" i="13" s="1"/>
  <c r="CK66" i="13"/>
  <c r="CC66" i="13"/>
  <c r="CA66" i="13"/>
  <c r="CB66" i="13" s="1"/>
  <c r="BZ66" i="13"/>
  <c r="BY66" i="13"/>
  <c r="BW66" i="13"/>
  <c r="CG66" i="13" s="1"/>
  <c r="CK65" i="13"/>
  <c r="CC65" i="13"/>
  <c r="CA65" i="13"/>
  <c r="CB65" i="13" s="1"/>
  <c r="BZ65" i="13"/>
  <c r="BY65" i="13"/>
  <c r="BW65" i="13"/>
  <c r="CG65" i="13" s="1"/>
  <c r="CK64" i="13"/>
  <c r="CC64" i="13"/>
  <c r="CA64" i="13"/>
  <c r="CB64" i="13" s="1"/>
  <c r="BZ64" i="13"/>
  <c r="BY64" i="13"/>
  <c r="BW64" i="13"/>
  <c r="CG64" i="13" s="1"/>
  <c r="CK61" i="13"/>
  <c r="CC61" i="13"/>
  <c r="CA61" i="13"/>
  <c r="CB61" i="13" s="1"/>
  <c r="BZ61" i="13"/>
  <c r="BY61" i="13"/>
  <c r="BW61" i="13"/>
  <c r="CH61" i="13" s="1"/>
  <c r="CK60" i="13"/>
  <c r="CC60" i="13"/>
  <c r="CA60" i="13"/>
  <c r="CB60" i="13" s="1"/>
  <c r="BZ60" i="13"/>
  <c r="BY60" i="13"/>
  <c r="BW60" i="13"/>
  <c r="CH60" i="13" s="1"/>
  <c r="CK59" i="13"/>
  <c r="CC59" i="13"/>
  <c r="CA59" i="13"/>
  <c r="CB59" i="13" s="1"/>
  <c r="BZ59" i="13"/>
  <c r="BY59" i="13"/>
  <c r="BW59" i="13"/>
  <c r="CH59" i="13" s="1"/>
  <c r="CK58" i="13"/>
  <c r="CC58" i="13"/>
  <c r="CA58" i="13"/>
  <c r="CB58" i="13" s="1"/>
  <c r="BZ58" i="13"/>
  <c r="BY58" i="13"/>
  <c r="BW58" i="13"/>
  <c r="CH58" i="13" s="1"/>
  <c r="CK55" i="13"/>
  <c r="CC55" i="13"/>
  <c r="CA55" i="13"/>
  <c r="CB55" i="13" s="1"/>
  <c r="BY55" i="13"/>
  <c r="BW55" i="13"/>
  <c r="CG55" i="13" s="1"/>
  <c r="CK54" i="13"/>
  <c r="CC54" i="13"/>
  <c r="CA54" i="13"/>
  <c r="CB54" i="13" s="1"/>
  <c r="BY54" i="13"/>
  <c r="BW54" i="13"/>
  <c r="CG54" i="13" s="1"/>
  <c r="CK53" i="13"/>
  <c r="CC53" i="13"/>
  <c r="CA53" i="13"/>
  <c r="CB53" i="13" s="1"/>
  <c r="BY53" i="13"/>
  <c r="BW53" i="13"/>
  <c r="CG53" i="13" s="1"/>
  <c r="CK52" i="13"/>
  <c r="CC52" i="13"/>
  <c r="CA52" i="13"/>
  <c r="CB52" i="13" s="1"/>
  <c r="BZ52" i="13"/>
  <c r="BY52" i="13"/>
  <c r="BW52" i="13"/>
  <c r="CG52" i="13" s="1"/>
  <c r="CK51" i="13"/>
  <c r="CC51" i="13"/>
  <c r="CA51" i="13"/>
  <c r="CB51" i="13" s="1"/>
  <c r="BZ51" i="13"/>
  <c r="BY51" i="13"/>
  <c r="BW51" i="13"/>
  <c r="CG51" i="13" s="1"/>
  <c r="CK50" i="13"/>
  <c r="CC50" i="13"/>
  <c r="CA50" i="13"/>
  <c r="CB50" i="13" s="1"/>
  <c r="BZ50" i="13"/>
  <c r="BY50" i="13"/>
  <c r="BW50" i="13"/>
  <c r="CG50" i="13" s="1"/>
  <c r="CK47" i="13"/>
  <c r="CC47" i="13"/>
  <c r="CA47" i="13"/>
  <c r="CB47" i="13" s="1"/>
  <c r="BZ47" i="13"/>
  <c r="BY47" i="13"/>
  <c r="BW47" i="13"/>
  <c r="CH47" i="13" s="1"/>
  <c r="CK46" i="13"/>
  <c r="CC46" i="13"/>
  <c r="CA46" i="13"/>
  <c r="CB46" i="13" s="1"/>
  <c r="BZ46" i="13"/>
  <c r="BY46" i="13"/>
  <c r="CD46" i="13" s="1"/>
  <c r="BW46" i="13"/>
  <c r="CH46" i="13" s="1"/>
  <c r="CK45" i="13"/>
  <c r="CC45" i="13"/>
  <c r="CA45" i="13"/>
  <c r="CB45" i="13" s="1"/>
  <c r="BZ45" i="13"/>
  <c r="BY45" i="13"/>
  <c r="BW45" i="13"/>
  <c r="CH45" i="13" s="1"/>
  <c r="CK44" i="13"/>
  <c r="CC44" i="13"/>
  <c r="CA44" i="13"/>
  <c r="CB44" i="13" s="1"/>
  <c r="BZ44" i="13"/>
  <c r="BY44" i="13"/>
  <c r="BW44" i="13"/>
  <c r="CH44" i="13" s="1"/>
  <c r="CK43" i="13"/>
  <c r="CC43" i="13"/>
  <c r="CA43" i="13"/>
  <c r="CB43" i="13" s="1"/>
  <c r="BZ43" i="13"/>
  <c r="BY43" i="13"/>
  <c r="BW43" i="13"/>
  <c r="CH43" i="13" s="1"/>
  <c r="CK42" i="13"/>
  <c r="CC42" i="13"/>
  <c r="CA42" i="13"/>
  <c r="CB42" i="13" s="1"/>
  <c r="BZ42" i="13"/>
  <c r="BY42" i="13"/>
  <c r="BW42" i="13"/>
  <c r="CH42" i="13" s="1"/>
  <c r="CK39" i="13"/>
  <c r="CC39" i="13"/>
  <c r="CA39" i="13"/>
  <c r="CB39" i="13" s="1"/>
  <c r="BZ39" i="13"/>
  <c r="BY39" i="13"/>
  <c r="BW39" i="13"/>
  <c r="CG39" i="13" s="1"/>
  <c r="CK38" i="13"/>
  <c r="CC38" i="13"/>
  <c r="CA38" i="13"/>
  <c r="CB38" i="13" s="1"/>
  <c r="BZ38" i="13"/>
  <c r="BY38" i="13"/>
  <c r="BW38" i="13"/>
  <c r="CG38" i="13" s="1"/>
  <c r="CK37" i="13"/>
  <c r="CC37" i="13"/>
  <c r="CA37" i="13"/>
  <c r="CB37" i="13" s="1"/>
  <c r="BZ37" i="13"/>
  <c r="BY37" i="13"/>
  <c r="BW37" i="13"/>
  <c r="CG37" i="13" s="1"/>
  <c r="CK36" i="13"/>
  <c r="CC36" i="13"/>
  <c r="CA36" i="13"/>
  <c r="CB36" i="13" s="1"/>
  <c r="BZ36" i="13"/>
  <c r="BY36" i="13"/>
  <c r="BW36" i="13"/>
  <c r="CG36" i="13" s="1"/>
  <c r="CK33" i="13"/>
  <c r="CC33" i="13"/>
  <c r="CA33" i="13"/>
  <c r="CB33" i="13" s="1"/>
  <c r="BZ33" i="13"/>
  <c r="BY33" i="13"/>
  <c r="BW33" i="13"/>
  <c r="CH33" i="13" s="1"/>
  <c r="CK32" i="13"/>
  <c r="CC32" i="13"/>
  <c r="CA32" i="13"/>
  <c r="CB32" i="13" s="1"/>
  <c r="BZ32" i="13"/>
  <c r="BY32" i="13"/>
  <c r="BW32" i="13"/>
  <c r="CH32" i="13" s="1"/>
  <c r="CK31" i="13"/>
  <c r="CC31" i="13"/>
  <c r="CA31" i="13"/>
  <c r="CB31" i="13" s="1"/>
  <c r="BZ31" i="13"/>
  <c r="BY31" i="13"/>
  <c r="BW31" i="13"/>
  <c r="CH31" i="13" s="1"/>
  <c r="CK30" i="13"/>
  <c r="CC30" i="13"/>
  <c r="CA30" i="13"/>
  <c r="CB30" i="13" s="1"/>
  <c r="BZ30" i="13"/>
  <c r="BY30" i="13"/>
  <c r="BW30" i="13"/>
  <c r="CH30" i="13" s="1"/>
  <c r="CK29" i="13"/>
  <c r="CC29" i="13"/>
  <c r="CA29" i="13"/>
  <c r="CB29" i="13" s="1"/>
  <c r="BZ29" i="13"/>
  <c r="BY29" i="13"/>
  <c r="BW29" i="13"/>
  <c r="CH29" i="13" s="1"/>
  <c r="CK28" i="13"/>
  <c r="CC28" i="13"/>
  <c r="CA28" i="13"/>
  <c r="CB28" i="13" s="1"/>
  <c r="BZ28" i="13"/>
  <c r="BY28" i="13"/>
  <c r="BW28" i="13"/>
  <c r="CH28" i="13" s="1"/>
  <c r="CK27" i="13"/>
  <c r="CC27" i="13"/>
  <c r="CA27" i="13"/>
  <c r="CB27" i="13" s="1"/>
  <c r="BZ27" i="13"/>
  <c r="BY27" i="13"/>
  <c r="BW27" i="13"/>
  <c r="CH27" i="13" s="1"/>
  <c r="CK24" i="13"/>
  <c r="CC24" i="13"/>
  <c r="CA24" i="13"/>
  <c r="CB24" i="13" s="1"/>
  <c r="BZ24" i="13"/>
  <c r="BY24" i="13"/>
  <c r="BW24" i="13"/>
  <c r="CG24" i="13" s="1"/>
  <c r="CK23" i="13"/>
  <c r="CC23" i="13"/>
  <c r="CA23" i="13"/>
  <c r="CB23" i="13" s="1"/>
  <c r="BZ23" i="13"/>
  <c r="BY23" i="13"/>
  <c r="BW23" i="13"/>
  <c r="CG23" i="13" s="1"/>
  <c r="CK22" i="13"/>
  <c r="CC22" i="13"/>
  <c r="CA22" i="13"/>
  <c r="CB22" i="13" s="1"/>
  <c r="BZ22" i="13"/>
  <c r="BY22" i="13"/>
  <c r="BW22" i="13"/>
  <c r="CG22" i="13" s="1"/>
  <c r="CK21" i="13"/>
  <c r="CC21" i="13"/>
  <c r="CA21" i="13"/>
  <c r="CB21" i="13" s="1"/>
  <c r="BZ21" i="13"/>
  <c r="BY21" i="13"/>
  <c r="BW21" i="13"/>
  <c r="CK18" i="13"/>
  <c r="CC18" i="13"/>
  <c r="CA18" i="13"/>
  <c r="CB18" i="13" s="1"/>
  <c r="BZ18" i="13"/>
  <c r="BY18" i="13"/>
  <c r="BW18" i="13"/>
  <c r="CH18" i="13" s="1"/>
  <c r="CK17" i="13"/>
  <c r="CC17" i="13"/>
  <c r="CA17" i="13"/>
  <c r="CB17" i="13" s="1"/>
  <c r="BZ17" i="13"/>
  <c r="BY17" i="13"/>
  <c r="BW17" i="13"/>
  <c r="CH17" i="13" s="1"/>
  <c r="CK16" i="13"/>
  <c r="CC16" i="13"/>
  <c r="CA16" i="13"/>
  <c r="CB16" i="13" s="1"/>
  <c r="BZ16" i="13"/>
  <c r="BY16" i="13"/>
  <c r="BW16" i="13"/>
  <c r="CH16" i="13" s="1"/>
  <c r="CK15" i="13"/>
  <c r="CC15" i="13"/>
  <c r="CA15" i="13"/>
  <c r="CB15" i="13" s="1"/>
  <c r="BZ15" i="13"/>
  <c r="BY15" i="13"/>
  <c r="BW15" i="13"/>
  <c r="CH15" i="13" s="1"/>
  <c r="CK14" i="13"/>
  <c r="CC14" i="13"/>
  <c r="CA14" i="13"/>
  <c r="CB14" i="13" s="1"/>
  <c r="BZ14" i="13"/>
  <c r="BY14" i="13"/>
  <c r="BW14" i="13"/>
  <c r="CG14" i="13" s="1"/>
  <c r="CK13" i="13"/>
  <c r="CC13" i="13"/>
  <c r="CA13" i="13"/>
  <c r="CB13" i="13" s="1"/>
  <c r="BZ13" i="13"/>
  <c r="BY13" i="13"/>
  <c r="BW13" i="13"/>
  <c r="CG13" i="13" s="1"/>
  <c r="CK10" i="13"/>
  <c r="CC10" i="13"/>
  <c r="CA10" i="13"/>
  <c r="CB10" i="13" s="1"/>
  <c r="BZ10" i="13"/>
  <c r="BZ55" i="13" s="1"/>
  <c r="BY10" i="13"/>
  <c r="BW10" i="13"/>
  <c r="CH10" i="13" s="1"/>
  <c r="CK9" i="13"/>
  <c r="CC9" i="13"/>
  <c r="CA9" i="13"/>
  <c r="CB9" i="13" s="1"/>
  <c r="BZ9" i="13"/>
  <c r="BZ54" i="13" s="1"/>
  <c r="BY9" i="13"/>
  <c r="BW9" i="13"/>
  <c r="CH9" i="13" s="1"/>
  <c r="CK8" i="13"/>
  <c r="CC8" i="13"/>
  <c r="CA8" i="13"/>
  <c r="CB8" i="13" s="1"/>
  <c r="BZ8" i="13"/>
  <c r="BZ53" i="13" s="1"/>
  <c r="BY8" i="13"/>
  <c r="BW8" i="13"/>
  <c r="CH8" i="13" s="1"/>
  <c r="BS164" i="13"/>
  <c r="BK164" i="13"/>
  <c r="BI164" i="13"/>
  <c r="BJ164" i="13" s="1"/>
  <c r="BH164" i="13"/>
  <c r="BG164" i="13"/>
  <c r="BE164" i="13"/>
  <c r="BO164" i="13" s="1"/>
  <c r="BS163" i="13"/>
  <c r="BK163" i="13"/>
  <c r="BI163" i="13"/>
  <c r="BJ163" i="13" s="1"/>
  <c r="BH163" i="13"/>
  <c r="BG163" i="13"/>
  <c r="BE163" i="13"/>
  <c r="BP163" i="13" s="1"/>
  <c r="BS162" i="13"/>
  <c r="BK162" i="13"/>
  <c r="BI162" i="13"/>
  <c r="BJ162" i="13" s="1"/>
  <c r="BH162" i="13"/>
  <c r="BG162" i="13"/>
  <c r="BE162" i="13"/>
  <c r="BP162" i="13" s="1"/>
  <c r="BS161" i="13"/>
  <c r="BK161" i="13"/>
  <c r="BI161" i="13"/>
  <c r="BJ161" i="13" s="1"/>
  <c r="BH161" i="13"/>
  <c r="BG161" i="13"/>
  <c r="BE161" i="13"/>
  <c r="BP161" i="13" s="1"/>
  <c r="BS160" i="13"/>
  <c r="BK160" i="13"/>
  <c r="BI160" i="13"/>
  <c r="BJ160" i="13" s="1"/>
  <c r="BH160" i="13"/>
  <c r="BG160" i="13"/>
  <c r="BE160" i="13"/>
  <c r="BS159" i="13"/>
  <c r="BK159" i="13"/>
  <c r="BI159" i="13"/>
  <c r="BJ159" i="13" s="1"/>
  <c r="BH159" i="13"/>
  <c r="BG159" i="13"/>
  <c r="BE159" i="13"/>
  <c r="BP159" i="13" s="1"/>
  <c r="BS158" i="13"/>
  <c r="BK158" i="13"/>
  <c r="BI158" i="13"/>
  <c r="BJ158" i="13" s="1"/>
  <c r="BH158" i="13"/>
  <c r="BG158" i="13"/>
  <c r="BE158" i="13"/>
  <c r="BP158" i="13" s="1"/>
  <c r="BS157" i="13"/>
  <c r="BK157" i="13"/>
  <c r="BI157" i="13"/>
  <c r="BJ157" i="13" s="1"/>
  <c r="BH157" i="13"/>
  <c r="BG157" i="13"/>
  <c r="BE157" i="13"/>
  <c r="BP157" i="13" s="1"/>
  <c r="BS154" i="13"/>
  <c r="BK154" i="13"/>
  <c r="BI154" i="13"/>
  <c r="BJ154" i="13" s="1"/>
  <c r="BH154" i="13"/>
  <c r="BG154" i="13"/>
  <c r="BE154" i="13"/>
  <c r="BP154" i="13" s="1"/>
  <c r="BS153" i="13"/>
  <c r="BK153" i="13"/>
  <c r="BI153" i="13"/>
  <c r="BJ153" i="13" s="1"/>
  <c r="BH153" i="13"/>
  <c r="BG153" i="13"/>
  <c r="BE153" i="13"/>
  <c r="BP153" i="13" s="1"/>
  <c r="BS152" i="13"/>
  <c r="BK152" i="13"/>
  <c r="BI152" i="13"/>
  <c r="BJ152" i="13" s="1"/>
  <c r="BH152" i="13"/>
  <c r="BG152" i="13"/>
  <c r="BE152" i="13"/>
  <c r="BP152" i="13" s="1"/>
  <c r="BS149" i="13"/>
  <c r="BK149" i="13"/>
  <c r="BI149" i="13"/>
  <c r="BJ149" i="13" s="1"/>
  <c r="BH149" i="13"/>
  <c r="BG149" i="13"/>
  <c r="BL149" i="13" s="1"/>
  <c r="BE149" i="13"/>
  <c r="BP149" i="13" s="1"/>
  <c r="BS148" i="13"/>
  <c r="BK148" i="13"/>
  <c r="BI148" i="13"/>
  <c r="BJ148" i="13" s="1"/>
  <c r="BH148" i="13"/>
  <c r="BG148" i="13"/>
  <c r="BE148" i="13"/>
  <c r="BP148" i="13" s="1"/>
  <c r="BS147" i="13"/>
  <c r="BK147" i="13"/>
  <c r="BI147" i="13"/>
  <c r="BJ147" i="13" s="1"/>
  <c r="BH147" i="13"/>
  <c r="BG147" i="13"/>
  <c r="BE147" i="13"/>
  <c r="BP147" i="13" s="1"/>
  <c r="BS144" i="13"/>
  <c r="BK144" i="13"/>
  <c r="BI144" i="13"/>
  <c r="BJ144" i="13" s="1"/>
  <c r="BH144" i="13"/>
  <c r="BG144" i="13"/>
  <c r="BE144" i="13"/>
  <c r="BP144" i="13" s="1"/>
  <c r="BS143" i="13"/>
  <c r="BK143" i="13"/>
  <c r="BI143" i="13"/>
  <c r="BJ143" i="13" s="1"/>
  <c r="BH143" i="13"/>
  <c r="BG143" i="13"/>
  <c r="BE143" i="13"/>
  <c r="BP143" i="13" s="1"/>
  <c r="BS142" i="13"/>
  <c r="BK142" i="13"/>
  <c r="BI142" i="13"/>
  <c r="BJ142" i="13" s="1"/>
  <c r="BH142" i="13"/>
  <c r="BG142" i="13"/>
  <c r="BE142" i="13"/>
  <c r="BP142" i="13" s="1"/>
  <c r="BS139" i="13"/>
  <c r="BK139" i="13"/>
  <c r="BI139" i="13"/>
  <c r="BJ139" i="13" s="1"/>
  <c r="BH139" i="13"/>
  <c r="BG139" i="13"/>
  <c r="BE139" i="13"/>
  <c r="BP139" i="13" s="1"/>
  <c r="BS138" i="13"/>
  <c r="BK138" i="13"/>
  <c r="BI138" i="13"/>
  <c r="BJ138" i="13" s="1"/>
  <c r="BH138" i="13"/>
  <c r="BG138" i="13"/>
  <c r="BE138" i="13"/>
  <c r="BP138" i="13" s="1"/>
  <c r="BS137" i="13"/>
  <c r="BK137" i="13"/>
  <c r="BI137" i="13"/>
  <c r="BJ137" i="13" s="1"/>
  <c r="BH137" i="13"/>
  <c r="BG137" i="13"/>
  <c r="BL137" i="13" s="1"/>
  <c r="BE137" i="13"/>
  <c r="BP137" i="13" s="1"/>
  <c r="BS134" i="13"/>
  <c r="BK134" i="13"/>
  <c r="BI134" i="13"/>
  <c r="BJ134" i="13" s="1"/>
  <c r="BH134" i="13"/>
  <c r="BG134" i="13"/>
  <c r="BE134" i="13"/>
  <c r="BP134" i="13" s="1"/>
  <c r="BS133" i="13"/>
  <c r="BK133" i="13"/>
  <c r="BI133" i="13"/>
  <c r="BJ133" i="13" s="1"/>
  <c r="BH133" i="13"/>
  <c r="BG133" i="13"/>
  <c r="BE133" i="13"/>
  <c r="BS132" i="13"/>
  <c r="BK132" i="13"/>
  <c r="BI132" i="13"/>
  <c r="BJ132" i="13" s="1"/>
  <c r="BH132" i="13"/>
  <c r="BG132" i="13"/>
  <c r="BE132" i="13"/>
  <c r="BO132" i="13" s="1"/>
  <c r="BS129" i="13"/>
  <c r="BK129" i="13"/>
  <c r="BI129" i="13"/>
  <c r="BJ129" i="13" s="1"/>
  <c r="BH129" i="13"/>
  <c r="BG129" i="13"/>
  <c r="BE129" i="13"/>
  <c r="BS128" i="13"/>
  <c r="BK128" i="13"/>
  <c r="BI128" i="13"/>
  <c r="BJ128" i="13" s="1"/>
  <c r="BH128" i="13"/>
  <c r="BG128" i="13"/>
  <c r="BE128" i="13"/>
  <c r="BP128" i="13" s="1"/>
  <c r="BS127" i="13"/>
  <c r="BK127" i="13"/>
  <c r="BI127" i="13"/>
  <c r="BJ127" i="13" s="1"/>
  <c r="BH127" i="13"/>
  <c r="BG127" i="13"/>
  <c r="BE127" i="13"/>
  <c r="BP127" i="13" s="1"/>
  <c r="BS126" i="13"/>
  <c r="BK126" i="13"/>
  <c r="BI126" i="13"/>
  <c r="BJ126" i="13" s="1"/>
  <c r="BH126" i="13"/>
  <c r="BG126" i="13"/>
  <c r="BE126" i="13"/>
  <c r="BP126" i="13" s="1"/>
  <c r="BS125" i="13"/>
  <c r="BK125" i="13"/>
  <c r="BI125" i="13"/>
  <c r="BJ125" i="13" s="1"/>
  <c r="BH125" i="13"/>
  <c r="BG125" i="13"/>
  <c r="BE125" i="13"/>
  <c r="BP125" i="13" s="1"/>
  <c r="BS122" i="13"/>
  <c r="BK122" i="13"/>
  <c r="BI122" i="13"/>
  <c r="BJ122" i="13" s="1"/>
  <c r="BH122" i="13"/>
  <c r="BG122" i="13"/>
  <c r="BE122" i="13"/>
  <c r="BO122" i="13" s="1"/>
  <c r="BS121" i="13"/>
  <c r="BK121" i="13"/>
  <c r="BI121" i="13"/>
  <c r="BJ121" i="13" s="1"/>
  <c r="BH121" i="13"/>
  <c r="BG121" i="13"/>
  <c r="BE121" i="13"/>
  <c r="BO121" i="13" s="1"/>
  <c r="BS120" i="13"/>
  <c r="BK120" i="13"/>
  <c r="BI120" i="13"/>
  <c r="BJ120" i="13" s="1"/>
  <c r="BH120" i="13"/>
  <c r="BG120" i="13"/>
  <c r="BE120" i="13"/>
  <c r="BO120" i="13" s="1"/>
  <c r="BS119" i="13"/>
  <c r="BK119" i="13"/>
  <c r="BI119" i="13"/>
  <c r="BJ119" i="13" s="1"/>
  <c r="BH119" i="13"/>
  <c r="BG119" i="13"/>
  <c r="BE119" i="13"/>
  <c r="BO119" i="13" s="1"/>
  <c r="BS116" i="13"/>
  <c r="BK116" i="13"/>
  <c r="BI116" i="13"/>
  <c r="BJ116" i="13" s="1"/>
  <c r="BH116" i="13"/>
  <c r="BG116" i="13"/>
  <c r="BE116" i="13"/>
  <c r="BS115" i="13"/>
  <c r="BK115" i="13"/>
  <c r="BI115" i="13"/>
  <c r="BJ115" i="13" s="1"/>
  <c r="BH115" i="13"/>
  <c r="BG115" i="13"/>
  <c r="BE115" i="13"/>
  <c r="BP115" i="13" s="1"/>
  <c r="BS114" i="13"/>
  <c r="BK114" i="13"/>
  <c r="BI114" i="13"/>
  <c r="BJ114" i="13" s="1"/>
  <c r="BG114" i="13"/>
  <c r="BE114" i="13"/>
  <c r="BP114" i="13" s="1"/>
  <c r="BS111" i="13"/>
  <c r="BK111" i="13"/>
  <c r="BI111" i="13"/>
  <c r="BJ111" i="13" s="1"/>
  <c r="BH111" i="13"/>
  <c r="BG111" i="13"/>
  <c r="BE111" i="13"/>
  <c r="BP111" i="13" s="1"/>
  <c r="BS110" i="13"/>
  <c r="BK110" i="13"/>
  <c r="BI110" i="13"/>
  <c r="BJ110" i="13" s="1"/>
  <c r="BH110" i="13"/>
  <c r="BG110" i="13"/>
  <c r="BE110" i="13"/>
  <c r="BS109" i="13"/>
  <c r="BK109" i="13"/>
  <c r="BI109" i="13"/>
  <c r="BJ109" i="13" s="1"/>
  <c r="BH109" i="13"/>
  <c r="BG109" i="13"/>
  <c r="BE109" i="13"/>
  <c r="BP109" i="13" s="1"/>
  <c r="BS106" i="13"/>
  <c r="BK106" i="13"/>
  <c r="BI106" i="13"/>
  <c r="BJ106" i="13" s="1"/>
  <c r="BH106" i="13"/>
  <c r="BG106" i="13"/>
  <c r="BE106" i="13"/>
  <c r="BO106" i="13" s="1"/>
  <c r="BS105" i="13"/>
  <c r="BK105" i="13"/>
  <c r="BI105" i="13"/>
  <c r="BJ105" i="13" s="1"/>
  <c r="BH105" i="13"/>
  <c r="BG105" i="13"/>
  <c r="BE105" i="13"/>
  <c r="BS104" i="13"/>
  <c r="BK104" i="13"/>
  <c r="BI104" i="13"/>
  <c r="BJ104" i="13" s="1"/>
  <c r="BH104" i="13"/>
  <c r="BG104" i="13"/>
  <c r="BE104" i="13"/>
  <c r="BO104" i="13" s="1"/>
  <c r="BS101" i="13"/>
  <c r="BK101" i="13"/>
  <c r="BI101" i="13"/>
  <c r="BJ101" i="13" s="1"/>
  <c r="BH101" i="13"/>
  <c r="BG101" i="13"/>
  <c r="BE101" i="13"/>
  <c r="BP101" i="13" s="1"/>
  <c r="BS100" i="13"/>
  <c r="BK100" i="13"/>
  <c r="BI100" i="13"/>
  <c r="BJ100" i="13" s="1"/>
  <c r="BH100" i="13"/>
  <c r="BG100" i="13"/>
  <c r="BE100" i="13"/>
  <c r="BP100" i="13" s="1"/>
  <c r="BS99" i="13"/>
  <c r="BK99" i="13"/>
  <c r="BI99" i="13"/>
  <c r="BJ99" i="13" s="1"/>
  <c r="BH99" i="13"/>
  <c r="BG99" i="13"/>
  <c r="BE99" i="13"/>
  <c r="BS96" i="13"/>
  <c r="BK96" i="13"/>
  <c r="BI96" i="13"/>
  <c r="BJ96" i="13" s="1"/>
  <c r="BH96" i="13"/>
  <c r="BG96" i="13"/>
  <c r="BE96" i="13"/>
  <c r="BO96" i="13" s="1"/>
  <c r="BS95" i="13"/>
  <c r="BK95" i="13"/>
  <c r="BI95" i="13"/>
  <c r="BJ95" i="13" s="1"/>
  <c r="BH95" i="13"/>
  <c r="BG95" i="13"/>
  <c r="BE95" i="13"/>
  <c r="BO95" i="13" s="1"/>
  <c r="BS94" i="13"/>
  <c r="BK94" i="13"/>
  <c r="BI94" i="13"/>
  <c r="BJ94" i="13" s="1"/>
  <c r="BH94" i="13"/>
  <c r="BG94" i="13"/>
  <c r="BE94" i="13"/>
  <c r="BS91" i="13"/>
  <c r="BK91" i="13"/>
  <c r="BI91" i="13"/>
  <c r="BJ91" i="13" s="1"/>
  <c r="BH91" i="13"/>
  <c r="BG91" i="13"/>
  <c r="BE91" i="13"/>
  <c r="BP91" i="13" s="1"/>
  <c r="BS90" i="13"/>
  <c r="BK90" i="13"/>
  <c r="BI90" i="13"/>
  <c r="BJ90" i="13" s="1"/>
  <c r="BH90" i="13"/>
  <c r="BG90" i="13"/>
  <c r="BE90" i="13"/>
  <c r="BP90" i="13" s="1"/>
  <c r="BS89" i="13"/>
  <c r="BK89" i="13"/>
  <c r="BI89" i="13"/>
  <c r="BJ89" i="13" s="1"/>
  <c r="BH89" i="13"/>
  <c r="BG89" i="13"/>
  <c r="BE89" i="13"/>
  <c r="BP89" i="13" s="1"/>
  <c r="BS86" i="13"/>
  <c r="BK86" i="13"/>
  <c r="BI86" i="13"/>
  <c r="BJ86" i="13" s="1"/>
  <c r="BH86" i="13"/>
  <c r="BG86" i="13"/>
  <c r="BE86" i="13"/>
  <c r="BP86" i="13" s="1"/>
  <c r="BS85" i="13"/>
  <c r="BK85" i="13"/>
  <c r="BI85" i="13"/>
  <c r="BJ85" i="13" s="1"/>
  <c r="BH85" i="13"/>
  <c r="BG85" i="13"/>
  <c r="BE85" i="13"/>
  <c r="BP85" i="13" s="1"/>
  <c r="BS84" i="13"/>
  <c r="BK84" i="13"/>
  <c r="BI84" i="13"/>
  <c r="BJ84" i="13" s="1"/>
  <c r="BH84" i="13"/>
  <c r="BG84" i="13"/>
  <c r="BE84" i="13"/>
  <c r="BS81" i="13"/>
  <c r="BK81" i="13"/>
  <c r="BI81" i="13"/>
  <c r="BJ81" i="13" s="1"/>
  <c r="BH81" i="13"/>
  <c r="BG81" i="13"/>
  <c r="BE81" i="13"/>
  <c r="BP81" i="13" s="1"/>
  <c r="BS80" i="13"/>
  <c r="BK80" i="13"/>
  <c r="BI80" i="13"/>
  <c r="BJ80" i="13" s="1"/>
  <c r="BH80" i="13"/>
  <c r="BG80" i="13"/>
  <c r="BE80" i="13"/>
  <c r="BP80" i="13" s="1"/>
  <c r="BS79" i="13"/>
  <c r="BK79" i="13"/>
  <c r="BI79" i="13"/>
  <c r="BJ79" i="13" s="1"/>
  <c r="BH79" i="13"/>
  <c r="BG79" i="13"/>
  <c r="BE79" i="13"/>
  <c r="BP79" i="13" s="1"/>
  <c r="BS76" i="13"/>
  <c r="BK76" i="13"/>
  <c r="BI76" i="13"/>
  <c r="BJ76" i="13" s="1"/>
  <c r="BH76" i="13"/>
  <c r="BG76" i="13"/>
  <c r="BE76" i="13"/>
  <c r="BP76" i="13" s="1"/>
  <c r="BS75" i="13"/>
  <c r="BK75" i="13"/>
  <c r="BI75" i="13"/>
  <c r="BJ75" i="13" s="1"/>
  <c r="BH75" i="13"/>
  <c r="BG75" i="13"/>
  <c r="BE75" i="13"/>
  <c r="BP75" i="13" s="1"/>
  <c r="BS74" i="13"/>
  <c r="BK74" i="13"/>
  <c r="BI74" i="13"/>
  <c r="BJ74" i="13" s="1"/>
  <c r="BH74" i="13"/>
  <c r="BG74" i="13"/>
  <c r="BE74" i="13"/>
  <c r="BP74" i="13" s="1"/>
  <c r="BS71" i="13"/>
  <c r="BK71" i="13"/>
  <c r="BI71" i="13"/>
  <c r="BJ71" i="13" s="1"/>
  <c r="BH71" i="13"/>
  <c r="BG71" i="13"/>
  <c r="BE71" i="13"/>
  <c r="BP71" i="13" s="1"/>
  <c r="BS70" i="13"/>
  <c r="BK70" i="13"/>
  <c r="BI70" i="13"/>
  <c r="BJ70" i="13" s="1"/>
  <c r="BH70" i="13"/>
  <c r="BG70" i="13"/>
  <c r="BE70" i="13"/>
  <c r="BP70" i="13" s="1"/>
  <c r="BS69" i="13"/>
  <c r="BK69" i="13"/>
  <c r="BI69" i="13"/>
  <c r="BJ69" i="13" s="1"/>
  <c r="BH69" i="13"/>
  <c r="BG69" i="13"/>
  <c r="BE69" i="13"/>
  <c r="BP69" i="13" s="1"/>
  <c r="BS66" i="13"/>
  <c r="BK66" i="13"/>
  <c r="BI66" i="13"/>
  <c r="BJ66" i="13" s="1"/>
  <c r="BH66" i="13"/>
  <c r="BG66" i="13"/>
  <c r="BE66" i="13"/>
  <c r="BP66" i="13" s="1"/>
  <c r="BS65" i="13"/>
  <c r="BK65" i="13"/>
  <c r="BI65" i="13"/>
  <c r="BJ65" i="13" s="1"/>
  <c r="BH65" i="13"/>
  <c r="BG65" i="13"/>
  <c r="BE65" i="13"/>
  <c r="BP65" i="13" s="1"/>
  <c r="BS64" i="13"/>
  <c r="BK64" i="13"/>
  <c r="BI64" i="13"/>
  <c r="BJ64" i="13" s="1"/>
  <c r="BH64" i="13"/>
  <c r="BG64" i="13"/>
  <c r="BE64" i="13"/>
  <c r="BP64" i="13" s="1"/>
  <c r="BS61" i="13"/>
  <c r="BK61" i="13"/>
  <c r="BI61" i="13"/>
  <c r="BJ61" i="13" s="1"/>
  <c r="BH61" i="13"/>
  <c r="BG61" i="13"/>
  <c r="BE61" i="13"/>
  <c r="BP61" i="13" s="1"/>
  <c r="BS60" i="13"/>
  <c r="BK60" i="13"/>
  <c r="BI60" i="13"/>
  <c r="BJ60" i="13" s="1"/>
  <c r="BH60" i="13"/>
  <c r="BG60" i="13"/>
  <c r="BE60" i="13"/>
  <c r="BP60" i="13" s="1"/>
  <c r="BS59" i="13"/>
  <c r="BK59" i="13"/>
  <c r="BI59" i="13"/>
  <c r="BJ59" i="13" s="1"/>
  <c r="BH59" i="13"/>
  <c r="BG59" i="13"/>
  <c r="BE59" i="13"/>
  <c r="BP59" i="13" s="1"/>
  <c r="BS58" i="13"/>
  <c r="BK58" i="13"/>
  <c r="BI58" i="13"/>
  <c r="BJ58" i="13" s="1"/>
  <c r="BH58" i="13"/>
  <c r="BG58" i="13"/>
  <c r="BE58" i="13"/>
  <c r="BP58" i="13" s="1"/>
  <c r="BS55" i="13"/>
  <c r="BK55" i="13"/>
  <c r="BI55" i="13"/>
  <c r="BJ55" i="13" s="1"/>
  <c r="BG55" i="13"/>
  <c r="BE55" i="13"/>
  <c r="BP55" i="13" s="1"/>
  <c r="BS54" i="13"/>
  <c r="BK54" i="13"/>
  <c r="BI54" i="13"/>
  <c r="BJ54" i="13" s="1"/>
  <c r="BG54" i="13"/>
  <c r="BE54" i="13"/>
  <c r="BP54" i="13" s="1"/>
  <c r="BS53" i="13"/>
  <c r="BK53" i="13"/>
  <c r="BI53" i="13"/>
  <c r="BJ53" i="13" s="1"/>
  <c r="BG53" i="13"/>
  <c r="BE53" i="13"/>
  <c r="BP53" i="13" s="1"/>
  <c r="BS52" i="13"/>
  <c r="BK52" i="13"/>
  <c r="BI52" i="13"/>
  <c r="BJ52" i="13" s="1"/>
  <c r="BH52" i="13"/>
  <c r="BG52" i="13"/>
  <c r="BE52" i="13"/>
  <c r="BP52" i="13" s="1"/>
  <c r="BS51" i="13"/>
  <c r="BK51" i="13"/>
  <c r="BI51" i="13"/>
  <c r="BJ51" i="13" s="1"/>
  <c r="BH51" i="13"/>
  <c r="BG51" i="13"/>
  <c r="BE51" i="13"/>
  <c r="BP51" i="13" s="1"/>
  <c r="BS50" i="13"/>
  <c r="BK50" i="13"/>
  <c r="BI50" i="13"/>
  <c r="BJ50" i="13" s="1"/>
  <c r="BH50" i="13"/>
  <c r="BG50" i="13"/>
  <c r="BE50" i="13"/>
  <c r="BP50" i="13" s="1"/>
  <c r="BS47" i="13"/>
  <c r="BK47" i="13"/>
  <c r="BI47" i="13"/>
  <c r="BJ47" i="13" s="1"/>
  <c r="BH47" i="13"/>
  <c r="BG47" i="13"/>
  <c r="BE47" i="13"/>
  <c r="BP47" i="13" s="1"/>
  <c r="BS46" i="13"/>
  <c r="BK46" i="13"/>
  <c r="BI46" i="13"/>
  <c r="BJ46" i="13" s="1"/>
  <c r="BH46" i="13"/>
  <c r="BG46" i="13"/>
  <c r="BE46" i="13"/>
  <c r="BP46" i="13" s="1"/>
  <c r="BS45" i="13"/>
  <c r="BK45" i="13"/>
  <c r="BI45" i="13"/>
  <c r="BJ45" i="13" s="1"/>
  <c r="BH45" i="13"/>
  <c r="BG45" i="13"/>
  <c r="BE45" i="13"/>
  <c r="BP45" i="13" s="1"/>
  <c r="BS44" i="13"/>
  <c r="BK44" i="13"/>
  <c r="BI44" i="13"/>
  <c r="BJ44" i="13" s="1"/>
  <c r="BH44" i="13"/>
  <c r="BG44" i="13"/>
  <c r="BE44" i="13"/>
  <c r="BP44" i="13" s="1"/>
  <c r="BS43" i="13"/>
  <c r="BK43" i="13"/>
  <c r="BI43" i="13"/>
  <c r="BJ43" i="13" s="1"/>
  <c r="BH43" i="13"/>
  <c r="BG43" i="13"/>
  <c r="BE43" i="13"/>
  <c r="BP43" i="13" s="1"/>
  <c r="BS42" i="13"/>
  <c r="BK42" i="13"/>
  <c r="BI42" i="13"/>
  <c r="BJ42" i="13" s="1"/>
  <c r="BH42" i="13"/>
  <c r="BG42" i="13"/>
  <c r="BE42" i="13"/>
  <c r="BP42" i="13" s="1"/>
  <c r="BS39" i="13"/>
  <c r="BK39" i="13"/>
  <c r="BI39" i="13"/>
  <c r="BJ39" i="13" s="1"/>
  <c r="BH39" i="13"/>
  <c r="BG39" i="13"/>
  <c r="BE39" i="13"/>
  <c r="BP39" i="13" s="1"/>
  <c r="BS38" i="13"/>
  <c r="BK38" i="13"/>
  <c r="BI38" i="13"/>
  <c r="BJ38" i="13" s="1"/>
  <c r="BH38" i="13"/>
  <c r="BG38" i="13"/>
  <c r="BE38" i="13"/>
  <c r="BP38" i="13" s="1"/>
  <c r="BS37" i="13"/>
  <c r="BK37" i="13"/>
  <c r="BI37" i="13"/>
  <c r="BJ37" i="13" s="1"/>
  <c r="BH37" i="13"/>
  <c r="BG37" i="13"/>
  <c r="BE37" i="13"/>
  <c r="BP37" i="13" s="1"/>
  <c r="BS36" i="13"/>
  <c r="BK36" i="13"/>
  <c r="BI36" i="13"/>
  <c r="BJ36" i="13" s="1"/>
  <c r="BH36" i="13"/>
  <c r="BG36" i="13"/>
  <c r="BE36" i="13"/>
  <c r="BP36" i="13" s="1"/>
  <c r="BS33" i="13"/>
  <c r="BK33" i="13"/>
  <c r="BI33" i="13"/>
  <c r="BJ33" i="13" s="1"/>
  <c r="BH33" i="13"/>
  <c r="BG33" i="13"/>
  <c r="BE33" i="13"/>
  <c r="BP33" i="13" s="1"/>
  <c r="BS32" i="13"/>
  <c r="BK32" i="13"/>
  <c r="BI32" i="13"/>
  <c r="BJ32" i="13" s="1"/>
  <c r="BH32" i="13"/>
  <c r="BG32" i="13"/>
  <c r="BE32" i="13"/>
  <c r="BP32" i="13" s="1"/>
  <c r="BS31" i="13"/>
  <c r="BK31" i="13"/>
  <c r="BI31" i="13"/>
  <c r="BJ31" i="13" s="1"/>
  <c r="BH31" i="13"/>
  <c r="BG31" i="13"/>
  <c r="BE31" i="13"/>
  <c r="BO31" i="13" s="1"/>
  <c r="BS30" i="13"/>
  <c r="BK30" i="13"/>
  <c r="BI30" i="13"/>
  <c r="BJ30" i="13" s="1"/>
  <c r="BH30" i="13"/>
  <c r="BG30" i="13"/>
  <c r="BE30" i="13"/>
  <c r="BO30" i="13" s="1"/>
  <c r="BS29" i="13"/>
  <c r="BK29" i="13"/>
  <c r="BI29" i="13"/>
  <c r="BJ29" i="13" s="1"/>
  <c r="BH29" i="13"/>
  <c r="BG29" i="13"/>
  <c r="BE29" i="13"/>
  <c r="BO29" i="13" s="1"/>
  <c r="BS28" i="13"/>
  <c r="BK28" i="13"/>
  <c r="BI28" i="13"/>
  <c r="BJ28" i="13" s="1"/>
  <c r="BH28" i="13"/>
  <c r="BG28" i="13"/>
  <c r="BE28" i="13"/>
  <c r="BO28" i="13" s="1"/>
  <c r="BS27" i="13"/>
  <c r="BK27" i="13"/>
  <c r="BI27" i="13"/>
  <c r="BJ27" i="13" s="1"/>
  <c r="BH27" i="13"/>
  <c r="BG27" i="13"/>
  <c r="BE27" i="13"/>
  <c r="BO27" i="13" s="1"/>
  <c r="BS24" i="13"/>
  <c r="BK24" i="13"/>
  <c r="BI24" i="13"/>
  <c r="BJ24" i="13" s="1"/>
  <c r="BH24" i="13"/>
  <c r="BG24" i="13"/>
  <c r="BE24" i="13"/>
  <c r="BP24" i="13" s="1"/>
  <c r="BS23" i="13"/>
  <c r="BK23" i="13"/>
  <c r="BI23" i="13"/>
  <c r="BJ23" i="13" s="1"/>
  <c r="BH23" i="13"/>
  <c r="BG23" i="13"/>
  <c r="BE23" i="13"/>
  <c r="BP23" i="13" s="1"/>
  <c r="BS22" i="13"/>
  <c r="BK22" i="13"/>
  <c r="BI22" i="13"/>
  <c r="BJ22" i="13" s="1"/>
  <c r="BH22" i="13"/>
  <c r="BG22" i="13"/>
  <c r="BE22" i="13"/>
  <c r="BP22" i="13" s="1"/>
  <c r="BS21" i="13"/>
  <c r="BK21" i="13"/>
  <c r="BI21" i="13"/>
  <c r="BJ21" i="13" s="1"/>
  <c r="BH21" i="13"/>
  <c r="BG21" i="13"/>
  <c r="BE21" i="13"/>
  <c r="BP21" i="13" s="1"/>
  <c r="BS18" i="13"/>
  <c r="BK18" i="13"/>
  <c r="BI18" i="13"/>
  <c r="BJ18" i="13" s="1"/>
  <c r="BH18" i="13"/>
  <c r="BG18" i="13"/>
  <c r="BE18" i="13"/>
  <c r="BP18" i="13" s="1"/>
  <c r="BS17" i="13"/>
  <c r="BK17" i="13"/>
  <c r="BI17" i="13"/>
  <c r="BJ17" i="13" s="1"/>
  <c r="BH17" i="13"/>
  <c r="BG17" i="13"/>
  <c r="BE17" i="13"/>
  <c r="BP17" i="13" s="1"/>
  <c r="BS16" i="13"/>
  <c r="BK16" i="13"/>
  <c r="BI16" i="13"/>
  <c r="BJ16" i="13" s="1"/>
  <c r="BH16" i="13"/>
  <c r="BG16" i="13"/>
  <c r="BE16" i="13"/>
  <c r="BP16" i="13" s="1"/>
  <c r="BS15" i="13"/>
  <c r="BK15" i="13"/>
  <c r="BI15" i="13"/>
  <c r="BJ15" i="13" s="1"/>
  <c r="BH15" i="13"/>
  <c r="BG15" i="13"/>
  <c r="BE15" i="13"/>
  <c r="BS14" i="13"/>
  <c r="BK14" i="13"/>
  <c r="BI14" i="13"/>
  <c r="BJ14" i="13" s="1"/>
  <c r="BH14" i="13"/>
  <c r="BG14" i="13"/>
  <c r="BE14" i="13"/>
  <c r="BP14" i="13" s="1"/>
  <c r="BS13" i="13"/>
  <c r="BK13" i="13"/>
  <c r="BI13" i="13"/>
  <c r="BJ13" i="13" s="1"/>
  <c r="BH13" i="13"/>
  <c r="BG13" i="13"/>
  <c r="BE13" i="13"/>
  <c r="BP13" i="13" s="1"/>
  <c r="BS10" i="13"/>
  <c r="BK10" i="13"/>
  <c r="BI10" i="13"/>
  <c r="BJ10" i="13" s="1"/>
  <c r="BH10" i="13"/>
  <c r="BH55" i="13" s="1"/>
  <c r="BG10" i="13"/>
  <c r="BE10" i="13"/>
  <c r="BP10" i="13" s="1"/>
  <c r="BS9" i="13"/>
  <c r="BK9" i="13"/>
  <c r="BI9" i="13"/>
  <c r="BJ9" i="13" s="1"/>
  <c r="BH9" i="13"/>
  <c r="BH54" i="13" s="1"/>
  <c r="BG9" i="13"/>
  <c r="BE9" i="13"/>
  <c r="BP9" i="13" s="1"/>
  <c r="BS8" i="13"/>
  <c r="BK8" i="13"/>
  <c r="BI8" i="13"/>
  <c r="BJ8" i="13" s="1"/>
  <c r="BH8" i="13"/>
  <c r="BH53" i="13" s="1"/>
  <c r="BG8" i="13"/>
  <c r="BE8" i="13"/>
  <c r="BP8" i="13" s="1"/>
  <c r="BA164" i="13"/>
  <c r="AS164" i="13"/>
  <c r="AQ164" i="13"/>
  <c r="AR164" i="13" s="1"/>
  <c r="AP164" i="13"/>
  <c r="AO164" i="13"/>
  <c r="AT164" i="13" s="1"/>
  <c r="AM164" i="13"/>
  <c r="AW164" i="13" s="1"/>
  <c r="BA163" i="13"/>
  <c r="AS163" i="13"/>
  <c r="AQ163" i="13"/>
  <c r="AR163" i="13" s="1"/>
  <c r="AP163" i="13"/>
  <c r="AO163" i="13"/>
  <c r="AM163" i="13"/>
  <c r="AX163" i="13" s="1"/>
  <c r="BA162" i="13"/>
  <c r="AS162" i="13"/>
  <c r="AQ162" i="13"/>
  <c r="AR162" i="13" s="1"/>
  <c r="AP162" i="13"/>
  <c r="AO162" i="13"/>
  <c r="AM162" i="13"/>
  <c r="AX162" i="13" s="1"/>
  <c r="BA161" i="13"/>
  <c r="AS161" i="13"/>
  <c r="AQ161" i="13"/>
  <c r="AR161" i="13" s="1"/>
  <c r="AP161" i="13"/>
  <c r="AO161" i="13"/>
  <c r="AM161" i="13"/>
  <c r="BA160" i="13"/>
  <c r="AS160" i="13"/>
  <c r="AQ160" i="13"/>
  <c r="AR160" i="13" s="1"/>
  <c r="AP160" i="13"/>
  <c r="AO160" i="13"/>
  <c r="AM160" i="13"/>
  <c r="AX160" i="13" s="1"/>
  <c r="BA159" i="13"/>
  <c r="AS159" i="13"/>
  <c r="AQ159" i="13"/>
  <c r="AR159" i="13" s="1"/>
  <c r="AP159" i="13"/>
  <c r="AO159" i="13"/>
  <c r="AM159" i="13"/>
  <c r="AX159" i="13" s="1"/>
  <c r="BA158" i="13"/>
  <c r="AS158" i="13"/>
  <c r="AQ158" i="13"/>
  <c r="AR158" i="13" s="1"/>
  <c r="AP158" i="13"/>
  <c r="AO158" i="13"/>
  <c r="AM158" i="13"/>
  <c r="AX158" i="13" s="1"/>
  <c r="BA157" i="13"/>
  <c r="AS157" i="13"/>
  <c r="AQ157" i="13"/>
  <c r="AR157" i="13" s="1"/>
  <c r="AP157" i="13"/>
  <c r="AO157" i="13"/>
  <c r="AM157" i="13"/>
  <c r="BA154" i="13"/>
  <c r="AS154" i="13"/>
  <c r="AQ154" i="13"/>
  <c r="AR154" i="13" s="1"/>
  <c r="AP154" i="13"/>
  <c r="AO154" i="13"/>
  <c r="AM154" i="13"/>
  <c r="AX154" i="13" s="1"/>
  <c r="BA153" i="13"/>
  <c r="AS153" i="13"/>
  <c r="AQ153" i="13"/>
  <c r="AR153" i="13" s="1"/>
  <c r="AP153" i="13"/>
  <c r="AO153" i="13"/>
  <c r="AM153" i="13"/>
  <c r="AX153" i="13" s="1"/>
  <c r="BA152" i="13"/>
  <c r="AS152" i="13"/>
  <c r="AQ152" i="13"/>
  <c r="AR152" i="13" s="1"/>
  <c r="AP152" i="13"/>
  <c r="AO152" i="13"/>
  <c r="AM152" i="13"/>
  <c r="AX152" i="13" s="1"/>
  <c r="BA149" i="13"/>
  <c r="AS149" i="13"/>
  <c r="AQ149" i="13"/>
  <c r="AR149" i="13" s="1"/>
  <c r="AP149" i="13"/>
  <c r="AO149" i="13"/>
  <c r="AM149" i="13"/>
  <c r="AX149" i="13" s="1"/>
  <c r="BA148" i="13"/>
  <c r="AS148" i="13"/>
  <c r="AQ148" i="13"/>
  <c r="AR148" i="13" s="1"/>
  <c r="AP148" i="13"/>
  <c r="AO148" i="13"/>
  <c r="AM148" i="13"/>
  <c r="AX148" i="13" s="1"/>
  <c r="BA147" i="13"/>
  <c r="AS147" i="13"/>
  <c r="AQ147" i="13"/>
  <c r="AR147" i="13" s="1"/>
  <c r="AP147" i="13"/>
  <c r="AO147" i="13"/>
  <c r="AM147" i="13"/>
  <c r="BA144" i="13"/>
  <c r="AS144" i="13"/>
  <c r="AQ144" i="13"/>
  <c r="AR144" i="13" s="1"/>
  <c r="AP144" i="13"/>
  <c r="AO144" i="13"/>
  <c r="AM144" i="13"/>
  <c r="AX144" i="13" s="1"/>
  <c r="BA143" i="13"/>
  <c r="AS143" i="13"/>
  <c r="AQ143" i="13"/>
  <c r="AR143" i="13" s="1"/>
  <c r="AP143" i="13"/>
  <c r="AO143" i="13"/>
  <c r="AM143" i="13"/>
  <c r="AX143" i="13" s="1"/>
  <c r="BA142" i="13"/>
  <c r="AS142" i="13"/>
  <c r="AQ142" i="13"/>
  <c r="AR142" i="13" s="1"/>
  <c r="AP142" i="13"/>
  <c r="AO142" i="13"/>
  <c r="AM142" i="13"/>
  <c r="AX142" i="13" s="1"/>
  <c r="BA139" i="13"/>
  <c r="AS139" i="13"/>
  <c r="AQ139" i="13"/>
  <c r="AR139" i="13" s="1"/>
  <c r="AP139" i="13"/>
  <c r="AO139" i="13"/>
  <c r="AM139" i="13"/>
  <c r="AX139" i="13" s="1"/>
  <c r="BA138" i="13"/>
  <c r="AS138" i="13"/>
  <c r="AQ138" i="13"/>
  <c r="AR138" i="13" s="1"/>
  <c r="AP138" i="13"/>
  <c r="AO138" i="13"/>
  <c r="AM138" i="13"/>
  <c r="BA137" i="13"/>
  <c r="AS137" i="13"/>
  <c r="AQ137" i="13"/>
  <c r="AR137" i="13" s="1"/>
  <c r="AP137" i="13"/>
  <c r="AO137" i="13"/>
  <c r="AM137" i="13"/>
  <c r="AX137" i="13" s="1"/>
  <c r="BA134" i="13"/>
  <c r="AS134" i="13"/>
  <c r="AQ134" i="13"/>
  <c r="AR134" i="13" s="1"/>
  <c r="AP134" i="13"/>
  <c r="AO134" i="13"/>
  <c r="AM134" i="13"/>
  <c r="BA133" i="13"/>
  <c r="AS133" i="13"/>
  <c r="AQ133" i="13"/>
  <c r="AR133" i="13" s="1"/>
  <c r="AP133" i="13"/>
  <c r="AO133" i="13"/>
  <c r="AM133" i="13"/>
  <c r="AW133" i="13" s="1"/>
  <c r="BA132" i="13"/>
  <c r="AS132" i="13"/>
  <c r="AQ132" i="13"/>
  <c r="AR132" i="13" s="1"/>
  <c r="AP132" i="13"/>
  <c r="AO132" i="13"/>
  <c r="AM132" i="13"/>
  <c r="AW132" i="13" s="1"/>
  <c r="BA129" i="13"/>
  <c r="AS129" i="13"/>
  <c r="AQ129" i="13"/>
  <c r="AR129" i="13" s="1"/>
  <c r="AP129" i="13"/>
  <c r="AO129" i="13"/>
  <c r="AM129" i="13"/>
  <c r="AX129" i="13" s="1"/>
  <c r="BA128" i="13"/>
  <c r="AS128" i="13"/>
  <c r="AQ128" i="13"/>
  <c r="AR128" i="13" s="1"/>
  <c r="AP128" i="13"/>
  <c r="AO128" i="13"/>
  <c r="AM128" i="13"/>
  <c r="AX128" i="13" s="1"/>
  <c r="BA127" i="13"/>
  <c r="AS127" i="13"/>
  <c r="AQ127" i="13"/>
  <c r="AR127" i="13" s="1"/>
  <c r="AP127" i="13"/>
  <c r="AO127" i="13"/>
  <c r="AM127" i="13"/>
  <c r="AX127" i="13" s="1"/>
  <c r="BA126" i="13"/>
  <c r="AS126" i="13"/>
  <c r="AQ126" i="13"/>
  <c r="AR126" i="13" s="1"/>
  <c r="AP126" i="13"/>
  <c r="AO126" i="13"/>
  <c r="AM126" i="13"/>
  <c r="AX126" i="13" s="1"/>
  <c r="BA125" i="13"/>
  <c r="AS125" i="13"/>
  <c r="AQ125" i="13"/>
  <c r="AR125" i="13" s="1"/>
  <c r="AP125" i="13"/>
  <c r="AO125" i="13"/>
  <c r="AM125" i="13"/>
  <c r="AX125" i="13" s="1"/>
  <c r="BA122" i="13"/>
  <c r="AS122" i="13"/>
  <c r="AQ122" i="13"/>
  <c r="AR122" i="13" s="1"/>
  <c r="AP122" i="13"/>
  <c r="AO122" i="13"/>
  <c r="AM122" i="13"/>
  <c r="AW122" i="13" s="1"/>
  <c r="BA121" i="13"/>
  <c r="AS121" i="13"/>
  <c r="AQ121" i="13"/>
  <c r="AR121" i="13" s="1"/>
  <c r="AP121" i="13"/>
  <c r="AO121" i="13"/>
  <c r="AM121" i="13"/>
  <c r="AW121" i="13" s="1"/>
  <c r="BA120" i="13"/>
  <c r="AS120" i="13"/>
  <c r="AQ120" i="13"/>
  <c r="AR120" i="13" s="1"/>
  <c r="AP120" i="13"/>
  <c r="AO120" i="13"/>
  <c r="AM120" i="13"/>
  <c r="AW120" i="13" s="1"/>
  <c r="BA119" i="13"/>
  <c r="AS119" i="13"/>
  <c r="AQ119" i="13"/>
  <c r="AR119" i="13" s="1"/>
  <c r="AP119" i="13"/>
  <c r="AO119" i="13"/>
  <c r="AM119" i="13"/>
  <c r="AW119" i="13" s="1"/>
  <c r="BA116" i="13"/>
  <c r="AS116" i="13"/>
  <c r="AQ116" i="13"/>
  <c r="AR116" i="13" s="1"/>
  <c r="AP116" i="13"/>
  <c r="AO116" i="13"/>
  <c r="AM116" i="13"/>
  <c r="AX116" i="13" s="1"/>
  <c r="BA115" i="13"/>
  <c r="AS115" i="13"/>
  <c r="AQ115" i="13"/>
  <c r="AR115" i="13" s="1"/>
  <c r="AP115" i="13"/>
  <c r="AO115" i="13"/>
  <c r="AM115" i="13"/>
  <c r="AX115" i="13" s="1"/>
  <c r="BA114" i="13"/>
  <c r="AM114" i="13"/>
  <c r="AX114" i="13" s="1"/>
  <c r="BA111" i="13"/>
  <c r="AS111" i="13"/>
  <c r="AQ111" i="13"/>
  <c r="AR111" i="13" s="1"/>
  <c r="AP111" i="13"/>
  <c r="AO111" i="13"/>
  <c r="AM111" i="13"/>
  <c r="AX111" i="13" s="1"/>
  <c r="BA110" i="13"/>
  <c r="AS110" i="13"/>
  <c r="AQ110" i="13"/>
  <c r="AR110" i="13" s="1"/>
  <c r="AP110" i="13"/>
  <c r="AO110" i="13"/>
  <c r="AM110" i="13"/>
  <c r="AX110" i="13" s="1"/>
  <c r="BA109" i="13"/>
  <c r="AS109" i="13"/>
  <c r="AQ109" i="13"/>
  <c r="AR109" i="13" s="1"/>
  <c r="AP109" i="13"/>
  <c r="AO109" i="13"/>
  <c r="AM109" i="13"/>
  <c r="AX109" i="13" s="1"/>
  <c r="BA106" i="13"/>
  <c r="AS106" i="13"/>
  <c r="AQ106" i="13"/>
  <c r="AR106" i="13" s="1"/>
  <c r="AP106" i="13"/>
  <c r="AO106" i="13"/>
  <c r="AM106" i="13"/>
  <c r="AW106" i="13" s="1"/>
  <c r="BA105" i="13"/>
  <c r="AS105" i="13"/>
  <c r="AQ105" i="13"/>
  <c r="AR105" i="13" s="1"/>
  <c r="AP105" i="13"/>
  <c r="AO105" i="13"/>
  <c r="AM105" i="13"/>
  <c r="AW105" i="13" s="1"/>
  <c r="BA104" i="13"/>
  <c r="AS104" i="13"/>
  <c r="AQ104" i="13"/>
  <c r="AR104" i="13" s="1"/>
  <c r="AP104" i="13"/>
  <c r="AO104" i="13"/>
  <c r="AM104" i="13"/>
  <c r="AW104" i="13" s="1"/>
  <c r="BA101" i="13"/>
  <c r="AS101" i="13"/>
  <c r="AQ101" i="13"/>
  <c r="AR101" i="13" s="1"/>
  <c r="AP101" i="13"/>
  <c r="AO101" i="13"/>
  <c r="AM101" i="13"/>
  <c r="AX101" i="13" s="1"/>
  <c r="BA100" i="13"/>
  <c r="AS100" i="13"/>
  <c r="AQ100" i="13"/>
  <c r="AR100" i="13" s="1"/>
  <c r="AP100" i="13"/>
  <c r="AO100" i="13"/>
  <c r="AM100" i="13"/>
  <c r="AX100" i="13" s="1"/>
  <c r="BA99" i="13"/>
  <c r="AS99" i="13"/>
  <c r="AQ99" i="13"/>
  <c r="AR99" i="13" s="1"/>
  <c r="AP99" i="13"/>
  <c r="AO99" i="13"/>
  <c r="AM99" i="13"/>
  <c r="AX99" i="13" s="1"/>
  <c r="BA96" i="13"/>
  <c r="AS96" i="13"/>
  <c r="AQ96" i="13"/>
  <c r="AR96" i="13" s="1"/>
  <c r="AP96" i="13"/>
  <c r="AO96" i="13"/>
  <c r="AM96" i="13"/>
  <c r="AW96" i="13" s="1"/>
  <c r="BA95" i="13"/>
  <c r="AS95" i="13"/>
  <c r="AQ95" i="13"/>
  <c r="AR95" i="13" s="1"/>
  <c r="AP95" i="13"/>
  <c r="AO95" i="13"/>
  <c r="AM95" i="13"/>
  <c r="AW95" i="13" s="1"/>
  <c r="BA94" i="13"/>
  <c r="AS94" i="13"/>
  <c r="AQ94" i="13"/>
  <c r="AR94" i="13" s="1"/>
  <c r="AP94" i="13"/>
  <c r="AO94" i="13"/>
  <c r="AM94" i="13"/>
  <c r="AW94" i="13" s="1"/>
  <c r="BA91" i="13"/>
  <c r="AS91" i="13"/>
  <c r="AQ91" i="13"/>
  <c r="AR91" i="13" s="1"/>
  <c r="AP91" i="13"/>
  <c r="AO91" i="13"/>
  <c r="AM91" i="13"/>
  <c r="AX91" i="13" s="1"/>
  <c r="BA90" i="13"/>
  <c r="AS90" i="13"/>
  <c r="AQ90" i="13"/>
  <c r="AR90" i="13" s="1"/>
  <c r="AP90" i="13"/>
  <c r="AO90" i="13"/>
  <c r="AM90" i="13"/>
  <c r="AX90" i="13" s="1"/>
  <c r="BA89" i="13"/>
  <c r="AS89" i="13"/>
  <c r="AQ89" i="13"/>
  <c r="AR89" i="13" s="1"/>
  <c r="AP89" i="13"/>
  <c r="AO89" i="13"/>
  <c r="AM89" i="13"/>
  <c r="AX89" i="13" s="1"/>
  <c r="BA86" i="13"/>
  <c r="AS86" i="13"/>
  <c r="AQ86" i="13"/>
  <c r="AR86" i="13" s="1"/>
  <c r="AP86" i="13"/>
  <c r="AO86" i="13"/>
  <c r="AM86" i="13"/>
  <c r="AW86" i="13" s="1"/>
  <c r="BA85" i="13"/>
  <c r="AS85" i="13"/>
  <c r="AQ85" i="13"/>
  <c r="AR85" i="13" s="1"/>
  <c r="AP85" i="13"/>
  <c r="AO85" i="13"/>
  <c r="AM85" i="13"/>
  <c r="AW85" i="13" s="1"/>
  <c r="BA84" i="13"/>
  <c r="AS84" i="13"/>
  <c r="AQ84" i="13"/>
  <c r="AR84" i="13" s="1"/>
  <c r="AP84" i="13"/>
  <c r="AO84" i="13"/>
  <c r="AM84" i="13"/>
  <c r="AW84" i="13" s="1"/>
  <c r="BA81" i="13"/>
  <c r="AS81" i="13"/>
  <c r="AQ81" i="13"/>
  <c r="AR81" i="13" s="1"/>
  <c r="AP81" i="13"/>
  <c r="AO81" i="13"/>
  <c r="AM81" i="13"/>
  <c r="AX81" i="13" s="1"/>
  <c r="BA80" i="13"/>
  <c r="AS80" i="13"/>
  <c r="AQ80" i="13"/>
  <c r="AR80" i="13" s="1"/>
  <c r="AP80" i="13"/>
  <c r="AO80" i="13"/>
  <c r="AM80" i="13"/>
  <c r="AX80" i="13" s="1"/>
  <c r="BA79" i="13"/>
  <c r="AS79" i="13"/>
  <c r="AQ79" i="13"/>
  <c r="AR79" i="13" s="1"/>
  <c r="AP79" i="13"/>
  <c r="AO79" i="13"/>
  <c r="AM79" i="13"/>
  <c r="AX79" i="13" s="1"/>
  <c r="BA76" i="13"/>
  <c r="AS76" i="13"/>
  <c r="AQ76" i="13"/>
  <c r="AR76" i="13" s="1"/>
  <c r="AP76" i="13"/>
  <c r="AO76" i="13"/>
  <c r="AM76" i="13"/>
  <c r="AW76" i="13" s="1"/>
  <c r="BA75" i="13"/>
  <c r="AS75" i="13"/>
  <c r="AQ75" i="13"/>
  <c r="AR75" i="13" s="1"/>
  <c r="AP75" i="13"/>
  <c r="AO75" i="13"/>
  <c r="AM75" i="13"/>
  <c r="AW75" i="13" s="1"/>
  <c r="BA74" i="13"/>
  <c r="AS74" i="13"/>
  <c r="AQ74" i="13"/>
  <c r="AR74" i="13" s="1"/>
  <c r="AP74" i="13"/>
  <c r="AO74" i="13"/>
  <c r="AM74" i="13"/>
  <c r="AW74" i="13" s="1"/>
  <c r="BA71" i="13"/>
  <c r="AS71" i="13"/>
  <c r="AQ71" i="13"/>
  <c r="AR71" i="13" s="1"/>
  <c r="AP71" i="13"/>
  <c r="AO71" i="13"/>
  <c r="AM71" i="13"/>
  <c r="AX71" i="13" s="1"/>
  <c r="BA70" i="13"/>
  <c r="AS70" i="13"/>
  <c r="AQ70" i="13"/>
  <c r="AR70" i="13" s="1"/>
  <c r="AP70" i="13"/>
  <c r="AO70" i="13"/>
  <c r="AM70" i="13"/>
  <c r="AX70" i="13" s="1"/>
  <c r="BA69" i="13"/>
  <c r="AS69" i="13"/>
  <c r="AQ69" i="13"/>
  <c r="AR69" i="13" s="1"/>
  <c r="AP69" i="13"/>
  <c r="AO69" i="13"/>
  <c r="AM69" i="13"/>
  <c r="AX69" i="13" s="1"/>
  <c r="BA66" i="13"/>
  <c r="AS66" i="13"/>
  <c r="AQ66" i="13"/>
  <c r="AR66" i="13" s="1"/>
  <c r="AP66" i="13"/>
  <c r="AO66" i="13"/>
  <c r="AM66" i="13"/>
  <c r="AW66" i="13" s="1"/>
  <c r="BA65" i="13"/>
  <c r="AS65" i="13"/>
  <c r="AQ65" i="13"/>
  <c r="AR65" i="13" s="1"/>
  <c r="AP65" i="13"/>
  <c r="AO65" i="13"/>
  <c r="AM65" i="13"/>
  <c r="AW65" i="13" s="1"/>
  <c r="BA64" i="13"/>
  <c r="AS64" i="13"/>
  <c r="AQ64" i="13"/>
  <c r="AR64" i="13" s="1"/>
  <c r="AP64" i="13"/>
  <c r="AO64" i="13"/>
  <c r="AM64" i="13"/>
  <c r="AW64" i="13" s="1"/>
  <c r="BA61" i="13"/>
  <c r="AS61" i="13"/>
  <c r="AQ61" i="13"/>
  <c r="AR61" i="13" s="1"/>
  <c r="AP61" i="13"/>
  <c r="AO61" i="13"/>
  <c r="AM61" i="13"/>
  <c r="AX61" i="13" s="1"/>
  <c r="BA60" i="13"/>
  <c r="AS60" i="13"/>
  <c r="AQ60" i="13"/>
  <c r="AR60" i="13" s="1"/>
  <c r="AP60" i="13"/>
  <c r="AO60" i="13"/>
  <c r="AM60" i="13"/>
  <c r="AX60" i="13" s="1"/>
  <c r="BA59" i="13"/>
  <c r="AS59" i="13"/>
  <c r="AQ59" i="13"/>
  <c r="AR59" i="13" s="1"/>
  <c r="AP59" i="13"/>
  <c r="AO59" i="13"/>
  <c r="AM59" i="13"/>
  <c r="AX59" i="13" s="1"/>
  <c r="BA58" i="13"/>
  <c r="AS58" i="13"/>
  <c r="AQ58" i="13"/>
  <c r="AR58" i="13" s="1"/>
  <c r="AP58" i="13"/>
  <c r="AO58" i="13"/>
  <c r="AM58" i="13"/>
  <c r="AX58" i="13" s="1"/>
  <c r="BA55" i="13"/>
  <c r="AS55" i="13"/>
  <c r="AQ55" i="13"/>
  <c r="AR55" i="13" s="1"/>
  <c r="AO55" i="13"/>
  <c r="AM55" i="13"/>
  <c r="AW55" i="13" s="1"/>
  <c r="BA54" i="13"/>
  <c r="AS54" i="13"/>
  <c r="AQ54" i="13"/>
  <c r="AR54" i="13" s="1"/>
  <c r="AO54" i="13"/>
  <c r="AM54" i="13"/>
  <c r="AW54" i="13" s="1"/>
  <c r="BA53" i="13"/>
  <c r="AS53" i="13"/>
  <c r="AQ53" i="13"/>
  <c r="AR53" i="13" s="1"/>
  <c r="AO53" i="13"/>
  <c r="AM53" i="13"/>
  <c r="AW53" i="13" s="1"/>
  <c r="BA52" i="13"/>
  <c r="AS52" i="13"/>
  <c r="AQ52" i="13"/>
  <c r="AR52" i="13" s="1"/>
  <c r="AP52" i="13"/>
  <c r="AO52" i="13"/>
  <c r="AM52" i="13"/>
  <c r="AW52" i="13" s="1"/>
  <c r="BA51" i="13"/>
  <c r="AS51" i="13"/>
  <c r="AQ51" i="13"/>
  <c r="AR51" i="13" s="1"/>
  <c r="AP51" i="13"/>
  <c r="AO51" i="13"/>
  <c r="AM51" i="13"/>
  <c r="AW51" i="13" s="1"/>
  <c r="BA50" i="13"/>
  <c r="AS50" i="13"/>
  <c r="AQ50" i="13"/>
  <c r="AR50" i="13" s="1"/>
  <c r="AP50" i="13"/>
  <c r="AO50" i="13"/>
  <c r="AM50" i="13"/>
  <c r="AW50" i="13" s="1"/>
  <c r="BA47" i="13"/>
  <c r="AS47" i="13"/>
  <c r="AQ47" i="13"/>
  <c r="AR47" i="13" s="1"/>
  <c r="AP47" i="13"/>
  <c r="AO47" i="13"/>
  <c r="AM47" i="13"/>
  <c r="AX47" i="13" s="1"/>
  <c r="BA46" i="13"/>
  <c r="AS46" i="13"/>
  <c r="AQ46" i="13"/>
  <c r="AR46" i="13" s="1"/>
  <c r="AP46" i="13"/>
  <c r="AO46" i="13"/>
  <c r="AM46" i="13"/>
  <c r="AX46" i="13" s="1"/>
  <c r="BA45" i="13"/>
  <c r="AS45" i="13"/>
  <c r="AQ45" i="13"/>
  <c r="AR45" i="13" s="1"/>
  <c r="AP45" i="13"/>
  <c r="AO45" i="13"/>
  <c r="AM45" i="13"/>
  <c r="AX45" i="13" s="1"/>
  <c r="BA44" i="13"/>
  <c r="AS44" i="13"/>
  <c r="AQ44" i="13"/>
  <c r="AR44" i="13" s="1"/>
  <c r="AP44" i="13"/>
  <c r="AO44" i="13"/>
  <c r="AM44" i="13"/>
  <c r="AX44" i="13" s="1"/>
  <c r="BA43" i="13"/>
  <c r="AS43" i="13"/>
  <c r="AQ43" i="13"/>
  <c r="AR43" i="13" s="1"/>
  <c r="AP43" i="13"/>
  <c r="AO43" i="13"/>
  <c r="AM43" i="13"/>
  <c r="AX43" i="13" s="1"/>
  <c r="BA42" i="13"/>
  <c r="AS42" i="13"/>
  <c r="AQ42" i="13"/>
  <c r="AR42" i="13" s="1"/>
  <c r="AP42" i="13"/>
  <c r="AO42" i="13"/>
  <c r="AM42" i="13"/>
  <c r="AX42" i="13" s="1"/>
  <c r="BA39" i="13"/>
  <c r="AS39" i="13"/>
  <c r="AQ39" i="13"/>
  <c r="AR39" i="13" s="1"/>
  <c r="AP39" i="13"/>
  <c r="AO39" i="13"/>
  <c r="AM39" i="13"/>
  <c r="AW39" i="13" s="1"/>
  <c r="BA38" i="13"/>
  <c r="AS38" i="13"/>
  <c r="AQ38" i="13"/>
  <c r="AR38" i="13" s="1"/>
  <c r="AP38" i="13"/>
  <c r="AO38" i="13"/>
  <c r="AM38" i="13"/>
  <c r="AW38" i="13" s="1"/>
  <c r="BA37" i="13"/>
  <c r="AS37" i="13"/>
  <c r="AQ37" i="13"/>
  <c r="AR37" i="13" s="1"/>
  <c r="AP37" i="13"/>
  <c r="AO37" i="13"/>
  <c r="AM37" i="13"/>
  <c r="AW37" i="13" s="1"/>
  <c r="BA36" i="13"/>
  <c r="AS36" i="13"/>
  <c r="AQ36" i="13"/>
  <c r="AR36" i="13" s="1"/>
  <c r="AP36" i="13"/>
  <c r="AO36" i="13"/>
  <c r="AM36" i="13"/>
  <c r="AW36" i="13" s="1"/>
  <c r="BA33" i="13"/>
  <c r="AS33" i="13"/>
  <c r="AQ33" i="13"/>
  <c r="AR33" i="13" s="1"/>
  <c r="AP33" i="13"/>
  <c r="AO33" i="13"/>
  <c r="AM33" i="13"/>
  <c r="AX33" i="13" s="1"/>
  <c r="BA32" i="13"/>
  <c r="AS32" i="13"/>
  <c r="AQ32" i="13"/>
  <c r="AR32" i="13" s="1"/>
  <c r="AP32" i="13"/>
  <c r="AO32" i="13"/>
  <c r="AM32" i="13"/>
  <c r="AX32" i="13" s="1"/>
  <c r="BA31" i="13"/>
  <c r="AS31" i="13"/>
  <c r="AQ31" i="13"/>
  <c r="AR31" i="13" s="1"/>
  <c r="AP31" i="13"/>
  <c r="AO31" i="13"/>
  <c r="AM31" i="13"/>
  <c r="AX31" i="13" s="1"/>
  <c r="BA30" i="13"/>
  <c r="AS30" i="13"/>
  <c r="AQ30" i="13"/>
  <c r="AR30" i="13" s="1"/>
  <c r="AP30" i="13"/>
  <c r="AO30" i="13"/>
  <c r="AM30" i="13"/>
  <c r="AX30" i="13" s="1"/>
  <c r="BA29" i="13"/>
  <c r="AS29" i="13"/>
  <c r="AQ29" i="13"/>
  <c r="AR29" i="13" s="1"/>
  <c r="AP29" i="13"/>
  <c r="AO29" i="13"/>
  <c r="AM29" i="13"/>
  <c r="AX29" i="13" s="1"/>
  <c r="BA28" i="13"/>
  <c r="AS28" i="13"/>
  <c r="AQ28" i="13"/>
  <c r="AR28" i="13" s="1"/>
  <c r="AP28" i="13"/>
  <c r="AO28" i="13"/>
  <c r="AM28" i="13"/>
  <c r="AX28" i="13" s="1"/>
  <c r="BA27" i="13"/>
  <c r="AS27" i="13"/>
  <c r="AQ27" i="13"/>
  <c r="AR27" i="13" s="1"/>
  <c r="AP27" i="13"/>
  <c r="AO27" i="13"/>
  <c r="AM27" i="13"/>
  <c r="AX27" i="13" s="1"/>
  <c r="BA24" i="13"/>
  <c r="AS24" i="13"/>
  <c r="AQ24" i="13"/>
  <c r="AR24" i="13" s="1"/>
  <c r="AP24" i="13"/>
  <c r="AO24" i="13"/>
  <c r="AM24" i="13"/>
  <c r="AW24" i="13" s="1"/>
  <c r="BA23" i="13"/>
  <c r="AS23" i="13"/>
  <c r="AQ23" i="13"/>
  <c r="AR23" i="13" s="1"/>
  <c r="AP23" i="13"/>
  <c r="AO23" i="13"/>
  <c r="AM23" i="13"/>
  <c r="AW23" i="13" s="1"/>
  <c r="BA22" i="13"/>
  <c r="AS22" i="13"/>
  <c r="AQ22" i="13"/>
  <c r="AR22" i="13" s="1"/>
  <c r="AP22" i="13"/>
  <c r="AO22" i="13"/>
  <c r="AM22" i="13"/>
  <c r="AW22" i="13" s="1"/>
  <c r="BA21" i="13"/>
  <c r="AS21" i="13"/>
  <c r="AQ21" i="13"/>
  <c r="AR21" i="13" s="1"/>
  <c r="AP21" i="13"/>
  <c r="AO21" i="13"/>
  <c r="AM21" i="13"/>
  <c r="AW21" i="13" s="1"/>
  <c r="BA18" i="13"/>
  <c r="AS18" i="13"/>
  <c r="AQ18" i="13"/>
  <c r="AR18" i="13" s="1"/>
  <c r="AP18" i="13"/>
  <c r="AO18" i="13"/>
  <c r="AM18" i="13"/>
  <c r="AX18" i="13" s="1"/>
  <c r="BA17" i="13"/>
  <c r="AS17" i="13"/>
  <c r="AQ17" i="13"/>
  <c r="AR17" i="13" s="1"/>
  <c r="AP17" i="13"/>
  <c r="AO17" i="13"/>
  <c r="AM17" i="13"/>
  <c r="AX17" i="13" s="1"/>
  <c r="BA16" i="13"/>
  <c r="AS16" i="13"/>
  <c r="AQ16" i="13"/>
  <c r="AR16" i="13" s="1"/>
  <c r="AP16" i="13"/>
  <c r="AO16" i="13"/>
  <c r="AM16" i="13"/>
  <c r="AX16" i="13" s="1"/>
  <c r="BA15" i="13"/>
  <c r="AS15" i="13"/>
  <c r="AQ15" i="13"/>
  <c r="AR15" i="13" s="1"/>
  <c r="AP15" i="13"/>
  <c r="AO15" i="13"/>
  <c r="AM15" i="13"/>
  <c r="AX15" i="13" s="1"/>
  <c r="BA14" i="13"/>
  <c r="AS14" i="13"/>
  <c r="AQ14" i="13"/>
  <c r="AR14" i="13" s="1"/>
  <c r="AP14" i="13"/>
  <c r="AO14" i="13"/>
  <c r="AM14" i="13"/>
  <c r="AX14" i="13" s="1"/>
  <c r="BA13" i="13"/>
  <c r="AS13" i="13"/>
  <c r="AQ13" i="13"/>
  <c r="AR13" i="13" s="1"/>
  <c r="AP13" i="13"/>
  <c r="AO13" i="13"/>
  <c r="AM13" i="13"/>
  <c r="AX13" i="13" s="1"/>
  <c r="BA10" i="13"/>
  <c r="AS10" i="13"/>
  <c r="AQ10" i="13"/>
  <c r="AR10" i="13" s="1"/>
  <c r="AP10" i="13"/>
  <c r="AP55" i="13" s="1"/>
  <c r="AO10" i="13"/>
  <c r="AM10" i="13"/>
  <c r="AX10" i="13" s="1"/>
  <c r="BA9" i="13"/>
  <c r="AS9" i="13"/>
  <c r="AQ9" i="13"/>
  <c r="AR9" i="13" s="1"/>
  <c r="AP9" i="13"/>
  <c r="AP54" i="13" s="1"/>
  <c r="AO9" i="13"/>
  <c r="AM9" i="13"/>
  <c r="AX9" i="13" s="1"/>
  <c r="BA8" i="13"/>
  <c r="AS8" i="13"/>
  <c r="AQ8" i="13"/>
  <c r="AR8" i="13" s="1"/>
  <c r="AP8" i="13"/>
  <c r="AP53" i="13" s="1"/>
  <c r="AO8" i="13"/>
  <c r="AM8" i="13"/>
  <c r="AX8" i="13" s="1"/>
  <c r="AI164" i="13"/>
  <c r="AA164" i="13"/>
  <c r="Y164" i="13"/>
  <c r="Z164" i="13" s="1"/>
  <c r="X164" i="13"/>
  <c r="W164" i="13"/>
  <c r="U164" i="13"/>
  <c r="AE164" i="13" s="1"/>
  <c r="AI163" i="13"/>
  <c r="AA163" i="13"/>
  <c r="Y163" i="13"/>
  <c r="Z163" i="13" s="1"/>
  <c r="X163" i="13"/>
  <c r="W163" i="13"/>
  <c r="U163" i="13"/>
  <c r="AF163" i="13" s="1"/>
  <c r="AI162" i="13"/>
  <c r="AA162" i="13"/>
  <c r="Y162" i="13"/>
  <c r="Z162" i="13" s="1"/>
  <c r="X162" i="13"/>
  <c r="W162" i="13"/>
  <c r="U162" i="13"/>
  <c r="AF162" i="13" s="1"/>
  <c r="AI161" i="13"/>
  <c r="AA161" i="13"/>
  <c r="Y161" i="13"/>
  <c r="Z161" i="13" s="1"/>
  <c r="X161" i="13"/>
  <c r="W161" i="13"/>
  <c r="U161" i="13"/>
  <c r="AF161" i="13" s="1"/>
  <c r="AI160" i="13"/>
  <c r="AA160" i="13"/>
  <c r="Y160" i="13"/>
  <c r="Z160" i="13" s="1"/>
  <c r="X160" i="13"/>
  <c r="W160" i="13"/>
  <c r="U160" i="13"/>
  <c r="AF160" i="13" s="1"/>
  <c r="AI159" i="13"/>
  <c r="AA159" i="13"/>
  <c r="Y159" i="13"/>
  <c r="Z159" i="13" s="1"/>
  <c r="X159" i="13"/>
  <c r="W159" i="13"/>
  <c r="U159" i="13"/>
  <c r="AF159" i="13" s="1"/>
  <c r="AI158" i="13"/>
  <c r="AA158" i="13"/>
  <c r="Y158" i="13"/>
  <c r="Z158" i="13" s="1"/>
  <c r="X158" i="13"/>
  <c r="W158" i="13"/>
  <c r="U158" i="13"/>
  <c r="AF158" i="13" s="1"/>
  <c r="AI157" i="13"/>
  <c r="AA157" i="13"/>
  <c r="Y157" i="13"/>
  <c r="Z157" i="13" s="1"/>
  <c r="X157" i="13"/>
  <c r="W157" i="13"/>
  <c r="U157" i="13"/>
  <c r="AF157" i="13" s="1"/>
  <c r="AI154" i="13"/>
  <c r="AA154" i="13"/>
  <c r="Y154" i="13"/>
  <c r="Z154" i="13" s="1"/>
  <c r="X154" i="13"/>
  <c r="W154" i="13"/>
  <c r="U154" i="13"/>
  <c r="AF154" i="13" s="1"/>
  <c r="AI153" i="13"/>
  <c r="AA153" i="13"/>
  <c r="Y153" i="13"/>
  <c r="Z153" i="13" s="1"/>
  <c r="X153" i="13"/>
  <c r="W153" i="13"/>
  <c r="U153" i="13"/>
  <c r="AF153" i="13" s="1"/>
  <c r="AI152" i="13"/>
  <c r="AA152" i="13"/>
  <c r="Y152" i="13"/>
  <c r="Z152" i="13" s="1"/>
  <c r="X152" i="13"/>
  <c r="W152" i="13"/>
  <c r="U152" i="13"/>
  <c r="AF152" i="13" s="1"/>
  <c r="AI149" i="13"/>
  <c r="AA149" i="13"/>
  <c r="Y149" i="13"/>
  <c r="Z149" i="13" s="1"/>
  <c r="X149" i="13"/>
  <c r="W149" i="13"/>
  <c r="U149" i="13"/>
  <c r="AF149" i="13" s="1"/>
  <c r="AI148" i="13"/>
  <c r="AA148" i="13"/>
  <c r="Y148" i="13"/>
  <c r="Z148" i="13" s="1"/>
  <c r="X148" i="13"/>
  <c r="W148" i="13"/>
  <c r="U148" i="13"/>
  <c r="AF148" i="13" s="1"/>
  <c r="AI147" i="13"/>
  <c r="AA147" i="13"/>
  <c r="Y147" i="13"/>
  <c r="Z147" i="13" s="1"/>
  <c r="X147" i="13"/>
  <c r="W147" i="13"/>
  <c r="U147" i="13"/>
  <c r="AF147" i="13" s="1"/>
  <c r="AI144" i="13"/>
  <c r="AA144" i="13"/>
  <c r="Y144" i="13"/>
  <c r="Z144" i="13" s="1"/>
  <c r="X144" i="13"/>
  <c r="W144" i="13"/>
  <c r="U144" i="13"/>
  <c r="AF144" i="13" s="1"/>
  <c r="AI143" i="13"/>
  <c r="AA143" i="13"/>
  <c r="Y143" i="13"/>
  <c r="Z143" i="13" s="1"/>
  <c r="X143" i="13"/>
  <c r="W143" i="13"/>
  <c r="U143" i="13"/>
  <c r="AF143" i="13" s="1"/>
  <c r="AI142" i="13"/>
  <c r="AA142" i="13"/>
  <c r="Y142" i="13"/>
  <c r="Z142" i="13" s="1"/>
  <c r="X142" i="13"/>
  <c r="W142" i="13"/>
  <c r="U142" i="13"/>
  <c r="AF142" i="13" s="1"/>
  <c r="AI139" i="13"/>
  <c r="AA139" i="13"/>
  <c r="Y139" i="13"/>
  <c r="Z139" i="13" s="1"/>
  <c r="X139" i="13"/>
  <c r="W139" i="13"/>
  <c r="U139" i="13"/>
  <c r="AF139" i="13" s="1"/>
  <c r="AI138" i="13"/>
  <c r="AA138" i="13"/>
  <c r="Y138" i="13"/>
  <c r="Z138" i="13" s="1"/>
  <c r="X138" i="13"/>
  <c r="W138" i="13"/>
  <c r="U138" i="13"/>
  <c r="AF138" i="13" s="1"/>
  <c r="AI137" i="13"/>
  <c r="AA137" i="13"/>
  <c r="Y137" i="13"/>
  <c r="Z137" i="13" s="1"/>
  <c r="X137" i="13"/>
  <c r="W137" i="13"/>
  <c r="U137" i="13"/>
  <c r="AF137" i="13" s="1"/>
  <c r="AI134" i="13"/>
  <c r="AA134" i="13"/>
  <c r="Y134" i="13"/>
  <c r="Z134" i="13" s="1"/>
  <c r="X134" i="13"/>
  <c r="W134" i="13"/>
  <c r="U134" i="13"/>
  <c r="AF134" i="13" s="1"/>
  <c r="AI133" i="13"/>
  <c r="AA133" i="13"/>
  <c r="Y133" i="13"/>
  <c r="Z133" i="13" s="1"/>
  <c r="X133" i="13"/>
  <c r="W133" i="13"/>
  <c r="U133" i="13"/>
  <c r="AI132" i="13"/>
  <c r="AA132" i="13"/>
  <c r="Y132" i="13"/>
  <c r="Z132" i="13" s="1"/>
  <c r="X132" i="13"/>
  <c r="W132" i="13"/>
  <c r="U132" i="13"/>
  <c r="AE132" i="13" s="1"/>
  <c r="AI129" i="13"/>
  <c r="AA129" i="13"/>
  <c r="Y129" i="13"/>
  <c r="Z129" i="13" s="1"/>
  <c r="X129" i="13"/>
  <c r="W129" i="13"/>
  <c r="U129" i="13"/>
  <c r="AF129" i="13" s="1"/>
  <c r="AI128" i="13"/>
  <c r="AA128" i="13"/>
  <c r="Y128" i="13"/>
  <c r="Z128" i="13" s="1"/>
  <c r="X128" i="13"/>
  <c r="W128" i="13"/>
  <c r="U128" i="13"/>
  <c r="AF128" i="13" s="1"/>
  <c r="AI127" i="13"/>
  <c r="AA127" i="13"/>
  <c r="Y127" i="13"/>
  <c r="Z127" i="13" s="1"/>
  <c r="X127" i="13"/>
  <c r="W127" i="13"/>
  <c r="U127" i="13"/>
  <c r="AF127" i="13" s="1"/>
  <c r="AI126" i="13"/>
  <c r="AA126" i="13"/>
  <c r="Y126" i="13"/>
  <c r="Z126" i="13" s="1"/>
  <c r="X126" i="13"/>
  <c r="W126" i="13"/>
  <c r="U126" i="13"/>
  <c r="AF126" i="13" s="1"/>
  <c r="AI125" i="13"/>
  <c r="AA125" i="13"/>
  <c r="Y125" i="13"/>
  <c r="Z125" i="13" s="1"/>
  <c r="X125" i="13"/>
  <c r="W125" i="13"/>
  <c r="U125" i="13"/>
  <c r="AF125" i="13" s="1"/>
  <c r="AI122" i="13"/>
  <c r="AA122" i="13"/>
  <c r="Y122" i="13"/>
  <c r="Z122" i="13" s="1"/>
  <c r="X122" i="13"/>
  <c r="W122" i="13"/>
  <c r="U122" i="13"/>
  <c r="AF122" i="13" s="1"/>
  <c r="AI121" i="13"/>
  <c r="AA121" i="13"/>
  <c r="Y121" i="13"/>
  <c r="Z121" i="13" s="1"/>
  <c r="X121" i="13"/>
  <c r="W121" i="13"/>
  <c r="U121" i="13"/>
  <c r="AF121" i="13" s="1"/>
  <c r="AI120" i="13"/>
  <c r="AA120" i="13"/>
  <c r="Y120" i="13"/>
  <c r="Z120" i="13" s="1"/>
  <c r="X120" i="13"/>
  <c r="W120" i="13"/>
  <c r="U120" i="13"/>
  <c r="AF120" i="13" s="1"/>
  <c r="AI119" i="13"/>
  <c r="AA119" i="13"/>
  <c r="Y119" i="13"/>
  <c r="Z119" i="13" s="1"/>
  <c r="X119" i="13"/>
  <c r="W119" i="13"/>
  <c r="U119" i="13"/>
  <c r="AF119" i="13" s="1"/>
  <c r="AI116" i="13"/>
  <c r="AA116" i="13"/>
  <c r="Y116" i="13"/>
  <c r="Z116" i="13" s="1"/>
  <c r="X116" i="13"/>
  <c r="W116" i="13"/>
  <c r="U116" i="13"/>
  <c r="AE116" i="13" s="1"/>
  <c r="AI115" i="13"/>
  <c r="AA115" i="13"/>
  <c r="Y115" i="13"/>
  <c r="Z115" i="13" s="1"/>
  <c r="X115" i="13"/>
  <c r="W115" i="13"/>
  <c r="U115" i="13"/>
  <c r="AE115" i="13" s="1"/>
  <c r="AI114" i="13"/>
  <c r="AA114" i="13"/>
  <c r="AI111" i="13"/>
  <c r="AA111" i="13"/>
  <c r="Y111" i="13"/>
  <c r="Z111" i="13" s="1"/>
  <c r="X111" i="13"/>
  <c r="W111" i="13"/>
  <c r="U111" i="13"/>
  <c r="AE111" i="13" s="1"/>
  <c r="AI110" i="13"/>
  <c r="AA110" i="13"/>
  <c r="Y110" i="13"/>
  <c r="Z110" i="13" s="1"/>
  <c r="X110" i="13"/>
  <c r="W110" i="13"/>
  <c r="U110" i="13"/>
  <c r="AE110" i="13" s="1"/>
  <c r="AI109" i="13"/>
  <c r="AA109" i="13"/>
  <c r="Y109" i="13"/>
  <c r="Z109" i="13" s="1"/>
  <c r="X109" i="13"/>
  <c r="W109" i="13"/>
  <c r="U109" i="13"/>
  <c r="AE109" i="13" s="1"/>
  <c r="AI106" i="13"/>
  <c r="AA106" i="13"/>
  <c r="Y106" i="13"/>
  <c r="Z106" i="13" s="1"/>
  <c r="X106" i="13"/>
  <c r="W106" i="13"/>
  <c r="U106" i="13"/>
  <c r="AF106" i="13" s="1"/>
  <c r="AI105" i="13"/>
  <c r="AA105" i="13"/>
  <c r="Y105" i="13"/>
  <c r="Z105" i="13" s="1"/>
  <c r="X105" i="13"/>
  <c r="W105" i="13"/>
  <c r="U105" i="13"/>
  <c r="AF105" i="13" s="1"/>
  <c r="AI104" i="13"/>
  <c r="AA104" i="13"/>
  <c r="Y104" i="13"/>
  <c r="Z104" i="13" s="1"/>
  <c r="X104" i="13"/>
  <c r="W104" i="13"/>
  <c r="U104" i="13"/>
  <c r="AF104" i="13" s="1"/>
  <c r="AI101" i="13"/>
  <c r="AA101" i="13"/>
  <c r="Y101" i="13"/>
  <c r="Z101" i="13" s="1"/>
  <c r="X101" i="13"/>
  <c r="W101" i="13"/>
  <c r="U101" i="13"/>
  <c r="AE101" i="13" s="1"/>
  <c r="AI100" i="13"/>
  <c r="AA100" i="13"/>
  <c r="Y100" i="13"/>
  <c r="Z100" i="13" s="1"/>
  <c r="X100" i="13"/>
  <c r="W100" i="13"/>
  <c r="U100" i="13"/>
  <c r="AE100" i="13" s="1"/>
  <c r="AI99" i="13"/>
  <c r="AA99" i="13"/>
  <c r="Y99" i="13"/>
  <c r="Z99" i="13" s="1"/>
  <c r="X99" i="13"/>
  <c r="W99" i="13"/>
  <c r="U99" i="13"/>
  <c r="AE99" i="13" s="1"/>
  <c r="AI96" i="13"/>
  <c r="AA96" i="13"/>
  <c r="Y96" i="13"/>
  <c r="Z96" i="13" s="1"/>
  <c r="X96" i="13"/>
  <c r="W96" i="13"/>
  <c r="U96" i="13"/>
  <c r="AF96" i="13" s="1"/>
  <c r="AI95" i="13"/>
  <c r="AA95" i="13"/>
  <c r="Y95" i="13"/>
  <c r="Z95" i="13" s="1"/>
  <c r="X95" i="13"/>
  <c r="W95" i="13"/>
  <c r="U95" i="13"/>
  <c r="AF95" i="13" s="1"/>
  <c r="AI94" i="13"/>
  <c r="AA94" i="13"/>
  <c r="Y94" i="13"/>
  <c r="Z94" i="13" s="1"/>
  <c r="X94" i="13"/>
  <c r="W94" i="13"/>
  <c r="U94" i="13"/>
  <c r="AF94" i="13" s="1"/>
  <c r="AI91" i="13"/>
  <c r="AA91" i="13"/>
  <c r="Y91" i="13"/>
  <c r="Z91" i="13" s="1"/>
  <c r="X91" i="13"/>
  <c r="W91" i="13"/>
  <c r="U91" i="13"/>
  <c r="AE91" i="13" s="1"/>
  <c r="AI90" i="13"/>
  <c r="AA90" i="13"/>
  <c r="Y90" i="13"/>
  <c r="Z90" i="13" s="1"/>
  <c r="X90" i="13"/>
  <c r="W90" i="13"/>
  <c r="U90" i="13"/>
  <c r="AE90" i="13" s="1"/>
  <c r="AI89" i="13"/>
  <c r="AA89" i="13"/>
  <c r="Y89" i="13"/>
  <c r="Z89" i="13" s="1"/>
  <c r="X89" i="13"/>
  <c r="W89" i="13"/>
  <c r="U89" i="13"/>
  <c r="AE89" i="13" s="1"/>
  <c r="AI86" i="13"/>
  <c r="AA86" i="13"/>
  <c r="Y86" i="13"/>
  <c r="Z86" i="13" s="1"/>
  <c r="X86" i="13"/>
  <c r="W86" i="13"/>
  <c r="U86" i="13"/>
  <c r="AI85" i="13"/>
  <c r="AA85" i="13"/>
  <c r="Y85" i="13"/>
  <c r="Z85" i="13" s="1"/>
  <c r="X85" i="13"/>
  <c r="W85" i="13"/>
  <c r="U85" i="13"/>
  <c r="AF85" i="13" s="1"/>
  <c r="AI84" i="13"/>
  <c r="AA84" i="13"/>
  <c r="Y84" i="13"/>
  <c r="Z84" i="13" s="1"/>
  <c r="X84" i="13"/>
  <c r="W84" i="13"/>
  <c r="U84" i="13"/>
  <c r="AF84" i="13" s="1"/>
  <c r="AI81" i="13"/>
  <c r="AA81" i="13"/>
  <c r="Y81" i="13"/>
  <c r="Z81" i="13" s="1"/>
  <c r="X81" i="13"/>
  <c r="W81" i="13"/>
  <c r="U81" i="13"/>
  <c r="AF81" i="13" s="1"/>
  <c r="AI80" i="13"/>
  <c r="AA80" i="13"/>
  <c r="Y80" i="13"/>
  <c r="Z80" i="13" s="1"/>
  <c r="X80" i="13"/>
  <c r="W80" i="13"/>
  <c r="U80" i="13"/>
  <c r="AF80" i="13" s="1"/>
  <c r="AI79" i="13"/>
  <c r="AA79" i="13"/>
  <c r="Y79" i="13"/>
  <c r="Z79" i="13" s="1"/>
  <c r="X79" i="13"/>
  <c r="W79" i="13"/>
  <c r="U79" i="13"/>
  <c r="AF79" i="13" s="1"/>
  <c r="AI76" i="13"/>
  <c r="AA76" i="13"/>
  <c r="Y76" i="13"/>
  <c r="Z76" i="13" s="1"/>
  <c r="X76" i="13"/>
  <c r="W76" i="13"/>
  <c r="U76" i="13"/>
  <c r="AF76" i="13" s="1"/>
  <c r="AI75" i="13"/>
  <c r="AA75" i="13"/>
  <c r="Y75" i="13"/>
  <c r="Z75" i="13" s="1"/>
  <c r="X75" i="13"/>
  <c r="W75" i="13"/>
  <c r="U75" i="13"/>
  <c r="AF75" i="13" s="1"/>
  <c r="AI74" i="13"/>
  <c r="AA74" i="13"/>
  <c r="Y74" i="13"/>
  <c r="Z74" i="13" s="1"/>
  <c r="X74" i="13"/>
  <c r="W74" i="13"/>
  <c r="U74" i="13"/>
  <c r="AF74" i="13" s="1"/>
  <c r="AI71" i="13"/>
  <c r="AA71" i="13"/>
  <c r="Y71" i="13"/>
  <c r="Z71" i="13" s="1"/>
  <c r="X71" i="13"/>
  <c r="W71" i="13"/>
  <c r="U71" i="13"/>
  <c r="AF71" i="13" s="1"/>
  <c r="AI70" i="13"/>
  <c r="AA70" i="13"/>
  <c r="Y70" i="13"/>
  <c r="Z70" i="13" s="1"/>
  <c r="X70" i="13"/>
  <c r="W70" i="13"/>
  <c r="U70" i="13"/>
  <c r="AF70" i="13" s="1"/>
  <c r="AI69" i="13"/>
  <c r="AA69" i="13"/>
  <c r="Y69" i="13"/>
  <c r="Z69" i="13" s="1"/>
  <c r="X69" i="13"/>
  <c r="W69" i="13"/>
  <c r="U69" i="13"/>
  <c r="AF69" i="13" s="1"/>
  <c r="AI66" i="13"/>
  <c r="AA66" i="13"/>
  <c r="Y66" i="13"/>
  <c r="Z66" i="13" s="1"/>
  <c r="X66" i="13"/>
  <c r="W66" i="13"/>
  <c r="U66" i="13"/>
  <c r="AF66" i="13" s="1"/>
  <c r="AI65" i="13"/>
  <c r="AA65" i="13"/>
  <c r="Y65" i="13"/>
  <c r="Z65" i="13" s="1"/>
  <c r="X65" i="13"/>
  <c r="W65" i="13"/>
  <c r="U65" i="13"/>
  <c r="AF65" i="13" s="1"/>
  <c r="AI64" i="13"/>
  <c r="AA64" i="13"/>
  <c r="Y64" i="13"/>
  <c r="Z64" i="13" s="1"/>
  <c r="X64" i="13"/>
  <c r="W64" i="13"/>
  <c r="U64" i="13"/>
  <c r="AF64" i="13" s="1"/>
  <c r="AI61" i="13"/>
  <c r="AA61" i="13"/>
  <c r="Y61" i="13"/>
  <c r="Z61" i="13" s="1"/>
  <c r="X61" i="13"/>
  <c r="W61" i="13"/>
  <c r="U61" i="13"/>
  <c r="AF61" i="13" s="1"/>
  <c r="AI60" i="13"/>
  <c r="AA60" i="13"/>
  <c r="Y60" i="13"/>
  <c r="Z60" i="13" s="1"/>
  <c r="X60" i="13"/>
  <c r="W60" i="13"/>
  <c r="U60" i="13"/>
  <c r="AF60" i="13" s="1"/>
  <c r="AI59" i="13"/>
  <c r="AA59" i="13"/>
  <c r="Y59" i="13"/>
  <c r="Z59" i="13" s="1"/>
  <c r="X59" i="13"/>
  <c r="W59" i="13"/>
  <c r="U59" i="13"/>
  <c r="AF59" i="13" s="1"/>
  <c r="AI58" i="13"/>
  <c r="AA58" i="13"/>
  <c r="Y58" i="13"/>
  <c r="Z58" i="13" s="1"/>
  <c r="X58" i="13"/>
  <c r="W58" i="13"/>
  <c r="U58" i="13"/>
  <c r="AF58" i="13" s="1"/>
  <c r="AI55" i="13"/>
  <c r="AA55" i="13"/>
  <c r="Y55" i="13"/>
  <c r="Z55" i="13" s="1"/>
  <c r="W55" i="13"/>
  <c r="U55" i="13"/>
  <c r="AF55" i="13" s="1"/>
  <c r="AI54" i="13"/>
  <c r="AA54" i="13"/>
  <c r="Y54" i="13"/>
  <c r="Z54" i="13" s="1"/>
  <c r="W54" i="13"/>
  <c r="U54" i="13"/>
  <c r="AF54" i="13" s="1"/>
  <c r="AI53" i="13"/>
  <c r="AA53" i="13"/>
  <c r="Y53" i="13"/>
  <c r="Z53" i="13" s="1"/>
  <c r="W53" i="13"/>
  <c r="U53" i="13"/>
  <c r="AF53" i="13" s="1"/>
  <c r="AI52" i="13"/>
  <c r="AA52" i="13"/>
  <c r="Y52" i="13"/>
  <c r="Z52" i="13" s="1"/>
  <c r="X52" i="13"/>
  <c r="W52" i="13"/>
  <c r="U52" i="13"/>
  <c r="AF52" i="13" s="1"/>
  <c r="AI51" i="13"/>
  <c r="AA51" i="13"/>
  <c r="Y51" i="13"/>
  <c r="Z51" i="13" s="1"/>
  <c r="X51" i="13"/>
  <c r="W51" i="13"/>
  <c r="U51" i="13"/>
  <c r="AF51" i="13" s="1"/>
  <c r="AI50" i="13"/>
  <c r="AA50" i="13"/>
  <c r="Y50" i="13"/>
  <c r="Z50" i="13" s="1"/>
  <c r="X50" i="13"/>
  <c r="W50" i="13"/>
  <c r="U50" i="13"/>
  <c r="AF50" i="13" s="1"/>
  <c r="AI47" i="13"/>
  <c r="AA47" i="13"/>
  <c r="Y47" i="13"/>
  <c r="Z47" i="13" s="1"/>
  <c r="X47" i="13"/>
  <c r="W47" i="13"/>
  <c r="U47" i="13"/>
  <c r="AF47" i="13" s="1"/>
  <c r="AI46" i="13"/>
  <c r="AA46" i="13"/>
  <c r="Y46" i="13"/>
  <c r="Z46" i="13" s="1"/>
  <c r="X46" i="13"/>
  <c r="W46" i="13"/>
  <c r="U46" i="13"/>
  <c r="AF46" i="13" s="1"/>
  <c r="AI45" i="13"/>
  <c r="AA45" i="13"/>
  <c r="Y45" i="13"/>
  <c r="Z45" i="13" s="1"/>
  <c r="X45" i="13"/>
  <c r="W45" i="13"/>
  <c r="U45" i="13"/>
  <c r="AF45" i="13" s="1"/>
  <c r="AI44" i="13"/>
  <c r="AA44" i="13"/>
  <c r="Y44" i="13"/>
  <c r="Z44" i="13" s="1"/>
  <c r="X44" i="13"/>
  <c r="W44" i="13"/>
  <c r="U44" i="13"/>
  <c r="AF44" i="13" s="1"/>
  <c r="AI43" i="13"/>
  <c r="AA43" i="13"/>
  <c r="Y43" i="13"/>
  <c r="Z43" i="13" s="1"/>
  <c r="X43" i="13"/>
  <c r="W43" i="13"/>
  <c r="U43" i="13"/>
  <c r="AF43" i="13" s="1"/>
  <c r="AI42" i="13"/>
  <c r="AA42" i="13"/>
  <c r="Y42" i="13"/>
  <c r="Z42" i="13" s="1"/>
  <c r="X42" i="13"/>
  <c r="W42" i="13"/>
  <c r="U42" i="13"/>
  <c r="AF42" i="13" s="1"/>
  <c r="AI39" i="13"/>
  <c r="AA39" i="13"/>
  <c r="Y39" i="13"/>
  <c r="Z39" i="13" s="1"/>
  <c r="X39" i="13"/>
  <c r="W39" i="13"/>
  <c r="U39" i="13"/>
  <c r="AF39" i="13" s="1"/>
  <c r="AI38" i="13"/>
  <c r="AA38" i="13"/>
  <c r="Y38" i="13"/>
  <c r="Z38" i="13" s="1"/>
  <c r="X38" i="13"/>
  <c r="W38" i="13"/>
  <c r="U38" i="13"/>
  <c r="AF38" i="13" s="1"/>
  <c r="AI37" i="13"/>
  <c r="AA37" i="13"/>
  <c r="Y37" i="13"/>
  <c r="Z37" i="13" s="1"/>
  <c r="X37" i="13"/>
  <c r="W37" i="13"/>
  <c r="U37" i="13"/>
  <c r="AF37" i="13" s="1"/>
  <c r="AI36" i="13"/>
  <c r="AA36" i="13"/>
  <c r="Y36" i="13"/>
  <c r="Z36" i="13" s="1"/>
  <c r="X36" i="13"/>
  <c r="W36" i="13"/>
  <c r="U36" i="13"/>
  <c r="AF36" i="13" s="1"/>
  <c r="AI33" i="13"/>
  <c r="AA33" i="13"/>
  <c r="Y33" i="13"/>
  <c r="Z33" i="13" s="1"/>
  <c r="X33" i="13"/>
  <c r="W33" i="13"/>
  <c r="U33" i="13"/>
  <c r="AF33" i="13" s="1"/>
  <c r="AI32" i="13"/>
  <c r="AA32" i="13"/>
  <c r="Y32" i="13"/>
  <c r="Z32" i="13" s="1"/>
  <c r="X32" i="13"/>
  <c r="W32" i="13"/>
  <c r="U32" i="13"/>
  <c r="AF32" i="13" s="1"/>
  <c r="AI31" i="13"/>
  <c r="AA31" i="13"/>
  <c r="Y31" i="13"/>
  <c r="Z31" i="13" s="1"/>
  <c r="X31" i="13"/>
  <c r="W31" i="13"/>
  <c r="U31" i="13"/>
  <c r="AF31" i="13" s="1"/>
  <c r="AI30" i="13"/>
  <c r="AA30" i="13"/>
  <c r="Y30" i="13"/>
  <c r="Z30" i="13" s="1"/>
  <c r="X30" i="13"/>
  <c r="W30" i="13"/>
  <c r="U30" i="13"/>
  <c r="AF30" i="13" s="1"/>
  <c r="AI29" i="13"/>
  <c r="AA29" i="13"/>
  <c r="Y29" i="13"/>
  <c r="Z29" i="13" s="1"/>
  <c r="X29" i="13"/>
  <c r="W29" i="13"/>
  <c r="U29" i="13"/>
  <c r="AF29" i="13" s="1"/>
  <c r="AI28" i="13"/>
  <c r="AA28" i="13"/>
  <c r="Y28" i="13"/>
  <c r="Z28" i="13" s="1"/>
  <c r="X28" i="13"/>
  <c r="W28" i="13"/>
  <c r="U28" i="13"/>
  <c r="AF28" i="13" s="1"/>
  <c r="AI27" i="13"/>
  <c r="AA27" i="13"/>
  <c r="Y27" i="13"/>
  <c r="Z27" i="13" s="1"/>
  <c r="X27" i="13"/>
  <c r="W27" i="13"/>
  <c r="U27" i="13"/>
  <c r="AF27" i="13" s="1"/>
  <c r="AI24" i="13"/>
  <c r="AA24" i="13"/>
  <c r="Y24" i="13"/>
  <c r="Z24" i="13" s="1"/>
  <c r="X24" i="13"/>
  <c r="W24" i="13"/>
  <c r="U24" i="13"/>
  <c r="AE24" i="13" s="1"/>
  <c r="AI23" i="13"/>
  <c r="AA23" i="13"/>
  <c r="Y23" i="13"/>
  <c r="Z23" i="13" s="1"/>
  <c r="X23" i="13"/>
  <c r="W23" i="13"/>
  <c r="U23" i="13"/>
  <c r="AE23" i="13" s="1"/>
  <c r="AI22" i="13"/>
  <c r="AA22" i="13"/>
  <c r="Y22" i="13"/>
  <c r="Z22" i="13" s="1"/>
  <c r="X22" i="13"/>
  <c r="W22" i="13"/>
  <c r="U22" i="13"/>
  <c r="AE22" i="13" s="1"/>
  <c r="AI21" i="13"/>
  <c r="AA21" i="13"/>
  <c r="Y21" i="13"/>
  <c r="Z21" i="13" s="1"/>
  <c r="X21" i="13"/>
  <c r="W21" i="13"/>
  <c r="U21" i="13"/>
  <c r="AE21" i="13" s="1"/>
  <c r="AI18" i="13"/>
  <c r="AA18" i="13"/>
  <c r="Y18" i="13"/>
  <c r="Z18" i="13" s="1"/>
  <c r="X18" i="13"/>
  <c r="W18" i="13"/>
  <c r="U18" i="13"/>
  <c r="AF18" i="13" s="1"/>
  <c r="AI17" i="13"/>
  <c r="AA17" i="13"/>
  <c r="Y17" i="13"/>
  <c r="Z17" i="13" s="1"/>
  <c r="X17" i="13"/>
  <c r="W17" i="13"/>
  <c r="U17" i="13"/>
  <c r="AF17" i="13" s="1"/>
  <c r="AI16" i="13"/>
  <c r="AA16" i="13"/>
  <c r="Y16" i="13"/>
  <c r="Z16" i="13" s="1"/>
  <c r="X16" i="13"/>
  <c r="W16" i="13"/>
  <c r="U16" i="13"/>
  <c r="AF16" i="13" s="1"/>
  <c r="AI15" i="13"/>
  <c r="AA15" i="13"/>
  <c r="Y15" i="13"/>
  <c r="Z15" i="13" s="1"/>
  <c r="X15" i="13"/>
  <c r="W15" i="13"/>
  <c r="U15" i="13"/>
  <c r="AF15" i="13" s="1"/>
  <c r="AI14" i="13"/>
  <c r="AA14" i="13"/>
  <c r="Y14" i="13"/>
  <c r="Z14" i="13" s="1"/>
  <c r="X14" i="13"/>
  <c r="W14" i="13"/>
  <c r="U14" i="13"/>
  <c r="AF14" i="13" s="1"/>
  <c r="AI13" i="13"/>
  <c r="AA13" i="13"/>
  <c r="Y13" i="13"/>
  <c r="Z13" i="13" s="1"/>
  <c r="X13" i="13"/>
  <c r="W13" i="13"/>
  <c r="U13" i="13"/>
  <c r="AF13" i="13" s="1"/>
  <c r="AI10" i="13"/>
  <c r="AA10" i="13"/>
  <c r="Y10" i="13"/>
  <c r="Z10" i="13" s="1"/>
  <c r="X10" i="13"/>
  <c r="X55" i="13" s="1"/>
  <c r="W10" i="13"/>
  <c r="U10" i="13"/>
  <c r="AE10" i="13" s="1"/>
  <c r="AI9" i="13"/>
  <c r="AA9" i="13"/>
  <c r="Y9" i="13"/>
  <c r="Z9" i="13" s="1"/>
  <c r="X9" i="13"/>
  <c r="X54" i="13" s="1"/>
  <c r="W9" i="13"/>
  <c r="U9" i="13"/>
  <c r="AE9" i="13" s="1"/>
  <c r="AI8" i="13"/>
  <c r="AA8" i="13"/>
  <c r="Y8" i="13"/>
  <c r="Z8" i="13" s="1"/>
  <c r="X8" i="13"/>
  <c r="X53" i="13" s="1"/>
  <c r="W8" i="13"/>
  <c r="U8" i="13"/>
  <c r="AE8" i="13" s="1"/>
  <c r="CD101" i="13" l="1"/>
  <c r="CD127" i="13"/>
  <c r="CD139" i="13"/>
  <c r="AT159" i="13"/>
  <c r="CD17" i="13"/>
  <c r="CD29" i="13"/>
  <c r="CD51" i="13"/>
  <c r="GZ65" i="13"/>
  <c r="GZ79" i="13"/>
  <c r="BL37" i="13"/>
  <c r="BL147" i="13"/>
  <c r="CD32" i="13"/>
  <c r="CD44" i="13"/>
  <c r="DN127" i="13"/>
  <c r="GZ58" i="13"/>
  <c r="GZ70" i="13"/>
  <c r="GZ96" i="13"/>
  <c r="EX54" i="13"/>
  <c r="BL162" i="13"/>
  <c r="CD27" i="13"/>
  <c r="CD47" i="13"/>
  <c r="CD18" i="13"/>
  <c r="CD30" i="13"/>
  <c r="DN137" i="13"/>
  <c r="GZ66" i="13"/>
  <c r="GZ80" i="13"/>
  <c r="CD109" i="13"/>
  <c r="CD121" i="13"/>
  <c r="CD147" i="13"/>
  <c r="CV10" i="13"/>
  <c r="AT163" i="13"/>
  <c r="BL50" i="13"/>
  <c r="BL148" i="13"/>
  <c r="CD33" i="13"/>
  <c r="CD45" i="13"/>
  <c r="GZ59" i="13"/>
  <c r="GZ71" i="13"/>
  <c r="GZ99" i="13"/>
  <c r="AT120" i="13"/>
  <c r="BL139" i="13"/>
  <c r="CD50" i="13"/>
  <c r="CV30" i="13"/>
  <c r="BL127" i="13"/>
  <c r="CD16" i="13"/>
  <c r="CD28" i="13"/>
  <c r="AT149" i="13"/>
  <c r="BL158" i="13"/>
  <c r="CD31" i="13"/>
  <c r="CD43" i="13"/>
  <c r="CD84" i="13"/>
  <c r="CL84" i="13" s="1"/>
  <c r="GZ69" i="13"/>
  <c r="GZ81" i="13"/>
  <c r="EX69" i="13"/>
  <c r="EX70" i="13"/>
  <c r="EX71" i="13"/>
  <c r="EX79" i="13"/>
  <c r="EX80" i="13"/>
  <c r="EX81" i="13"/>
  <c r="EX89" i="13"/>
  <c r="EX90" i="13"/>
  <c r="EX94" i="13"/>
  <c r="EX95" i="13"/>
  <c r="EX96" i="13"/>
  <c r="EX99" i="13"/>
  <c r="CV61" i="13"/>
  <c r="CV90" i="13"/>
  <c r="CV109" i="13"/>
  <c r="CV115" i="13"/>
  <c r="CV116" i="13"/>
  <c r="CV119" i="13"/>
  <c r="CV120" i="13"/>
  <c r="CV121" i="13"/>
  <c r="CV122" i="13"/>
  <c r="CD91" i="13"/>
  <c r="CD94" i="13"/>
  <c r="CD134" i="13"/>
  <c r="BL13" i="13"/>
  <c r="BL18" i="13"/>
  <c r="BL27" i="13"/>
  <c r="BL39" i="13"/>
  <c r="AT109" i="13"/>
  <c r="AB16" i="13"/>
  <c r="CG127" i="13"/>
  <c r="CI127" i="13" s="1"/>
  <c r="CL127" i="13" s="1"/>
  <c r="CV110" i="13"/>
  <c r="CV111" i="13"/>
  <c r="CV125" i="13"/>
  <c r="CV138" i="13"/>
  <c r="CV160" i="13"/>
  <c r="DN160" i="13"/>
  <c r="EF46" i="13"/>
  <c r="BL51" i="13"/>
  <c r="CD162" i="13"/>
  <c r="EX100" i="13"/>
  <c r="EX104" i="13"/>
  <c r="EX105" i="13"/>
  <c r="EX106" i="13"/>
  <c r="EX119" i="13"/>
  <c r="EX128" i="13"/>
  <c r="EX138" i="13"/>
  <c r="EX148" i="13"/>
  <c r="EX162" i="13"/>
  <c r="FP91" i="13"/>
  <c r="FP94" i="13"/>
  <c r="FP100" i="13"/>
  <c r="GH47" i="13"/>
  <c r="GH50" i="13"/>
  <c r="GH116" i="13"/>
  <c r="GK116" i="13"/>
  <c r="GH119" i="13"/>
  <c r="GH129" i="13"/>
  <c r="GH138" i="13"/>
  <c r="GH139" i="13"/>
  <c r="GH160" i="13"/>
  <c r="AT80" i="13"/>
  <c r="AT111" i="13"/>
  <c r="BL17" i="13"/>
  <c r="BL36" i="13"/>
  <c r="AB148" i="13"/>
  <c r="AB158" i="13"/>
  <c r="AB162" i="13"/>
  <c r="AT14" i="13"/>
  <c r="AT31" i="13"/>
  <c r="AT43" i="13"/>
  <c r="AT47" i="13"/>
  <c r="BL86" i="13"/>
  <c r="CV53" i="13"/>
  <c r="CV39" i="13"/>
  <c r="CV42" i="13"/>
  <c r="CV46" i="13"/>
  <c r="DN86" i="13"/>
  <c r="EF61" i="13"/>
  <c r="EF81" i="13"/>
  <c r="EF91" i="13"/>
  <c r="EF99" i="13"/>
  <c r="EF100" i="13"/>
  <c r="EF101" i="13"/>
  <c r="EF104" i="13"/>
  <c r="EF105" i="13"/>
  <c r="EF109" i="13"/>
  <c r="EF110" i="13"/>
  <c r="EF111" i="13"/>
  <c r="EF119" i="13"/>
  <c r="EF120" i="13"/>
  <c r="EF121" i="13"/>
  <c r="EF122" i="13"/>
  <c r="EF134" i="13"/>
  <c r="EF144" i="13"/>
  <c r="EF154" i="13"/>
  <c r="EX13" i="13"/>
  <c r="EX21" i="13"/>
  <c r="EX28" i="13"/>
  <c r="EX32" i="13"/>
  <c r="EX44" i="13"/>
  <c r="FP84" i="13"/>
  <c r="FI114" i="13"/>
  <c r="FT114" i="13" s="1"/>
  <c r="FP127" i="13"/>
  <c r="FP137" i="13"/>
  <c r="FP139" i="13"/>
  <c r="FP147" i="13"/>
  <c r="FP148" i="13"/>
  <c r="FP149" i="13"/>
  <c r="FP160" i="13"/>
  <c r="FP164" i="13"/>
  <c r="GH13" i="13"/>
  <c r="GH14" i="13"/>
  <c r="GZ13" i="13"/>
  <c r="GZ22" i="13"/>
  <c r="GZ115" i="13"/>
  <c r="GZ116" i="13"/>
  <c r="GZ119" i="13"/>
  <c r="GZ120" i="13"/>
  <c r="GZ121" i="13"/>
  <c r="GZ122" i="13"/>
  <c r="GZ164" i="13"/>
  <c r="AT110" i="13"/>
  <c r="AT115" i="13"/>
  <c r="AT116" i="13"/>
  <c r="AT119" i="13"/>
  <c r="AT121" i="13"/>
  <c r="AT122" i="13"/>
  <c r="BL38" i="13"/>
  <c r="CG94" i="13"/>
  <c r="FP81" i="13"/>
  <c r="FS84" i="13"/>
  <c r="FU84" i="13" s="1"/>
  <c r="FS94" i="13"/>
  <c r="FP95" i="13"/>
  <c r="FS101" i="13"/>
  <c r="FU101" i="13" s="1"/>
  <c r="FP104" i="13"/>
  <c r="GK50" i="13"/>
  <c r="GM50" i="13" s="1"/>
  <c r="GP50" i="13" s="1"/>
  <c r="AW80" i="13"/>
  <c r="AY80" i="13" s="1"/>
  <c r="BB80" i="13" s="1"/>
  <c r="AT84" i="13"/>
  <c r="BL52" i="13"/>
  <c r="BL79" i="13"/>
  <c r="BO86" i="13"/>
  <c r="BQ86" i="13" s="1"/>
  <c r="BL89" i="13"/>
  <c r="BO101" i="13"/>
  <c r="BL104" i="13"/>
  <c r="BL121" i="13"/>
  <c r="BO127" i="13"/>
  <c r="BQ127" i="13" s="1"/>
  <c r="CY10" i="13"/>
  <c r="DA10" i="13" s="1"/>
  <c r="CV14" i="13"/>
  <c r="CY18" i="13"/>
  <c r="CV21" i="13"/>
  <c r="CY30" i="13"/>
  <c r="DA30" i="13" s="1"/>
  <c r="DD30" i="13" s="1"/>
  <c r="CV85" i="13"/>
  <c r="CY160" i="13"/>
  <c r="DA160" i="13" s="1"/>
  <c r="DD160" i="13" s="1"/>
  <c r="DN47" i="13"/>
  <c r="DN50" i="13"/>
  <c r="EI46" i="13"/>
  <c r="EK46" i="13" s="1"/>
  <c r="EI134" i="13"/>
  <c r="EK134" i="13" s="1"/>
  <c r="EN134" i="13" s="1"/>
  <c r="EX18" i="13"/>
  <c r="FB21" i="13"/>
  <c r="FA162" i="13"/>
  <c r="FC162" i="13" s="1"/>
  <c r="GK160" i="13"/>
  <c r="GM160" i="13" s="1"/>
  <c r="GP160" i="13" s="1"/>
  <c r="HC13" i="13"/>
  <c r="HE13" i="13" s="1"/>
  <c r="GZ17" i="13"/>
  <c r="HC22" i="13"/>
  <c r="HE22" i="13" s="1"/>
  <c r="HH22" i="13" s="1"/>
  <c r="AE162" i="13"/>
  <c r="AG162" i="13" s="1"/>
  <c r="AJ162" i="13" s="1"/>
  <c r="AW14" i="13"/>
  <c r="AT23" i="13"/>
  <c r="AT27" i="13"/>
  <c r="AW27" i="13"/>
  <c r="AY27" i="13" s="1"/>
  <c r="BB27" i="13" s="1"/>
  <c r="AB51" i="13"/>
  <c r="AB143" i="13"/>
  <c r="AE148" i="13"/>
  <c r="AG148" i="13" s="1"/>
  <c r="AB153" i="13"/>
  <c r="AE158" i="13"/>
  <c r="AG158" i="13" s="1"/>
  <c r="AW31" i="13"/>
  <c r="AT38" i="13"/>
  <c r="AW43" i="13"/>
  <c r="AT60" i="13"/>
  <c r="AW60" i="13"/>
  <c r="BL59" i="13"/>
  <c r="BO162" i="13"/>
  <c r="CD14" i="13"/>
  <c r="CD52" i="13"/>
  <c r="CD95" i="13"/>
  <c r="CG158" i="13"/>
  <c r="CI158" i="13" s="1"/>
  <c r="CL158" i="13" s="1"/>
  <c r="CY42" i="13"/>
  <c r="DA42" i="13" s="1"/>
  <c r="DD42" i="13" s="1"/>
  <c r="CY61" i="13"/>
  <c r="DA61" i="13" s="1"/>
  <c r="DD61" i="13" s="1"/>
  <c r="CY90" i="13"/>
  <c r="DA90" i="13" s="1"/>
  <c r="DD90" i="13" s="1"/>
  <c r="CV127" i="13"/>
  <c r="CY127" i="13"/>
  <c r="DA127" i="13" s="1"/>
  <c r="CV162" i="13"/>
  <c r="CY162" i="13"/>
  <c r="DA162" i="13" s="1"/>
  <c r="DD162" i="13" s="1"/>
  <c r="DN43" i="13"/>
  <c r="DN59" i="13"/>
  <c r="DQ160" i="13"/>
  <c r="DS160" i="13" s="1"/>
  <c r="DV160" i="13" s="1"/>
  <c r="EF18" i="13"/>
  <c r="EF21" i="13"/>
  <c r="EI21" i="13"/>
  <c r="EF38" i="13"/>
  <c r="EF42" i="13"/>
  <c r="EI42" i="13"/>
  <c r="EK42" i="13" s="1"/>
  <c r="EI61" i="13"/>
  <c r="EK61" i="13" s="1"/>
  <c r="EN61" i="13" s="1"/>
  <c r="EF128" i="13"/>
  <c r="EF137" i="13"/>
  <c r="EI144" i="13"/>
  <c r="EK144" i="13" s="1"/>
  <c r="EN144" i="13" s="1"/>
  <c r="EF147" i="13"/>
  <c r="EI154" i="13"/>
  <c r="EF157" i="13"/>
  <c r="EX14" i="13"/>
  <c r="FA32" i="13"/>
  <c r="FC32" i="13" s="1"/>
  <c r="EX37" i="13"/>
  <c r="FA44" i="13"/>
  <c r="FC44" i="13" s="1"/>
  <c r="EX59" i="13"/>
  <c r="FF59" i="13" s="1"/>
  <c r="FA59" i="13"/>
  <c r="FC59" i="13" s="1"/>
  <c r="FP121" i="13"/>
  <c r="FS127" i="13"/>
  <c r="FU127" i="13" s="1"/>
  <c r="FX127" i="13" s="1"/>
  <c r="FP134" i="13"/>
  <c r="FS160" i="13"/>
  <c r="GH43" i="13"/>
  <c r="GH59" i="13"/>
  <c r="GH66" i="13"/>
  <c r="GH74" i="13"/>
  <c r="GH75" i="13"/>
  <c r="GH76" i="13"/>
  <c r="GH84" i="13"/>
  <c r="GH85" i="13"/>
  <c r="GH86" i="13"/>
  <c r="GH91" i="13"/>
  <c r="GH99" i="13"/>
  <c r="GH100" i="13"/>
  <c r="GH101" i="13"/>
  <c r="GH164" i="13"/>
  <c r="AW47" i="13"/>
  <c r="AY47" i="13" s="1"/>
  <c r="BB47" i="13" s="1"/>
  <c r="AT50" i="13"/>
  <c r="AW129" i="13"/>
  <c r="AT132" i="13"/>
  <c r="AW149" i="13"/>
  <c r="AT152" i="13"/>
  <c r="AW159" i="13"/>
  <c r="BO13" i="13"/>
  <c r="BL134" i="13"/>
  <c r="BO158" i="13"/>
  <c r="CG162" i="13"/>
  <c r="CY46" i="13"/>
  <c r="DA46" i="13" s="1"/>
  <c r="CV51" i="13"/>
  <c r="DQ50" i="13"/>
  <c r="DN79" i="13"/>
  <c r="DQ86" i="13"/>
  <c r="DS86" i="13" s="1"/>
  <c r="DN89" i="13"/>
  <c r="DN121" i="13"/>
  <c r="DQ127" i="13"/>
  <c r="DS127" i="13" s="1"/>
  <c r="DN134" i="13"/>
  <c r="DQ137" i="13"/>
  <c r="DS137" i="13" s="1"/>
  <c r="EF51" i="13"/>
  <c r="EI81" i="13"/>
  <c r="EK81" i="13" s="1"/>
  <c r="EN81" i="13" s="1"/>
  <c r="EF84" i="13"/>
  <c r="EI91" i="13"/>
  <c r="EK91" i="13" s="1"/>
  <c r="EN91" i="13" s="1"/>
  <c r="EF96" i="13"/>
  <c r="EF161" i="13"/>
  <c r="EX22" i="13"/>
  <c r="FA28" i="13"/>
  <c r="FC28" i="13" s="1"/>
  <c r="FF28" i="13" s="1"/>
  <c r="FA128" i="13"/>
  <c r="EX134" i="13"/>
  <c r="FA138" i="13"/>
  <c r="FC138" i="13" s="1"/>
  <c r="EX143" i="13"/>
  <c r="FA148" i="13"/>
  <c r="FC148" i="13" s="1"/>
  <c r="EX153" i="13"/>
  <c r="EX158" i="13"/>
  <c r="FA158" i="13"/>
  <c r="FC158" i="13" s="1"/>
  <c r="FP61" i="13"/>
  <c r="FP64" i="13"/>
  <c r="FP66" i="13"/>
  <c r="FP74" i="13"/>
  <c r="FP76" i="13"/>
  <c r="HC129" i="13"/>
  <c r="GZ132" i="13"/>
  <c r="GZ160" i="13"/>
  <c r="HC160" i="13"/>
  <c r="HE160" i="13" s="1"/>
  <c r="AT53" i="13"/>
  <c r="AT54" i="13"/>
  <c r="AX138" i="13"/>
  <c r="AW138" i="13"/>
  <c r="AX147" i="13"/>
  <c r="AW147" i="13"/>
  <c r="AX157" i="13"/>
  <c r="AW157" i="13"/>
  <c r="BP84" i="13"/>
  <c r="BO84" i="13"/>
  <c r="BP94" i="13"/>
  <c r="BO94" i="13"/>
  <c r="BP99" i="13"/>
  <c r="BO99" i="13"/>
  <c r="BP110" i="13"/>
  <c r="BO110" i="13"/>
  <c r="AB13" i="13"/>
  <c r="AB14" i="13"/>
  <c r="AB15" i="13"/>
  <c r="AB17" i="13"/>
  <c r="AB18" i="13"/>
  <c r="AB53" i="13"/>
  <c r="AB23" i="13"/>
  <c r="AB27" i="13"/>
  <c r="AB28" i="13"/>
  <c r="AB29" i="13"/>
  <c r="AB30" i="13"/>
  <c r="AB31" i="13"/>
  <c r="AB32" i="13"/>
  <c r="AB33" i="13"/>
  <c r="AB42" i="13"/>
  <c r="AB43" i="13"/>
  <c r="AB44" i="13"/>
  <c r="AB45" i="13"/>
  <c r="AB46" i="13"/>
  <c r="AB47" i="13"/>
  <c r="AB58" i="13"/>
  <c r="AB59" i="13"/>
  <c r="AB60" i="13"/>
  <c r="AB61" i="13"/>
  <c r="AB69" i="13"/>
  <c r="AB70" i="13"/>
  <c r="AB71" i="13"/>
  <c r="AB79" i="13"/>
  <c r="AB80" i="13"/>
  <c r="AB81" i="13"/>
  <c r="AB89" i="13"/>
  <c r="AB90" i="13"/>
  <c r="AB91" i="13"/>
  <c r="AB94" i="13"/>
  <c r="AB95" i="13"/>
  <c r="AB96" i="13"/>
  <c r="AB99" i="13"/>
  <c r="AB100" i="13"/>
  <c r="AB104" i="13"/>
  <c r="AB105" i="13"/>
  <c r="AB106" i="13"/>
  <c r="AB109" i="13"/>
  <c r="AB110" i="13"/>
  <c r="AB111" i="13"/>
  <c r="AB115" i="13"/>
  <c r="AB116" i="13"/>
  <c r="AB119" i="13"/>
  <c r="AB127" i="13"/>
  <c r="AB129" i="13"/>
  <c r="AB137" i="13"/>
  <c r="AB138" i="13"/>
  <c r="AB139" i="13"/>
  <c r="AB160" i="13"/>
  <c r="AE160" i="13"/>
  <c r="AG160" i="13" s="1"/>
  <c r="AB164" i="13"/>
  <c r="AT55" i="13"/>
  <c r="AW17" i="13"/>
  <c r="AT22" i="13"/>
  <c r="AT29" i="13"/>
  <c r="AW29" i="13"/>
  <c r="AT33" i="13"/>
  <c r="AW33" i="13"/>
  <c r="AT36" i="13"/>
  <c r="AT45" i="13"/>
  <c r="AW45" i="13"/>
  <c r="AY45" i="13" s="1"/>
  <c r="BB45" i="13" s="1"/>
  <c r="AT52" i="13"/>
  <c r="AT58" i="13"/>
  <c r="AW58" i="13"/>
  <c r="AT70" i="13"/>
  <c r="AW70" i="13"/>
  <c r="AT86" i="13"/>
  <c r="AT89" i="13"/>
  <c r="AT90" i="13"/>
  <c r="AT91" i="13"/>
  <c r="AW127" i="13"/>
  <c r="AT133" i="13"/>
  <c r="AT138" i="13"/>
  <c r="AX161" i="13"/>
  <c r="AW161" i="13"/>
  <c r="BP15" i="13"/>
  <c r="BO15" i="13"/>
  <c r="BQ15" i="13" s="1"/>
  <c r="BT15" i="13" s="1"/>
  <c r="BP116" i="13"/>
  <c r="BO116" i="13"/>
  <c r="BQ116" i="13" s="1"/>
  <c r="BT116" i="13" s="1"/>
  <c r="BP129" i="13"/>
  <c r="BO129" i="13"/>
  <c r="BP160" i="13"/>
  <c r="BO160" i="13"/>
  <c r="CV164" i="13"/>
  <c r="DN8" i="13"/>
  <c r="DN9" i="13"/>
  <c r="DN10" i="13"/>
  <c r="DN21" i="13"/>
  <c r="DN22" i="13"/>
  <c r="DN24" i="13"/>
  <c r="DN36" i="13"/>
  <c r="DN37" i="13"/>
  <c r="DN38" i="13"/>
  <c r="DN39" i="13"/>
  <c r="DN45" i="13"/>
  <c r="DN52" i="13"/>
  <c r="DQ52" i="13"/>
  <c r="DN61" i="13"/>
  <c r="DN64" i="13"/>
  <c r="DN66" i="13"/>
  <c r="DN74" i="13"/>
  <c r="DN76" i="13"/>
  <c r="DV76" i="13" s="1"/>
  <c r="DN81" i="13"/>
  <c r="DN84" i="13"/>
  <c r="DQ84" i="13"/>
  <c r="DS84" i="13" s="1"/>
  <c r="DN95" i="13"/>
  <c r="DN100" i="13"/>
  <c r="DQ100" i="13"/>
  <c r="DS100" i="13" s="1"/>
  <c r="DN105" i="13"/>
  <c r="DN110" i="13"/>
  <c r="DQ110" i="13"/>
  <c r="DS110" i="13" s="1"/>
  <c r="DN116" i="13"/>
  <c r="DQ116" i="13"/>
  <c r="DN119" i="13"/>
  <c r="DN129" i="13"/>
  <c r="DQ129" i="13"/>
  <c r="DS129" i="13" s="1"/>
  <c r="DN132" i="13"/>
  <c r="DN139" i="13"/>
  <c r="DN147" i="13"/>
  <c r="DN148" i="13"/>
  <c r="DN149" i="13"/>
  <c r="DN158" i="13"/>
  <c r="DQ158" i="13"/>
  <c r="DS158" i="13" s="1"/>
  <c r="DV158" i="13" s="1"/>
  <c r="DN162" i="13"/>
  <c r="DQ162" i="13"/>
  <c r="DS162" i="13" s="1"/>
  <c r="DV162" i="13" s="1"/>
  <c r="FT86" i="13"/>
  <c r="FS86" i="13"/>
  <c r="FT116" i="13"/>
  <c r="FS116" i="13"/>
  <c r="FT129" i="13"/>
  <c r="FS129" i="13"/>
  <c r="FT162" i="13"/>
  <c r="FS162" i="13"/>
  <c r="AT144" i="13"/>
  <c r="AT147" i="13"/>
  <c r="AT154" i="13"/>
  <c r="AT157" i="13"/>
  <c r="AT161" i="13"/>
  <c r="BL15" i="13"/>
  <c r="BL61" i="13"/>
  <c r="BL64" i="13"/>
  <c r="BT64" i="13" s="1"/>
  <c r="BL66" i="13"/>
  <c r="BL74" i="13"/>
  <c r="BT74" i="13" s="1"/>
  <c r="BL76" i="13"/>
  <c r="BL81" i="13"/>
  <c r="BL84" i="13"/>
  <c r="BL91" i="13"/>
  <c r="BL94" i="13"/>
  <c r="BL95" i="13"/>
  <c r="BL105" i="13"/>
  <c r="BL110" i="13"/>
  <c r="BL116" i="13"/>
  <c r="BL119" i="13"/>
  <c r="BL129" i="13"/>
  <c r="BL132" i="13"/>
  <c r="BL160" i="13"/>
  <c r="BL164" i="13"/>
  <c r="CD8" i="13"/>
  <c r="CD9" i="13"/>
  <c r="CD10" i="13"/>
  <c r="CD58" i="13"/>
  <c r="CD59" i="13"/>
  <c r="CD60" i="13"/>
  <c r="CD61" i="13"/>
  <c r="CD64" i="13"/>
  <c r="CD65" i="13"/>
  <c r="CD66" i="13"/>
  <c r="CD69" i="13"/>
  <c r="CD70" i="13"/>
  <c r="CD71" i="13"/>
  <c r="CD74" i="13"/>
  <c r="CD75" i="13"/>
  <c r="CD76" i="13"/>
  <c r="CD86" i="13"/>
  <c r="CG86" i="13"/>
  <c r="CI86" i="13" s="1"/>
  <c r="CL86" i="13" s="1"/>
  <c r="CD89" i="13"/>
  <c r="CD116" i="13"/>
  <c r="CG116" i="13"/>
  <c r="CD119" i="13"/>
  <c r="CD129" i="13"/>
  <c r="CG129" i="13"/>
  <c r="CI129" i="13" s="1"/>
  <c r="CD132" i="13"/>
  <c r="CD160" i="13"/>
  <c r="CG160" i="13"/>
  <c r="CD164" i="13"/>
  <c r="CV8" i="13"/>
  <c r="CY8" i="13"/>
  <c r="DA8" i="13" s="1"/>
  <c r="CV54" i="13"/>
  <c r="CV55" i="13"/>
  <c r="CV22" i="13"/>
  <c r="CV28" i="13"/>
  <c r="DD28" i="13" s="1"/>
  <c r="CY28" i="13"/>
  <c r="DA28" i="13" s="1"/>
  <c r="CV32" i="13"/>
  <c r="CY32" i="13"/>
  <c r="DA32" i="13" s="1"/>
  <c r="CV37" i="13"/>
  <c r="CV44" i="13"/>
  <c r="CY44" i="13"/>
  <c r="DA44" i="13" s="1"/>
  <c r="CV59" i="13"/>
  <c r="CY59" i="13"/>
  <c r="DA59" i="13" s="1"/>
  <c r="CV71" i="13"/>
  <c r="CV79" i="13"/>
  <c r="CV80" i="13"/>
  <c r="CV81" i="13"/>
  <c r="CV91" i="13"/>
  <c r="CV129" i="13"/>
  <c r="CY129" i="13"/>
  <c r="DA129" i="13" s="1"/>
  <c r="CV143" i="13"/>
  <c r="CV148" i="13"/>
  <c r="CY148" i="13"/>
  <c r="DA148" i="13" s="1"/>
  <c r="CV153" i="13"/>
  <c r="CV158" i="13"/>
  <c r="DD158" i="13" s="1"/>
  <c r="CY158" i="13"/>
  <c r="DA158" i="13" s="1"/>
  <c r="DN164" i="13"/>
  <c r="EF9" i="13"/>
  <c r="EI9" i="13"/>
  <c r="EF16" i="13"/>
  <c r="EF23" i="13"/>
  <c r="EI23" i="13"/>
  <c r="EF28" i="13"/>
  <c r="EI32" i="13"/>
  <c r="EF37" i="13"/>
  <c r="EF44" i="13"/>
  <c r="EI44" i="13"/>
  <c r="EK44" i="13" s="1"/>
  <c r="EN44" i="13" s="1"/>
  <c r="EF59" i="13"/>
  <c r="EN59" i="13" s="1"/>
  <c r="EI59" i="13"/>
  <c r="EK59" i="13" s="1"/>
  <c r="EF69" i="13"/>
  <c r="EF71" i="13"/>
  <c r="EF79" i="13"/>
  <c r="EI79" i="13"/>
  <c r="EK79" i="13" s="1"/>
  <c r="EF86" i="13"/>
  <c r="EF89" i="13"/>
  <c r="EI89" i="13"/>
  <c r="EK89" i="13" s="1"/>
  <c r="EF126" i="13"/>
  <c r="EF129" i="13"/>
  <c r="EF132" i="13"/>
  <c r="EN132" i="13" s="1"/>
  <c r="EI132" i="13"/>
  <c r="EK132" i="13" s="1"/>
  <c r="EF138" i="13"/>
  <c r="EF142" i="13"/>
  <c r="EN142" i="13" s="1"/>
  <c r="EI142" i="13"/>
  <c r="EK142" i="13" s="1"/>
  <c r="EF149" i="13"/>
  <c r="EF152" i="13"/>
  <c r="EI152" i="13"/>
  <c r="EK152" i="13" s="1"/>
  <c r="EF158" i="13"/>
  <c r="EX30" i="13"/>
  <c r="FA30" i="13"/>
  <c r="FC30" i="13" s="1"/>
  <c r="EX39" i="13"/>
  <c r="EX42" i="13"/>
  <c r="FA42" i="13"/>
  <c r="FC42" i="13" s="1"/>
  <c r="EX46" i="13"/>
  <c r="FA46" i="13"/>
  <c r="FC46" i="13" s="1"/>
  <c r="EX51" i="13"/>
  <c r="EX61" i="13"/>
  <c r="FA61" i="13"/>
  <c r="FC61" i="13" s="1"/>
  <c r="EX160" i="13"/>
  <c r="FA160" i="13"/>
  <c r="FC160" i="13" s="1"/>
  <c r="EX164" i="13"/>
  <c r="FP13" i="13"/>
  <c r="FP14" i="13"/>
  <c r="FP15" i="13"/>
  <c r="FP16" i="13"/>
  <c r="FP17" i="13"/>
  <c r="FT110" i="13"/>
  <c r="FS110" i="13"/>
  <c r="FT158" i="13"/>
  <c r="FS158" i="13"/>
  <c r="GH15" i="13"/>
  <c r="GH16" i="13"/>
  <c r="GH17" i="13"/>
  <c r="GH18" i="13"/>
  <c r="GH24" i="13"/>
  <c r="GH36" i="13"/>
  <c r="GH37" i="13"/>
  <c r="GH38" i="13"/>
  <c r="GH39" i="13"/>
  <c r="GH45" i="13"/>
  <c r="GH52" i="13"/>
  <c r="GK52" i="13"/>
  <c r="GH61" i="13"/>
  <c r="GH64" i="13"/>
  <c r="GK64" i="13"/>
  <c r="GM64" i="13" s="1"/>
  <c r="GH105" i="13"/>
  <c r="GH110" i="13"/>
  <c r="GK110" i="13"/>
  <c r="GM110" i="13" s="1"/>
  <c r="FP18" i="13"/>
  <c r="FP27" i="13"/>
  <c r="FP36" i="13"/>
  <c r="FP37" i="13"/>
  <c r="FP38" i="13"/>
  <c r="FP39" i="13"/>
  <c r="FP50" i="13"/>
  <c r="FP51" i="13"/>
  <c r="FP52" i="13"/>
  <c r="FP59" i="13"/>
  <c r="FP79" i="13"/>
  <c r="FP86" i="13"/>
  <c r="FP89" i="13"/>
  <c r="FP105" i="13"/>
  <c r="FP110" i="13"/>
  <c r="FP116" i="13"/>
  <c r="FP119" i="13"/>
  <c r="FP129" i="13"/>
  <c r="FP132" i="13"/>
  <c r="FP153" i="13"/>
  <c r="FP158" i="13"/>
  <c r="FP162" i="13"/>
  <c r="GH121" i="13"/>
  <c r="GH127" i="13"/>
  <c r="GK127" i="13"/>
  <c r="GM127" i="13" s="1"/>
  <c r="GH143" i="13"/>
  <c r="GH148" i="13"/>
  <c r="GK148" i="13"/>
  <c r="GM148" i="13" s="1"/>
  <c r="GH153" i="13"/>
  <c r="GH158" i="13"/>
  <c r="GK158" i="13"/>
  <c r="GM158" i="13" s="1"/>
  <c r="GH162" i="13"/>
  <c r="GP162" i="13" s="1"/>
  <c r="GK162" i="13"/>
  <c r="GM162" i="13" s="1"/>
  <c r="GZ15" i="13"/>
  <c r="HC15" i="13"/>
  <c r="GZ16" i="13"/>
  <c r="GZ24" i="13"/>
  <c r="GZ36" i="13"/>
  <c r="GZ37" i="13"/>
  <c r="GZ38" i="13"/>
  <c r="GZ39" i="13"/>
  <c r="GZ44" i="13"/>
  <c r="GZ45" i="13"/>
  <c r="GZ46" i="13"/>
  <c r="GZ47" i="13"/>
  <c r="GZ89" i="13"/>
  <c r="GZ90" i="13"/>
  <c r="GZ91" i="13"/>
  <c r="GZ95" i="13"/>
  <c r="HC127" i="13"/>
  <c r="HE127" i="13" s="1"/>
  <c r="GZ133" i="13"/>
  <c r="GZ138" i="13"/>
  <c r="HC138" i="13"/>
  <c r="HE138" i="13" s="1"/>
  <c r="GZ143" i="13"/>
  <c r="GZ148" i="13"/>
  <c r="HC148" i="13"/>
  <c r="HE148" i="13" s="1"/>
  <c r="GZ153" i="13"/>
  <c r="GZ158" i="13"/>
  <c r="HC158" i="13"/>
  <c r="HE158" i="13" s="1"/>
  <c r="HH158" i="13" s="1"/>
  <c r="GZ162" i="13"/>
  <c r="HC162" i="13"/>
  <c r="HE162" i="13" s="1"/>
  <c r="AT65" i="13"/>
  <c r="AT75" i="13"/>
  <c r="BO66" i="13"/>
  <c r="BQ66" i="13" s="1"/>
  <c r="BT66" i="13" s="1"/>
  <c r="BL69" i="13"/>
  <c r="BO76" i="13"/>
  <c r="BQ76" i="13" s="1"/>
  <c r="BT76" i="13" s="1"/>
  <c r="CV64" i="13"/>
  <c r="CY71" i="13"/>
  <c r="DA71" i="13" s="1"/>
  <c r="DD71" i="13" s="1"/>
  <c r="DQ64" i="13"/>
  <c r="DS64" i="13" s="1"/>
  <c r="DV64" i="13" s="1"/>
  <c r="DN71" i="13"/>
  <c r="DQ74" i="13"/>
  <c r="DS74" i="13" s="1"/>
  <c r="DV74" i="13" s="1"/>
  <c r="EF64" i="13"/>
  <c r="EI71" i="13"/>
  <c r="EK71" i="13" s="1"/>
  <c r="EF74" i="13"/>
  <c r="FS66" i="13"/>
  <c r="FU66" i="13" s="1"/>
  <c r="FX66" i="13" s="1"/>
  <c r="FP69" i="13"/>
  <c r="FS76" i="13"/>
  <c r="FU76" i="13" s="1"/>
  <c r="FX76" i="13" s="1"/>
  <c r="GK66" i="13"/>
  <c r="GM66" i="13" s="1"/>
  <c r="BO64" i="13"/>
  <c r="BQ64" i="13" s="1"/>
  <c r="BL71" i="13"/>
  <c r="BO74" i="13"/>
  <c r="BQ74" i="13" s="1"/>
  <c r="CV66" i="13"/>
  <c r="CV69" i="13"/>
  <c r="CY69" i="13"/>
  <c r="DA69" i="13" s="1"/>
  <c r="DQ66" i="13"/>
  <c r="DS66" i="13" s="1"/>
  <c r="DV66" i="13" s="1"/>
  <c r="DN69" i="13"/>
  <c r="DQ76" i="13"/>
  <c r="DS76" i="13" s="1"/>
  <c r="EF66" i="13"/>
  <c r="EI69" i="13"/>
  <c r="EK69" i="13" s="1"/>
  <c r="EF76" i="13"/>
  <c r="EX66" i="13"/>
  <c r="FS64" i="13"/>
  <c r="FU64" i="13" s="1"/>
  <c r="FX64" i="13" s="1"/>
  <c r="FP71" i="13"/>
  <c r="FS74" i="13"/>
  <c r="FU74" i="13" s="1"/>
  <c r="FX74" i="13" s="1"/>
  <c r="HH148" i="13"/>
  <c r="HH162" i="13"/>
  <c r="GP66" i="13"/>
  <c r="GP127" i="13"/>
  <c r="GP148" i="13"/>
  <c r="GP158" i="13"/>
  <c r="FX84" i="13"/>
  <c r="FF32" i="13"/>
  <c r="FF44" i="13"/>
  <c r="FF138" i="13"/>
  <c r="FF148" i="13"/>
  <c r="FF158" i="13"/>
  <c r="FF162" i="13"/>
  <c r="EN69" i="13"/>
  <c r="EN79" i="13"/>
  <c r="EN89" i="13"/>
  <c r="EN152" i="13"/>
  <c r="DV86" i="13"/>
  <c r="DV127" i="13"/>
  <c r="DV137" i="13"/>
  <c r="DD46" i="13"/>
  <c r="DD8" i="13"/>
  <c r="DD32" i="13"/>
  <c r="DD44" i="13"/>
  <c r="DD59" i="13"/>
  <c r="DD148" i="13"/>
  <c r="CL129" i="13"/>
  <c r="AJ148" i="13"/>
  <c r="AJ158" i="13"/>
  <c r="HD16" i="13"/>
  <c r="HC24" i="13"/>
  <c r="HE24" i="13" s="1"/>
  <c r="GZ27" i="13"/>
  <c r="GZ29" i="13"/>
  <c r="GZ31" i="13"/>
  <c r="GZ33" i="13"/>
  <c r="HC36" i="13"/>
  <c r="HE36" i="13" s="1"/>
  <c r="HH36" i="13" s="1"/>
  <c r="HC38" i="13"/>
  <c r="HE38" i="13" s="1"/>
  <c r="GZ43" i="13"/>
  <c r="GZ50" i="13"/>
  <c r="GZ51" i="13"/>
  <c r="GZ52" i="13"/>
  <c r="GZ76" i="13"/>
  <c r="GZ85" i="13"/>
  <c r="GZ86" i="13"/>
  <c r="GZ94" i="13"/>
  <c r="GZ104" i="13"/>
  <c r="GZ106" i="13"/>
  <c r="HD132" i="13"/>
  <c r="GZ14" i="13"/>
  <c r="HC14" i="13"/>
  <c r="GZ18" i="13"/>
  <c r="GZ21" i="13"/>
  <c r="HC21" i="13"/>
  <c r="GZ23" i="13"/>
  <c r="HC23" i="13"/>
  <c r="GZ28" i="13"/>
  <c r="GZ30" i="13"/>
  <c r="GZ32" i="13"/>
  <c r="HC37" i="13"/>
  <c r="HC39" i="13"/>
  <c r="GZ42" i="13"/>
  <c r="GZ75" i="13"/>
  <c r="GZ84" i="13"/>
  <c r="GZ105" i="13"/>
  <c r="GZ109" i="13"/>
  <c r="GZ110" i="13"/>
  <c r="GZ111" i="13"/>
  <c r="GZ125" i="13"/>
  <c r="GZ128" i="13"/>
  <c r="HC128" i="13"/>
  <c r="HE128" i="13" s="1"/>
  <c r="HE129" i="13"/>
  <c r="GZ134" i="13"/>
  <c r="GZ137" i="13"/>
  <c r="HC137" i="13"/>
  <c r="GZ139" i="13"/>
  <c r="HC139" i="13"/>
  <c r="GZ142" i="13"/>
  <c r="GZ144" i="13"/>
  <c r="GZ147" i="13"/>
  <c r="HC147" i="13"/>
  <c r="GZ149" i="13"/>
  <c r="HC149" i="13"/>
  <c r="HE149" i="13" s="1"/>
  <c r="HH149" i="13" s="1"/>
  <c r="GZ152" i="13"/>
  <c r="GZ154" i="13"/>
  <c r="GZ157" i="13"/>
  <c r="HC157" i="13"/>
  <c r="GZ159" i="13"/>
  <c r="HC159" i="13"/>
  <c r="GZ161" i="13"/>
  <c r="HC161" i="13"/>
  <c r="GZ163" i="13"/>
  <c r="HC163" i="13"/>
  <c r="GK14" i="13"/>
  <c r="GK16" i="13"/>
  <c r="GK18" i="13"/>
  <c r="GH21" i="13"/>
  <c r="GH28" i="13"/>
  <c r="GH30" i="13"/>
  <c r="GH32" i="13"/>
  <c r="GK37" i="13"/>
  <c r="GK39" i="13"/>
  <c r="GH42" i="13"/>
  <c r="GH44" i="13"/>
  <c r="GH46" i="13"/>
  <c r="GH51" i="13"/>
  <c r="GK51" i="13"/>
  <c r="GH69" i="13"/>
  <c r="GH71" i="13"/>
  <c r="GK74" i="13"/>
  <c r="GK76" i="13"/>
  <c r="GM76" i="13" s="1"/>
  <c r="GP76" i="13" s="1"/>
  <c r="GH79" i="13"/>
  <c r="GH81" i="13"/>
  <c r="GK84" i="13"/>
  <c r="GK86" i="13"/>
  <c r="GM86" i="13" s="1"/>
  <c r="GP86" i="13" s="1"/>
  <c r="GK90" i="13"/>
  <c r="GH95" i="13"/>
  <c r="GK100" i="13"/>
  <c r="GM100" i="13" s="1"/>
  <c r="GP100" i="13" s="1"/>
  <c r="GK129" i="13"/>
  <c r="GM129" i="13" s="1"/>
  <c r="GP129" i="13" s="1"/>
  <c r="GH132" i="13"/>
  <c r="GH134" i="13"/>
  <c r="GH137" i="13"/>
  <c r="GK137" i="13"/>
  <c r="GK139" i="13"/>
  <c r="GH142" i="13"/>
  <c r="GH144" i="13"/>
  <c r="GH147" i="13"/>
  <c r="GK147" i="13"/>
  <c r="GH149" i="13"/>
  <c r="GK149" i="13"/>
  <c r="GH152" i="13"/>
  <c r="GH154" i="13"/>
  <c r="GH157" i="13"/>
  <c r="GK157" i="13"/>
  <c r="GH159" i="13"/>
  <c r="GK159" i="13"/>
  <c r="GH161" i="13"/>
  <c r="GK161" i="13"/>
  <c r="GH163" i="13"/>
  <c r="GK163" i="13"/>
  <c r="GK13" i="13"/>
  <c r="GM13" i="13" s="1"/>
  <c r="GP13" i="13" s="1"/>
  <c r="GK15" i="13"/>
  <c r="GM15" i="13" s="1"/>
  <c r="GP15" i="13" s="1"/>
  <c r="GK17" i="13"/>
  <c r="GM17" i="13" s="1"/>
  <c r="GP17" i="13" s="1"/>
  <c r="GH22" i="13"/>
  <c r="GK24" i="13"/>
  <c r="GM24" i="13" s="1"/>
  <c r="GP24" i="13" s="1"/>
  <c r="GH27" i="13"/>
  <c r="GH29" i="13"/>
  <c r="GH31" i="13"/>
  <c r="GH33" i="13"/>
  <c r="GK36" i="13"/>
  <c r="GM36" i="13" s="1"/>
  <c r="GK38" i="13"/>
  <c r="GM38" i="13" s="1"/>
  <c r="GP38" i="13" s="1"/>
  <c r="GK53" i="13"/>
  <c r="GK54" i="13"/>
  <c r="GK55" i="13"/>
  <c r="GH58" i="13"/>
  <c r="GH60" i="13"/>
  <c r="GH65" i="13"/>
  <c r="GK65" i="13"/>
  <c r="GH70" i="13"/>
  <c r="GK75" i="13"/>
  <c r="GH80" i="13"/>
  <c r="GK85" i="13"/>
  <c r="GM85" i="13" s="1"/>
  <c r="GP85" i="13" s="1"/>
  <c r="GM90" i="13"/>
  <c r="GK91" i="13"/>
  <c r="GM91" i="13" s="1"/>
  <c r="GH94" i="13"/>
  <c r="GH96" i="13"/>
  <c r="GK99" i="13"/>
  <c r="GK101" i="13"/>
  <c r="GH104" i="13"/>
  <c r="GH106" i="13"/>
  <c r="GH109" i="13"/>
  <c r="GK109" i="13"/>
  <c r="GH111" i="13"/>
  <c r="GK111" i="13"/>
  <c r="GH115" i="13"/>
  <c r="GK115" i="13"/>
  <c r="GM115" i="13" s="1"/>
  <c r="GH120" i="13"/>
  <c r="GH122" i="13"/>
  <c r="GH125" i="13"/>
  <c r="GK125" i="13"/>
  <c r="GM125" i="13" s="1"/>
  <c r="GK128" i="13"/>
  <c r="GM128" i="13" s="1"/>
  <c r="GH133" i="13"/>
  <c r="GK138" i="13"/>
  <c r="GM138" i="13" s="1"/>
  <c r="FS14" i="13"/>
  <c r="FS16" i="13"/>
  <c r="FS18" i="13"/>
  <c r="FP21" i="13"/>
  <c r="FP23" i="13"/>
  <c r="FP29" i="13"/>
  <c r="FT29" i="13"/>
  <c r="FP30" i="13"/>
  <c r="FP33" i="13"/>
  <c r="FS36" i="13"/>
  <c r="FU36" i="13" s="1"/>
  <c r="FX36" i="13" s="1"/>
  <c r="FS38" i="13"/>
  <c r="FP43" i="13"/>
  <c r="FP45" i="13"/>
  <c r="FP47" i="13"/>
  <c r="FS50" i="13"/>
  <c r="FS52" i="13"/>
  <c r="FS53" i="13"/>
  <c r="FS54" i="13"/>
  <c r="FS55" i="13"/>
  <c r="FP58" i="13"/>
  <c r="FP60" i="13"/>
  <c r="FP65" i="13"/>
  <c r="FS65" i="13"/>
  <c r="FP70" i="13"/>
  <c r="FP75" i="13"/>
  <c r="FS75" i="13"/>
  <c r="FU75" i="13" s="1"/>
  <c r="FX75" i="13" s="1"/>
  <c r="FP80" i="13"/>
  <c r="FP85" i="13"/>
  <c r="FS85" i="13"/>
  <c r="FP90" i="13"/>
  <c r="FS100" i="13"/>
  <c r="FU100" i="13" s="1"/>
  <c r="FX100" i="13" s="1"/>
  <c r="FP106" i="13"/>
  <c r="FP109" i="13"/>
  <c r="FS109" i="13"/>
  <c r="FP111" i="13"/>
  <c r="FS111" i="13"/>
  <c r="FP115" i="13"/>
  <c r="FS115" i="13"/>
  <c r="FU115" i="13" s="1"/>
  <c r="FP120" i="13"/>
  <c r="FP122" i="13"/>
  <c r="FP125" i="13"/>
  <c r="FS125" i="13"/>
  <c r="FU125" i="13" s="1"/>
  <c r="FS128" i="13"/>
  <c r="FU128" i="13" s="1"/>
  <c r="FP133" i="13"/>
  <c r="FP138" i="13"/>
  <c r="FS138" i="13"/>
  <c r="FP143" i="13"/>
  <c r="FS148" i="13"/>
  <c r="FS13" i="13"/>
  <c r="FS15" i="13"/>
  <c r="FU15" i="13" s="1"/>
  <c r="FX15" i="13" s="1"/>
  <c r="FS17" i="13"/>
  <c r="FP22" i="13"/>
  <c r="FP24" i="13"/>
  <c r="FT27" i="13"/>
  <c r="FP28" i="13"/>
  <c r="FP31" i="13"/>
  <c r="FT31" i="13"/>
  <c r="FU31" i="13" s="1"/>
  <c r="FX31" i="13" s="1"/>
  <c r="FP32" i="13"/>
  <c r="FS37" i="13"/>
  <c r="FU37" i="13" s="1"/>
  <c r="FX37" i="13" s="1"/>
  <c r="FS39" i="13"/>
  <c r="FU39" i="13" s="1"/>
  <c r="FX39" i="13" s="1"/>
  <c r="FP42" i="13"/>
  <c r="FP44" i="13"/>
  <c r="FP46" i="13"/>
  <c r="FS51" i="13"/>
  <c r="FU51" i="13" s="1"/>
  <c r="FX51" i="13" s="1"/>
  <c r="FT95" i="13"/>
  <c r="FP96" i="13"/>
  <c r="FS99" i="13"/>
  <c r="FU99" i="13" s="1"/>
  <c r="FT104" i="13"/>
  <c r="FS137" i="13"/>
  <c r="FU137" i="13" s="1"/>
  <c r="FS139" i="13"/>
  <c r="FU139" i="13" s="1"/>
  <c r="FX139" i="13" s="1"/>
  <c r="FP142" i="13"/>
  <c r="FP144" i="13"/>
  <c r="FS147" i="13"/>
  <c r="FU147" i="13" s="1"/>
  <c r="FS149" i="13"/>
  <c r="FU149" i="13" s="1"/>
  <c r="FX149" i="13" s="1"/>
  <c r="FP152" i="13"/>
  <c r="FP154" i="13"/>
  <c r="FP157" i="13"/>
  <c r="FS157" i="13"/>
  <c r="FU157" i="13" s="1"/>
  <c r="FP159" i="13"/>
  <c r="FS159" i="13"/>
  <c r="FU159" i="13" s="1"/>
  <c r="FP161" i="13"/>
  <c r="FS161" i="13"/>
  <c r="FU161" i="13" s="1"/>
  <c r="FP163" i="13"/>
  <c r="FS163" i="13"/>
  <c r="FU163" i="13" s="1"/>
  <c r="EX15" i="13"/>
  <c r="FB29" i="13"/>
  <c r="FA29" i="13"/>
  <c r="FB33" i="13"/>
  <c r="FC33" i="13" s="1"/>
  <c r="FF33" i="13" s="1"/>
  <c r="FA33" i="13"/>
  <c r="EX10" i="13"/>
  <c r="EX16" i="13"/>
  <c r="EX17" i="13"/>
  <c r="FA23" i="13"/>
  <c r="FB23" i="13"/>
  <c r="EX23" i="13"/>
  <c r="FB27" i="13"/>
  <c r="FA27" i="13"/>
  <c r="FB31" i="13"/>
  <c r="FA31" i="13"/>
  <c r="EX64" i="13"/>
  <c r="FA69" i="13"/>
  <c r="FC69" i="13" s="1"/>
  <c r="FF69" i="13" s="1"/>
  <c r="FA71" i="13"/>
  <c r="FC71" i="13" s="1"/>
  <c r="FF71" i="13" s="1"/>
  <c r="EX74" i="13"/>
  <c r="EX76" i="13"/>
  <c r="FA79" i="13"/>
  <c r="FA81" i="13"/>
  <c r="FC81" i="13" s="1"/>
  <c r="FF81" i="13" s="1"/>
  <c r="EX84" i="13"/>
  <c r="EX86" i="13"/>
  <c r="FA89" i="13"/>
  <c r="EX91" i="13"/>
  <c r="EX109" i="13"/>
  <c r="EX111" i="13"/>
  <c r="EX116" i="13"/>
  <c r="FB134" i="13"/>
  <c r="EX24" i="13"/>
  <c r="EX31" i="13"/>
  <c r="EX33" i="13"/>
  <c r="EX36" i="13"/>
  <c r="EX38" i="13"/>
  <c r="EX43" i="13"/>
  <c r="FA43" i="13"/>
  <c r="EX45" i="13"/>
  <c r="FA45" i="13"/>
  <c r="EX47" i="13"/>
  <c r="FA47" i="13"/>
  <c r="EX50" i="13"/>
  <c r="EX52" i="13"/>
  <c r="EX58" i="13"/>
  <c r="FA58" i="13"/>
  <c r="EX60" i="13"/>
  <c r="FA60" i="13"/>
  <c r="EX65" i="13"/>
  <c r="FA70" i="13"/>
  <c r="EX75" i="13"/>
  <c r="FA80" i="13"/>
  <c r="EX85" i="13"/>
  <c r="FA90" i="13"/>
  <c r="EX101" i="13"/>
  <c r="EX110" i="13"/>
  <c r="EX115" i="13"/>
  <c r="EX120" i="13"/>
  <c r="EX121" i="13"/>
  <c r="EX122" i="13"/>
  <c r="EX125" i="13"/>
  <c r="EX127" i="13"/>
  <c r="FA127" i="13"/>
  <c r="FC127" i="13" s="1"/>
  <c r="FC128" i="13"/>
  <c r="FF128" i="13" s="1"/>
  <c r="EX129" i="13"/>
  <c r="FA129" i="13"/>
  <c r="FC129" i="13" s="1"/>
  <c r="EX132" i="13"/>
  <c r="FB132" i="13"/>
  <c r="EX133" i="13"/>
  <c r="EX137" i="13"/>
  <c r="FA137" i="13"/>
  <c r="FC137" i="13" s="1"/>
  <c r="FF137" i="13" s="1"/>
  <c r="EX139" i="13"/>
  <c r="FA139" i="13"/>
  <c r="EX142" i="13"/>
  <c r="EX144" i="13"/>
  <c r="EX147" i="13"/>
  <c r="FA147" i="13"/>
  <c r="EX149" i="13"/>
  <c r="FA149" i="13"/>
  <c r="EX152" i="13"/>
  <c r="EX154" i="13"/>
  <c r="EX157" i="13"/>
  <c r="FA157" i="13"/>
  <c r="FC157" i="13" s="1"/>
  <c r="FF157" i="13" s="1"/>
  <c r="EX159" i="13"/>
  <c r="FA159" i="13"/>
  <c r="FC159" i="13" s="1"/>
  <c r="FF159" i="13" s="1"/>
  <c r="EX161" i="13"/>
  <c r="FA161" i="13"/>
  <c r="FC161" i="13" s="1"/>
  <c r="FF161" i="13" s="1"/>
  <c r="EX163" i="13"/>
  <c r="FA163" i="13"/>
  <c r="EF53" i="13"/>
  <c r="EF55" i="13"/>
  <c r="EF14" i="13"/>
  <c r="EJ37" i="13"/>
  <c r="EF94" i="13"/>
  <c r="EI99" i="13"/>
  <c r="EK99" i="13" s="1"/>
  <c r="EN99" i="13" s="1"/>
  <c r="EF106" i="13"/>
  <c r="EF115" i="13"/>
  <c r="EF116" i="13"/>
  <c r="EF127" i="13"/>
  <c r="EF133" i="13"/>
  <c r="EI133" i="13"/>
  <c r="EK133" i="13" s="1"/>
  <c r="EN133" i="13" s="1"/>
  <c r="EF139" i="13"/>
  <c r="EJ139" i="13"/>
  <c r="EK139" i="13" s="1"/>
  <c r="EF143" i="13"/>
  <c r="EI143" i="13"/>
  <c r="EF148" i="13"/>
  <c r="EF153" i="13"/>
  <c r="EI153" i="13"/>
  <c r="EK154" i="13"/>
  <c r="EF159" i="13"/>
  <c r="EJ159" i="13"/>
  <c r="EF160" i="13"/>
  <c r="EF163" i="13"/>
  <c r="EJ163" i="13"/>
  <c r="EF164" i="13"/>
  <c r="EF8" i="13"/>
  <c r="EI8" i="13"/>
  <c r="EK8" i="13" s="1"/>
  <c r="EF54" i="13"/>
  <c r="EF10" i="13"/>
  <c r="EI10" i="13"/>
  <c r="EK10" i="13" s="1"/>
  <c r="EF13" i="13"/>
  <c r="EF15" i="13"/>
  <c r="EF17" i="13"/>
  <c r="EF22" i="13"/>
  <c r="EI22" i="13"/>
  <c r="EK22" i="13" s="1"/>
  <c r="EF24" i="13"/>
  <c r="EI24" i="13"/>
  <c r="EK24" i="13" s="1"/>
  <c r="EF27" i="13"/>
  <c r="EF29" i="13"/>
  <c r="EF31" i="13"/>
  <c r="EI31" i="13"/>
  <c r="EK31" i="13" s="1"/>
  <c r="EK32" i="13"/>
  <c r="EF33" i="13"/>
  <c r="EI33" i="13"/>
  <c r="EK33" i="13" s="1"/>
  <c r="EF36" i="13"/>
  <c r="EF39" i="13"/>
  <c r="EJ39" i="13"/>
  <c r="EF43" i="13"/>
  <c r="EI43" i="13"/>
  <c r="EF45" i="13"/>
  <c r="EI45" i="13"/>
  <c r="EF47" i="13"/>
  <c r="EI47" i="13"/>
  <c r="EF50" i="13"/>
  <c r="EF52" i="13"/>
  <c r="EF58" i="13"/>
  <c r="EI58" i="13"/>
  <c r="EF60" i="13"/>
  <c r="EI60" i="13"/>
  <c r="EK60" i="13" s="1"/>
  <c r="EN60" i="13" s="1"/>
  <c r="EF65" i="13"/>
  <c r="EF70" i="13"/>
  <c r="EI70" i="13"/>
  <c r="EF75" i="13"/>
  <c r="EF80" i="13"/>
  <c r="EI80" i="13"/>
  <c r="EF85" i="13"/>
  <c r="EF90" i="13"/>
  <c r="EI90" i="13"/>
  <c r="EF95" i="13"/>
  <c r="EI100" i="13"/>
  <c r="EF125" i="13"/>
  <c r="EJ128" i="13"/>
  <c r="EK128" i="13" s="1"/>
  <c r="EN128" i="13" s="1"/>
  <c r="EJ137" i="13"/>
  <c r="EK143" i="13"/>
  <c r="EN143" i="13" s="1"/>
  <c r="EK153" i="13"/>
  <c r="EN154" i="13"/>
  <c r="EJ157" i="13"/>
  <c r="EJ161" i="13"/>
  <c r="EF162" i="13"/>
  <c r="DQ8" i="13"/>
  <c r="DQ10" i="13"/>
  <c r="DN13" i="13"/>
  <c r="DN15" i="13"/>
  <c r="DN17" i="13"/>
  <c r="DQ22" i="13"/>
  <c r="DN28" i="13"/>
  <c r="DN30" i="13"/>
  <c r="DN32" i="13"/>
  <c r="DQ37" i="13"/>
  <c r="DS37" i="13" s="1"/>
  <c r="DV37" i="13" s="1"/>
  <c r="DQ39" i="13"/>
  <c r="DS39" i="13" s="1"/>
  <c r="DV39" i="13" s="1"/>
  <c r="DN42" i="13"/>
  <c r="DN44" i="13"/>
  <c r="DN46" i="13"/>
  <c r="DN51" i="13"/>
  <c r="DQ51" i="13"/>
  <c r="DS51" i="13" s="1"/>
  <c r="DQ139" i="13"/>
  <c r="DS139" i="13" s="1"/>
  <c r="DV139" i="13" s="1"/>
  <c r="DN142" i="13"/>
  <c r="DN144" i="13"/>
  <c r="DQ147" i="13"/>
  <c r="DQ149" i="13"/>
  <c r="DN152" i="13"/>
  <c r="DN154" i="13"/>
  <c r="DN157" i="13"/>
  <c r="DQ157" i="13"/>
  <c r="DS157" i="13" s="1"/>
  <c r="DV157" i="13" s="1"/>
  <c r="DN159" i="13"/>
  <c r="DQ159" i="13"/>
  <c r="DS159" i="13" s="1"/>
  <c r="DV159" i="13" s="1"/>
  <c r="DN161" i="13"/>
  <c r="DQ161" i="13"/>
  <c r="DS161" i="13" s="1"/>
  <c r="DV161" i="13" s="1"/>
  <c r="DN163" i="13"/>
  <c r="DQ163" i="13"/>
  <c r="DQ9" i="13"/>
  <c r="DS9" i="13" s="1"/>
  <c r="DV9" i="13" s="1"/>
  <c r="DN14" i="13"/>
  <c r="DN16" i="13"/>
  <c r="DN18" i="13"/>
  <c r="DQ21" i="13"/>
  <c r="DS21" i="13" s="1"/>
  <c r="DV21" i="13" s="1"/>
  <c r="DQ24" i="13"/>
  <c r="DS24" i="13" s="1"/>
  <c r="DV24" i="13" s="1"/>
  <c r="DN27" i="13"/>
  <c r="DN29" i="13"/>
  <c r="DN31" i="13"/>
  <c r="DN33" i="13"/>
  <c r="DQ36" i="13"/>
  <c r="DQ38" i="13"/>
  <c r="DS38" i="13" s="1"/>
  <c r="DV38" i="13" s="1"/>
  <c r="DQ53" i="13"/>
  <c r="DQ54" i="13"/>
  <c r="DS54" i="13" s="1"/>
  <c r="DQ55" i="13"/>
  <c r="DN58" i="13"/>
  <c r="DN60" i="13"/>
  <c r="DN65" i="13"/>
  <c r="DQ65" i="13"/>
  <c r="DN70" i="13"/>
  <c r="DN75" i="13"/>
  <c r="DQ75" i="13"/>
  <c r="DN80" i="13"/>
  <c r="DN85" i="13"/>
  <c r="DQ85" i="13"/>
  <c r="DN90" i="13"/>
  <c r="DN91" i="13"/>
  <c r="DQ91" i="13"/>
  <c r="DS91" i="13" s="1"/>
  <c r="DN94" i="13"/>
  <c r="DN96" i="13"/>
  <c r="DN99" i="13"/>
  <c r="DQ99" i="13"/>
  <c r="DN101" i="13"/>
  <c r="DQ101" i="13"/>
  <c r="DN104" i="13"/>
  <c r="DN106" i="13"/>
  <c r="DN109" i="13"/>
  <c r="DQ109" i="13"/>
  <c r="DN111" i="13"/>
  <c r="DQ111" i="13"/>
  <c r="DN115" i="13"/>
  <c r="DQ115" i="13"/>
  <c r="DS115" i="13" s="1"/>
  <c r="DN120" i="13"/>
  <c r="DN122" i="13"/>
  <c r="DN125" i="13"/>
  <c r="DQ125" i="13"/>
  <c r="DS125" i="13" s="1"/>
  <c r="DQ128" i="13"/>
  <c r="DS128" i="13" s="1"/>
  <c r="DN133" i="13"/>
  <c r="DN138" i="13"/>
  <c r="DQ138" i="13"/>
  <c r="DN143" i="13"/>
  <c r="DQ148" i="13"/>
  <c r="DN153" i="13"/>
  <c r="CV9" i="13"/>
  <c r="CY9" i="13"/>
  <c r="CZ17" i="13"/>
  <c r="CY17" i="13"/>
  <c r="CZ21" i="13"/>
  <c r="DA21" i="13" s="1"/>
  <c r="DD21" i="13" s="1"/>
  <c r="CV74" i="13"/>
  <c r="CV76" i="13"/>
  <c r="CY79" i="13"/>
  <c r="DA79" i="13" s="1"/>
  <c r="DD79" i="13" s="1"/>
  <c r="CY81" i="13"/>
  <c r="DA81" i="13" s="1"/>
  <c r="DD81" i="13" s="1"/>
  <c r="CV84" i="13"/>
  <c r="CV86" i="13"/>
  <c r="CY89" i="13"/>
  <c r="CV95" i="13"/>
  <c r="CV105" i="13"/>
  <c r="CV106" i="13"/>
  <c r="CV132" i="13"/>
  <c r="CZ132" i="13"/>
  <c r="CV133" i="13"/>
  <c r="CY138" i="13"/>
  <c r="DA138" i="13" s="1"/>
  <c r="DD138" i="13" s="1"/>
  <c r="CV13" i="13"/>
  <c r="CV15" i="13"/>
  <c r="CV17" i="13"/>
  <c r="DA18" i="13"/>
  <c r="CV23" i="13"/>
  <c r="CZ23" i="13"/>
  <c r="DA23" i="13" s="1"/>
  <c r="DD23" i="13" s="1"/>
  <c r="CV24" i="13"/>
  <c r="CY27" i="13"/>
  <c r="CV29" i="13"/>
  <c r="CY29" i="13"/>
  <c r="CV31" i="13"/>
  <c r="CY31" i="13"/>
  <c r="CV33" i="13"/>
  <c r="CY33" i="13"/>
  <c r="CV36" i="13"/>
  <c r="CV38" i="13"/>
  <c r="CV43" i="13"/>
  <c r="CY43" i="13"/>
  <c r="DA43" i="13" s="1"/>
  <c r="DD43" i="13" s="1"/>
  <c r="CV45" i="13"/>
  <c r="CY45" i="13"/>
  <c r="DA45" i="13" s="1"/>
  <c r="DD45" i="13" s="1"/>
  <c r="CV47" i="13"/>
  <c r="CY47" i="13"/>
  <c r="DA47" i="13" s="1"/>
  <c r="DD47" i="13" s="1"/>
  <c r="CV50" i="13"/>
  <c r="CV52" i="13"/>
  <c r="CV58" i="13"/>
  <c r="CY58" i="13"/>
  <c r="CV60" i="13"/>
  <c r="CY60" i="13"/>
  <c r="CV65" i="13"/>
  <c r="CV70" i="13"/>
  <c r="CY70" i="13"/>
  <c r="CV75" i="13"/>
  <c r="CY80" i="13"/>
  <c r="DA89" i="13"/>
  <c r="CV94" i="13"/>
  <c r="CV96" i="13"/>
  <c r="CV99" i="13"/>
  <c r="CV100" i="13"/>
  <c r="CV101" i="13"/>
  <c r="CV104" i="13"/>
  <c r="CV128" i="13"/>
  <c r="CY128" i="13"/>
  <c r="DA128" i="13" s="1"/>
  <c r="DD128" i="13" s="1"/>
  <c r="CV134" i="13"/>
  <c r="CV137" i="13"/>
  <c r="CY137" i="13"/>
  <c r="CV139" i="13"/>
  <c r="CY139" i="13"/>
  <c r="CV142" i="13"/>
  <c r="CV144" i="13"/>
  <c r="CV147" i="13"/>
  <c r="CY147" i="13"/>
  <c r="CV149" i="13"/>
  <c r="CY149" i="13"/>
  <c r="CV152" i="13"/>
  <c r="CV154" i="13"/>
  <c r="CV157" i="13"/>
  <c r="CY157" i="13"/>
  <c r="CV159" i="13"/>
  <c r="CY159" i="13"/>
  <c r="CV161" i="13"/>
  <c r="CY161" i="13"/>
  <c r="CV163" i="13"/>
  <c r="CY163" i="13"/>
  <c r="CD15" i="13"/>
  <c r="CG17" i="13"/>
  <c r="CD22" i="13"/>
  <c r="CD24" i="13"/>
  <c r="CG27" i="13"/>
  <c r="CI27" i="13" s="1"/>
  <c r="CL27" i="13" s="1"/>
  <c r="CG29" i="13"/>
  <c r="CI29" i="13" s="1"/>
  <c r="CL29" i="13" s="1"/>
  <c r="CG31" i="13"/>
  <c r="CI31" i="13" s="1"/>
  <c r="CL31" i="13" s="1"/>
  <c r="CG33" i="13"/>
  <c r="CI33" i="13" s="1"/>
  <c r="CL33" i="13" s="1"/>
  <c r="CD36" i="13"/>
  <c r="CD38" i="13"/>
  <c r="CG43" i="13"/>
  <c r="CI43" i="13" s="1"/>
  <c r="CL43" i="13" s="1"/>
  <c r="CH95" i="13"/>
  <c r="CD96" i="13"/>
  <c r="CG99" i="13"/>
  <c r="CG101" i="13"/>
  <c r="CI101" i="13" s="1"/>
  <c r="CL101" i="13" s="1"/>
  <c r="CD104" i="13"/>
  <c r="CH104" i="13"/>
  <c r="CD105" i="13"/>
  <c r="CG110" i="13"/>
  <c r="CI110" i="13" s="1"/>
  <c r="CL110" i="13" s="1"/>
  <c r="CG137" i="13"/>
  <c r="CI137" i="13" s="1"/>
  <c r="CL137" i="13" s="1"/>
  <c r="CG139" i="13"/>
  <c r="CI139" i="13" s="1"/>
  <c r="CL139" i="13" s="1"/>
  <c r="CD142" i="13"/>
  <c r="CD144" i="13"/>
  <c r="CG147" i="13"/>
  <c r="CI147" i="13" s="1"/>
  <c r="CG149" i="13"/>
  <c r="CI149" i="13" s="1"/>
  <c r="CL149" i="13" s="1"/>
  <c r="CD152" i="13"/>
  <c r="CD154" i="13"/>
  <c r="CD157" i="13"/>
  <c r="CG157" i="13"/>
  <c r="CI157" i="13" s="1"/>
  <c r="CD159" i="13"/>
  <c r="CG159" i="13"/>
  <c r="CI159" i="13" s="1"/>
  <c r="CD161" i="13"/>
  <c r="CG161" i="13"/>
  <c r="CI161" i="13" s="1"/>
  <c r="CD163" i="13"/>
  <c r="CG163" i="13"/>
  <c r="CI163" i="13" s="1"/>
  <c r="CD13" i="13"/>
  <c r="CG16" i="13"/>
  <c r="CI16" i="13" s="1"/>
  <c r="CL16" i="13" s="1"/>
  <c r="CI17" i="13"/>
  <c r="CL17" i="13" s="1"/>
  <c r="CG18" i="13"/>
  <c r="CI18" i="13" s="1"/>
  <c r="CL18" i="13" s="1"/>
  <c r="CD21" i="13"/>
  <c r="CD23" i="13"/>
  <c r="CG28" i="13"/>
  <c r="CG30" i="13"/>
  <c r="CG32" i="13"/>
  <c r="CD37" i="13"/>
  <c r="CD39" i="13"/>
  <c r="CD42" i="13"/>
  <c r="CG42" i="13"/>
  <c r="CD79" i="13"/>
  <c r="CD80" i="13"/>
  <c r="CD81" i="13"/>
  <c r="CD85" i="13"/>
  <c r="CG85" i="13"/>
  <c r="CD90" i="13"/>
  <c r="CI99" i="13"/>
  <c r="CG100" i="13"/>
  <c r="CI100" i="13" s="1"/>
  <c r="CL100" i="13" s="1"/>
  <c r="CD106" i="13"/>
  <c r="CG109" i="13"/>
  <c r="CG111" i="13"/>
  <c r="CD115" i="13"/>
  <c r="CG115" i="13"/>
  <c r="CI115" i="13" s="1"/>
  <c r="CD120" i="13"/>
  <c r="CD122" i="13"/>
  <c r="CD125" i="13"/>
  <c r="CG125" i="13"/>
  <c r="CI125" i="13" s="1"/>
  <c r="CG128" i="13"/>
  <c r="CI128" i="13" s="1"/>
  <c r="CD133" i="13"/>
  <c r="CG138" i="13"/>
  <c r="CI138" i="13" s="1"/>
  <c r="CL138" i="13" s="1"/>
  <c r="CL140" i="13" s="1"/>
  <c r="CD143" i="13"/>
  <c r="CG148" i="13"/>
  <c r="CI148" i="13" s="1"/>
  <c r="CL148" i="13" s="1"/>
  <c r="CD153" i="13"/>
  <c r="BL14" i="13"/>
  <c r="BO14" i="13"/>
  <c r="BL16" i="13"/>
  <c r="BO16" i="13"/>
  <c r="BO18" i="13"/>
  <c r="BL21" i="13"/>
  <c r="BL23" i="13"/>
  <c r="BL29" i="13"/>
  <c r="BP29" i="13"/>
  <c r="BL30" i="13"/>
  <c r="BL33" i="13"/>
  <c r="BO36" i="13"/>
  <c r="BO38" i="13"/>
  <c r="BQ38" i="13" s="1"/>
  <c r="BT38" i="13" s="1"/>
  <c r="BL43" i="13"/>
  <c r="BL45" i="13"/>
  <c r="BL47" i="13"/>
  <c r="BO50" i="13"/>
  <c r="BO52" i="13"/>
  <c r="BO53" i="13"/>
  <c r="BO54" i="13"/>
  <c r="BO55" i="13"/>
  <c r="BL58" i="13"/>
  <c r="BL60" i="13"/>
  <c r="BL65" i="13"/>
  <c r="BO65" i="13"/>
  <c r="BL70" i="13"/>
  <c r="BL75" i="13"/>
  <c r="BO75" i="13"/>
  <c r="BL80" i="13"/>
  <c r="BL85" i="13"/>
  <c r="BO85" i="13"/>
  <c r="BQ85" i="13" s="1"/>
  <c r="BT85" i="13" s="1"/>
  <c r="BL90" i="13"/>
  <c r="BL100" i="13"/>
  <c r="BO100" i="13"/>
  <c r="BQ100" i="13" s="1"/>
  <c r="BQ101" i="13"/>
  <c r="BL106" i="13"/>
  <c r="BL109" i="13"/>
  <c r="BO109" i="13"/>
  <c r="BL111" i="13"/>
  <c r="BO111" i="13"/>
  <c r="BL115" i="13"/>
  <c r="BO115" i="13"/>
  <c r="BQ115" i="13" s="1"/>
  <c r="BL120" i="13"/>
  <c r="BL122" i="13"/>
  <c r="BL125" i="13"/>
  <c r="BO125" i="13"/>
  <c r="BQ125" i="13" s="1"/>
  <c r="BO128" i="13"/>
  <c r="BQ128" i="13" s="1"/>
  <c r="BL133" i="13"/>
  <c r="BL138" i="13"/>
  <c r="BO138" i="13"/>
  <c r="BL143" i="13"/>
  <c r="BO148" i="13"/>
  <c r="BL153" i="13"/>
  <c r="BO17" i="13"/>
  <c r="BL22" i="13"/>
  <c r="BL24" i="13"/>
  <c r="BP27" i="13"/>
  <c r="BL28" i="13"/>
  <c r="BL31" i="13"/>
  <c r="BP31" i="13"/>
  <c r="BL32" i="13"/>
  <c r="BO37" i="13"/>
  <c r="BQ37" i="13" s="1"/>
  <c r="BT37" i="13" s="1"/>
  <c r="BO39" i="13"/>
  <c r="BQ39" i="13" s="1"/>
  <c r="BT39" i="13" s="1"/>
  <c r="BL42" i="13"/>
  <c r="BL44" i="13"/>
  <c r="BL46" i="13"/>
  <c r="BO51" i="13"/>
  <c r="BQ51" i="13" s="1"/>
  <c r="BP95" i="13"/>
  <c r="BL96" i="13"/>
  <c r="BP104" i="13"/>
  <c r="BO137" i="13"/>
  <c r="BQ137" i="13" s="1"/>
  <c r="BT137" i="13" s="1"/>
  <c r="BO139" i="13"/>
  <c r="BQ139" i="13" s="1"/>
  <c r="BT139" i="13" s="1"/>
  <c r="BL142" i="13"/>
  <c r="BL144" i="13"/>
  <c r="BO147" i="13"/>
  <c r="BQ147" i="13" s="1"/>
  <c r="BO149" i="13"/>
  <c r="BQ149" i="13" s="1"/>
  <c r="BT149" i="13" s="1"/>
  <c r="BL152" i="13"/>
  <c r="BL154" i="13"/>
  <c r="BL157" i="13"/>
  <c r="BO157" i="13"/>
  <c r="BQ157" i="13" s="1"/>
  <c r="BL159" i="13"/>
  <c r="BO159" i="13"/>
  <c r="BQ159" i="13" s="1"/>
  <c r="BL161" i="13"/>
  <c r="BO161" i="13"/>
  <c r="BQ161" i="13" s="1"/>
  <c r="BL163" i="13"/>
  <c r="BO163" i="13"/>
  <c r="BQ163" i="13" s="1"/>
  <c r="AX22" i="13"/>
  <c r="AT94" i="13"/>
  <c r="AT96" i="13"/>
  <c r="AT105" i="13"/>
  <c r="AX132" i="13"/>
  <c r="AT143" i="13"/>
  <c r="AT148" i="13"/>
  <c r="AW148" i="13"/>
  <c r="AY148" i="13" s="1"/>
  <c r="AT153" i="13"/>
  <c r="AT158" i="13"/>
  <c r="AW158" i="13"/>
  <c r="AY158" i="13" s="1"/>
  <c r="AT160" i="13"/>
  <c r="AW160" i="13"/>
  <c r="AY160" i="13" s="1"/>
  <c r="AT162" i="13"/>
  <c r="AW162" i="13"/>
  <c r="AY162" i="13" s="1"/>
  <c r="AT13" i="13"/>
  <c r="AW13" i="13"/>
  <c r="AY13" i="13" s="1"/>
  <c r="AT16" i="13"/>
  <c r="AW16" i="13"/>
  <c r="AY16" i="13" s="1"/>
  <c r="AY17" i="13"/>
  <c r="AT18" i="13"/>
  <c r="AW18" i="13"/>
  <c r="AY18" i="13" s="1"/>
  <c r="AT21" i="13"/>
  <c r="AT24" i="13"/>
  <c r="AX24" i="13"/>
  <c r="AT28" i="13"/>
  <c r="AW28" i="13"/>
  <c r="AY28" i="13" s="1"/>
  <c r="AT30" i="13"/>
  <c r="AW30" i="13"/>
  <c r="AY30" i="13" s="1"/>
  <c r="AT32" i="13"/>
  <c r="AW32" i="13"/>
  <c r="AY32" i="13" s="1"/>
  <c r="AT37" i="13"/>
  <c r="AT39" i="13"/>
  <c r="AT42" i="13"/>
  <c r="AW42" i="13"/>
  <c r="AY42" i="13" s="1"/>
  <c r="AT44" i="13"/>
  <c r="AW44" i="13"/>
  <c r="AY44" i="13" s="1"/>
  <c r="AT46" i="13"/>
  <c r="AW46" i="13"/>
  <c r="AY46" i="13" s="1"/>
  <c r="AT51" i="13"/>
  <c r="AT59" i="13"/>
  <c r="BB59" i="13" s="1"/>
  <c r="AW59" i="13"/>
  <c r="AY59" i="13" s="1"/>
  <c r="AT61" i="13"/>
  <c r="AW61" i="13"/>
  <c r="AY61" i="13" s="1"/>
  <c r="AT64" i="13"/>
  <c r="AT66" i="13"/>
  <c r="AT69" i="13"/>
  <c r="AW69" i="13"/>
  <c r="AT71" i="13"/>
  <c r="AW71" i="13"/>
  <c r="AT74" i="13"/>
  <c r="AT76" i="13"/>
  <c r="AT79" i="13"/>
  <c r="AW79" i="13"/>
  <c r="AY79" i="13" s="1"/>
  <c r="BB79" i="13" s="1"/>
  <c r="AT81" i="13"/>
  <c r="AT85" i="13"/>
  <c r="AT95" i="13"/>
  <c r="AT99" i="13"/>
  <c r="AT100" i="13"/>
  <c r="AT101" i="13"/>
  <c r="AT104" i="13"/>
  <c r="AT106" i="13"/>
  <c r="AT125" i="13"/>
  <c r="AY127" i="13"/>
  <c r="AT128" i="13"/>
  <c r="AW128" i="13"/>
  <c r="AY128" i="13" s="1"/>
  <c r="AY129" i="13"/>
  <c r="AT134" i="13"/>
  <c r="AT137" i="13"/>
  <c r="AW137" i="13"/>
  <c r="AY137" i="13" s="1"/>
  <c r="BB137" i="13" s="1"/>
  <c r="AT139" i="13"/>
  <c r="AW139" i="13"/>
  <c r="AY139" i="13" s="1"/>
  <c r="BB139" i="13" s="1"/>
  <c r="AT142" i="13"/>
  <c r="AW163" i="13"/>
  <c r="AB54" i="13"/>
  <c r="AB10" i="13"/>
  <c r="AE18" i="13"/>
  <c r="AG18" i="13" s="1"/>
  <c r="AJ18" i="13" s="1"/>
  <c r="AB21" i="13"/>
  <c r="AF21" i="13"/>
  <c r="AG21" i="13" s="1"/>
  <c r="AB22" i="13"/>
  <c r="AE28" i="13"/>
  <c r="AG28" i="13" s="1"/>
  <c r="AJ28" i="13" s="1"/>
  <c r="AE30" i="13"/>
  <c r="AE32" i="13"/>
  <c r="AB37" i="13"/>
  <c r="AB39" i="13"/>
  <c r="AE42" i="13"/>
  <c r="AG42" i="13" s="1"/>
  <c r="AJ42" i="13" s="1"/>
  <c r="AE44" i="13"/>
  <c r="AE46" i="13"/>
  <c r="AG46" i="13" s="1"/>
  <c r="AJ46" i="13" s="1"/>
  <c r="AE59" i="13"/>
  <c r="AE61" i="13"/>
  <c r="AB64" i="13"/>
  <c r="AB66" i="13"/>
  <c r="AE69" i="13"/>
  <c r="AE71" i="13"/>
  <c r="AB74" i="13"/>
  <c r="AB76" i="13"/>
  <c r="AE79" i="13"/>
  <c r="AE81" i="13"/>
  <c r="AB84" i="13"/>
  <c r="AB101" i="13"/>
  <c r="AB122" i="13"/>
  <c r="AB125" i="13"/>
  <c r="AE125" i="13"/>
  <c r="AG125" i="13" s="1"/>
  <c r="AE128" i="13"/>
  <c r="AG128" i="13" s="1"/>
  <c r="AB133" i="13"/>
  <c r="AE138" i="13"/>
  <c r="AG138" i="13" s="1"/>
  <c r="AB55" i="13"/>
  <c r="AE17" i="13"/>
  <c r="AG17" i="13" s="1"/>
  <c r="AJ17" i="13" s="1"/>
  <c r="AF23" i="13"/>
  <c r="AG23" i="13" s="1"/>
  <c r="AJ23" i="13" s="1"/>
  <c r="AB24" i="13"/>
  <c r="AE27" i="13"/>
  <c r="AG27" i="13" s="1"/>
  <c r="AJ27" i="13" s="1"/>
  <c r="AE29" i="13"/>
  <c r="AG29" i="13" s="1"/>
  <c r="AJ29" i="13" s="1"/>
  <c r="AG30" i="13"/>
  <c r="AE31" i="13"/>
  <c r="AG31" i="13" s="1"/>
  <c r="AJ31" i="13" s="1"/>
  <c r="AE33" i="13"/>
  <c r="AG33" i="13" s="1"/>
  <c r="AJ33" i="13" s="1"/>
  <c r="AB36" i="13"/>
  <c r="AB38" i="13"/>
  <c r="AE43" i="13"/>
  <c r="AG43" i="13" s="1"/>
  <c r="AJ43" i="13" s="1"/>
  <c r="AE45" i="13"/>
  <c r="AG45" i="13" s="1"/>
  <c r="AJ45" i="13" s="1"/>
  <c r="AE47" i="13"/>
  <c r="AG47" i="13" s="1"/>
  <c r="AJ47" i="13" s="1"/>
  <c r="AB50" i="13"/>
  <c r="AB52" i="13"/>
  <c r="AE58" i="13"/>
  <c r="AG58" i="13" s="1"/>
  <c r="AJ58" i="13" s="1"/>
  <c r="AE60" i="13"/>
  <c r="AG60" i="13" s="1"/>
  <c r="AJ60" i="13" s="1"/>
  <c r="AB65" i="13"/>
  <c r="AE70" i="13"/>
  <c r="AG70" i="13" s="1"/>
  <c r="AJ70" i="13" s="1"/>
  <c r="AB75" i="13"/>
  <c r="AE80" i="13"/>
  <c r="AG80" i="13" s="1"/>
  <c r="AJ80" i="13" s="1"/>
  <c r="AB85" i="13"/>
  <c r="AB120" i="13"/>
  <c r="AB121" i="13"/>
  <c r="AE127" i="13"/>
  <c r="AG127" i="13" s="1"/>
  <c r="AJ127" i="13" s="1"/>
  <c r="AE129" i="13"/>
  <c r="AG129" i="13" s="1"/>
  <c r="AJ129" i="13" s="1"/>
  <c r="AB132" i="13"/>
  <c r="AB134" i="13"/>
  <c r="AE137" i="13"/>
  <c r="AE139" i="13"/>
  <c r="AB142" i="13"/>
  <c r="AB144" i="13"/>
  <c r="AB147" i="13"/>
  <c r="AE147" i="13"/>
  <c r="AB149" i="13"/>
  <c r="AE149" i="13"/>
  <c r="AB152" i="13"/>
  <c r="AB154" i="13"/>
  <c r="AB157" i="13"/>
  <c r="AE157" i="13"/>
  <c r="AG157" i="13" s="1"/>
  <c r="AJ157" i="13" s="1"/>
  <c r="AB159" i="13"/>
  <c r="AE159" i="13"/>
  <c r="AG159" i="13" s="1"/>
  <c r="AJ159" i="13" s="1"/>
  <c r="AB161" i="13"/>
  <c r="AE161" i="13"/>
  <c r="AG161" i="13" s="1"/>
  <c r="AJ161" i="13" s="1"/>
  <c r="AB163" i="13"/>
  <c r="AE163" i="13"/>
  <c r="HE14" i="13"/>
  <c r="GZ8" i="13"/>
  <c r="HD8" i="13"/>
  <c r="HE8" i="13" s="1"/>
  <c r="GZ9" i="13"/>
  <c r="HD9" i="13"/>
  <c r="HE9" i="13" s="1"/>
  <c r="GZ10" i="13"/>
  <c r="HD10" i="13"/>
  <c r="HE10" i="13" s="1"/>
  <c r="HE15" i="13"/>
  <c r="HD17" i="13"/>
  <c r="HC17" i="13"/>
  <c r="GZ53" i="13"/>
  <c r="GZ55" i="13"/>
  <c r="HE16" i="13"/>
  <c r="HE21" i="13"/>
  <c r="HH21" i="13" s="1"/>
  <c r="HE23" i="13"/>
  <c r="HH23" i="13" s="1"/>
  <c r="HE37" i="13"/>
  <c r="HH37" i="13" s="1"/>
  <c r="HE39" i="13"/>
  <c r="HH39" i="13" s="1"/>
  <c r="GZ54" i="13"/>
  <c r="HC18" i="13"/>
  <c r="HE18" i="13" s="1"/>
  <c r="HC27" i="13"/>
  <c r="HE27" i="13" s="1"/>
  <c r="HH27" i="13" s="1"/>
  <c r="HC28" i="13"/>
  <c r="HE28" i="13" s="1"/>
  <c r="HH28" i="13" s="1"/>
  <c r="HC29" i="13"/>
  <c r="HE29" i="13" s="1"/>
  <c r="HC30" i="13"/>
  <c r="HE30" i="13" s="1"/>
  <c r="HH30" i="13" s="1"/>
  <c r="HC31" i="13"/>
  <c r="HE31" i="13" s="1"/>
  <c r="HH31" i="13" s="1"/>
  <c r="HC32" i="13"/>
  <c r="HE32" i="13" s="1"/>
  <c r="HH32" i="13" s="1"/>
  <c r="HC33" i="13"/>
  <c r="HE33" i="13" s="1"/>
  <c r="HC42" i="13"/>
  <c r="HE42" i="13" s="1"/>
  <c r="HH42" i="13" s="1"/>
  <c r="HC43" i="13"/>
  <c r="HE43" i="13" s="1"/>
  <c r="HH43" i="13" s="1"/>
  <c r="HC44" i="13"/>
  <c r="HE44" i="13" s="1"/>
  <c r="HH44" i="13" s="1"/>
  <c r="HC45" i="13"/>
  <c r="HE45" i="13" s="1"/>
  <c r="HH45" i="13" s="1"/>
  <c r="HC46" i="13"/>
  <c r="HE46" i="13" s="1"/>
  <c r="HH46" i="13" s="1"/>
  <c r="HC47" i="13"/>
  <c r="HE47" i="13" s="1"/>
  <c r="HH47" i="13" s="1"/>
  <c r="HD50" i="13"/>
  <c r="HE50" i="13" s="1"/>
  <c r="HH50" i="13" s="1"/>
  <c r="HD51" i="13"/>
  <c r="HE51" i="13" s="1"/>
  <c r="HH51" i="13" s="1"/>
  <c r="HD52" i="13"/>
  <c r="HE52" i="13" s="1"/>
  <c r="HH52" i="13" s="1"/>
  <c r="HD53" i="13"/>
  <c r="HE53" i="13" s="1"/>
  <c r="HD54" i="13"/>
  <c r="HE54" i="13" s="1"/>
  <c r="HD55" i="13"/>
  <c r="HE55" i="13" s="1"/>
  <c r="HC58" i="13"/>
  <c r="HE58" i="13" s="1"/>
  <c r="HC59" i="13"/>
  <c r="HE59" i="13" s="1"/>
  <c r="HH59" i="13" s="1"/>
  <c r="HC60" i="13"/>
  <c r="HE60" i="13" s="1"/>
  <c r="HH60" i="13" s="1"/>
  <c r="HC61" i="13"/>
  <c r="HE61" i="13" s="1"/>
  <c r="HH61" i="13" s="1"/>
  <c r="HD64" i="13"/>
  <c r="HE64" i="13" s="1"/>
  <c r="HH64" i="13" s="1"/>
  <c r="HD65" i="13"/>
  <c r="HE65" i="13" s="1"/>
  <c r="HH65" i="13" s="1"/>
  <c r="HD66" i="13"/>
  <c r="HE66" i="13" s="1"/>
  <c r="HH66" i="13" s="1"/>
  <c r="HC69" i="13"/>
  <c r="HE69" i="13" s="1"/>
  <c r="HH69" i="13" s="1"/>
  <c r="HC70" i="13"/>
  <c r="HE70" i="13" s="1"/>
  <c r="HH70" i="13" s="1"/>
  <c r="HC71" i="13"/>
  <c r="HE71" i="13" s="1"/>
  <c r="HH71" i="13" s="1"/>
  <c r="HD74" i="13"/>
  <c r="HE74" i="13" s="1"/>
  <c r="HH74" i="13" s="1"/>
  <c r="HD75" i="13"/>
  <c r="HE75" i="13" s="1"/>
  <c r="HH75" i="13" s="1"/>
  <c r="HD76" i="13"/>
  <c r="HE76" i="13" s="1"/>
  <c r="HH76" i="13" s="1"/>
  <c r="HC79" i="13"/>
  <c r="HE79" i="13" s="1"/>
  <c r="HH79" i="13" s="1"/>
  <c r="HC80" i="13"/>
  <c r="HE80" i="13" s="1"/>
  <c r="HH80" i="13" s="1"/>
  <c r="HC81" i="13"/>
  <c r="HE81" i="13" s="1"/>
  <c r="HH81" i="13" s="1"/>
  <c r="HD84" i="13"/>
  <c r="HE84" i="13" s="1"/>
  <c r="HD85" i="13"/>
  <c r="HE85" i="13" s="1"/>
  <c r="HH85" i="13" s="1"/>
  <c r="HD86" i="13"/>
  <c r="HE86" i="13" s="1"/>
  <c r="HH86" i="13" s="1"/>
  <c r="HC89" i="13"/>
  <c r="HE89" i="13" s="1"/>
  <c r="HH89" i="13" s="1"/>
  <c r="HC90" i="13"/>
  <c r="HE90" i="13" s="1"/>
  <c r="HH90" i="13" s="1"/>
  <c r="HC91" i="13"/>
  <c r="HE91" i="13" s="1"/>
  <c r="HH91" i="13" s="1"/>
  <c r="HD94" i="13"/>
  <c r="HE94" i="13" s="1"/>
  <c r="HH94" i="13" s="1"/>
  <c r="HD95" i="13"/>
  <c r="HE95" i="13" s="1"/>
  <c r="HH95" i="13" s="1"/>
  <c r="HD96" i="13"/>
  <c r="HE96" i="13" s="1"/>
  <c r="HH96" i="13" s="1"/>
  <c r="HC99" i="13"/>
  <c r="HE99" i="13" s="1"/>
  <c r="HH99" i="13" s="1"/>
  <c r="HC100" i="13"/>
  <c r="HE100" i="13" s="1"/>
  <c r="HH100" i="13" s="1"/>
  <c r="HC101" i="13"/>
  <c r="HE101" i="13" s="1"/>
  <c r="HH101" i="13" s="1"/>
  <c r="HD104" i="13"/>
  <c r="HE104" i="13" s="1"/>
  <c r="HH104" i="13" s="1"/>
  <c r="HD105" i="13"/>
  <c r="HE105" i="13" s="1"/>
  <c r="HH105" i="13" s="1"/>
  <c r="HD106" i="13"/>
  <c r="HE106" i="13" s="1"/>
  <c r="HC109" i="13"/>
  <c r="HE109" i="13" s="1"/>
  <c r="HC110" i="13"/>
  <c r="HE110" i="13" s="1"/>
  <c r="HH110" i="13" s="1"/>
  <c r="HC111" i="13"/>
  <c r="HE111" i="13" s="1"/>
  <c r="GW114" i="13"/>
  <c r="GX114" i="13" s="1"/>
  <c r="GY114" i="13"/>
  <c r="HC114" i="13"/>
  <c r="HE114" i="13" s="1"/>
  <c r="HC115" i="13"/>
  <c r="HE115" i="13" s="1"/>
  <c r="HH115" i="13" s="1"/>
  <c r="HC116" i="13"/>
  <c r="HE116" i="13" s="1"/>
  <c r="HH116" i="13" s="1"/>
  <c r="HD119" i="13"/>
  <c r="HE119" i="13" s="1"/>
  <c r="HH119" i="13" s="1"/>
  <c r="HD120" i="13"/>
  <c r="HE120" i="13" s="1"/>
  <c r="HD121" i="13"/>
  <c r="HE121" i="13" s="1"/>
  <c r="HH121" i="13" s="1"/>
  <c r="HD122" i="13"/>
  <c r="HE122" i="13" s="1"/>
  <c r="HC125" i="13"/>
  <c r="HE125" i="13" s="1"/>
  <c r="HH125" i="13" s="1"/>
  <c r="GZ126" i="13"/>
  <c r="GZ127" i="13"/>
  <c r="GZ129" i="13"/>
  <c r="HH129" i="13" s="1"/>
  <c r="HE132" i="13"/>
  <c r="HH132" i="13" s="1"/>
  <c r="HD133" i="13"/>
  <c r="HE133" i="13" s="1"/>
  <c r="HH133" i="13" s="1"/>
  <c r="HD134" i="13"/>
  <c r="HC134" i="13"/>
  <c r="HE134" i="13" s="1"/>
  <c r="HH134" i="13" s="1"/>
  <c r="HE137" i="13"/>
  <c r="HH137" i="13" s="1"/>
  <c r="HE139" i="13"/>
  <c r="HH139" i="13" s="1"/>
  <c r="HE147" i="13"/>
  <c r="HH147" i="13" s="1"/>
  <c r="HE157" i="13"/>
  <c r="HH157" i="13" s="1"/>
  <c r="HE159" i="13"/>
  <c r="HH159" i="13" s="1"/>
  <c r="HE161" i="13"/>
  <c r="HE163" i="13"/>
  <c r="HH163" i="13" s="1"/>
  <c r="GV114" i="13"/>
  <c r="HC126" i="13"/>
  <c r="HE126" i="13" s="1"/>
  <c r="HC142" i="13"/>
  <c r="HE142" i="13" s="1"/>
  <c r="HH142" i="13" s="1"/>
  <c r="HC143" i="13"/>
  <c r="HE143" i="13" s="1"/>
  <c r="HH143" i="13" s="1"/>
  <c r="HC144" i="13"/>
  <c r="HE144" i="13" s="1"/>
  <c r="HC152" i="13"/>
  <c r="HE152" i="13" s="1"/>
  <c r="HH152" i="13" s="1"/>
  <c r="HC153" i="13"/>
  <c r="HE153" i="13" s="1"/>
  <c r="HH153" i="13" s="1"/>
  <c r="HC154" i="13"/>
  <c r="HE154" i="13" s="1"/>
  <c r="HH154" i="13" s="1"/>
  <c r="HD164" i="13"/>
  <c r="HE164" i="13" s="1"/>
  <c r="HH164" i="13" s="1"/>
  <c r="GM14" i="13"/>
  <c r="GP14" i="13" s="1"/>
  <c r="GM16" i="13"/>
  <c r="GP16" i="13" s="1"/>
  <c r="GM18" i="13"/>
  <c r="GH8" i="13"/>
  <c r="GL8" i="13"/>
  <c r="GM8" i="13" s="1"/>
  <c r="GH9" i="13"/>
  <c r="GL9" i="13"/>
  <c r="GM9" i="13" s="1"/>
  <c r="GH10" i="13"/>
  <c r="GL10" i="13"/>
  <c r="GM10" i="13" s="1"/>
  <c r="GL21" i="13"/>
  <c r="GM21" i="13" s="1"/>
  <c r="GL22" i="13"/>
  <c r="GM22" i="13" s="1"/>
  <c r="GP22" i="13" s="1"/>
  <c r="GM52" i="13"/>
  <c r="GP52" i="13" s="1"/>
  <c r="GM53" i="13"/>
  <c r="GM54" i="13"/>
  <c r="GM55" i="13"/>
  <c r="GM65" i="13"/>
  <c r="GP65" i="13" s="1"/>
  <c r="GM75" i="13"/>
  <c r="GP75" i="13" s="1"/>
  <c r="GH23" i="13"/>
  <c r="GK23" i="13"/>
  <c r="GM23" i="13" s="1"/>
  <c r="GL27" i="13"/>
  <c r="GM27" i="13" s="1"/>
  <c r="GP27" i="13" s="1"/>
  <c r="GL28" i="13"/>
  <c r="GK28" i="13"/>
  <c r="GM28" i="13" s="1"/>
  <c r="GP28" i="13" s="1"/>
  <c r="GM37" i="13"/>
  <c r="GP37" i="13" s="1"/>
  <c r="GM39" i="13"/>
  <c r="GP39" i="13" s="1"/>
  <c r="GM51" i="13"/>
  <c r="GP51" i="13" s="1"/>
  <c r="GH53" i="13"/>
  <c r="GP53" i="13" s="1"/>
  <c r="GH54" i="13"/>
  <c r="GH55" i="13"/>
  <c r="GM74" i="13"/>
  <c r="GP74" i="13" s="1"/>
  <c r="GM84" i="13"/>
  <c r="GP84" i="13" s="1"/>
  <c r="GK29" i="13"/>
  <c r="GM29" i="13" s="1"/>
  <c r="GP29" i="13" s="1"/>
  <c r="GK30" i="13"/>
  <c r="GM30" i="13" s="1"/>
  <c r="GK31" i="13"/>
  <c r="GM31" i="13" s="1"/>
  <c r="GP31" i="13" s="1"/>
  <c r="GK32" i="13"/>
  <c r="GM32" i="13" s="1"/>
  <c r="GP32" i="13" s="1"/>
  <c r="GK33" i="13"/>
  <c r="GM33" i="13" s="1"/>
  <c r="GP33" i="13" s="1"/>
  <c r="GK42" i="13"/>
  <c r="GM42" i="13" s="1"/>
  <c r="GP42" i="13" s="1"/>
  <c r="GK43" i="13"/>
  <c r="GM43" i="13" s="1"/>
  <c r="GP43" i="13" s="1"/>
  <c r="GK44" i="13"/>
  <c r="GM44" i="13" s="1"/>
  <c r="GP44" i="13" s="1"/>
  <c r="GK45" i="13"/>
  <c r="GM45" i="13" s="1"/>
  <c r="GP45" i="13" s="1"/>
  <c r="GK46" i="13"/>
  <c r="GM46" i="13" s="1"/>
  <c r="GP46" i="13" s="1"/>
  <c r="GK47" i="13"/>
  <c r="GM47" i="13" s="1"/>
  <c r="GP47" i="13" s="1"/>
  <c r="GK58" i="13"/>
  <c r="GM58" i="13" s="1"/>
  <c r="GP58" i="13" s="1"/>
  <c r="GK59" i="13"/>
  <c r="GM59" i="13" s="1"/>
  <c r="GP59" i="13" s="1"/>
  <c r="GK60" i="13"/>
  <c r="GM60" i="13" s="1"/>
  <c r="GP60" i="13" s="1"/>
  <c r="GK61" i="13"/>
  <c r="GM61" i="13" s="1"/>
  <c r="GP61" i="13" s="1"/>
  <c r="GK69" i="13"/>
  <c r="GM69" i="13" s="1"/>
  <c r="GP69" i="13" s="1"/>
  <c r="GK70" i="13"/>
  <c r="GM70" i="13" s="1"/>
  <c r="GP70" i="13" s="1"/>
  <c r="GK71" i="13"/>
  <c r="GM71" i="13" s="1"/>
  <c r="GP71" i="13" s="1"/>
  <c r="GK79" i="13"/>
  <c r="GM79" i="13" s="1"/>
  <c r="GP79" i="13" s="1"/>
  <c r="GK80" i="13"/>
  <c r="GM80" i="13" s="1"/>
  <c r="GK81" i="13"/>
  <c r="GM81" i="13" s="1"/>
  <c r="GH89" i="13"/>
  <c r="GH90" i="13"/>
  <c r="GM99" i="13"/>
  <c r="GM101" i="13"/>
  <c r="GM109" i="13"/>
  <c r="GP109" i="13" s="1"/>
  <c r="GM111" i="13"/>
  <c r="GP111" i="13" s="1"/>
  <c r="GM116" i="13"/>
  <c r="GK89" i="13"/>
  <c r="GM89" i="13" s="1"/>
  <c r="GP91" i="13"/>
  <c r="GL94" i="13"/>
  <c r="GM94" i="13" s="1"/>
  <c r="GP94" i="13" s="1"/>
  <c r="GL95" i="13"/>
  <c r="GM95" i="13" s="1"/>
  <c r="GP95" i="13" s="1"/>
  <c r="GL96" i="13"/>
  <c r="GM96" i="13" s="1"/>
  <c r="GP96" i="13" s="1"/>
  <c r="GL104" i="13"/>
  <c r="GM104" i="13" s="1"/>
  <c r="GP104" i="13" s="1"/>
  <c r="GL105" i="13"/>
  <c r="GM105" i="13" s="1"/>
  <c r="GP105" i="13" s="1"/>
  <c r="GL106" i="13"/>
  <c r="GM106" i="13" s="1"/>
  <c r="GP106" i="13" s="1"/>
  <c r="GK114" i="13"/>
  <c r="GM114" i="13" s="1"/>
  <c r="GL119" i="13"/>
  <c r="GM119" i="13" s="1"/>
  <c r="GL120" i="13"/>
  <c r="GM120" i="13" s="1"/>
  <c r="GL121" i="13"/>
  <c r="GM121" i="13" s="1"/>
  <c r="GP121" i="13" s="1"/>
  <c r="GL122" i="13"/>
  <c r="GM122" i="13" s="1"/>
  <c r="GP122" i="13" s="1"/>
  <c r="GH126" i="13"/>
  <c r="GM137" i="13"/>
  <c r="GP137" i="13" s="1"/>
  <c r="GM139" i="13"/>
  <c r="GP139" i="13" s="1"/>
  <c r="GM147" i="13"/>
  <c r="GM149" i="13"/>
  <c r="GM157" i="13"/>
  <c r="GP157" i="13" s="1"/>
  <c r="GM159" i="13"/>
  <c r="GP159" i="13" s="1"/>
  <c r="GM161" i="13"/>
  <c r="GP161" i="13" s="1"/>
  <c r="GM163" i="13"/>
  <c r="GP163" i="13" s="1"/>
  <c r="GD114" i="13"/>
  <c r="GH114" i="13" s="1"/>
  <c r="GP114" i="13" s="1"/>
  <c r="GK126" i="13"/>
  <c r="GM126" i="13" s="1"/>
  <c r="GH128" i="13"/>
  <c r="GL132" i="13"/>
  <c r="GM132" i="13" s="1"/>
  <c r="GP132" i="13" s="1"/>
  <c r="GL133" i="13"/>
  <c r="GK133" i="13"/>
  <c r="GK134" i="13"/>
  <c r="GM134" i="13" s="1"/>
  <c r="GP134" i="13" s="1"/>
  <c r="GK142" i="13"/>
  <c r="GM142" i="13" s="1"/>
  <c r="GP142" i="13" s="1"/>
  <c r="GK143" i="13"/>
  <c r="GM143" i="13" s="1"/>
  <c r="GP143" i="13" s="1"/>
  <c r="GK144" i="13"/>
  <c r="GM144" i="13" s="1"/>
  <c r="GP144" i="13" s="1"/>
  <c r="GK152" i="13"/>
  <c r="GM152" i="13" s="1"/>
  <c r="GK153" i="13"/>
  <c r="GM153" i="13" s="1"/>
  <c r="GP153" i="13" s="1"/>
  <c r="GK154" i="13"/>
  <c r="GM154" i="13" s="1"/>
  <c r="GP154" i="13" s="1"/>
  <c r="GL164" i="13"/>
  <c r="GM164" i="13" s="1"/>
  <c r="GP164" i="13" s="1"/>
  <c r="FU14" i="13"/>
  <c r="FX14" i="13" s="1"/>
  <c r="FU16" i="13"/>
  <c r="FX16" i="13" s="1"/>
  <c r="FU18" i="13"/>
  <c r="FX18" i="13" s="1"/>
  <c r="FU13" i="13"/>
  <c r="FX13" i="13" s="1"/>
  <c r="FU17" i="13"/>
  <c r="FX17" i="13" s="1"/>
  <c r="FS8" i="13"/>
  <c r="FU8" i="13" s="1"/>
  <c r="FS9" i="13"/>
  <c r="FU9" i="13" s="1"/>
  <c r="FS10" i="13"/>
  <c r="FU10" i="13" s="1"/>
  <c r="FS21" i="13"/>
  <c r="FU21" i="13" s="1"/>
  <c r="FX21" i="13" s="1"/>
  <c r="FS22" i="13"/>
  <c r="FU22" i="13" s="1"/>
  <c r="FX22" i="13" s="1"/>
  <c r="FS23" i="13"/>
  <c r="FU23" i="13" s="1"/>
  <c r="FX23" i="13" s="1"/>
  <c r="FS24" i="13"/>
  <c r="FU24" i="13" s="1"/>
  <c r="FX24" i="13" s="1"/>
  <c r="FU27" i="13"/>
  <c r="FT28" i="13"/>
  <c r="FU29" i="13"/>
  <c r="FX29" i="13" s="1"/>
  <c r="FT30" i="13"/>
  <c r="FU30" i="13" s="1"/>
  <c r="FX30" i="13" s="1"/>
  <c r="FT32" i="13"/>
  <c r="FU32" i="13" s="1"/>
  <c r="FX32" i="13" s="1"/>
  <c r="FU38" i="13"/>
  <c r="FX38" i="13" s="1"/>
  <c r="FU50" i="13"/>
  <c r="FX50" i="13" s="1"/>
  <c r="FU52" i="13"/>
  <c r="FX52" i="13" s="1"/>
  <c r="FU53" i="13"/>
  <c r="FU54" i="13"/>
  <c r="FU55" i="13"/>
  <c r="FU65" i="13"/>
  <c r="FX65" i="13" s="1"/>
  <c r="FU85" i="13"/>
  <c r="FP8" i="13"/>
  <c r="FX8" i="13" s="1"/>
  <c r="FP9" i="13"/>
  <c r="FP10" i="13"/>
  <c r="FX10" i="13" s="1"/>
  <c r="FU28" i="13"/>
  <c r="FX28" i="13" s="1"/>
  <c r="FP53" i="13"/>
  <c r="FP54" i="13"/>
  <c r="FX54" i="13" s="1"/>
  <c r="FP55" i="13"/>
  <c r="FS33" i="13"/>
  <c r="FU33" i="13" s="1"/>
  <c r="FX33" i="13" s="1"/>
  <c r="FS42" i="13"/>
  <c r="FU42" i="13" s="1"/>
  <c r="FX42" i="13" s="1"/>
  <c r="FS43" i="13"/>
  <c r="FU43" i="13" s="1"/>
  <c r="FS44" i="13"/>
  <c r="FU44" i="13" s="1"/>
  <c r="FX44" i="13" s="1"/>
  <c r="FS45" i="13"/>
  <c r="FU45" i="13" s="1"/>
  <c r="FX45" i="13" s="1"/>
  <c r="FS46" i="13"/>
  <c r="FU46" i="13" s="1"/>
  <c r="FX46" i="13" s="1"/>
  <c r="FS47" i="13"/>
  <c r="FU47" i="13" s="1"/>
  <c r="FX47" i="13" s="1"/>
  <c r="FS58" i="13"/>
  <c r="FU58" i="13" s="1"/>
  <c r="FX58" i="13" s="1"/>
  <c r="FS59" i="13"/>
  <c r="FU59" i="13" s="1"/>
  <c r="FX59" i="13" s="1"/>
  <c r="FS60" i="13"/>
  <c r="FU60" i="13" s="1"/>
  <c r="FX60" i="13" s="1"/>
  <c r="FS61" i="13"/>
  <c r="FU61" i="13" s="1"/>
  <c r="FX61" i="13" s="1"/>
  <c r="FS69" i="13"/>
  <c r="FU69" i="13" s="1"/>
  <c r="FX69" i="13" s="1"/>
  <c r="FS70" i="13"/>
  <c r="FU70" i="13" s="1"/>
  <c r="FS71" i="13"/>
  <c r="FU71" i="13" s="1"/>
  <c r="FX71" i="13" s="1"/>
  <c r="FS79" i="13"/>
  <c r="FU79" i="13" s="1"/>
  <c r="FX79" i="13" s="1"/>
  <c r="FS80" i="13"/>
  <c r="FU80" i="13" s="1"/>
  <c r="FX80" i="13" s="1"/>
  <c r="FS81" i="13"/>
  <c r="FU81" i="13" s="1"/>
  <c r="FX81" i="13" s="1"/>
  <c r="FS89" i="13"/>
  <c r="FU89" i="13" s="1"/>
  <c r="FX89" i="13" s="1"/>
  <c r="FS90" i="13"/>
  <c r="FU90" i="13" s="1"/>
  <c r="FX90" i="13" s="1"/>
  <c r="FS91" i="13"/>
  <c r="FU91" i="13" s="1"/>
  <c r="FX91" i="13" s="1"/>
  <c r="FU95" i="13"/>
  <c r="FX95" i="13" s="1"/>
  <c r="FT96" i="13"/>
  <c r="FU96" i="13" s="1"/>
  <c r="FX96" i="13" s="1"/>
  <c r="FP99" i="13"/>
  <c r="FP101" i="13"/>
  <c r="FU104" i="13"/>
  <c r="FX104" i="13" s="1"/>
  <c r="FU109" i="13"/>
  <c r="FX109" i="13" s="1"/>
  <c r="FU111" i="13"/>
  <c r="FX111" i="13" s="1"/>
  <c r="FU116" i="13"/>
  <c r="FX116" i="13" s="1"/>
  <c r="FU94" i="13"/>
  <c r="FX94" i="13" s="1"/>
  <c r="FS105" i="13"/>
  <c r="FT105" i="13"/>
  <c r="FT106" i="13"/>
  <c r="FU106" i="13" s="1"/>
  <c r="FX106" i="13" s="1"/>
  <c r="FT119" i="13"/>
  <c r="FU119" i="13" s="1"/>
  <c r="FX119" i="13" s="1"/>
  <c r="FT120" i="13"/>
  <c r="FU120" i="13" s="1"/>
  <c r="FT121" i="13"/>
  <c r="FU121" i="13" s="1"/>
  <c r="FT122" i="13"/>
  <c r="FU122" i="13" s="1"/>
  <c r="FX122" i="13" s="1"/>
  <c r="FP126" i="13"/>
  <c r="FL114" i="13"/>
  <c r="FP114" i="13" s="1"/>
  <c r="FS126" i="13"/>
  <c r="FU126" i="13" s="1"/>
  <c r="FP128" i="13"/>
  <c r="FT132" i="13"/>
  <c r="FU132" i="13" s="1"/>
  <c r="FX132" i="13" s="1"/>
  <c r="FU138" i="13"/>
  <c r="FX138" i="13" s="1"/>
  <c r="FU148" i="13"/>
  <c r="FX148" i="13" s="1"/>
  <c r="FU158" i="13"/>
  <c r="FX158" i="13" s="1"/>
  <c r="FU160" i="13"/>
  <c r="FX160" i="13" s="1"/>
  <c r="FU162" i="13"/>
  <c r="FX162" i="13" s="1"/>
  <c r="FS133" i="13"/>
  <c r="FU133" i="13" s="1"/>
  <c r="FX133" i="13" s="1"/>
  <c r="FS134" i="13"/>
  <c r="FU134" i="13" s="1"/>
  <c r="FS142" i="13"/>
  <c r="FU142" i="13" s="1"/>
  <c r="FX142" i="13" s="1"/>
  <c r="FS143" i="13"/>
  <c r="FU143" i="13" s="1"/>
  <c r="FX143" i="13" s="1"/>
  <c r="FS144" i="13"/>
  <c r="FU144" i="13" s="1"/>
  <c r="FS152" i="13"/>
  <c r="FU152" i="13" s="1"/>
  <c r="FX152" i="13" s="1"/>
  <c r="FS153" i="13"/>
  <c r="FU153" i="13" s="1"/>
  <c r="FS154" i="13"/>
  <c r="FU154" i="13" s="1"/>
  <c r="FX154" i="13" s="1"/>
  <c r="FT164" i="13"/>
  <c r="FU164" i="13" s="1"/>
  <c r="FX164" i="13" s="1"/>
  <c r="EX8" i="13"/>
  <c r="FB8" i="13"/>
  <c r="FC8" i="13" s="1"/>
  <c r="EX9" i="13"/>
  <c r="FB9" i="13"/>
  <c r="FC9" i="13" s="1"/>
  <c r="FB10" i="13"/>
  <c r="FC10" i="13" s="1"/>
  <c r="FA13" i="13"/>
  <c r="FC13" i="13" s="1"/>
  <c r="FF13" i="13" s="1"/>
  <c r="FA14" i="13"/>
  <c r="FC14" i="13" s="1"/>
  <c r="FF14" i="13" s="1"/>
  <c r="FA15" i="13"/>
  <c r="FC15" i="13" s="1"/>
  <c r="FF15" i="13" s="1"/>
  <c r="FA16" i="13"/>
  <c r="FC16" i="13" s="1"/>
  <c r="FF16" i="13" s="1"/>
  <c r="FA17" i="13"/>
  <c r="FC17" i="13" s="1"/>
  <c r="FF17" i="13" s="1"/>
  <c r="FA18" i="13"/>
  <c r="FC18" i="13" s="1"/>
  <c r="FF18" i="13" s="1"/>
  <c r="FC21" i="13"/>
  <c r="FF21" i="13" s="1"/>
  <c r="FB22" i="13"/>
  <c r="FC22" i="13" s="1"/>
  <c r="FF22" i="13" s="1"/>
  <c r="FC23" i="13"/>
  <c r="FF23" i="13" s="1"/>
  <c r="FB24" i="13"/>
  <c r="FC24" i="13" s="1"/>
  <c r="FF24" i="13" s="1"/>
  <c r="EX27" i="13"/>
  <c r="EX29" i="13"/>
  <c r="FC31" i="13"/>
  <c r="FF31" i="13" s="1"/>
  <c r="FC43" i="13"/>
  <c r="FF43" i="13" s="1"/>
  <c r="FC45" i="13"/>
  <c r="FC47" i="13"/>
  <c r="FF47" i="13" s="1"/>
  <c r="FC58" i="13"/>
  <c r="FF58" i="13" s="1"/>
  <c r="FC60" i="13"/>
  <c r="FF60" i="13" s="1"/>
  <c r="FC70" i="13"/>
  <c r="FF70" i="13" s="1"/>
  <c r="FC80" i="13"/>
  <c r="FF80" i="13" s="1"/>
  <c r="FC79" i="13"/>
  <c r="FF79" i="13" s="1"/>
  <c r="FC89" i="13"/>
  <c r="FA36" i="13"/>
  <c r="FC36" i="13" s="1"/>
  <c r="FA37" i="13"/>
  <c r="FC37" i="13" s="1"/>
  <c r="FF37" i="13" s="1"/>
  <c r="FA38" i="13"/>
  <c r="FC38" i="13" s="1"/>
  <c r="FF38" i="13" s="1"/>
  <c r="FA39" i="13"/>
  <c r="FC39" i="13" s="1"/>
  <c r="FF39" i="13" s="1"/>
  <c r="FA50" i="13"/>
  <c r="FC50" i="13" s="1"/>
  <c r="FF50" i="13" s="1"/>
  <c r="FA51" i="13"/>
  <c r="FC51" i="13" s="1"/>
  <c r="FA52" i="13"/>
  <c r="FC52" i="13" s="1"/>
  <c r="FF52" i="13" s="1"/>
  <c r="FA53" i="13"/>
  <c r="FC53" i="13" s="1"/>
  <c r="FF53" i="13" s="1"/>
  <c r="FA54" i="13"/>
  <c r="FC54" i="13" s="1"/>
  <c r="FF54" i="13" s="1"/>
  <c r="FA55" i="13"/>
  <c r="FC55" i="13" s="1"/>
  <c r="FF55" i="13" s="1"/>
  <c r="FA64" i="13"/>
  <c r="FC64" i="13" s="1"/>
  <c r="FF64" i="13" s="1"/>
  <c r="FA65" i="13"/>
  <c r="FC65" i="13" s="1"/>
  <c r="FF65" i="13" s="1"/>
  <c r="FA66" i="13"/>
  <c r="FC66" i="13" s="1"/>
  <c r="FF66" i="13" s="1"/>
  <c r="FA74" i="13"/>
  <c r="FC74" i="13" s="1"/>
  <c r="FF74" i="13" s="1"/>
  <c r="FA75" i="13"/>
  <c r="FC75" i="13" s="1"/>
  <c r="FA76" i="13"/>
  <c r="FC76" i="13" s="1"/>
  <c r="FA84" i="13"/>
  <c r="FC84" i="13" s="1"/>
  <c r="FF84" i="13" s="1"/>
  <c r="FA85" i="13"/>
  <c r="FC85" i="13" s="1"/>
  <c r="FA86" i="13"/>
  <c r="FC86" i="13" s="1"/>
  <c r="FF86" i="13" s="1"/>
  <c r="FC90" i="13"/>
  <c r="FF90" i="13" s="1"/>
  <c r="FB91" i="13"/>
  <c r="FC91" i="13" s="1"/>
  <c r="FF91" i="13" s="1"/>
  <c r="FA94" i="13"/>
  <c r="FC94" i="13" s="1"/>
  <c r="FA95" i="13"/>
  <c r="FC95" i="13" s="1"/>
  <c r="FF95" i="13" s="1"/>
  <c r="FA96" i="13"/>
  <c r="FC96" i="13" s="1"/>
  <c r="FB99" i="13"/>
  <c r="FC99" i="13" s="1"/>
  <c r="FF99" i="13" s="1"/>
  <c r="FB100" i="13"/>
  <c r="FC100" i="13" s="1"/>
  <c r="FB101" i="13"/>
  <c r="FC101" i="13" s="1"/>
  <c r="FA104" i="13"/>
  <c r="FC104" i="13" s="1"/>
  <c r="FF104" i="13" s="1"/>
  <c r="FA105" i="13"/>
  <c r="FC105" i="13" s="1"/>
  <c r="FA106" i="13"/>
  <c r="FC106" i="13" s="1"/>
  <c r="FF106" i="13" s="1"/>
  <c r="FB109" i="13"/>
  <c r="FC109" i="13" s="1"/>
  <c r="FF109" i="13" s="1"/>
  <c r="FB110" i="13"/>
  <c r="FC110" i="13" s="1"/>
  <c r="FF110" i="13" s="1"/>
  <c r="FB111" i="13"/>
  <c r="FC111" i="13" s="1"/>
  <c r="FF111" i="13" s="1"/>
  <c r="ET114" i="13"/>
  <c r="FB115" i="13"/>
  <c r="FC115" i="13" s="1"/>
  <c r="FF115" i="13" s="1"/>
  <c r="FB116" i="13"/>
  <c r="FC116" i="13" s="1"/>
  <c r="FF116" i="13" s="1"/>
  <c r="FA119" i="13"/>
  <c r="FC119" i="13" s="1"/>
  <c r="FF119" i="13" s="1"/>
  <c r="FA120" i="13"/>
  <c r="FC120" i="13" s="1"/>
  <c r="FF120" i="13" s="1"/>
  <c r="FA121" i="13"/>
  <c r="FC121" i="13" s="1"/>
  <c r="FF121" i="13" s="1"/>
  <c r="FA122" i="13"/>
  <c r="FC122" i="13" s="1"/>
  <c r="FF122" i="13" s="1"/>
  <c r="FB125" i="13"/>
  <c r="FC125" i="13" s="1"/>
  <c r="FF125" i="13" s="1"/>
  <c r="FA126" i="13"/>
  <c r="FC126" i="13" s="1"/>
  <c r="FC139" i="13"/>
  <c r="FF139" i="13" s="1"/>
  <c r="FC147" i="13"/>
  <c r="FF147" i="13" s="1"/>
  <c r="FC149" i="13"/>
  <c r="FF149" i="13" s="1"/>
  <c r="FC163" i="13"/>
  <c r="FF163" i="13" s="1"/>
  <c r="EQ114" i="13"/>
  <c r="ES114" i="13"/>
  <c r="EU114" i="13"/>
  <c r="EV114" i="13" s="1"/>
  <c r="EX126" i="13"/>
  <c r="FF126" i="13" s="1"/>
  <c r="FC132" i="13"/>
  <c r="FF132" i="13" s="1"/>
  <c r="FB133" i="13"/>
  <c r="FC133" i="13" s="1"/>
  <c r="FC134" i="13"/>
  <c r="FA142" i="13"/>
  <c r="FC142" i="13" s="1"/>
  <c r="FF142" i="13" s="1"/>
  <c r="FA143" i="13"/>
  <c r="FC143" i="13" s="1"/>
  <c r="FA144" i="13"/>
  <c r="FC144" i="13" s="1"/>
  <c r="FF144" i="13" s="1"/>
  <c r="FA152" i="13"/>
  <c r="FC152" i="13" s="1"/>
  <c r="FF152" i="13" s="1"/>
  <c r="FA153" i="13"/>
  <c r="FC153" i="13" s="1"/>
  <c r="FF153" i="13" s="1"/>
  <c r="FA154" i="13"/>
  <c r="FC154" i="13" s="1"/>
  <c r="FF154" i="13" s="1"/>
  <c r="FB164" i="13"/>
  <c r="FC164" i="13" s="1"/>
  <c r="FF164" i="13" s="1"/>
  <c r="EK9" i="13"/>
  <c r="EN9" i="13" s="1"/>
  <c r="EK21" i="13"/>
  <c r="EK23" i="13"/>
  <c r="EN23" i="13" s="1"/>
  <c r="EJ13" i="13"/>
  <c r="EK13" i="13" s="1"/>
  <c r="EN13" i="13" s="1"/>
  <c r="EJ14" i="13"/>
  <c r="EK14" i="13" s="1"/>
  <c r="EN14" i="13" s="1"/>
  <c r="EJ15" i="13"/>
  <c r="EK15" i="13" s="1"/>
  <c r="EN15" i="13" s="1"/>
  <c r="EJ16" i="13"/>
  <c r="EK16" i="13" s="1"/>
  <c r="EN16" i="13" s="1"/>
  <c r="EJ17" i="13"/>
  <c r="EK17" i="13" s="1"/>
  <c r="EN17" i="13" s="1"/>
  <c r="EJ18" i="13"/>
  <c r="EK18" i="13" s="1"/>
  <c r="EN18" i="13" s="1"/>
  <c r="EJ27" i="13"/>
  <c r="EK27" i="13" s="1"/>
  <c r="EN27" i="13" s="1"/>
  <c r="EJ28" i="13"/>
  <c r="EK28" i="13" s="1"/>
  <c r="EJ29" i="13"/>
  <c r="EK29" i="13" s="1"/>
  <c r="EN29" i="13" s="1"/>
  <c r="EF30" i="13"/>
  <c r="EI30" i="13"/>
  <c r="EK30" i="13" s="1"/>
  <c r="EF32" i="13"/>
  <c r="EN32" i="13" s="1"/>
  <c r="EJ36" i="13"/>
  <c r="EK36" i="13" s="1"/>
  <c r="EK37" i="13"/>
  <c r="EJ38" i="13"/>
  <c r="EK38" i="13" s="1"/>
  <c r="EK39" i="13"/>
  <c r="EN39" i="13" s="1"/>
  <c r="EK43" i="13"/>
  <c r="EN43" i="13" s="1"/>
  <c r="EK45" i="13"/>
  <c r="EN45" i="13" s="1"/>
  <c r="EK47" i="13"/>
  <c r="EN47" i="13" s="1"/>
  <c r="EK58" i="13"/>
  <c r="EN58" i="13" s="1"/>
  <c r="EK70" i="13"/>
  <c r="EK80" i="13"/>
  <c r="EN80" i="13" s="1"/>
  <c r="EN82" i="13" s="1"/>
  <c r="EK90" i="13"/>
  <c r="EN90" i="13" s="1"/>
  <c r="EK100" i="13"/>
  <c r="EN100" i="13" s="1"/>
  <c r="EJ50" i="13"/>
  <c r="EK50" i="13" s="1"/>
  <c r="EN50" i="13" s="1"/>
  <c r="EJ51" i="13"/>
  <c r="EK51" i="13" s="1"/>
  <c r="EN51" i="13" s="1"/>
  <c r="EJ52" i="13"/>
  <c r="EK52" i="13" s="1"/>
  <c r="EN52" i="13" s="1"/>
  <c r="EJ53" i="13"/>
  <c r="EK53" i="13" s="1"/>
  <c r="EN53" i="13" s="1"/>
  <c r="EJ54" i="13"/>
  <c r="EK54" i="13" s="1"/>
  <c r="EN54" i="13" s="1"/>
  <c r="EJ55" i="13"/>
  <c r="EK55" i="13" s="1"/>
  <c r="EN55" i="13" s="1"/>
  <c r="EJ64" i="13"/>
  <c r="EK64" i="13" s="1"/>
  <c r="EN64" i="13" s="1"/>
  <c r="EJ65" i="13"/>
  <c r="EK65" i="13" s="1"/>
  <c r="EN65" i="13" s="1"/>
  <c r="EJ66" i="13"/>
  <c r="EK66" i="13" s="1"/>
  <c r="EN66" i="13" s="1"/>
  <c r="EJ74" i="13"/>
  <c r="EK74" i="13" s="1"/>
  <c r="EN74" i="13" s="1"/>
  <c r="EJ75" i="13"/>
  <c r="EK75" i="13" s="1"/>
  <c r="EN75" i="13" s="1"/>
  <c r="EJ76" i="13"/>
  <c r="EK76" i="13" s="1"/>
  <c r="EN76" i="13" s="1"/>
  <c r="EJ84" i="13"/>
  <c r="EK84" i="13" s="1"/>
  <c r="EN84" i="13" s="1"/>
  <c r="EJ85" i="13"/>
  <c r="EK85" i="13" s="1"/>
  <c r="EN85" i="13" s="1"/>
  <c r="EJ86" i="13"/>
  <c r="EK86" i="13" s="1"/>
  <c r="EN86" i="13" s="1"/>
  <c r="EJ94" i="13"/>
  <c r="EK94" i="13" s="1"/>
  <c r="EN94" i="13" s="1"/>
  <c r="EJ95" i="13"/>
  <c r="EK95" i="13" s="1"/>
  <c r="EN95" i="13" s="1"/>
  <c r="EJ96" i="13"/>
  <c r="EK96" i="13" s="1"/>
  <c r="EN96" i="13" s="1"/>
  <c r="EJ101" i="13"/>
  <c r="EI101" i="13"/>
  <c r="EN153" i="13"/>
  <c r="EJ104" i="13"/>
  <c r="EK104" i="13" s="1"/>
  <c r="EN104" i="13" s="1"/>
  <c r="EJ105" i="13"/>
  <c r="EK105" i="13" s="1"/>
  <c r="EN105" i="13" s="1"/>
  <c r="EJ106" i="13"/>
  <c r="EK106" i="13" s="1"/>
  <c r="EN106" i="13" s="1"/>
  <c r="EI109" i="13"/>
  <c r="EK109" i="13" s="1"/>
  <c r="EN109" i="13" s="1"/>
  <c r="EI110" i="13"/>
  <c r="EK110" i="13" s="1"/>
  <c r="EN110" i="13" s="1"/>
  <c r="EI111" i="13"/>
  <c r="EK111" i="13" s="1"/>
  <c r="DY114" i="13"/>
  <c r="EA114" i="13"/>
  <c r="EC114" i="13"/>
  <c r="ED114" i="13" s="1"/>
  <c r="EE114" i="13"/>
  <c r="EI115" i="13"/>
  <c r="EK115" i="13" s="1"/>
  <c r="EN115" i="13" s="1"/>
  <c r="EI116" i="13"/>
  <c r="EK116" i="13" s="1"/>
  <c r="EN116" i="13" s="1"/>
  <c r="EJ119" i="13"/>
  <c r="EK119" i="13" s="1"/>
  <c r="EN119" i="13" s="1"/>
  <c r="EJ120" i="13"/>
  <c r="EK120" i="13" s="1"/>
  <c r="EJ121" i="13"/>
  <c r="EK121" i="13" s="1"/>
  <c r="EN121" i="13" s="1"/>
  <c r="EJ122" i="13"/>
  <c r="EK122" i="13" s="1"/>
  <c r="EN122" i="13" s="1"/>
  <c r="EI125" i="13"/>
  <c r="EK125" i="13" s="1"/>
  <c r="EN125" i="13" s="1"/>
  <c r="EI126" i="13"/>
  <c r="EK126" i="13" s="1"/>
  <c r="EN126" i="13" s="1"/>
  <c r="EJ127" i="13"/>
  <c r="EK127" i="13" s="1"/>
  <c r="EJ129" i="13"/>
  <c r="EK129" i="13" s="1"/>
  <c r="EN129" i="13" s="1"/>
  <c r="EK137" i="13"/>
  <c r="EN137" i="13" s="1"/>
  <c r="EJ138" i="13"/>
  <c r="EK138" i="13" s="1"/>
  <c r="EJ147" i="13"/>
  <c r="EK147" i="13" s="1"/>
  <c r="EN147" i="13" s="1"/>
  <c r="EJ149" i="13"/>
  <c r="EK149" i="13" s="1"/>
  <c r="EN149" i="13" s="1"/>
  <c r="EK157" i="13"/>
  <c r="EN157" i="13" s="1"/>
  <c r="EJ158" i="13"/>
  <c r="EK158" i="13" s="1"/>
  <c r="EN158" i="13" s="1"/>
  <c r="EK159" i="13"/>
  <c r="EN159" i="13" s="1"/>
  <c r="EJ160" i="13"/>
  <c r="EK160" i="13" s="1"/>
  <c r="EN160" i="13" s="1"/>
  <c r="EK161" i="13"/>
  <c r="EN161" i="13" s="1"/>
  <c r="EJ162" i="13"/>
  <c r="EK162" i="13" s="1"/>
  <c r="EN162" i="13" s="1"/>
  <c r="EK163" i="13"/>
  <c r="EN163" i="13" s="1"/>
  <c r="EJ164" i="13"/>
  <c r="EK164" i="13" s="1"/>
  <c r="EN164" i="13" s="1"/>
  <c r="EB114" i="13"/>
  <c r="EJ148" i="13"/>
  <c r="EK148" i="13" s="1"/>
  <c r="EN148" i="13" s="1"/>
  <c r="DS8" i="13"/>
  <c r="DV8" i="13" s="1"/>
  <c r="DS10" i="13"/>
  <c r="DV10" i="13" s="1"/>
  <c r="DS22" i="13"/>
  <c r="DV22" i="13" s="1"/>
  <c r="DQ13" i="13"/>
  <c r="DS13" i="13" s="1"/>
  <c r="DV13" i="13" s="1"/>
  <c r="DQ14" i="13"/>
  <c r="DS14" i="13" s="1"/>
  <c r="DV14" i="13" s="1"/>
  <c r="DQ15" i="13"/>
  <c r="DS15" i="13" s="1"/>
  <c r="DV15" i="13" s="1"/>
  <c r="DQ16" i="13"/>
  <c r="DS16" i="13" s="1"/>
  <c r="DV16" i="13" s="1"/>
  <c r="DQ17" i="13"/>
  <c r="DS17" i="13" s="1"/>
  <c r="DV17" i="13" s="1"/>
  <c r="DQ18" i="13"/>
  <c r="DS18" i="13" s="1"/>
  <c r="DV18" i="13" s="1"/>
  <c r="DQ23" i="13"/>
  <c r="DS23" i="13" s="1"/>
  <c r="DR27" i="13"/>
  <c r="DR28" i="13"/>
  <c r="DQ28" i="13"/>
  <c r="DS36" i="13"/>
  <c r="DV36" i="13" s="1"/>
  <c r="DS50" i="13"/>
  <c r="DV50" i="13" s="1"/>
  <c r="DS52" i="13"/>
  <c r="DV52" i="13" s="1"/>
  <c r="DS53" i="13"/>
  <c r="DS55" i="13"/>
  <c r="DS65" i="13"/>
  <c r="DV65" i="13" s="1"/>
  <c r="DS75" i="13"/>
  <c r="DV75" i="13" s="1"/>
  <c r="DS85" i="13"/>
  <c r="DV85" i="13" s="1"/>
  <c r="DN23" i="13"/>
  <c r="DS27" i="13"/>
  <c r="DV27" i="13" s="1"/>
  <c r="DN53" i="13"/>
  <c r="DN54" i="13"/>
  <c r="DN55" i="13"/>
  <c r="DV55" i="13" s="1"/>
  <c r="DQ29" i="13"/>
  <c r="DS29" i="13" s="1"/>
  <c r="DV29" i="13" s="1"/>
  <c r="DQ30" i="13"/>
  <c r="DS30" i="13" s="1"/>
  <c r="DV30" i="13" s="1"/>
  <c r="DQ31" i="13"/>
  <c r="DS31" i="13" s="1"/>
  <c r="DV31" i="13" s="1"/>
  <c r="DQ32" i="13"/>
  <c r="DS32" i="13" s="1"/>
  <c r="DV32" i="13" s="1"/>
  <c r="DQ33" i="13"/>
  <c r="DS33" i="13" s="1"/>
  <c r="DQ42" i="13"/>
  <c r="DS42" i="13" s="1"/>
  <c r="DV42" i="13" s="1"/>
  <c r="DQ43" i="13"/>
  <c r="DS43" i="13" s="1"/>
  <c r="DV43" i="13" s="1"/>
  <c r="DQ44" i="13"/>
  <c r="DS44" i="13" s="1"/>
  <c r="DQ45" i="13"/>
  <c r="DS45" i="13" s="1"/>
  <c r="DQ46" i="13"/>
  <c r="DS46" i="13" s="1"/>
  <c r="DV46" i="13" s="1"/>
  <c r="DQ47" i="13"/>
  <c r="DS47" i="13" s="1"/>
  <c r="DV47" i="13" s="1"/>
  <c r="DQ58" i="13"/>
  <c r="DS58" i="13" s="1"/>
  <c r="DV58" i="13" s="1"/>
  <c r="DQ59" i="13"/>
  <c r="DS59" i="13" s="1"/>
  <c r="DV59" i="13" s="1"/>
  <c r="DQ60" i="13"/>
  <c r="DS60" i="13" s="1"/>
  <c r="DV60" i="13" s="1"/>
  <c r="DQ61" i="13"/>
  <c r="DS61" i="13" s="1"/>
  <c r="DV61" i="13" s="1"/>
  <c r="DQ69" i="13"/>
  <c r="DS69" i="13" s="1"/>
  <c r="DV69" i="13" s="1"/>
  <c r="DQ70" i="13"/>
  <c r="DS70" i="13" s="1"/>
  <c r="DV70" i="13" s="1"/>
  <c r="DQ71" i="13"/>
  <c r="DS71" i="13" s="1"/>
  <c r="DV71" i="13" s="1"/>
  <c r="DQ79" i="13"/>
  <c r="DS79" i="13" s="1"/>
  <c r="DQ80" i="13"/>
  <c r="DS80" i="13" s="1"/>
  <c r="DV80" i="13" s="1"/>
  <c r="DQ81" i="13"/>
  <c r="DS81" i="13" s="1"/>
  <c r="DV81" i="13" s="1"/>
  <c r="DQ89" i="13"/>
  <c r="DS89" i="13" s="1"/>
  <c r="DV89" i="13" s="1"/>
  <c r="DQ90" i="13"/>
  <c r="DS90" i="13" s="1"/>
  <c r="DR94" i="13"/>
  <c r="DQ95" i="13"/>
  <c r="DR95" i="13"/>
  <c r="DS99" i="13"/>
  <c r="DV99" i="13" s="1"/>
  <c r="DS101" i="13"/>
  <c r="DV101" i="13" s="1"/>
  <c r="DS109" i="13"/>
  <c r="DV109" i="13" s="1"/>
  <c r="DS111" i="13"/>
  <c r="DV111" i="13" s="1"/>
  <c r="DS116" i="13"/>
  <c r="DV116" i="13" s="1"/>
  <c r="DS94" i="13"/>
  <c r="DV94" i="13" s="1"/>
  <c r="DR96" i="13"/>
  <c r="DS96" i="13" s="1"/>
  <c r="DR104" i="13"/>
  <c r="DS104" i="13" s="1"/>
  <c r="DV104" i="13" s="1"/>
  <c r="DR105" i="13"/>
  <c r="DS105" i="13" s="1"/>
  <c r="DR106" i="13"/>
  <c r="DS106" i="13" s="1"/>
  <c r="DV106" i="13" s="1"/>
  <c r="DQ114" i="13"/>
  <c r="DS114" i="13" s="1"/>
  <c r="DR119" i="13"/>
  <c r="DS119" i="13" s="1"/>
  <c r="DV119" i="13" s="1"/>
  <c r="DR120" i="13"/>
  <c r="DS120" i="13" s="1"/>
  <c r="DV120" i="13" s="1"/>
  <c r="DR121" i="13"/>
  <c r="DS121" i="13" s="1"/>
  <c r="DV121" i="13" s="1"/>
  <c r="DR122" i="13"/>
  <c r="DS122" i="13" s="1"/>
  <c r="DN126" i="13"/>
  <c r="DS147" i="13"/>
  <c r="DV147" i="13" s="1"/>
  <c r="DS149" i="13"/>
  <c r="DV149" i="13" s="1"/>
  <c r="DS163" i="13"/>
  <c r="DV163" i="13" s="1"/>
  <c r="DJ114" i="13"/>
  <c r="DN114" i="13" s="1"/>
  <c r="DQ126" i="13"/>
  <c r="DS126" i="13" s="1"/>
  <c r="DN128" i="13"/>
  <c r="DR132" i="13"/>
  <c r="DS132" i="13" s="1"/>
  <c r="DV132" i="13" s="1"/>
  <c r="DR133" i="13"/>
  <c r="DQ133" i="13"/>
  <c r="DS138" i="13"/>
  <c r="DV138" i="13" s="1"/>
  <c r="DV140" i="13" s="1"/>
  <c r="DS148" i="13"/>
  <c r="DV148" i="13" s="1"/>
  <c r="DQ134" i="13"/>
  <c r="DS134" i="13" s="1"/>
  <c r="DV134" i="13" s="1"/>
  <c r="DQ142" i="13"/>
  <c r="DS142" i="13" s="1"/>
  <c r="DV142" i="13" s="1"/>
  <c r="DQ143" i="13"/>
  <c r="DS143" i="13" s="1"/>
  <c r="DV143" i="13" s="1"/>
  <c r="DQ144" i="13"/>
  <c r="DS144" i="13" s="1"/>
  <c r="DV144" i="13" s="1"/>
  <c r="DQ152" i="13"/>
  <c r="DS152" i="13" s="1"/>
  <c r="DV152" i="13" s="1"/>
  <c r="DQ153" i="13"/>
  <c r="DS153" i="13" s="1"/>
  <c r="DV153" i="13" s="1"/>
  <c r="DQ154" i="13"/>
  <c r="DS154" i="13" s="1"/>
  <c r="DV154" i="13" s="1"/>
  <c r="DR164" i="13"/>
  <c r="DS164" i="13" s="1"/>
  <c r="DV164" i="13" s="1"/>
  <c r="DA9" i="13"/>
  <c r="DD9" i="13" s="1"/>
  <c r="CZ13" i="13"/>
  <c r="DA13" i="13" s="1"/>
  <c r="DD13" i="13" s="1"/>
  <c r="CZ14" i="13"/>
  <c r="DA14" i="13" s="1"/>
  <c r="DD14" i="13" s="1"/>
  <c r="CZ15" i="13"/>
  <c r="DA15" i="13" s="1"/>
  <c r="DD15" i="13" s="1"/>
  <c r="CV16" i="13"/>
  <c r="CY16" i="13"/>
  <c r="DA16" i="13" s="1"/>
  <c r="CV18" i="13"/>
  <c r="CZ22" i="13"/>
  <c r="DA22" i="13" s="1"/>
  <c r="DD22" i="13" s="1"/>
  <c r="CZ24" i="13"/>
  <c r="DA24" i="13" s="1"/>
  <c r="DD24" i="13" s="1"/>
  <c r="CV27" i="13"/>
  <c r="DA27" i="13"/>
  <c r="DA29" i="13"/>
  <c r="DD29" i="13" s="1"/>
  <c r="DA31" i="13"/>
  <c r="DD31" i="13" s="1"/>
  <c r="DA33" i="13"/>
  <c r="DD33" i="13" s="1"/>
  <c r="DA58" i="13"/>
  <c r="DD58" i="13" s="1"/>
  <c r="DA60" i="13"/>
  <c r="DD60" i="13" s="1"/>
  <c r="DA70" i="13"/>
  <c r="DD70" i="13" s="1"/>
  <c r="DA80" i="13"/>
  <c r="DD80" i="13" s="1"/>
  <c r="CY36" i="13"/>
  <c r="DA36" i="13" s="1"/>
  <c r="DD36" i="13" s="1"/>
  <c r="CY37" i="13"/>
  <c r="DA37" i="13" s="1"/>
  <c r="DD37" i="13" s="1"/>
  <c r="CY38" i="13"/>
  <c r="DA38" i="13" s="1"/>
  <c r="DD38" i="13" s="1"/>
  <c r="CY39" i="13"/>
  <c r="DA39" i="13" s="1"/>
  <c r="CY50" i="13"/>
  <c r="DA50" i="13" s="1"/>
  <c r="DD50" i="13" s="1"/>
  <c r="CY51" i="13"/>
  <c r="DA51" i="13" s="1"/>
  <c r="CY52" i="13"/>
  <c r="DA52" i="13" s="1"/>
  <c r="DD52" i="13" s="1"/>
  <c r="CY53" i="13"/>
  <c r="DA53" i="13" s="1"/>
  <c r="DD53" i="13" s="1"/>
  <c r="CY54" i="13"/>
  <c r="DA54" i="13" s="1"/>
  <c r="DD54" i="13" s="1"/>
  <c r="CY55" i="13"/>
  <c r="DA55" i="13" s="1"/>
  <c r="CY64" i="13"/>
  <c r="DA64" i="13" s="1"/>
  <c r="DD64" i="13" s="1"/>
  <c r="CY65" i="13"/>
  <c r="DA65" i="13" s="1"/>
  <c r="DD65" i="13" s="1"/>
  <c r="CY66" i="13"/>
  <c r="DA66" i="13" s="1"/>
  <c r="DD66" i="13" s="1"/>
  <c r="CY74" i="13"/>
  <c r="DA74" i="13" s="1"/>
  <c r="DD74" i="13" s="1"/>
  <c r="CY75" i="13"/>
  <c r="DA75" i="13" s="1"/>
  <c r="DD75" i="13" s="1"/>
  <c r="CY76" i="13"/>
  <c r="DA76" i="13" s="1"/>
  <c r="CY84" i="13"/>
  <c r="DA84" i="13" s="1"/>
  <c r="DD84" i="13" s="1"/>
  <c r="CY85" i="13"/>
  <c r="DA85" i="13" s="1"/>
  <c r="DD85" i="13" s="1"/>
  <c r="CY86" i="13"/>
  <c r="DA86" i="13" s="1"/>
  <c r="DD86" i="13" s="1"/>
  <c r="CV89" i="13"/>
  <c r="CY91" i="13"/>
  <c r="DA91" i="13" s="1"/>
  <c r="DD91" i="13" s="1"/>
  <c r="CZ94" i="13"/>
  <c r="DA94" i="13" s="1"/>
  <c r="DD94" i="13" s="1"/>
  <c r="CZ95" i="13"/>
  <c r="DA95" i="13" s="1"/>
  <c r="DD95" i="13" s="1"/>
  <c r="CZ96" i="13"/>
  <c r="DA96" i="13" s="1"/>
  <c r="CY99" i="13"/>
  <c r="DA99" i="13" s="1"/>
  <c r="DD99" i="13" s="1"/>
  <c r="CY100" i="13"/>
  <c r="DA100" i="13" s="1"/>
  <c r="CY101" i="13"/>
  <c r="DA101" i="13" s="1"/>
  <c r="DD101" i="13" s="1"/>
  <c r="CZ104" i="13"/>
  <c r="DA104" i="13" s="1"/>
  <c r="DD104" i="13" s="1"/>
  <c r="CZ105" i="13"/>
  <c r="DA105" i="13" s="1"/>
  <c r="DD105" i="13" s="1"/>
  <c r="CZ106" i="13"/>
  <c r="DA106" i="13" s="1"/>
  <c r="DD106" i="13" s="1"/>
  <c r="CY109" i="13"/>
  <c r="DA109" i="13" s="1"/>
  <c r="DD109" i="13" s="1"/>
  <c r="CY110" i="13"/>
  <c r="DA110" i="13" s="1"/>
  <c r="DD110" i="13" s="1"/>
  <c r="CY111" i="13"/>
  <c r="DA111" i="13" s="1"/>
  <c r="DD111" i="13" s="1"/>
  <c r="CU114" i="13"/>
  <c r="CY114" i="13"/>
  <c r="DA114" i="13" s="1"/>
  <c r="CY115" i="13"/>
  <c r="DA115" i="13" s="1"/>
  <c r="DD115" i="13" s="1"/>
  <c r="CY116" i="13"/>
  <c r="DA116" i="13" s="1"/>
  <c r="DD116" i="13" s="1"/>
  <c r="CZ119" i="13"/>
  <c r="DA119" i="13" s="1"/>
  <c r="DD119" i="13" s="1"/>
  <c r="CZ120" i="13"/>
  <c r="DA120" i="13" s="1"/>
  <c r="DD120" i="13" s="1"/>
  <c r="CZ121" i="13"/>
  <c r="DA121" i="13" s="1"/>
  <c r="DD121" i="13" s="1"/>
  <c r="CZ122" i="13"/>
  <c r="DA122" i="13" s="1"/>
  <c r="DD122" i="13" s="1"/>
  <c r="CY125" i="13"/>
  <c r="DA125" i="13" s="1"/>
  <c r="DD125" i="13" s="1"/>
  <c r="CV126" i="13"/>
  <c r="DA132" i="13"/>
  <c r="DD132" i="13" s="1"/>
  <c r="DA137" i="13"/>
  <c r="DD137" i="13" s="1"/>
  <c r="DA139" i="13"/>
  <c r="DD139" i="13" s="1"/>
  <c r="DA147" i="13"/>
  <c r="DD147" i="13" s="1"/>
  <c r="DA149" i="13"/>
  <c r="DA157" i="13"/>
  <c r="DD157" i="13" s="1"/>
  <c r="DA159" i="13"/>
  <c r="DD159" i="13" s="1"/>
  <c r="DA161" i="13"/>
  <c r="DD161" i="13" s="1"/>
  <c r="DA163" i="13"/>
  <c r="DD163" i="13" s="1"/>
  <c r="CR114" i="13"/>
  <c r="CY126" i="13"/>
  <c r="DA126" i="13" s="1"/>
  <c r="CZ133" i="13"/>
  <c r="CY133" i="13"/>
  <c r="CY134" i="13"/>
  <c r="DA134" i="13" s="1"/>
  <c r="DD134" i="13" s="1"/>
  <c r="CY142" i="13"/>
  <c r="DA142" i="13" s="1"/>
  <c r="DD142" i="13" s="1"/>
  <c r="CY143" i="13"/>
  <c r="DA143" i="13" s="1"/>
  <c r="DD143" i="13" s="1"/>
  <c r="CY144" i="13"/>
  <c r="DA144" i="13" s="1"/>
  <c r="DD144" i="13" s="1"/>
  <c r="CY152" i="13"/>
  <c r="DA152" i="13" s="1"/>
  <c r="DD152" i="13" s="1"/>
  <c r="CY153" i="13"/>
  <c r="DA153" i="13" s="1"/>
  <c r="DD153" i="13" s="1"/>
  <c r="CY154" i="13"/>
  <c r="DA154" i="13" s="1"/>
  <c r="DD154" i="13" s="1"/>
  <c r="CZ164" i="13"/>
  <c r="DA164" i="13" s="1"/>
  <c r="DD164" i="13" s="1"/>
  <c r="CG8" i="13"/>
  <c r="CI8" i="13" s="1"/>
  <c r="CL8" i="13" s="1"/>
  <c r="CG9" i="13"/>
  <c r="CI9" i="13" s="1"/>
  <c r="CG10" i="13"/>
  <c r="CI10" i="13" s="1"/>
  <c r="CL10" i="13" s="1"/>
  <c r="CH13" i="13"/>
  <c r="CI13" i="13" s="1"/>
  <c r="CL13" i="13" s="1"/>
  <c r="CH14" i="13"/>
  <c r="CI14" i="13" s="1"/>
  <c r="CL14" i="13" s="1"/>
  <c r="CG21" i="13"/>
  <c r="CH21" i="13"/>
  <c r="CI28" i="13"/>
  <c r="CI30" i="13"/>
  <c r="CL30" i="13" s="1"/>
  <c r="CI32" i="13"/>
  <c r="CL32" i="13" s="1"/>
  <c r="CI42" i="13"/>
  <c r="CL42" i="13" s="1"/>
  <c r="CD53" i="13"/>
  <c r="CI85" i="13"/>
  <c r="CL85" i="13" s="1"/>
  <c r="CG15" i="13"/>
  <c r="CI15" i="13" s="1"/>
  <c r="CL15" i="13" s="1"/>
  <c r="CD54" i="13"/>
  <c r="CD55" i="13"/>
  <c r="CH22" i="13"/>
  <c r="CI22" i="13" s="1"/>
  <c r="CH23" i="13"/>
  <c r="CI23" i="13" s="1"/>
  <c r="CL23" i="13" s="1"/>
  <c r="CH24" i="13"/>
  <c r="CI24" i="13" s="1"/>
  <c r="CL24" i="13" s="1"/>
  <c r="CH36" i="13"/>
  <c r="CI36" i="13" s="1"/>
  <c r="CL36" i="13" s="1"/>
  <c r="CH37" i="13"/>
  <c r="CI37" i="13" s="1"/>
  <c r="CL37" i="13" s="1"/>
  <c r="CH38" i="13"/>
  <c r="CI38" i="13" s="1"/>
  <c r="CL38" i="13" s="1"/>
  <c r="CH39" i="13"/>
  <c r="CI39" i="13" s="1"/>
  <c r="CL39" i="13" s="1"/>
  <c r="CG44" i="13"/>
  <c r="CI44" i="13" s="1"/>
  <c r="CG45" i="13"/>
  <c r="CI45" i="13" s="1"/>
  <c r="CL45" i="13" s="1"/>
  <c r="CG46" i="13"/>
  <c r="CI46" i="13" s="1"/>
  <c r="CL46" i="13" s="1"/>
  <c r="CG47" i="13"/>
  <c r="CI47" i="13" s="1"/>
  <c r="CL47" i="13" s="1"/>
  <c r="CH50" i="13"/>
  <c r="CI50" i="13" s="1"/>
  <c r="CL50" i="13" s="1"/>
  <c r="CH51" i="13"/>
  <c r="CI51" i="13" s="1"/>
  <c r="CL51" i="13" s="1"/>
  <c r="CH52" i="13"/>
  <c r="CI52" i="13" s="1"/>
  <c r="CH53" i="13"/>
  <c r="CI53" i="13" s="1"/>
  <c r="CH54" i="13"/>
  <c r="CI54" i="13" s="1"/>
  <c r="CH55" i="13"/>
  <c r="CI55" i="13" s="1"/>
  <c r="CG58" i="13"/>
  <c r="CI58" i="13" s="1"/>
  <c r="CL58" i="13" s="1"/>
  <c r="CG59" i="13"/>
  <c r="CI59" i="13" s="1"/>
  <c r="CL59" i="13" s="1"/>
  <c r="CG60" i="13"/>
  <c r="CI60" i="13" s="1"/>
  <c r="CL60" i="13" s="1"/>
  <c r="CG61" i="13"/>
  <c r="CI61" i="13" s="1"/>
  <c r="CL61" i="13" s="1"/>
  <c r="CH64" i="13"/>
  <c r="CI64" i="13" s="1"/>
  <c r="CL64" i="13" s="1"/>
  <c r="CH65" i="13"/>
  <c r="CI65" i="13" s="1"/>
  <c r="CL65" i="13" s="1"/>
  <c r="CH66" i="13"/>
  <c r="CI66" i="13" s="1"/>
  <c r="CL66" i="13" s="1"/>
  <c r="CG69" i="13"/>
  <c r="CI69" i="13" s="1"/>
  <c r="CL69" i="13" s="1"/>
  <c r="CG70" i="13"/>
  <c r="CI70" i="13" s="1"/>
  <c r="CL70" i="13" s="1"/>
  <c r="CG71" i="13"/>
  <c r="CI71" i="13" s="1"/>
  <c r="CL71" i="13" s="1"/>
  <c r="CH74" i="13"/>
  <c r="CI74" i="13" s="1"/>
  <c r="CH75" i="13"/>
  <c r="CI75" i="13" s="1"/>
  <c r="CL75" i="13" s="1"/>
  <c r="CH76" i="13"/>
  <c r="CI76" i="13" s="1"/>
  <c r="CG79" i="13"/>
  <c r="CI79" i="13" s="1"/>
  <c r="CL79" i="13" s="1"/>
  <c r="CG80" i="13"/>
  <c r="CI80" i="13" s="1"/>
  <c r="CL80" i="13" s="1"/>
  <c r="CG81" i="13"/>
  <c r="CI81" i="13" s="1"/>
  <c r="CG89" i="13"/>
  <c r="CI89" i="13" s="1"/>
  <c r="CL89" i="13" s="1"/>
  <c r="CG90" i="13"/>
  <c r="CI90" i="13" s="1"/>
  <c r="CL90" i="13" s="1"/>
  <c r="CG91" i="13"/>
  <c r="CI91" i="13" s="1"/>
  <c r="CL91" i="13" s="1"/>
  <c r="CI95" i="13"/>
  <c r="CL95" i="13" s="1"/>
  <c r="CH96" i="13"/>
  <c r="CI96" i="13" s="1"/>
  <c r="CL96" i="13" s="1"/>
  <c r="CD99" i="13"/>
  <c r="CI104" i="13"/>
  <c r="CL104" i="13" s="1"/>
  <c r="CI109" i="13"/>
  <c r="CI111" i="13"/>
  <c r="CL111" i="13" s="1"/>
  <c r="CI116" i="13"/>
  <c r="CL116" i="13" s="1"/>
  <c r="CI94" i="13"/>
  <c r="CG105" i="13"/>
  <c r="CH105" i="13"/>
  <c r="CH106" i="13"/>
  <c r="CI106" i="13" s="1"/>
  <c r="CL106" i="13" s="1"/>
  <c r="CG114" i="13"/>
  <c r="CI114" i="13" s="1"/>
  <c r="CH119" i="13"/>
  <c r="CI119" i="13" s="1"/>
  <c r="CL119" i="13" s="1"/>
  <c r="CH120" i="13"/>
  <c r="CI120" i="13" s="1"/>
  <c r="CL120" i="13" s="1"/>
  <c r="CH121" i="13"/>
  <c r="CI121" i="13" s="1"/>
  <c r="CL121" i="13" s="1"/>
  <c r="CH122" i="13"/>
  <c r="CI122" i="13" s="1"/>
  <c r="CL122" i="13" s="1"/>
  <c r="CD126" i="13"/>
  <c r="BZ114" i="13"/>
  <c r="CD114" i="13" s="1"/>
  <c r="CL114" i="13" s="1"/>
  <c r="CG126" i="13"/>
  <c r="CI126" i="13" s="1"/>
  <c r="CD128" i="13"/>
  <c r="CH132" i="13"/>
  <c r="CI132" i="13" s="1"/>
  <c r="CL132" i="13" s="1"/>
  <c r="CI160" i="13"/>
  <c r="CL160" i="13" s="1"/>
  <c r="CI162" i="13"/>
  <c r="CL162" i="13" s="1"/>
  <c r="CG133" i="13"/>
  <c r="CI133" i="13" s="1"/>
  <c r="CL133" i="13" s="1"/>
  <c r="CG134" i="13"/>
  <c r="CI134" i="13" s="1"/>
  <c r="CL134" i="13" s="1"/>
  <c r="CG142" i="13"/>
  <c r="CI142" i="13" s="1"/>
  <c r="CL142" i="13" s="1"/>
  <c r="CG143" i="13"/>
  <c r="CI143" i="13" s="1"/>
  <c r="CL143" i="13" s="1"/>
  <c r="CG144" i="13"/>
  <c r="CI144" i="13" s="1"/>
  <c r="CG152" i="13"/>
  <c r="CI152" i="13" s="1"/>
  <c r="CL152" i="13" s="1"/>
  <c r="CG153" i="13"/>
  <c r="CI153" i="13" s="1"/>
  <c r="CL153" i="13" s="1"/>
  <c r="CG154" i="13"/>
  <c r="CI154" i="13" s="1"/>
  <c r="CL154" i="13" s="1"/>
  <c r="CH164" i="13"/>
  <c r="CI164" i="13" s="1"/>
  <c r="CL164" i="13" s="1"/>
  <c r="BQ14" i="13"/>
  <c r="BT14" i="13" s="1"/>
  <c r="BQ16" i="13"/>
  <c r="BT16" i="13" s="1"/>
  <c r="BQ18" i="13"/>
  <c r="BT18" i="13" s="1"/>
  <c r="BQ13" i="13"/>
  <c r="BT13" i="13" s="1"/>
  <c r="BQ17" i="13"/>
  <c r="BT17" i="13" s="1"/>
  <c r="BO8" i="13"/>
  <c r="BQ8" i="13" s="1"/>
  <c r="BO9" i="13"/>
  <c r="BQ9" i="13" s="1"/>
  <c r="BO10" i="13"/>
  <c r="BQ10" i="13" s="1"/>
  <c r="BO21" i="13"/>
  <c r="BQ21" i="13" s="1"/>
  <c r="BT21" i="13" s="1"/>
  <c r="BO22" i="13"/>
  <c r="BQ22" i="13" s="1"/>
  <c r="BT22" i="13" s="1"/>
  <c r="BO23" i="13"/>
  <c r="BQ23" i="13" s="1"/>
  <c r="BT23" i="13" s="1"/>
  <c r="BO24" i="13"/>
  <c r="BQ24" i="13" s="1"/>
  <c r="BT24" i="13" s="1"/>
  <c r="BQ27" i="13"/>
  <c r="BP28" i="13"/>
  <c r="BQ28" i="13" s="1"/>
  <c r="BT28" i="13" s="1"/>
  <c r="BQ29" i="13"/>
  <c r="BT29" i="13" s="1"/>
  <c r="BP30" i="13"/>
  <c r="BQ31" i="13"/>
  <c r="BQ36" i="13"/>
  <c r="BT36" i="13" s="1"/>
  <c r="BQ50" i="13"/>
  <c r="BT50" i="13" s="1"/>
  <c r="BQ52" i="13"/>
  <c r="BT52" i="13" s="1"/>
  <c r="BQ53" i="13"/>
  <c r="BQ54" i="13"/>
  <c r="BQ55" i="13"/>
  <c r="BQ65" i="13"/>
  <c r="BT65" i="13" s="1"/>
  <c r="BQ75" i="13"/>
  <c r="BL8" i="13"/>
  <c r="BL9" i="13"/>
  <c r="BL10" i="13"/>
  <c r="BT10" i="13" s="1"/>
  <c r="BQ30" i="13"/>
  <c r="BT30" i="13" s="1"/>
  <c r="BL53" i="13"/>
  <c r="BL54" i="13"/>
  <c r="BL55" i="13"/>
  <c r="BO32" i="13"/>
  <c r="BQ32" i="13" s="1"/>
  <c r="BO33" i="13"/>
  <c r="BQ33" i="13" s="1"/>
  <c r="BO42" i="13"/>
  <c r="BQ42" i="13" s="1"/>
  <c r="BT42" i="13" s="1"/>
  <c r="BO43" i="13"/>
  <c r="BQ43" i="13" s="1"/>
  <c r="BT43" i="13" s="1"/>
  <c r="BO44" i="13"/>
  <c r="BQ44" i="13" s="1"/>
  <c r="BT44" i="13" s="1"/>
  <c r="BO45" i="13"/>
  <c r="BQ45" i="13" s="1"/>
  <c r="BO46" i="13"/>
  <c r="BQ46" i="13" s="1"/>
  <c r="BT46" i="13" s="1"/>
  <c r="BO47" i="13"/>
  <c r="BQ47" i="13" s="1"/>
  <c r="BT47" i="13" s="1"/>
  <c r="BO58" i="13"/>
  <c r="BQ58" i="13" s="1"/>
  <c r="BT58" i="13" s="1"/>
  <c r="BO59" i="13"/>
  <c r="BQ59" i="13" s="1"/>
  <c r="BT59" i="13" s="1"/>
  <c r="BO60" i="13"/>
  <c r="BQ60" i="13" s="1"/>
  <c r="BT60" i="13" s="1"/>
  <c r="BO61" i="13"/>
  <c r="BQ61" i="13" s="1"/>
  <c r="BT61" i="13" s="1"/>
  <c r="BO69" i="13"/>
  <c r="BQ69" i="13" s="1"/>
  <c r="BT69" i="13" s="1"/>
  <c r="BO70" i="13"/>
  <c r="BQ70" i="13" s="1"/>
  <c r="BT70" i="13" s="1"/>
  <c r="BO71" i="13"/>
  <c r="BQ71" i="13" s="1"/>
  <c r="BO79" i="13"/>
  <c r="BQ79" i="13" s="1"/>
  <c r="BT79" i="13" s="1"/>
  <c r="BO80" i="13"/>
  <c r="BQ80" i="13" s="1"/>
  <c r="BO81" i="13"/>
  <c r="BQ81" i="13" s="1"/>
  <c r="BT81" i="13" s="1"/>
  <c r="BO89" i="13"/>
  <c r="BQ89" i="13" s="1"/>
  <c r="BT89" i="13" s="1"/>
  <c r="BO90" i="13"/>
  <c r="BQ90" i="13" s="1"/>
  <c r="BT90" i="13" s="1"/>
  <c r="BO91" i="13"/>
  <c r="BQ91" i="13" s="1"/>
  <c r="BT91" i="13" s="1"/>
  <c r="BQ95" i="13"/>
  <c r="BT95" i="13" s="1"/>
  <c r="BP96" i="13"/>
  <c r="BQ96" i="13" s="1"/>
  <c r="BT96" i="13" s="1"/>
  <c r="BL99" i="13"/>
  <c r="BL101" i="13"/>
  <c r="BT101" i="13" s="1"/>
  <c r="BQ104" i="13"/>
  <c r="BT104" i="13" s="1"/>
  <c r="BQ109" i="13"/>
  <c r="BT109" i="13" s="1"/>
  <c r="BT111" i="13"/>
  <c r="BQ111" i="13"/>
  <c r="BQ94" i="13"/>
  <c r="BT94" i="13" s="1"/>
  <c r="BO105" i="13"/>
  <c r="BP105" i="13"/>
  <c r="BP106" i="13"/>
  <c r="BQ106" i="13" s="1"/>
  <c r="BT106" i="13" s="1"/>
  <c r="BO114" i="13"/>
  <c r="BQ114" i="13" s="1"/>
  <c r="BP119" i="13"/>
  <c r="BQ119" i="13" s="1"/>
  <c r="BT119" i="13" s="1"/>
  <c r="BP120" i="13"/>
  <c r="BQ120" i="13" s="1"/>
  <c r="BP121" i="13"/>
  <c r="BQ121" i="13" s="1"/>
  <c r="BT121" i="13" s="1"/>
  <c r="BP122" i="13"/>
  <c r="BQ122" i="13" s="1"/>
  <c r="BT122" i="13" s="1"/>
  <c r="BL126" i="13"/>
  <c r="BH114" i="13"/>
  <c r="BL114" i="13" s="1"/>
  <c r="BO126" i="13"/>
  <c r="BQ126" i="13" s="1"/>
  <c r="BL128" i="13"/>
  <c r="BP132" i="13"/>
  <c r="BQ132" i="13" s="1"/>
  <c r="BP133" i="13"/>
  <c r="BO133" i="13"/>
  <c r="BQ138" i="13"/>
  <c r="BT138" i="13" s="1"/>
  <c r="BQ148" i="13"/>
  <c r="BT148" i="13" s="1"/>
  <c r="BQ158" i="13"/>
  <c r="BT158" i="13" s="1"/>
  <c r="BQ160" i="13"/>
  <c r="BT160" i="13" s="1"/>
  <c r="BQ162" i="13"/>
  <c r="BT162" i="13" s="1"/>
  <c r="BO134" i="13"/>
  <c r="BQ134" i="13" s="1"/>
  <c r="BT134" i="13" s="1"/>
  <c r="BO142" i="13"/>
  <c r="BQ142" i="13" s="1"/>
  <c r="BT142" i="13" s="1"/>
  <c r="BO143" i="13"/>
  <c r="BQ143" i="13" s="1"/>
  <c r="BT143" i="13" s="1"/>
  <c r="BO144" i="13"/>
  <c r="BQ144" i="13" s="1"/>
  <c r="BO152" i="13"/>
  <c r="BQ152" i="13" s="1"/>
  <c r="BT152" i="13" s="1"/>
  <c r="BO153" i="13"/>
  <c r="BQ153" i="13" s="1"/>
  <c r="BT153" i="13" s="1"/>
  <c r="BO154" i="13"/>
  <c r="BQ154" i="13" s="1"/>
  <c r="BP164" i="13"/>
  <c r="BQ164" i="13" s="1"/>
  <c r="AY14" i="13"/>
  <c r="BB14" i="13" s="1"/>
  <c r="AW8" i="13"/>
  <c r="AY8" i="13" s="1"/>
  <c r="AW9" i="13"/>
  <c r="AY9" i="13" s="1"/>
  <c r="AW10" i="13"/>
  <c r="AY10" i="13" s="1"/>
  <c r="AW15" i="13"/>
  <c r="AY15" i="13" s="1"/>
  <c r="AT17" i="13"/>
  <c r="BB17" i="13" s="1"/>
  <c r="AX21" i="13"/>
  <c r="AY22" i="13"/>
  <c r="BB22" i="13" s="1"/>
  <c r="AX23" i="13"/>
  <c r="AY23" i="13" s="1"/>
  <c r="AY24" i="13"/>
  <c r="AY29" i="13"/>
  <c r="BB29" i="13" s="1"/>
  <c r="AY31" i="13"/>
  <c r="BB31" i="13" s="1"/>
  <c r="AY33" i="13"/>
  <c r="BB33" i="13" s="1"/>
  <c r="AY43" i="13"/>
  <c r="AY58" i="13"/>
  <c r="AY60" i="13"/>
  <c r="BB60" i="13" s="1"/>
  <c r="AY70" i="13"/>
  <c r="BB70" i="13" s="1"/>
  <c r="AT8" i="13"/>
  <c r="BB8" i="13" s="1"/>
  <c r="AT9" i="13"/>
  <c r="AT10" i="13"/>
  <c r="AT15" i="13"/>
  <c r="AY21" i="13"/>
  <c r="BB21" i="13" s="1"/>
  <c r="AY69" i="13"/>
  <c r="BB69" i="13" s="1"/>
  <c r="AY71" i="13"/>
  <c r="BB71" i="13" s="1"/>
  <c r="AX36" i="13"/>
  <c r="AY36" i="13" s="1"/>
  <c r="AX37" i="13"/>
  <c r="AY37" i="13" s="1"/>
  <c r="BB37" i="13" s="1"/>
  <c r="AX38" i="13"/>
  <c r="AY38" i="13" s="1"/>
  <c r="BB38" i="13" s="1"/>
  <c r="AX39" i="13"/>
  <c r="AY39" i="13" s="1"/>
  <c r="BB39" i="13" s="1"/>
  <c r="AX50" i="13"/>
  <c r="AY50" i="13" s="1"/>
  <c r="BB50" i="13" s="1"/>
  <c r="AX51" i="13"/>
  <c r="AY51" i="13" s="1"/>
  <c r="AX52" i="13"/>
  <c r="AY52" i="13" s="1"/>
  <c r="BB52" i="13" s="1"/>
  <c r="AX53" i="13"/>
  <c r="AY53" i="13" s="1"/>
  <c r="BB53" i="13" s="1"/>
  <c r="AX54" i="13"/>
  <c r="AY54" i="13" s="1"/>
  <c r="BB54" i="13" s="1"/>
  <c r="AX55" i="13"/>
  <c r="AY55" i="13" s="1"/>
  <c r="BB55" i="13" s="1"/>
  <c r="AX64" i="13"/>
  <c r="AY64" i="13" s="1"/>
  <c r="BB64" i="13" s="1"/>
  <c r="AX65" i="13"/>
  <c r="AY65" i="13" s="1"/>
  <c r="BB65" i="13" s="1"/>
  <c r="AX66" i="13"/>
  <c r="AY66" i="13" s="1"/>
  <c r="BB66" i="13" s="1"/>
  <c r="AX74" i="13"/>
  <c r="AY74" i="13" s="1"/>
  <c r="BB74" i="13" s="1"/>
  <c r="AX75" i="13"/>
  <c r="AY75" i="13" s="1"/>
  <c r="BB75" i="13" s="1"/>
  <c r="AX76" i="13"/>
  <c r="AY76" i="13" s="1"/>
  <c r="AW81" i="13"/>
  <c r="AY81" i="13" s="1"/>
  <c r="BB81" i="13" s="1"/>
  <c r="AX84" i="13"/>
  <c r="AY84" i="13" s="1"/>
  <c r="AX85" i="13"/>
  <c r="AY85" i="13" s="1"/>
  <c r="AX86" i="13"/>
  <c r="AY86" i="13" s="1"/>
  <c r="BB86" i="13" s="1"/>
  <c r="AW89" i="13"/>
  <c r="AY89" i="13" s="1"/>
  <c r="BB89" i="13" s="1"/>
  <c r="AW90" i="13"/>
  <c r="AY90" i="13" s="1"/>
  <c r="BB90" i="13" s="1"/>
  <c r="AW91" i="13"/>
  <c r="AY91" i="13" s="1"/>
  <c r="BB91" i="13" s="1"/>
  <c r="AX94" i="13"/>
  <c r="AY94" i="13" s="1"/>
  <c r="BB94" i="13" s="1"/>
  <c r="AX95" i="13"/>
  <c r="AY95" i="13" s="1"/>
  <c r="BB95" i="13" s="1"/>
  <c r="AX96" i="13"/>
  <c r="AY96" i="13" s="1"/>
  <c r="BB96" i="13" s="1"/>
  <c r="AW99" i="13"/>
  <c r="AY99" i="13" s="1"/>
  <c r="BB99" i="13" s="1"/>
  <c r="AW100" i="13"/>
  <c r="AY100" i="13" s="1"/>
  <c r="BB100" i="13" s="1"/>
  <c r="AW101" i="13"/>
  <c r="AY101" i="13" s="1"/>
  <c r="BB101" i="13" s="1"/>
  <c r="AX104" i="13"/>
  <c r="AY104" i="13" s="1"/>
  <c r="BB104" i="13" s="1"/>
  <c r="AX105" i="13"/>
  <c r="AY105" i="13" s="1"/>
  <c r="AX106" i="13"/>
  <c r="AY106" i="13" s="1"/>
  <c r="BB106" i="13" s="1"/>
  <c r="AW109" i="13"/>
  <c r="AY109" i="13" s="1"/>
  <c r="BB109" i="13" s="1"/>
  <c r="AW110" i="13"/>
  <c r="AY110" i="13" s="1"/>
  <c r="AW111" i="13"/>
  <c r="AY111" i="13" s="1"/>
  <c r="BB111" i="13" s="1"/>
  <c r="AO114" i="13"/>
  <c r="AQ114" i="13"/>
  <c r="AR114" i="13" s="1"/>
  <c r="AS114" i="13"/>
  <c r="AW114" i="13"/>
  <c r="AY114" i="13" s="1"/>
  <c r="AW115" i="13"/>
  <c r="AY115" i="13" s="1"/>
  <c r="BB115" i="13" s="1"/>
  <c r="AW116" i="13"/>
  <c r="AY116" i="13" s="1"/>
  <c r="BB116" i="13" s="1"/>
  <c r="AX119" i="13"/>
  <c r="AY119" i="13" s="1"/>
  <c r="BB119" i="13" s="1"/>
  <c r="AX120" i="13"/>
  <c r="AY120" i="13" s="1"/>
  <c r="BB120" i="13" s="1"/>
  <c r="AX121" i="13"/>
  <c r="AY121" i="13" s="1"/>
  <c r="BB121" i="13" s="1"/>
  <c r="AX122" i="13"/>
  <c r="AY122" i="13" s="1"/>
  <c r="BB122" i="13" s="1"/>
  <c r="AW125" i="13"/>
  <c r="AY125" i="13" s="1"/>
  <c r="BB125" i="13" s="1"/>
  <c r="AT126" i="13"/>
  <c r="AT127" i="13"/>
  <c r="BB127" i="13" s="1"/>
  <c r="AT129" i="13"/>
  <c r="BB129" i="13" s="1"/>
  <c r="AY132" i="13"/>
  <c r="BB132" i="13" s="1"/>
  <c r="AX133" i="13"/>
  <c r="AY133" i="13" s="1"/>
  <c r="BB133" i="13" s="1"/>
  <c r="AX134" i="13"/>
  <c r="AW134" i="13"/>
  <c r="AY147" i="13"/>
  <c r="BB147" i="13" s="1"/>
  <c r="AY149" i="13"/>
  <c r="BB149" i="13" s="1"/>
  <c r="AY157" i="13"/>
  <c r="BB157" i="13" s="1"/>
  <c r="AY159" i="13"/>
  <c r="BB159" i="13" s="1"/>
  <c r="AY161" i="13"/>
  <c r="BB161" i="13" s="1"/>
  <c r="AY163" i="13"/>
  <c r="AP114" i="13"/>
  <c r="AW126" i="13"/>
  <c r="AY126" i="13" s="1"/>
  <c r="AW142" i="13"/>
  <c r="AY142" i="13" s="1"/>
  <c r="BB142" i="13" s="1"/>
  <c r="AW143" i="13"/>
  <c r="AY143" i="13" s="1"/>
  <c r="AW144" i="13"/>
  <c r="AY144" i="13" s="1"/>
  <c r="BB144" i="13" s="1"/>
  <c r="AW152" i="13"/>
  <c r="AY152" i="13" s="1"/>
  <c r="BB152" i="13" s="1"/>
  <c r="AW153" i="13"/>
  <c r="AY153" i="13" s="1"/>
  <c r="BB153" i="13" s="1"/>
  <c r="AW154" i="13"/>
  <c r="AY154" i="13" s="1"/>
  <c r="BB154" i="13" s="1"/>
  <c r="AX164" i="13"/>
  <c r="AY164" i="13" s="1"/>
  <c r="BB164" i="13" s="1"/>
  <c r="AJ30" i="13"/>
  <c r="AB8" i="13"/>
  <c r="AF8" i="13"/>
  <c r="AG8" i="13" s="1"/>
  <c r="AB9" i="13"/>
  <c r="AF9" i="13"/>
  <c r="AG9" i="13" s="1"/>
  <c r="AF10" i="13"/>
  <c r="AG10" i="13" s="1"/>
  <c r="AJ10" i="13" s="1"/>
  <c r="AE13" i="13"/>
  <c r="AG13" i="13" s="1"/>
  <c r="AE14" i="13"/>
  <c r="AG14" i="13" s="1"/>
  <c r="AJ14" i="13" s="1"/>
  <c r="AE15" i="13"/>
  <c r="AG15" i="13" s="1"/>
  <c r="AE16" i="13"/>
  <c r="AG16" i="13" s="1"/>
  <c r="AJ16" i="13" s="1"/>
  <c r="AF22" i="13"/>
  <c r="AF24" i="13"/>
  <c r="AG22" i="13"/>
  <c r="AJ22" i="13" s="1"/>
  <c r="AG24" i="13"/>
  <c r="AJ24" i="13" s="1"/>
  <c r="AG32" i="13"/>
  <c r="AJ32" i="13" s="1"/>
  <c r="AG44" i="13"/>
  <c r="AG59" i="13"/>
  <c r="AJ59" i="13" s="1"/>
  <c r="AG61" i="13"/>
  <c r="AJ61" i="13" s="1"/>
  <c r="AG69" i="13"/>
  <c r="AJ69" i="13" s="1"/>
  <c r="AG71" i="13"/>
  <c r="AJ71" i="13" s="1"/>
  <c r="AG79" i="13"/>
  <c r="AJ79" i="13" s="1"/>
  <c r="AG81" i="13"/>
  <c r="AJ81" i="13" s="1"/>
  <c r="AE36" i="13"/>
  <c r="AG36" i="13" s="1"/>
  <c r="AE37" i="13"/>
  <c r="AG37" i="13" s="1"/>
  <c r="AE38" i="13"/>
  <c r="AG38" i="13" s="1"/>
  <c r="AJ38" i="13" s="1"/>
  <c r="AE39" i="13"/>
  <c r="AG39" i="13" s="1"/>
  <c r="AJ39" i="13" s="1"/>
  <c r="AE50" i="13"/>
  <c r="AG50" i="13" s="1"/>
  <c r="AJ50" i="13" s="1"/>
  <c r="AE51" i="13"/>
  <c r="AG51" i="13" s="1"/>
  <c r="AJ51" i="13" s="1"/>
  <c r="AE52" i="13"/>
  <c r="AG52" i="13" s="1"/>
  <c r="AJ52" i="13" s="1"/>
  <c r="AE53" i="13"/>
  <c r="AG53" i="13" s="1"/>
  <c r="AJ53" i="13" s="1"/>
  <c r="AE54" i="13"/>
  <c r="AG54" i="13" s="1"/>
  <c r="AJ54" i="13" s="1"/>
  <c r="AE55" i="13"/>
  <c r="AG55" i="13" s="1"/>
  <c r="AJ55" i="13" s="1"/>
  <c r="AE64" i="13"/>
  <c r="AG64" i="13" s="1"/>
  <c r="AJ64" i="13" s="1"/>
  <c r="AE65" i="13"/>
  <c r="AG65" i="13" s="1"/>
  <c r="AJ65" i="13" s="1"/>
  <c r="AE66" i="13"/>
  <c r="AG66" i="13" s="1"/>
  <c r="AJ66" i="13" s="1"/>
  <c r="AE74" i="13"/>
  <c r="AG74" i="13" s="1"/>
  <c r="AJ74" i="13" s="1"/>
  <c r="AE75" i="13"/>
  <c r="AG75" i="13" s="1"/>
  <c r="AJ75" i="13" s="1"/>
  <c r="AE76" i="13"/>
  <c r="AG76" i="13" s="1"/>
  <c r="AJ76" i="13" s="1"/>
  <c r="AE84" i="13"/>
  <c r="AG84" i="13" s="1"/>
  <c r="AJ84" i="13" s="1"/>
  <c r="AE85" i="13"/>
  <c r="AG85" i="13" s="1"/>
  <c r="AJ85" i="13" s="1"/>
  <c r="AB86" i="13"/>
  <c r="AF86" i="13"/>
  <c r="AE86" i="13"/>
  <c r="AF89" i="13"/>
  <c r="AG89" i="13" s="1"/>
  <c r="AF90" i="13"/>
  <c r="AG90" i="13" s="1"/>
  <c r="AJ90" i="13" s="1"/>
  <c r="AF91" i="13"/>
  <c r="AG91" i="13" s="1"/>
  <c r="AE94" i="13"/>
  <c r="AG94" i="13" s="1"/>
  <c r="AJ94" i="13" s="1"/>
  <c r="AE95" i="13"/>
  <c r="AG95" i="13" s="1"/>
  <c r="AJ95" i="13" s="1"/>
  <c r="AE96" i="13"/>
  <c r="AG96" i="13" s="1"/>
  <c r="AJ96" i="13" s="1"/>
  <c r="AF99" i="13"/>
  <c r="AG99" i="13" s="1"/>
  <c r="AJ99" i="13" s="1"/>
  <c r="AF100" i="13"/>
  <c r="AG100" i="13" s="1"/>
  <c r="AJ100" i="13" s="1"/>
  <c r="AF101" i="13"/>
  <c r="AG101" i="13" s="1"/>
  <c r="AJ101" i="13" s="1"/>
  <c r="AE104" i="13"/>
  <c r="AG104" i="13" s="1"/>
  <c r="AJ104" i="13" s="1"/>
  <c r="AE105" i="13"/>
  <c r="AG105" i="13" s="1"/>
  <c r="AJ105" i="13" s="1"/>
  <c r="AE106" i="13"/>
  <c r="AG106" i="13" s="1"/>
  <c r="AJ106" i="13" s="1"/>
  <c r="AF109" i="13"/>
  <c r="AG109" i="13" s="1"/>
  <c r="AJ109" i="13" s="1"/>
  <c r="AF110" i="13"/>
  <c r="AG110" i="13" s="1"/>
  <c r="AJ110" i="13" s="1"/>
  <c r="AF111" i="13"/>
  <c r="AG111" i="13" s="1"/>
  <c r="AJ111" i="13" s="1"/>
  <c r="X114" i="13"/>
  <c r="AF115" i="13"/>
  <c r="AG115" i="13" s="1"/>
  <c r="AJ115" i="13" s="1"/>
  <c r="AF116" i="13"/>
  <c r="AG116" i="13" s="1"/>
  <c r="AJ116" i="13" s="1"/>
  <c r="AE119" i="13"/>
  <c r="AG119" i="13" s="1"/>
  <c r="AE120" i="13"/>
  <c r="AG120" i="13" s="1"/>
  <c r="AJ120" i="13" s="1"/>
  <c r="AE121" i="13"/>
  <c r="AG121" i="13" s="1"/>
  <c r="AJ121" i="13" s="1"/>
  <c r="AE122" i="13"/>
  <c r="AG122" i="13" s="1"/>
  <c r="AJ122" i="13" s="1"/>
  <c r="AE126" i="13"/>
  <c r="AG126" i="13" s="1"/>
  <c r="AB128" i="13"/>
  <c r="AF132" i="13"/>
  <c r="AG132" i="13" s="1"/>
  <c r="AJ132" i="13" s="1"/>
  <c r="AF133" i="13"/>
  <c r="AE133" i="13"/>
  <c r="AG137" i="13"/>
  <c r="AJ137" i="13" s="1"/>
  <c r="AG139" i="13"/>
  <c r="AJ139" i="13" s="1"/>
  <c r="AG147" i="13"/>
  <c r="AJ147" i="13" s="1"/>
  <c r="AG149" i="13"/>
  <c r="AJ149" i="13" s="1"/>
  <c r="AG163" i="13"/>
  <c r="AJ163" i="13" s="1"/>
  <c r="U114" i="13"/>
  <c r="W114" i="13"/>
  <c r="Y114" i="13"/>
  <c r="Z114" i="13" s="1"/>
  <c r="AB126" i="13"/>
  <c r="AJ126" i="13" s="1"/>
  <c r="AE134" i="13"/>
  <c r="AG134" i="13" s="1"/>
  <c r="AJ134" i="13" s="1"/>
  <c r="AE142" i="13"/>
  <c r="AG142" i="13" s="1"/>
  <c r="AJ142" i="13" s="1"/>
  <c r="AE143" i="13"/>
  <c r="AG143" i="13" s="1"/>
  <c r="AJ143" i="13" s="1"/>
  <c r="AE144" i="13"/>
  <c r="AG144" i="13" s="1"/>
  <c r="AJ144" i="13" s="1"/>
  <c r="AE152" i="13"/>
  <c r="AG152" i="13" s="1"/>
  <c r="AJ152" i="13" s="1"/>
  <c r="AE153" i="13"/>
  <c r="AG153" i="13" s="1"/>
  <c r="AJ153" i="13" s="1"/>
  <c r="AE154" i="13"/>
  <c r="AG154" i="13" s="1"/>
  <c r="AJ154" i="13" s="1"/>
  <c r="AF164" i="13"/>
  <c r="AG164" i="13" s="1"/>
  <c r="AJ164" i="13" s="1"/>
  <c r="AJ13" i="13" l="1"/>
  <c r="BB163" i="13"/>
  <c r="BB23" i="13"/>
  <c r="BT45" i="13"/>
  <c r="DD149" i="13"/>
  <c r="DD76" i="13"/>
  <c r="DD77" i="13" s="1"/>
  <c r="DD18" i="13"/>
  <c r="DV90" i="13"/>
  <c r="FF133" i="13"/>
  <c r="FF96" i="13"/>
  <c r="GP80" i="13"/>
  <c r="GP82" i="13" s="1"/>
  <c r="HH120" i="13"/>
  <c r="CL147" i="13"/>
  <c r="HH138" i="13"/>
  <c r="AJ128" i="13"/>
  <c r="AJ130" i="13" s="1"/>
  <c r="BB10" i="13"/>
  <c r="CL76" i="13"/>
  <c r="CL52" i="13"/>
  <c r="DV33" i="13"/>
  <c r="EN127" i="13"/>
  <c r="FF94" i="13"/>
  <c r="FF97" i="13" s="1"/>
  <c r="FF51" i="13"/>
  <c r="FF56" i="13" s="1"/>
  <c r="FF45" i="13"/>
  <c r="FF10" i="13"/>
  <c r="FX70" i="13"/>
  <c r="GP30" i="13"/>
  <c r="GP18" i="13"/>
  <c r="HH16" i="13"/>
  <c r="FX147" i="13"/>
  <c r="BT33" i="13"/>
  <c r="BT34" i="13" s="1"/>
  <c r="CL94" i="13"/>
  <c r="CL97" i="13" s="1"/>
  <c r="CL74" i="13"/>
  <c r="DV105" i="13"/>
  <c r="DV79" i="13"/>
  <c r="BT147" i="13"/>
  <c r="DD100" i="13"/>
  <c r="DD55" i="13"/>
  <c r="DV114" i="13"/>
  <c r="DV96" i="13"/>
  <c r="EN38" i="13"/>
  <c r="EN21" i="13"/>
  <c r="FF85" i="13"/>
  <c r="FF87" i="13" s="1"/>
  <c r="FX128" i="13"/>
  <c r="FX27" i="13"/>
  <c r="FX34" i="13" s="1"/>
  <c r="GP149" i="13"/>
  <c r="FX137" i="13"/>
  <c r="FX140" i="13" s="1"/>
  <c r="AJ119" i="13"/>
  <c r="AJ123" i="13" s="1"/>
  <c r="AJ91" i="13"/>
  <c r="BB51" i="13"/>
  <c r="BB58" i="13"/>
  <c r="BT71" i="13"/>
  <c r="BT54" i="13"/>
  <c r="BT31" i="13"/>
  <c r="CL109" i="13"/>
  <c r="EN120" i="13"/>
  <c r="EN37" i="13"/>
  <c r="FF36" i="13"/>
  <c r="FX101" i="13"/>
  <c r="FX85" i="13"/>
  <c r="GP152" i="13"/>
  <c r="GP155" i="13" s="1"/>
  <c r="GP147" i="13"/>
  <c r="GP150" i="13" s="1"/>
  <c r="GP165" i="13" s="1"/>
  <c r="GP166" i="13" s="1"/>
  <c r="HH111" i="13"/>
  <c r="HH15" i="13"/>
  <c r="HH33" i="13"/>
  <c r="AJ44" i="13"/>
  <c r="BT132" i="13"/>
  <c r="CL44" i="13"/>
  <c r="CL28" i="13"/>
  <c r="DD96" i="13"/>
  <c r="DV54" i="13"/>
  <c r="EN36" i="13"/>
  <c r="FF76" i="13"/>
  <c r="FF89" i="13"/>
  <c r="GP116" i="13"/>
  <c r="GP55" i="13"/>
  <c r="GP56" i="13" s="1"/>
  <c r="HH84" i="13"/>
  <c r="HH87" i="13" s="1"/>
  <c r="HH58" i="13"/>
  <c r="HH62" i="13" s="1"/>
  <c r="HH13" i="13"/>
  <c r="DD10" i="13"/>
  <c r="AJ89" i="13"/>
  <c r="BT164" i="13"/>
  <c r="BT128" i="13"/>
  <c r="CL99" i="13"/>
  <c r="DV53" i="13"/>
  <c r="FF75" i="13"/>
  <c r="FX153" i="13"/>
  <c r="HH144" i="13"/>
  <c r="HH109" i="13"/>
  <c r="HH29" i="13"/>
  <c r="HH34" i="13" s="1"/>
  <c r="BT127" i="13"/>
  <c r="BT80" i="13"/>
  <c r="DD51" i="13"/>
  <c r="HH106" i="13"/>
  <c r="HH107" i="13" s="1"/>
  <c r="BT154" i="13"/>
  <c r="BT155" i="13" s="1"/>
  <c r="BB110" i="13"/>
  <c r="BB84" i="13"/>
  <c r="BT114" i="13"/>
  <c r="BT9" i="13"/>
  <c r="BT27" i="13"/>
  <c r="DV23" i="13"/>
  <c r="FF105" i="13"/>
  <c r="FX144" i="13"/>
  <c r="FX121" i="13"/>
  <c r="GP101" i="13"/>
  <c r="GP21" i="13"/>
  <c r="HH127" i="13"/>
  <c r="HH130" i="13" s="1"/>
  <c r="BB43" i="13"/>
  <c r="BB143" i="13"/>
  <c r="BB145" i="13" s="1"/>
  <c r="BB36" i="13"/>
  <c r="BB40" i="13" s="1"/>
  <c r="BT8" i="13"/>
  <c r="BT11" i="13" s="1"/>
  <c r="DD89" i="13"/>
  <c r="DD39" i="13"/>
  <c r="FX120" i="13"/>
  <c r="FX43" i="13"/>
  <c r="GP99" i="13"/>
  <c r="HH18" i="13"/>
  <c r="EN71" i="13"/>
  <c r="CL87" i="13"/>
  <c r="BB76" i="13"/>
  <c r="CL144" i="13"/>
  <c r="CL145" i="13" s="1"/>
  <c r="DV77" i="13"/>
  <c r="EN28" i="13"/>
  <c r="FF143" i="13"/>
  <c r="FF101" i="13"/>
  <c r="GP120" i="13"/>
  <c r="GP123" i="13" s="1"/>
  <c r="GP90" i="13"/>
  <c r="BT51" i="13"/>
  <c r="BT56" i="13" s="1"/>
  <c r="GP138" i="13"/>
  <c r="BB85" i="13"/>
  <c r="AJ15" i="13"/>
  <c r="BT75" i="13"/>
  <c r="CL9" i="13"/>
  <c r="DV122" i="13"/>
  <c r="DV123" i="13" s="1"/>
  <c r="DV45" i="13"/>
  <c r="FF100" i="13"/>
  <c r="FX134" i="13"/>
  <c r="FS114" i="13"/>
  <c r="FU114" i="13" s="1"/>
  <c r="FX114" i="13" s="1"/>
  <c r="FX117" i="13" s="1"/>
  <c r="GP119" i="13"/>
  <c r="HH122" i="13"/>
  <c r="HH14" i="13"/>
  <c r="GP36" i="13"/>
  <c r="GP40" i="13" s="1"/>
  <c r="EN46" i="13"/>
  <c r="EN48" i="13" s="1"/>
  <c r="BT86" i="13"/>
  <c r="BT87" i="13" s="1"/>
  <c r="BT32" i="13"/>
  <c r="AJ37" i="13"/>
  <c r="BT144" i="13"/>
  <c r="AJ36" i="13"/>
  <c r="BB105" i="13"/>
  <c r="BB24" i="13"/>
  <c r="BB25" i="13" s="1"/>
  <c r="BT120" i="13"/>
  <c r="CL81" i="13"/>
  <c r="CL22" i="13"/>
  <c r="DV44" i="13"/>
  <c r="DV48" i="13" s="1"/>
  <c r="EN138" i="13"/>
  <c r="EN111" i="13"/>
  <c r="EN112" i="13" s="1"/>
  <c r="EN70" i="13"/>
  <c r="EN72" i="13" s="1"/>
  <c r="FF134" i="13"/>
  <c r="FF135" i="13" s="1"/>
  <c r="GP81" i="13"/>
  <c r="HH161" i="13"/>
  <c r="AJ138" i="13"/>
  <c r="HH38" i="13"/>
  <c r="HH24" i="13"/>
  <c r="BB155" i="13"/>
  <c r="CL155" i="13"/>
  <c r="DV155" i="13"/>
  <c r="DS28" i="13"/>
  <c r="DV28" i="13" s="1"/>
  <c r="FF155" i="13"/>
  <c r="FF140" i="13"/>
  <c r="GM133" i="13"/>
  <c r="GP133" i="13" s="1"/>
  <c r="GP135" i="13" s="1"/>
  <c r="HH155" i="13"/>
  <c r="FC27" i="13"/>
  <c r="FF27" i="13" s="1"/>
  <c r="AJ155" i="13"/>
  <c r="DD155" i="13"/>
  <c r="FX155" i="13"/>
  <c r="EN155" i="13"/>
  <c r="CV114" i="13"/>
  <c r="DD114" i="13" s="1"/>
  <c r="DD117" i="13" s="1"/>
  <c r="DS133" i="13"/>
  <c r="DV133" i="13" s="1"/>
  <c r="FX9" i="13"/>
  <c r="FU110" i="13"/>
  <c r="FX110" i="13" s="1"/>
  <c r="FX112" i="13" s="1"/>
  <c r="FU129" i="13"/>
  <c r="FX129" i="13" s="1"/>
  <c r="FU86" i="13"/>
  <c r="FX86" i="13" s="1"/>
  <c r="FX87" i="13" s="1"/>
  <c r="BQ105" i="13"/>
  <c r="BT105" i="13" s="1"/>
  <c r="EN135" i="13"/>
  <c r="EN92" i="13"/>
  <c r="DD11" i="13"/>
  <c r="AG86" i="13"/>
  <c r="AJ86" i="13" s="1"/>
  <c r="AJ87" i="13" s="1"/>
  <c r="AY134" i="13"/>
  <c r="BB134" i="13" s="1"/>
  <c r="BB135" i="13" s="1"/>
  <c r="BB15" i="13"/>
  <c r="BB9" i="13"/>
  <c r="BT55" i="13"/>
  <c r="BT53" i="13"/>
  <c r="EN145" i="13"/>
  <c r="GP54" i="13"/>
  <c r="BQ129" i="13"/>
  <c r="BT129" i="13" s="1"/>
  <c r="BT130" i="13" s="1"/>
  <c r="AJ160" i="13"/>
  <c r="BQ99" i="13"/>
  <c r="BT99" i="13" s="1"/>
  <c r="HH160" i="13"/>
  <c r="EN42" i="13"/>
  <c r="DD127" i="13"/>
  <c r="DD129" i="13"/>
  <c r="DD130" i="13" s="1"/>
  <c r="AG133" i="13"/>
  <c r="AJ133" i="13" s="1"/>
  <c r="AJ135" i="13" s="1"/>
  <c r="BT140" i="13"/>
  <c r="FX77" i="13"/>
  <c r="GP64" i="13"/>
  <c r="GP67" i="13" s="1"/>
  <c r="FF46" i="13"/>
  <c r="FF42" i="13"/>
  <c r="DV129" i="13"/>
  <c r="DV100" i="13"/>
  <c r="DV102" i="13" s="1"/>
  <c r="BQ110" i="13"/>
  <c r="BT110" i="13" s="1"/>
  <c r="BT112" i="13" s="1"/>
  <c r="BQ84" i="13"/>
  <c r="BT84" i="13" s="1"/>
  <c r="AY138" i="13"/>
  <c r="BB138" i="13" s="1"/>
  <c r="CI105" i="13"/>
  <c r="CL105" i="13" s="1"/>
  <c r="CL107" i="13" s="1"/>
  <c r="CI21" i="13"/>
  <c r="CL21" i="13" s="1"/>
  <c r="CL25" i="13" s="1"/>
  <c r="FU105" i="13"/>
  <c r="FX105" i="13" s="1"/>
  <c r="FX107" i="13" s="1"/>
  <c r="BB61" i="13"/>
  <c r="BB62" i="13" s="1"/>
  <c r="BB18" i="13"/>
  <c r="BB148" i="13"/>
  <c r="BB150" i="13" s="1"/>
  <c r="BB165" i="13" s="1"/>
  <c r="BT163" i="13"/>
  <c r="BT161" i="13"/>
  <c r="BT159" i="13"/>
  <c r="BT157" i="13"/>
  <c r="BT125" i="13"/>
  <c r="BT115" i="13"/>
  <c r="BT117" i="13" s="1"/>
  <c r="BT100" i="13"/>
  <c r="CL125" i="13"/>
  <c r="CL115" i="13"/>
  <c r="CL117" i="13" s="1"/>
  <c r="CL163" i="13"/>
  <c r="CL161" i="13"/>
  <c r="CL159" i="13"/>
  <c r="CL157" i="13"/>
  <c r="FF129" i="13"/>
  <c r="GP110" i="13"/>
  <c r="GP112" i="13" s="1"/>
  <c r="FF160" i="13"/>
  <c r="FF61" i="13"/>
  <c r="FF62" i="13" s="1"/>
  <c r="FF30" i="13"/>
  <c r="DV110" i="13"/>
  <c r="DV84" i="13"/>
  <c r="DV87" i="13" s="1"/>
  <c r="BT77" i="13"/>
  <c r="DV67" i="13"/>
  <c r="DD69" i="13"/>
  <c r="DD72" i="13" s="1"/>
  <c r="BT67" i="13"/>
  <c r="FX67" i="13"/>
  <c r="GP102" i="13"/>
  <c r="DV25" i="13"/>
  <c r="GZ114" i="13"/>
  <c r="HH114" i="13" s="1"/>
  <c r="HH117" i="13" s="1"/>
  <c r="HH128" i="13"/>
  <c r="GP125" i="13"/>
  <c r="GP115" i="13"/>
  <c r="GP117" i="13" s="1"/>
  <c r="GP128" i="13"/>
  <c r="GP130" i="13" s="1"/>
  <c r="FX99" i="13"/>
  <c r="FX55" i="13"/>
  <c r="FX53" i="13"/>
  <c r="FX163" i="13"/>
  <c r="FX161" i="13"/>
  <c r="FX159" i="13"/>
  <c r="FX157" i="13"/>
  <c r="FX125" i="13"/>
  <c r="FX115" i="13"/>
  <c r="FX97" i="13"/>
  <c r="FF72" i="13"/>
  <c r="FC29" i="13"/>
  <c r="FF29" i="13" s="1"/>
  <c r="EX114" i="13"/>
  <c r="FF127" i="13"/>
  <c r="EK101" i="13"/>
  <c r="EN101" i="13" s="1"/>
  <c r="EN33" i="13"/>
  <c r="EN10" i="13"/>
  <c r="EN130" i="13"/>
  <c r="EF114" i="13"/>
  <c r="EN31" i="13"/>
  <c r="EN24" i="13"/>
  <c r="EN22" i="13"/>
  <c r="EN8" i="13"/>
  <c r="EN139" i="13"/>
  <c r="DV128" i="13"/>
  <c r="DV130" i="13" s="1"/>
  <c r="DV125" i="13"/>
  <c r="DV115" i="13"/>
  <c r="DV117" i="13" s="1"/>
  <c r="DV91" i="13"/>
  <c r="DV51" i="13"/>
  <c r="DV56" i="13" s="1"/>
  <c r="DD140" i="13"/>
  <c r="DD62" i="13"/>
  <c r="DA17" i="13"/>
  <c r="DD17" i="13" s="1"/>
  <c r="DA133" i="13"/>
  <c r="DD133" i="13" s="1"/>
  <c r="DD82" i="13"/>
  <c r="CL102" i="13"/>
  <c r="CL128" i="13"/>
  <c r="CL130" i="13" s="1"/>
  <c r="BQ133" i="13"/>
  <c r="BT133" i="13" s="1"/>
  <c r="BT135" i="13" s="1"/>
  <c r="BB102" i="13"/>
  <c r="BB46" i="13"/>
  <c r="BB44" i="13"/>
  <c r="BB42" i="13"/>
  <c r="BB48" i="13" s="1"/>
  <c r="BB32" i="13"/>
  <c r="BB30" i="13"/>
  <c r="BB28" i="13"/>
  <c r="BB34" i="13" s="1"/>
  <c r="BB16" i="13"/>
  <c r="BB13" i="13"/>
  <c r="BB162" i="13"/>
  <c r="BB160" i="13"/>
  <c r="BB158" i="13"/>
  <c r="AT114" i="13"/>
  <c r="BB114" i="13" s="1"/>
  <c r="BB117" i="13" s="1"/>
  <c r="BB128" i="13"/>
  <c r="AB114" i="13"/>
  <c r="AJ125" i="13"/>
  <c r="AJ21" i="13"/>
  <c r="HH135" i="13"/>
  <c r="HH123" i="13"/>
  <c r="HH112" i="13"/>
  <c r="HH102" i="13"/>
  <c r="HH92" i="13"/>
  <c r="HH82" i="13"/>
  <c r="HH72" i="13"/>
  <c r="HH40" i="13"/>
  <c r="HH25" i="13"/>
  <c r="HH145" i="13"/>
  <c r="HH97" i="13"/>
  <c r="HH77" i="13"/>
  <c r="HH67" i="13"/>
  <c r="HH48" i="13"/>
  <c r="HH150" i="13"/>
  <c r="HH165" i="13" s="1"/>
  <c r="HH140" i="13"/>
  <c r="HH126" i="13"/>
  <c r="HH55" i="13"/>
  <c r="HH53" i="13"/>
  <c r="HH54" i="13"/>
  <c r="HE17" i="13"/>
  <c r="HH17" i="13" s="1"/>
  <c r="HH10" i="13"/>
  <c r="HH9" i="13"/>
  <c r="HH8" i="13"/>
  <c r="GP145" i="13"/>
  <c r="GP107" i="13"/>
  <c r="GP72" i="13"/>
  <c r="GP62" i="13"/>
  <c r="GP48" i="13"/>
  <c r="GP34" i="13"/>
  <c r="GP19" i="13"/>
  <c r="GP140" i="13"/>
  <c r="GP97" i="13"/>
  <c r="GP87" i="13"/>
  <c r="GP77" i="13"/>
  <c r="GP10" i="13"/>
  <c r="GP9" i="13"/>
  <c r="GP8" i="13"/>
  <c r="GP126" i="13"/>
  <c r="GP89" i="13"/>
  <c r="GP23" i="13"/>
  <c r="GP25" i="13" s="1"/>
  <c r="FX150" i="13"/>
  <c r="FX92" i="13"/>
  <c r="FX72" i="13"/>
  <c r="FX62" i="13"/>
  <c r="FX48" i="13"/>
  <c r="FX25" i="13"/>
  <c r="FX19" i="13"/>
  <c r="FX145" i="13"/>
  <c r="FX135" i="13"/>
  <c r="FX123" i="13"/>
  <c r="FX82" i="13"/>
  <c r="FX126" i="13"/>
  <c r="FX11" i="13"/>
  <c r="FX102" i="13"/>
  <c r="FX40" i="13"/>
  <c r="FF145" i="13"/>
  <c r="FF107" i="13"/>
  <c r="FF67" i="13"/>
  <c r="FF40" i="13"/>
  <c r="FF48" i="13"/>
  <c r="FF25" i="13"/>
  <c r="FF19" i="13"/>
  <c r="FF150" i="13"/>
  <c r="FF123" i="13"/>
  <c r="FF112" i="13"/>
  <c r="FF102" i="13"/>
  <c r="FF77" i="13"/>
  <c r="FF92" i="13"/>
  <c r="FF82" i="13"/>
  <c r="FA114" i="13"/>
  <c r="FB114" i="13"/>
  <c r="FF8" i="13"/>
  <c r="FF9" i="13"/>
  <c r="EN87" i="13"/>
  <c r="EN67" i="13"/>
  <c r="EN56" i="13"/>
  <c r="EN102" i="13"/>
  <c r="EN40" i="13"/>
  <c r="EN19" i="13"/>
  <c r="EN25" i="13"/>
  <c r="EN150" i="13"/>
  <c r="EN165" i="13" s="1"/>
  <c r="EN140" i="13"/>
  <c r="EN123" i="13"/>
  <c r="EN107" i="13"/>
  <c r="EN97" i="13"/>
  <c r="EN77" i="13"/>
  <c r="EN62" i="13"/>
  <c r="EJ114" i="13"/>
  <c r="EI114" i="13"/>
  <c r="EN30" i="13"/>
  <c r="EN34" i="13" s="1"/>
  <c r="DV135" i="13"/>
  <c r="DV107" i="13"/>
  <c r="DV82" i="13"/>
  <c r="DV34" i="13"/>
  <c r="DV145" i="13"/>
  <c r="DV150" i="13"/>
  <c r="DV165" i="13" s="1"/>
  <c r="DV166" i="13" s="1"/>
  <c r="DV92" i="13"/>
  <c r="DV72" i="13"/>
  <c r="DV62" i="13"/>
  <c r="DV19" i="13"/>
  <c r="DV11" i="13"/>
  <c r="DV112" i="13"/>
  <c r="DS95" i="13"/>
  <c r="DV95" i="13" s="1"/>
  <c r="DV97" i="13" s="1"/>
  <c r="DV126" i="13"/>
  <c r="DV40" i="13"/>
  <c r="DD150" i="13"/>
  <c r="DD112" i="13"/>
  <c r="DD102" i="13"/>
  <c r="DD87" i="13"/>
  <c r="DD67" i="13"/>
  <c r="DD56" i="13"/>
  <c r="DD40" i="13"/>
  <c r="DD25" i="13"/>
  <c r="DD145" i="13"/>
  <c r="DD135" i="13"/>
  <c r="DD123" i="13"/>
  <c r="DD107" i="13"/>
  <c r="DD97" i="13"/>
  <c r="DD48" i="13"/>
  <c r="DD126" i="13"/>
  <c r="DD16" i="13"/>
  <c r="DD92" i="13"/>
  <c r="DD27" i="13"/>
  <c r="DD34" i="13" s="1"/>
  <c r="CL150" i="13"/>
  <c r="CL112" i="13"/>
  <c r="CL82" i="13"/>
  <c r="CL72" i="13"/>
  <c r="CL48" i="13"/>
  <c r="CL19" i="13"/>
  <c r="CL135" i="13"/>
  <c r="CL123" i="13"/>
  <c r="CL92" i="13"/>
  <c r="CL77" i="13"/>
  <c r="CL67" i="13"/>
  <c r="CL62" i="13"/>
  <c r="CL40" i="13"/>
  <c r="CL34" i="13"/>
  <c r="CL11" i="13"/>
  <c r="CL54" i="13"/>
  <c r="CL53" i="13"/>
  <c r="CL126" i="13"/>
  <c r="CL55" i="13"/>
  <c r="BT123" i="13"/>
  <c r="BT107" i="13"/>
  <c r="BT82" i="13"/>
  <c r="BT25" i="13"/>
  <c r="BT19" i="13"/>
  <c r="BT145" i="13"/>
  <c r="BT150" i="13"/>
  <c r="BT97" i="13"/>
  <c r="BT92" i="13"/>
  <c r="BT72" i="13"/>
  <c r="BT62" i="13"/>
  <c r="BT48" i="13"/>
  <c r="BT40" i="13"/>
  <c r="BT126" i="13"/>
  <c r="BB92" i="13"/>
  <c r="BB87" i="13"/>
  <c r="BB77" i="13"/>
  <c r="BB112" i="13"/>
  <c r="BB123" i="13"/>
  <c r="BB107" i="13"/>
  <c r="BB97" i="13"/>
  <c r="BB67" i="13"/>
  <c r="BB56" i="13"/>
  <c r="BB140" i="13"/>
  <c r="BB126" i="13"/>
  <c r="BB82" i="13"/>
  <c r="BB72" i="13"/>
  <c r="BB11" i="13"/>
  <c r="BB130" i="13"/>
  <c r="AJ112" i="13"/>
  <c r="AJ92" i="13"/>
  <c r="AJ77" i="13"/>
  <c r="AJ48" i="13"/>
  <c r="AJ102" i="13"/>
  <c r="AJ145" i="13"/>
  <c r="AJ107" i="13"/>
  <c r="AJ97" i="13"/>
  <c r="AJ67" i="13"/>
  <c r="AJ56" i="13"/>
  <c r="AJ40" i="13"/>
  <c r="AJ82" i="13"/>
  <c r="AJ72" i="13"/>
  <c r="AJ62" i="13"/>
  <c r="AJ25" i="13"/>
  <c r="AJ19" i="13"/>
  <c r="AJ34" i="13"/>
  <c r="AE114" i="13"/>
  <c r="AF114" i="13"/>
  <c r="AJ9" i="13"/>
  <c r="AJ150" i="13"/>
  <c r="AJ140" i="13"/>
  <c r="AJ8" i="13"/>
  <c r="FF130" i="13" l="1"/>
  <c r="FF165" i="13"/>
  <c r="GP92" i="13"/>
  <c r="FX130" i="13"/>
  <c r="AJ165" i="13"/>
  <c r="FX56" i="13"/>
  <c r="HH19" i="13"/>
  <c r="BB19" i="13"/>
  <c r="EN11" i="13"/>
  <c r="FF34" i="13"/>
  <c r="BT102" i="13"/>
  <c r="AJ11" i="13"/>
  <c r="DD19" i="13"/>
  <c r="EK114" i="13"/>
  <c r="EN114" i="13" s="1"/>
  <c r="EN117" i="13" s="1"/>
  <c r="CL165" i="13"/>
  <c r="CG169" i="13" s="1"/>
  <c r="HH56" i="13"/>
  <c r="GP11" i="13"/>
  <c r="FX165" i="13"/>
  <c r="FX170" i="13" s="1"/>
  <c r="DD165" i="13"/>
  <c r="DD170" i="13" s="1"/>
  <c r="CL56" i="13"/>
  <c r="BT165" i="13"/>
  <c r="BT170" i="13" s="1"/>
  <c r="AG114" i="13"/>
  <c r="AJ114" i="13" s="1"/>
  <c r="AJ117" i="13" s="1"/>
  <c r="HH170" i="13"/>
  <c r="HC169" i="13"/>
  <c r="HH166" i="13"/>
  <c r="HH11" i="13"/>
  <c r="GP170" i="13"/>
  <c r="GK169" i="13"/>
  <c r="FF170" i="13"/>
  <c r="FA169" i="13"/>
  <c r="FF166" i="13"/>
  <c r="FF11" i="13"/>
  <c r="FC114" i="13"/>
  <c r="FF114" i="13" s="1"/>
  <c r="FF117" i="13" s="1"/>
  <c r="EN170" i="13"/>
  <c r="EI169" i="13"/>
  <c r="EN166" i="13"/>
  <c r="DV170" i="13"/>
  <c r="DQ169" i="13"/>
  <c r="BB170" i="13"/>
  <c r="AW169" i="13"/>
  <c r="BB166" i="13"/>
  <c r="AJ170" i="13"/>
  <c r="AE169" i="13"/>
  <c r="AJ166" i="13"/>
  <c r="CL166" i="13" l="1"/>
  <c r="CL170" i="13"/>
  <c r="FS169" i="13"/>
  <c r="BO169" i="13"/>
  <c r="CY169" i="13"/>
  <c r="FX166" i="13"/>
  <c r="DD166" i="13"/>
  <c r="BT166" i="13"/>
  <c r="M7" i="1" l="1"/>
  <c r="M8" i="1"/>
  <c r="M9" i="1"/>
  <c r="M10" i="1"/>
  <c r="M11" i="1"/>
  <c r="M12" i="1"/>
  <c r="M13" i="1"/>
  <c r="M14" i="1"/>
  <c r="Q164" i="13" l="1"/>
  <c r="I164" i="13"/>
  <c r="G164" i="13"/>
  <c r="H164" i="13" s="1"/>
  <c r="F164" i="13"/>
  <c r="E164" i="13"/>
  <c r="C164" i="13"/>
  <c r="M164" i="13" s="1"/>
  <c r="Q163" i="13"/>
  <c r="I163" i="13"/>
  <c r="G163" i="13"/>
  <c r="H163" i="13" s="1"/>
  <c r="F163" i="13"/>
  <c r="E163" i="13"/>
  <c r="C163" i="13"/>
  <c r="N163" i="13" s="1"/>
  <c r="Q162" i="13"/>
  <c r="I162" i="13"/>
  <c r="G162" i="13"/>
  <c r="H162" i="13" s="1"/>
  <c r="F162" i="13"/>
  <c r="E162" i="13"/>
  <c r="C162" i="13"/>
  <c r="N162" i="13" s="1"/>
  <c r="Q161" i="13"/>
  <c r="I161" i="13"/>
  <c r="G161" i="13"/>
  <c r="H161" i="13" s="1"/>
  <c r="F161" i="13"/>
  <c r="E161" i="13"/>
  <c r="C161" i="13"/>
  <c r="N161" i="13" s="1"/>
  <c r="Q160" i="13"/>
  <c r="I160" i="13"/>
  <c r="G160" i="13"/>
  <c r="H160" i="13" s="1"/>
  <c r="F160" i="13"/>
  <c r="E160" i="13"/>
  <c r="C160" i="13"/>
  <c r="N160" i="13" s="1"/>
  <c r="Q159" i="13"/>
  <c r="I159" i="13"/>
  <c r="G159" i="13"/>
  <c r="H159" i="13" s="1"/>
  <c r="F159" i="13"/>
  <c r="E159" i="13"/>
  <c r="C159" i="13"/>
  <c r="N159" i="13" s="1"/>
  <c r="Q158" i="13"/>
  <c r="I158" i="13"/>
  <c r="G158" i="13"/>
  <c r="H158" i="13" s="1"/>
  <c r="F158" i="13"/>
  <c r="E158" i="13"/>
  <c r="C158" i="13"/>
  <c r="N158" i="13" s="1"/>
  <c r="Q157" i="13"/>
  <c r="I157" i="13"/>
  <c r="G157" i="13"/>
  <c r="H157" i="13" s="1"/>
  <c r="F157" i="13"/>
  <c r="E157" i="13"/>
  <c r="C157" i="13"/>
  <c r="N157" i="13" s="1"/>
  <c r="Q154" i="13"/>
  <c r="I154" i="13"/>
  <c r="G154" i="13"/>
  <c r="H154" i="13" s="1"/>
  <c r="F154" i="13"/>
  <c r="E154" i="13"/>
  <c r="C154" i="13"/>
  <c r="N154" i="13" s="1"/>
  <c r="Q153" i="13"/>
  <c r="I153" i="13"/>
  <c r="G153" i="13"/>
  <c r="H153" i="13" s="1"/>
  <c r="F153" i="13"/>
  <c r="E153" i="13"/>
  <c r="C153" i="13"/>
  <c r="N153" i="13" s="1"/>
  <c r="Q152" i="13"/>
  <c r="I152" i="13"/>
  <c r="G152" i="13"/>
  <c r="H152" i="13" s="1"/>
  <c r="F152" i="13"/>
  <c r="E152" i="13"/>
  <c r="C152" i="13"/>
  <c r="N152" i="13" s="1"/>
  <c r="Q149" i="13"/>
  <c r="I149" i="13"/>
  <c r="G149" i="13"/>
  <c r="H149" i="13" s="1"/>
  <c r="F149" i="13"/>
  <c r="E149" i="13"/>
  <c r="C149" i="13"/>
  <c r="N149" i="13" s="1"/>
  <c r="Q148" i="13"/>
  <c r="I148" i="13"/>
  <c r="G148" i="13"/>
  <c r="H148" i="13" s="1"/>
  <c r="F148" i="13"/>
  <c r="E148" i="13"/>
  <c r="C148" i="13"/>
  <c r="N148" i="13" s="1"/>
  <c r="Q147" i="13"/>
  <c r="I147" i="13"/>
  <c r="G147" i="13"/>
  <c r="H147" i="13" s="1"/>
  <c r="F147" i="13"/>
  <c r="E147" i="13"/>
  <c r="C147" i="13"/>
  <c r="N147" i="13" s="1"/>
  <c r="Q144" i="13"/>
  <c r="I144" i="13"/>
  <c r="G144" i="13"/>
  <c r="H144" i="13" s="1"/>
  <c r="F144" i="13"/>
  <c r="E144" i="13"/>
  <c r="C144" i="13"/>
  <c r="N144" i="13" s="1"/>
  <c r="Q143" i="13"/>
  <c r="I143" i="13"/>
  <c r="G143" i="13"/>
  <c r="H143" i="13" s="1"/>
  <c r="F143" i="13"/>
  <c r="E143" i="13"/>
  <c r="C143" i="13"/>
  <c r="N143" i="13" s="1"/>
  <c r="Q142" i="13"/>
  <c r="I142" i="13"/>
  <c r="G142" i="13"/>
  <c r="H142" i="13" s="1"/>
  <c r="F142" i="13"/>
  <c r="E142" i="13"/>
  <c r="C142" i="13"/>
  <c r="N142" i="13" s="1"/>
  <c r="Q139" i="13"/>
  <c r="I139" i="13"/>
  <c r="G139" i="13"/>
  <c r="H139" i="13" s="1"/>
  <c r="F139" i="13"/>
  <c r="E139" i="13"/>
  <c r="J139" i="13" s="1"/>
  <c r="C139" i="13"/>
  <c r="N139" i="13" s="1"/>
  <c r="Q138" i="13"/>
  <c r="I138" i="13"/>
  <c r="G138" i="13"/>
  <c r="H138" i="13" s="1"/>
  <c r="F138" i="13"/>
  <c r="E138" i="13"/>
  <c r="C138" i="13"/>
  <c r="N138" i="13" s="1"/>
  <c r="Q137" i="13"/>
  <c r="I137" i="13"/>
  <c r="G137" i="13"/>
  <c r="H137" i="13" s="1"/>
  <c r="F137" i="13"/>
  <c r="E137" i="13"/>
  <c r="J137" i="13" s="1"/>
  <c r="C137" i="13"/>
  <c r="N137" i="13" s="1"/>
  <c r="Q134" i="13"/>
  <c r="I134" i="13"/>
  <c r="G134" i="13"/>
  <c r="H134" i="13" s="1"/>
  <c r="F134" i="13"/>
  <c r="E134" i="13"/>
  <c r="C134" i="13"/>
  <c r="Q133" i="13"/>
  <c r="I133" i="13"/>
  <c r="G133" i="13"/>
  <c r="H133" i="13" s="1"/>
  <c r="F133" i="13"/>
  <c r="E133" i="13"/>
  <c r="C133" i="13"/>
  <c r="M133" i="13" s="1"/>
  <c r="Q132" i="13"/>
  <c r="I132" i="13"/>
  <c r="G132" i="13"/>
  <c r="H132" i="13" s="1"/>
  <c r="F132" i="13"/>
  <c r="E132" i="13"/>
  <c r="C132" i="13"/>
  <c r="M132" i="13" s="1"/>
  <c r="Q129" i="13"/>
  <c r="I129" i="13"/>
  <c r="G129" i="13"/>
  <c r="H129" i="13" s="1"/>
  <c r="F129" i="13"/>
  <c r="E129" i="13"/>
  <c r="J129" i="13" s="1"/>
  <c r="C129" i="13"/>
  <c r="N129" i="13" s="1"/>
  <c r="Q128" i="13"/>
  <c r="I128" i="13"/>
  <c r="G128" i="13"/>
  <c r="H128" i="13" s="1"/>
  <c r="F128" i="13"/>
  <c r="E128" i="13"/>
  <c r="C128" i="13"/>
  <c r="N128" i="13" s="1"/>
  <c r="Q127" i="13"/>
  <c r="I127" i="13"/>
  <c r="G127" i="13"/>
  <c r="H127" i="13" s="1"/>
  <c r="F127" i="13"/>
  <c r="E127" i="13"/>
  <c r="J127" i="13" s="1"/>
  <c r="C127" i="13"/>
  <c r="N127" i="13" s="1"/>
  <c r="Q126" i="13"/>
  <c r="I126" i="13"/>
  <c r="G126" i="13"/>
  <c r="H126" i="13" s="1"/>
  <c r="F126" i="13"/>
  <c r="E126" i="13"/>
  <c r="C126" i="13"/>
  <c r="N126" i="13" s="1"/>
  <c r="Q125" i="13"/>
  <c r="I125" i="13"/>
  <c r="G125" i="13"/>
  <c r="H125" i="13" s="1"/>
  <c r="F125" i="13"/>
  <c r="E125" i="13"/>
  <c r="J125" i="13" s="1"/>
  <c r="C125" i="13"/>
  <c r="N125" i="13" s="1"/>
  <c r="Q122" i="13"/>
  <c r="I122" i="13"/>
  <c r="G122" i="13"/>
  <c r="H122" i="13" s="1"/>
  <c r="F122" i="13"/>
  <c r="E122" i="13"/>
  <c r="C122" i="13"/>
  <c r="M122" i="13" s="1"/>
  <c r="Q121" i="13"/>
  <c r="I121" i="13"/>
  <c r="G121" i="13"/>
  <c r="H121" i="13" s="1"/>
  <c r="F121" i="13"/>
  <c r="E121" i="13"/>
  <c r="C121" i="13"/>
  <c r="M121" i="13" s="1"/>
  <c r="Q120" i="13"/>
  <c r="I120" i="13"/>
  <c r="G120" i="13"/>
  <c r="H120" i="13" s="1"/>
  <c r="F120" i="13"/>
  <c r="E120" i="13"/>
  <c r="C120" i="13"/>
  <c r="M120" i="13" s="1"/>
  <c r="Q119" i="13"/>
  <c r="I119" i="13"/>
  <c r="G119" i="13"/>
  <c r="H119" i="13" s="1"/>
  <c r="F119" i="13"/>
  <c r="E119" i="13"/>
  <c r="C119" i="13"/>
  <c r="M119" i="13" s="1"/>
  <c r="Q116" i="13"/>
  <c r="I116" i="13"/>
  <c r="G116" i="13"/>
  <c r="H116" i="13" s="1"/>
  <c r="F116" i="13"/>
  <c r="E116" i="13"/>
  <c r="C116" i="13"/>
  <c r="N116" i="13" s="1"/>
  <c r="Q115" i="13"/>
  <c r="I115" i="13"/>
  <c r="G115" i="13"/>
  <c r="H115" i="13" s="1"/>
  <c r="F115" i="13"/>
  <c r="E115" i="13"/>
  <c r="J115" i="13" s="1"/>
  <c r="C115" i="13"/>
  <c r="N115" i="13" s="1"/>
  <c r="Q114" i="13"/>
  <c r="I114" i="13"/>
  <c r="Q111" i="13"/>
  <c r="I111" i="13"/>
  <c r="G111" i="13"/>
  <c r="H111" i="13" s="1"/>
  <c r="F111" i="13"/>
  <c r="E111" i="13"/>
  <c r="C111" i="13"/>
  <c r="N111" i="13" s="1"/>
  <c r="Q110" i="13"/>
  <c r="I110" i="13"/>
  <c r="G110" i="13"/>
  <c r="H110" i="13" s="1"/>
  <c r="F110" i="13"/>
  <c r="E110" i="13"/>
  <c r="C110" i="13"/>
  <c r="N110" i="13" s="1"/>
  <c r="Q109" i="13"/>
  <c r="I109" i="13"/>
  <c r="G109" i="13"/>
  <c r="H109" i="13" s="1"/>
  <c r="F109" i="13"/>
  <c r="E109" i="13"/>
  <c r="J109" i="13" s="1"/>
  <c r="C109" i="13"/>
  <c r="N109" i="13" s="1"/>
  <c r="Q106" i="13"/>
  <c r="I106" i="13"/>
  <c r="G106" i="13"/>
  <c r="H106" i="13" s="1"/>
  <c r="F106" i="13"/>
  <c r="E106" i="13"/>
  <c r="C106" i="13"/>
  <c r="M106" i="13" s="1"/>
  <c r="Q105" i="13"/>
  <c r="I105" i="13"/>
  <c r="G105" i="13"/>
  <c r="H105" i="13" s="1"/>
  <c r="F105" i="13"/>
  <c r="E105" i="13"/>
  <c r="C105" i="13"/>
  <c r="M105" i="13" s="1"/>
  <c r="Q104" i="13"/>
  <c r="I104" i="13"/>
  <c r="G104" i="13"/>
  <c r="H104" i="13" s="1"/>
  <c r="F104" i="13"/>
  <c r="E104" i="13"/>
  <c r="C104" i="13"/>
  <c r="M104" i="13" s="1"/>
  <c r="Q101" i="13"/>
  <c r="I101" i="13"/>
  <c r="G101" i="13"/>
  <c r="H101" i="13" s="1"/>
  <c r="F101" i="13"/>
  <c r="E101" i="13"/>
  <c r="J101" i="13" s="1"/>
  <c r="C101" i="13"/>
  <c r="N101" i="13" s="1"/>
  <c r="Q100" i="13"/>
  <c r="I100" i="13"/>
  <c r="G100" i="13"/>
  <c r="H100" i="13" s="1"/>
  <c r="F100" i="13"/>
  <c r="E100" i="13"/>
  <c r="C100" i="13"/>
  <c r="N100" i="13" s="1"/>
  <c r="Q99" i="13"/>
  <c r="I99" i="13"/>
  <c r="G99" i="13"/>
  <c r="H99" i="13" s="1"/>
  <c r="F99" i="13"/>
  <c r="E99" i="13"/>
  <c r="C99" i="13"/>
  <c r="N99" i="13" s="1"/>
  <c r="Q96" i="13"/>
  <c r="I96" i="13"/>
  <c r="G96" i="13"/>
  <c r="H96" i="13" s="1"/>
  <c r="F96" i="13"/>
  <c r="E96" i="13"/>
  <c r="C96" i="13"/>
  <c r="M96" i="13" s="1"/>
  <c r="Q95" i="13"/>
  <c r="I95" i="13"/>
  <c r="G95" i="13"/>
  <c r="H95" i="13" s="1"/>
  <c r="F95" i="13"/>
  <c r="E95" i="13"/>
  <c r="C95" i="13"/>
  <c r="M95" i="13" s="1"/>
  <c r="Q94" i="13"/>
  <c r="I94" i="13"/>
  <c r="G94" i="13"/>
  <c r="H94" i="13" s="1"/>
  <c r="F94" i="13"/>
  <c r="E94" i="13"/>
  <c r="C94" i="13"/>
  <c r="N94" i="13" s="1"/>
  <c r="Q91" i="13"/>
  <c r="I91" i="13"/>
  <c r="G91" i="13"/>
  <c r="H91" i="13" s="1"/>
  <c r="F91" i="13"/>
  <c r="E91" i="13"/>
  <c r="C91" i="13"/>
  <c r="N91" i="13" s="1"/>
  <c r="Q90" i="13"/>
  <c r="I90" i="13"/>
  <c r="G90" i="13"/>
  <c r="H90" i="13" s="1"/>
  <c r="F90" i="13"/>
  <c r="E90" i="13"/>
  <c r="C90" i="13"/>
  <c r="N90" i="13" s="1"/>
  <c r="Q89" i="13"/>
  <c r="I89" i="13"/>
  <c r="G89" i="13"/>
  <c r="H89" i="13" s="1"/>
  <c r="F89" i="13"/>
  <c r="E89" i="13"/>
  <c r="C89" i="13"/>
  <c r="N89" i="13" s="1"/>
  <c r="Q86" i="13"/>
  <c r="I86" i="13"/>
  <c r="G86" i="13"/>
  <c r="H86" i="13" s="1"/>
  <c r="F86" i="13"/>
  <c r="E86" i="13"/>
  <c r="J86" i="13" s="1"/>
  <c r="C86" i="13"/>
  <c r="N86" i="13" s="1"/>
  <c r="Q85" i="13"/>
  <c r="I85" i="13"/>
  <c r="G85" i="13"/>
  <c r="H85" i="13" s="1"/>
  <c r="F85" i="13"/>
  <c r="E85" i="13"/>
  <c r="C85" i="13"/>
  <c r="N85" i="13" s="1"/>
  <c r="Q84" i="13"/>
  <c r="I84" i="13"/>
  <c r="G84" i="13"/>
  <c r="H84" i="13" s="1"/>
  <c r="F84" i="13"/>
  <c r="E84" i="13"/>
  <c r="C84" i="13"/>
  <c r="N84" i="13" s="1"/>
  <c r="Q81" i="13"/>
  <c r="I81" i="13"/>
  <c r="G81" i="13"/>
  <c r="H81" i="13" s="1"/>
  <c r="F81" i="13"/>
  <c r="E81" i="13"/>
  <c r="C81" i="13"/>
  <c r="N81" i="13" s="1"/>
  <c r="Q80" i="13"/>
  <c r="I80" i="13"/>
  <c r="G80" i="13"/>
  <c r="H80" i="13" s="1"/>
  <c r="F80" i="13"/>
  <c r="E80" i="13"/>
  <c r="C80" i="13"/>
  <c r="N80" i="13" s="1"/>
  <c r="Q79" i="13"/>
  <c r="I79" i="13"/>
  <c r="G79" i="13"/>
  <c r="H79" i="13" s="1"/>
  <c r="F79" i="13"/>
  <c r="E79" i="13"/>
  <c r="C79" i="13"/>
  <c r="N79" i="13" s="1"/>
  <c r="Q76" i="13"/>
  <c r="I76" i="13"/>
  <c r="G76" i="13"/>
  <c r="H76" i="13" s="1"/>
  <c r="F76" i="13"/>
  <c r="E76" i="13"/>
  <c r="C76" i="13"/>
  <c r="N76" i="13" s="1"/>
  <c r="Q75" i="13"/>
  <c r="I75" i="13"/>
  <c r="G75" i="13"/>
  <c r="H75" i="13" s="1"/>
  <c r="F75" i="13"/>
  <c r="E75" i="13"/>
  <c r="C75" i="13"/>
  <c r="N75" i="13" s="1"/>
  <c r="Q74" i="13"/>
  <c r="I74" i="13"/>
  <c r="G74" i="13"/>
  <c r="H74" i="13" s="1"/>
  <c r="F74" i="13"/>
  <c r="E74" i="13"/>
  <c r="C74" i="13"/>
  <c r="N74" i="13" s="1"/>
  <c r="Q71" i="13"/>
  <c r="I71" i="13"/>
  <c r="G71" i="13"/>
  <c r="H71" i="13" s="1"/>
  <c r="F71" i="13"/>
  <c r="E71" i="13"/>
  <c r="C71" i="13"/>
  <c r="N71" i="13" s="1"/>
  <c r="Q70" i="13"/>
  <c r="I70" i="13"/>
  <c r="G70" i="13"/>
  <c r="H70" i="13" s="1"/>
  <c r="F70" i="13"/>
  <c r="E70" i="13"/>
  <c r="C70" i="13"/>
  <c r="N70" i="13" s="1"/>
  <c r="Q69" i="13"/>
  <c r="I69" i="13"/>
  <c r="G69" i="13"/>
  <c r="H69" i="13" s="1"/>
  <c r="F69" i="13"/>
  <c r="E69" i="13"/>
  <c r="C69" i="13"/>
  <c r="N69" i="13" s="1"/>
  <c r="Q66" i="13"/>
  <c r="I66" i="13"/>
  <c r="G66" i="13"/>
  <c r="H66" i="13" s="1"/>
  <c r="F66" i="13"/>
  <c r="E66" i="13"/>
  <c r="C66" i="13"/>
  <c r="N66" i="13" s="1"/>
  <c r="Q65" i="13"/>
  <c r="I65" i="13"/>
  <c r="G65" i="13"/>
  <c r="H65" i="13" s="1"/>
  <c r="F65" i="13"/>
  <c r="E65" i="13"/>
  <c r="C65" i="13"/>
  <c r="N65" i="13" s="1"/>
  <c r="Q64" i="13"/>
  <c r="I64" i="13"/>
  <c r="G64" i="13"/>
  <c r="H64" i="13" s="1"/>
  <c r="F64" i="13"/>
  <c r="E64" i="13"/>
  <c r="C64" i="13"/>
  <c r="N64" i="13" s="1"/>
  <c r="Q61" i="13"/>
  <c r="I61" i="13"/>
  <c r="G61" i="13"/>
  <c r="H61" i="13" s="1"/>
  <c r="F61" i="13"/>
  <c r="E61" i="13"/>
  <c r="C61" i="13"/>
  <c r="N61" i="13" s="1"/>
  <c r="Q60" i="13"/>
  <c r="I60" i="13"/>
  <c r="G60" i="13"/>
  <c r="H60" i="13" s="1"/>
  <c r="F60" i="13"/>
  <c r="E60" i="13"/>
  <c r="C60" i="13"/>
  <c r="N60" i="13" s="1"/>
  <c r="Q59" i="13"/>
  <c r="I59" i="13"/>
  <c r="G59" i="13"/>
  <c r="H59" i="13" s="1"/>
  <c r="F59" i="13"/>
  <c r="E59" i="13"/>
  <c r="C59" i="13"/>
  <c r="N59" i="13" s="1"/>
  <c r="Q58" i="13"/>
  <c r="I58" i="13"/>
  <c r="G58" i="13"/>
  <c r="H58" i="13" s="1"/>
  <c r="F58" i="13"/>
  <c r="E58" i="13"/>
  <c r="C58" i="13"/>
  <c r="N58" i="13" s="1"/>
  <c r="Q55" i="13"/>
  <c r="I55" i="13"/>
  <c r="G55" i="13"/>
  <c r="H55" i="13" s="1"/>
  <c r="E55" i="13"/>
  <c r="C55" i="13"/>
  <c r="N55" i="13" s="1"/>
  <c r="Q54" i="13"/>
  <c r="I54" i="13"/>
  <c r="G54" i="13"/>
  <c r="H54" i="13" s="1"/>
  <c r="E54" i="13"/>
  <c r="C54" i="13"/>
  <c r="N54" i="13" s="1"/>
  <c r="Q53" i="13"/>
  <c r="I53" i="13"/>
  <c r="G53" i="13"/>
  <c r="H53" i="13" s="1"/>
  <c r="E53" i="13"/>
  <c r="C53" i="13"/>
  <c r="N53" i="13" s="1"/>
  <c r="Q52" i="13"/>
  <c r="I52" i="13"/>
  <c r="G52" i="13"/>
  <c r="H52" i="13" s="1"/>
  <c r="F52" i="13"/>
  <c r="E52" i="13"/>
  <c r="C52" i="13"/>
  <c r="N52" i="13" s="1"/>
  <c r="Q51" i="13"/>
  <c r="I51" i="13"/>
  <c r="G51" i="13"/>
  <c r="H51" i="13" s="1"/>
  <c r="F51" i="13"/>
  <c r="E51" i="13"/>
  <c r="C51" i="13"/>
  <c r="N51" i="13" s="1"/>
  <c r="Q50" i="13"/>
  <c r="I50" i="13"/>
  <c r="G50" i="13"/>
  <c r="H50" i="13" s="1"/>
  <c r="F50" i="13"/>
  <c r="E50" i="13"/>
  <c r="C50" i="13"/>
  <c r="N50" i="13" s="1"/>
  <c r="Q47" i="13"/>
  <c r="I47" i="13"/>
  <c r="G47" i="13"/>
  <c r="H47" i="13" s="1"/>
  <c r="F47" i="13"/>
  <c r="E47" i="13"/>
  <c r="C47" i="13"/>
  <c r="N47" i="13" s="1"/>
  <c r="Q46" i="13"/>
  <c r="I46" i="13"/>
  <c r="G46" i="13"/>
  <c r="H46" i="13" s="1"/>
  <c r="F46" i="13"/>
  <c r="E46" i="13"/>
  <c r="C46" i="13"/>
  <c r="N46" i="13" s="1"/>
  <c r="Q45" i="13"/>
  <c r="I45" i="13"/>
  <c r="G45" i="13"/>
  <c r="H45" i="13" s="1"/>
  <c r="F45" i="13"/>
  <c r="E45" i="13"/>
  <c r="C45" i="13"/>
  <c r="N45" i="13" s="1"/>
  <c r="Q44" i="13"/>
  <c r="I44" i="13"/>
  <c r="G44" i="13"/>
  <c r="H44" i="13" s="1"/>
  <c r="F44" i="13"/>
  <c r="E44" i="13"/>
  <c r="C44" i="13"/>
  <c r="N44" i="13" s="1"/>
  <c r="Q43" i="13"/>
  <c r="I43" i="13"/>
  <c r="G43" i="13"/>
  <c r="H43" i="13" s="1"/>
  <c r="F43" i="13"/>
  <c r="E43" i="13"/>
  <c r="C43" i="13"/>
  <c r="N43" i="13" s="1"/>
  <c r="Q42" i="13"/>
  <c r="I42" i="13"/>
  <c r="G42" i="13"/>
  <c r="H42" i="13" s="1"/>
  <c r="F42" i="13"/>
  <c r="E42" i="13"/>
  <c r="C42" i="13"/>
  <c r="N42" i="13" s="1"/>
  <c r="Q39" i="13"/>
  <c r="I39" i="13"/>
  <c r="G39" i="13"/>
  <c r="H39" i="13" s="1"/>
  <c r="F39" i="13"/>
  <c r="E39" i="13"/>
  <c r="C39" i="13"/>
  <c r="N39" i="13" s="1"/>
  <c r="Q38" i="13"/>
  <c r="I38" i="13"/>
  <c r="G38" i="13"/>
  <c r="H38" i="13" s="1"/>
  <c r="F38" i="13"/>
  <c r="E38" i="13"/>
  <c r="C38" i="13"/>
  <c r="N38" i="13" s="1"/>
  <c r="Q37" i="13"/>
  <c r="I37" i="13"/>
  <c r="G37" i="13"/>
  <c r="H37" i="13" s="1"/>
  <c r="F37" i="13"/>
  <c r="E37" i="13"/>
  <c r="C37" i="13"/>
  <c r="N37" i="13" s="1"/>
  <c r="Q36" i="13"/>
  <c r="I36" i="13"/>
  <c r="G36" i="13"/>
  <c r="H36" i="13" s="1"/>
  <c r="F36" i="13"/>
  <c r="E36" i="13"/>
  <c r="C36" i="13"/>
  <c r="N36" i="13" s="1"/>
  <c r="Q33" i="13"/>
  <c r="I33" i="13"/>
  <c r="G33" i="13"/>
  <c r="H33" i="13" s="1"/>
  <c r="F33" i="13"/>
  <c r="E33" i="13"/>
  <c r="C33" i="13"/>
  <c r="M33" i="13" s="1"/>
  <c r="Q32" i="13"/>
  <c r="I32" i="13"/>
  <c r="G32" i="13"/>
  <c r="H32" i="13" s="1"/>
  <c r="F32" i="13"/>
  <c r="E32" i="13"/>
  <c r="C32" i="13"/>
  <c r="M32" i="13" s="1"/>
  <c r="Q31" i="13"/>
  <c r="I31" i="13"/>
  <c r="G31" i="13"/>
  <c r="H31" i="13" s="1"/>
  <c r="F31" i="13"/>
  <c r="E31" i="13"/>
  <c r="C31" i="13"/>
  <c r="M31" i="13" s="1"/>
  <c r="Q30" i="13"/>
  <c r="I30" i="13"/>
  <c r="G30" i="13"/>
  <c r="H30" i="13" s="1"/>
  <c r="F30" i="13"/>
  <c r="E30" i="13"/>
  <c r="C30" i="13"/>
  <c r="M30" i="13" s="1"/>
  <c r="Q29" i="13"/>
  <c r="I29" i="13"/>
  <c r="G29" i="13"/>
  <c r="H29" i="13" s="1"/>
  <c r="F29" i="13"/>
  <c r="E29" i="13"/>
  <c r="C29" i="13"/>
  <c r="M29" i="13" s="1"/>
  <c r="Q28" i="13"/>
  <c r="I28" i="13"/>
  <c r="G28" i="13"/>
  <c r="H28" i="13" s="1"/>
  <c r="F28" i="13"/>
  <c r="E28" i="13"/>
  <c r="C28" i="13"/>
  <c r="M28" i="13" s="1"/>
  <c r="Q27" i="13"/>
  <c r="I27" i="13"/>
  <c r="G27" i="13"/>
  <c r="H27" i="13" s="1"/>
  <c r="F27" i="13"/>
  <c r="E27" i="13"/>
  <c r="C27" i="13"/>
  <c r="M27" i="13" s="1"/>
  <c r="Q24" i="13"/>
  <c r="I24" i="13"/>
  <c r="G24" i="13"/>
  <c r="H24" i="13" s="1"/>
  <c r="F24" i="13"/>
  <c r="E24" i="13"/>
  <c r="C24" i="13"/>
  <c r="N24" i="13" s="1"/>
  <c r="Q23" i="13"/>
  <c r="I23" i="13"/>
  <c r="G23" i="13"/>
  <c r="H23" i="13" s="1"/>
  <c r="F23" i="13"/>
  <c r="E23" i="13"/>
  <c r="C23" i="13"/>
  <c r="N23" i="13" s="1"/>
  <c r="Q22" i="13"/>
  <c r="I22" i="13"/>
  <c r="G22" i="13"/>
  <c r="H22" i="13" s="1"/>
  <c r="F22" i="13"/>
  <c r="E22" i="13"/>
  <c r="C22" i="13"/>
  <c r="N22" i="13" s="1"/>
  <c r="Q21" i="13"/>
  <c r="I21" i="13"/>
  <c r="G21" i="13"/>
  <c r="H21" i="13" s="1"/>
  <c r="F21" i="13"/>
  <c r="E21" i="13"/>
  <c r="C21" i="13"/>
  <c r="N21" i="13" s="1"/>
  <c r="Q18" i="13"/>
  <c r="I18" i="13"/>
  <c r="G18" i="13"/>
  <c r="H18" i="13" s="1"/>
  <c r="F18" i="13"/>
  <c r="E18" i="13"/>
  <c r="C18" i="13"/>
  <c r="N18" i="13" s="1"/>
  <c r="Q17" i="13"/>
  <c r="I17" i="13"/>
  <c r="G17" i="13"/>
  <c r="H17" i="13" s="1"/>
  <c r="F17" i="13"/>
  <c r="E17" i="13"/>
  <c r="C17" i="13"/>
  <c r="N17" i="13" s="1"/>
  <c r="Q16" i="13"/>
  <c r="I16" i="13"/>
  <c r="G16" i="13"/>
  <c r="H16" i="13" s="1"/>
  <c r="F16" i="13"/>
  <c r="E16" i="13"/>
  <c r="C16" i="13"/>
  <c r="N16" i="13" s="1"/>
  <c r="Q15" i="13"/>
  <c r="I15" i="13"/>
  <c r="G15" i="13"/>
  <c r="H15" i="13" s="1"/>
  <c r="F15" i="13"/>
  <c r="E15" i="13"/>
  <c r="C15" i="13"/>
  <c r="M15" i="13" s="1"/>
  <c r="Q14" i="13"/>
  <c r="I14" i="13"/>
  <c r="G14" i="13"/>
  <c r="H14" i="13" s="1"/>
  <c r="F14" i="13"/>
  <c r="E14" i="13"/>
  <c r="C14" i="13"/>
  <c r="M14" i="13" s="1"/>
  <c r="Q13" i="13"/>
  <c r="I13" i="13"/>
  <c r="G13" i="13"/>
  <c r="H13" i="13" s="1"/>
  <c r="F13" i="13"/>
  <c r="E13" i="13"/>
  <c r="C13" i="13"/>
  <c r="M13" i="13" s="1"/>
  <c r="Q10" i="13"/>
  <c r="I10" i="13"/>
  <c r="G10" i="13"/>
  <c r="H10" i="13" s="1"/>
  <c r="F10" i="13"/>
  <c r="F55" i="13" s="1"/>
  <c r="E10" i="13"/>
  <c r="C10" i="13"/>
  <c r="N10" i="13" s="1"/>
  <c r="Q9" i="13"/>
  <c r="I9" i="13"/>
  <c r="G9" i="13"/>
  <c r="H9" i="13" s="1"/>
  <c r="F9" i="13"/>
  <c r="F54" i="13" s="1"/>
  <c r="E9" i="13"/>
  <c r="C9" i="13"/>
  <c r="N9" i="13" s="1"/>
  <c r="Q8" i="13"/>
  <c r="I8" i="13"/>
  <c r="G8" i="13"/>
  <c r="H8" i="13" s="1"/>
  <c r="F8" i="13"/>
  <c r="F53" i="13" s="1"/>
  <c r="E8" i="13"/>
  <c r="C8" i="13"/>
  <c r="N8" i="13" s="1"/>
  <c r="J84" i="13" l="1"/>
  <c r="J110" i="13"/>
  <c r="J21" i="13"/>
  <c r="J66" i="13"/>
  <c r="J94" i="13"/>
  <c r="J116" i="13"/>
  <c r="J164" i="13"/>
  <c r="J85" i="13"/>
  <c r="J99" i="13"/>
  <c r="J111" i="13"/>
  <c r="J10" i="13"/>
  <c r="J76" i="13"/>
  <c r="J138" i="13"/>
  <c r="J18" i="13"/>
  <c r="J22" i="13"/>
  <c r="J24" i="13"/>
  <c r="J37" i="13"/>
  <c r="J39" i="13"/>
  <c r="J147" i="13"/>
  <c r="J148" i="13"/>
  <c r="J160" i="13"/>
  <c r="M160" i="13"/>
  <c r="J52" i="13"/>
  <c r="M10" i="13"/>
  <c r="O10" i="13" s="1"/>
  <c r="J14" i="13"/>
  <c r="M22" i="13"/>
  <c r="O22" i="13" s="1"/>
  <c r="J32" i="13"/>
  <c r="J46" i="13"/>
  <c r="M52" i="13"/>
  <c r="J158" i="13"/>
  <c r="M158" i="13"/>
  <c r="O158" i="13" s="1"/>
  <c r="R158" i="13" s="1"/>
  <c r="J162" i="13"/>
  <c r="M162" i="13"/>
  <c r="J16" i="13"/>
  <c r="J44" i="13"/>
  <c r="J149" i="13"/>
  <c r="M24" i="13"/>
  <c r="O24" i="13" s="1"/>
  <c r="J28" i="13"/>
  <c r="N28" i="13"/>
  <c r="O28" i="13" s="1"/>
  <c r="R28" i="13" s="1"/>
  <c r="J29" i="13"/>
  <c r="N32" i="13"/>
  <c r="J33" i="13"/>
  <c r="M37" i="13"/>
  <c r="O37" i="13" s="1"/>
  <c r="R37" i="13" s="1"/>
  <c r="M39" i="13"/>
  <c r="O39" i="13" s="1"/>
  <c r="R39" i="13" s="1"/>
  <c r="J43" i="13"/>
  <c r="J45" i="13"/>
  <c r="J47" i="13"/>
  <c r="J50" i="13"/>
  <c r="J51" i="13"/>
  <c r="M51" i="13"/>
  <c r="O51" i="13" s="1"/>
  <c r="J60" i="13"/>
  <c r="J80" i="13"/>
  <c r="M85" i="13"/>
  <c r="J90" i="13"/>
  <c r="J96" i="13"/>
  <c r="N96" i="13"/>
  <c r="M100" i="13"/>
  <c r="J105" i="13"/>
  <c r="M110" i="13"/>
  <c r="G114" i="13"/>
  <c r="H114" i="13" s="1"/>
  <c r="M115" i="13"/>
  <c r="O115" i="13" s="1"/>
  <c r="R115" i="13" s="1"/>
  <c r="J121" i="13"/>
  <c r="M128" i="13"/>
  <c r="O128" i="13" s="1"/>
  <c r="J133" i="13"/>
  <c r="N133" i="13"/>
  <c r="J134" i="13"/>
  <c r="M138" i="13"/>
  <c r="J144" i="13"/>
  <c r="M147" i="13"/>
  <c r="O147" i="13" s="1"/>
  <c r="R147" i="13" s="1"/>
  <c r="M149" i="13"/>
  <c r="O149" i="13" s="1"/>
  <c r="J152" i="13"/>
  <c r="J154" i="13"/>
  <c r="J157" i="13"/>
  <c r="M157" i="13"/>
  <c r="J159" i="13"/>
  <c r="M159" i="13"/>
  <c r="J161" i="13"/>
  <c r="M161" i="13"/>
  <c r="O161" i="13" s="1"/>
  <c r="R161" i="13" s="1"/>
  <c r="J163" i="13"/>
  <c r="M163" i="13"/>
  <c r="J9" i="13"/>
  <c r="M9" i="13"/>
  <c r="J15" i="13"/>
  <c r="J17" i="13"/>
  <c r="J23" i="13"/>
  <c r="M23" i="13"/>
  <c r="J30" i="13"/>
  <c r="N30" i="13"/>
  <c r="O30" i="13" s="1"/>
  <c r="R30" i="13" s="1"/>
  <c r="J31" i="13"/>
  <c r="M38" i="13"/>
  <c r="O38" i="13" s="1"/>
  <c r="M53" i="13"/>
  <c r="O53" i="13" s="1"/>
  <c r="M54" i="13"/>
  <c r="M55" i="13"/>
  <c r="O55" i="13" s="1"/>
  <c r="J59" i="13"/>
  <c r="J61" i="13"/>
  <c r="M66" i="13"/>
  <c r="O66" i="13" s="1"/>
  <c r="R66" i="13" s="1"/>
  <c r="J70" i="13"/>
  <c r="J81" i="13"/>
  <c r="M84" i="13"/>
  <c r="O84" i="13" s="1"/>
  <c r="R84" i="13" s="1"/>
  <c r="M86" i="13"/>
  <c r="O86" i="13" s="1"/>
  <c r="R86" i="13" s="1"/>
  <c r="J89" i="13"/>
  <c r="J91" i="13"/>
  <c r="M94" i="13"/>
  <c r="O94" i="13" s="1"/>
  <c r="R94" i="13" s="1"/>
  <c r="J95" i="13"/>
  <c r="M99" i="13"/>
  <c r="O99" i="13" s="1"/>
  <c r="R99" i="13" s="1"/>
  <c r="O100" i="13"/>
  <c r="M101" i="13"/>
  <c r="O101" i="13" s="1"/>
  <c r="R101" i="13" s="1"/>
  <c r="J104" i="13"/>
  <c r="J106" i="13"/>
  <c r="M109" i="13"/>
  <c r="O109" i="13" s="1"/>
  <c r="R109" i="13" s="1"/>
  <c r="M111" i="13"/>
  <c r="O111" i="13" s="1"/>
  <c r="R111" i="13" s="1"/>
  <c r="C114" i="13"/>
  <c r="N114" i="13" s="1"/>
  <c r="E114" i="13"/>
  <c r="M116" i="13"/>
  <c r="O116" i="13" s="1"/>
  <c r="R116" i="13" s="1"/>
  <c r="J119" i="13"/>
  <c r="J122" i="13"/>
  <c r="M125" i="13"/>
  <c r="M129" i="13"/>
  <c r="J132" i="13"/>
  <c r="M139" i="13"/>
  <c r="O139" i="13" s="1"/>
  <c r="R139" i="13" s="1"/>
  <c r="J143" i="13"/>
  <c r="M148" i="13"/>
  <c r="O148" i="13" s="1"/>
  <c r="R148" i="13" s="1"/>
  <c r="J153" i="13"/>
  <c r="M76" i="13"/>
  <c r="O76" i="13" s="1"/>
  <c r="R76" i="13" s="1"/>
  <c r="J64" i="13"/>
  <c r="J65" i="13"/>
  <c r="M65" i="13"/>
  <c r="O65" i="13" s="1"/>
  <c r="J71" i="13"/>
  <c r="J74" i="13"/>
  <c r="J75" i="13"/>
  <c r="M75" i="13"/>
  <c r="M36" i="13"/>
  <c r="O36" i="13" s="1"/>
  <c r="M21" i="13"/>
  <c r="J8" i="13"/>
  <c r="M8" i="13"/>
  <c r="O8" i="13" s="1"/>
  <c r="J120" i="13"/>
  <c r="J142" i="13"/>
  <c r="M137" i="13"/>
  <c r="O137" i="13" s="1"/>
  <c r="R137" i="13" s="1"/>
  <c r="M127" i="13"/>
  <c r="O127" i="13" s="1"/>
  <c r="R127" i="13" s="1"/>
  <c r="J79" i="13"/>
  <c r="M74" i="13"/>
  <c r="O74" i="13" s="1"/>
  <c r="R74" i="13" s="1"/>
  <c r="J69" i="13"/>
  <c r="M64" i="13"/>
  <c r="O64" i="13" s="1"/>
  <c r="R64" i="13" s="1"/>
  <c r="J58" i="13"/>
  <c r="M50" i="13"/>
  <c r="J42" i="13"/>
  <c r="J27" i="13"/>
  <c r="J13" i="13"/>
  <c r="O129" i="13"/>
  <c r="R129" i="13" s="1"/>
  <c r="O9" i="13"/>
  <c r="R9" i="13" s="1"/>
  <c r="O21" i="13"/>
  <c r="R21" i="13" s="1"/>
  <c r="O23" i="13"/>
  <c r="R23" i="13" s="1"/>
  <c r="N13" i="13"/>
  <c r="O13" i="13" s="1"/>
  <c r="N14" i="13"/>
  <c r="O14" i="13" s="1"/>
  <c r="R14" i="13" s="1"/>
  <c r="N15" i="13"/>
  <c r="O15" i="13" s="1"/>
  <c r="R15" i="13" s="1"/>
  <c r="M16" i="13"/>
  <c r="O16" i="13" s="1"/>
  <c r="R16" i="13" s="1"/>
  <c r="M17" i="13"/>
  <c r="O17" i="13" s="1"/>
  <c r="R17" i="13" s="1"/>
  <c r="M18" i="13"/>
  <c r="O18" i="13" s="1"/>
  <c r="R18" i="13" s="1"/>
  <c r="N27" i="13"/>
  <c r="O27" i="13" s="1"/>
  <c r="R27" i="13" s="1"/>
  <c r="N29" i="13"/>
  <c r="O29" i="13" s="1"/>
  <c r="N31" i="13"/>
  <c r="O31" i="13" s="1"/>
  <c r="O32" i="13"/>
  <c r="N33" i="13"/>
  <c r="O33" i="13" s="1"/>
  <c r="R33" i="13" s="1"/>
  <c r="J36" i="13"/>
  <c r="J38" i="13"/>
  <c r="O50" i="13"/>
  <c r="O52" i="13"/>
  <c r="R52" i="13" s="1"/>
  <c r="O54" i="13"/>
  <c r="O75" i="13"/>
  <c r="R75" i="13" s="1"/>
  <c r="O85" i="13"/>
  <c r="R85" i="13" s="1"/>
  <c r="J53" i="13"/>
  <c r="J54" i="13"/>
  <c r="J55" i="13"/>
  <c r="M42" i="13"/>
  <c r="O42" i="13" s="1"/>
  <c r="M43" i="13"/>
  <c r="O43" i="13" s="1"/>
  <c r="M44" i="13"/>
  <c r="O44" i="13" s="1"/>
  <c r="R44" i="13" s="1"/>
  <c r="M45" i="13"/>
  <c r="O45" i="13" s="1"/>
  <c r="M46" i="13"/>
  <c r="O46" i="13" s="1"/>
  <c r="R46" i="13" s="1"/>
  <c r="M47" i="13"/>
  <c r="O47" i="13" s="1"/>
  <c r="M58" i="13"/>
  <c r="O58" i="13" s="1"/>
  <c r="R58" i="13" s="1"/>
  <c r="M59" i="13"/>
  <c r="O59" i="13" s="1"/>
  <c r="M60" i="13"/>
  <c r="O60" i="13" s="1"/>
  <c r="R60" i="13" s="1"/>
  <c r="M61" i="13"/>
  <c r="O61" i="13" s="1"/>
  <c r="M69" i="13"/>
  <c r="O69" i="13" s="1"/>
  <c r="R69" i="13" s="1"/>
  <c r="M70" i="13"/>
  <c r="O70" i="13" s="1"/>
  <c r="R70" i="13" s="1"/>
  <c r="M71" i="13"/>
  <c r="O71" i="13" s="1"/>
  <c r="M79" i="13"/>
  <c r="O79" i="13" s="1"/>
  <c r="M80" i="13"/>
  <c r="O80" i="13" s="1"/>
  <c r="R80" i="13" s="1"/>
  <c r="M81" i="13"/>
  <c r="O81" i="13" s="1"/>
  <c r="R81" i="13" s="1"/>
  <c r="M89" i="13"/>
  <c r="O89" i="13" s="1"/>
  <c r="R89" i="13" s="1"/>
  <c r="M90" i="13"/>
  <c r="O90" i="13" s="1"/>
  <c r="R90" i="13" s="1"/>
  <c r="M91" i="13"/>
  <c r="O91" i="13" s="1"/>
  <c r="R91" i="13" s="1"/>
  <c r="N95" i="13"/>
  <c r="O96" i="13"/>
  <c r="J100" i="13"/>
  <c r="R100" i="13" s="1"/>
  <c r="O110" i="13"/>
  <c r="R110" i="13" s="1"/>
  <c r="O125" i="13"/>
  <c r="R125" i="13" s="1"/>
  <c r="O95" i="13"/>
  <c r="R95" i="13" s="1"/>
  <c r="N104" i="13"/>
  <c r="O104" i="13" s="1"/>
  <c r="R104" i="13" s="1"/>
  <c r="N105" i="13"/>
  <c r="O105" i="13" s="1"/>
  <c r="R105" i="13" s="1"/>
  <c r="N106" i="13"/>
  <c r="O106" i="13" s="1"/>
  <c r="N119" i="13"/>
  <c r="O119" i="13" s="1"/>
  <c r="R119" i="13" s="1"/>
  <c r="N120" i="13"/>
  <c r="O120" i="13" s="1"/>
  <c r="N121" i="13"/>
  <c r="O121" i="13" s="1"/>
  <c r="N122" i="13"/>
  <c r="O122" i="13" s="1"/>
  <c r="R122" i="13" s="1"/>
  <c r="J126" i="13"/>
  <c r="N134" i="13"/>
  <c r="M134" i="13"/>
  <c r="O157" i="13"/>
  <c r="R157" i="13" s="1"/>
  <c r="O159" i="13"/>
  <c r="R159" i="13" s="1"/>
  <c r="O163" i="13"/>
  <c r="F114" i="13"/>
  <c r="J114" i="13" s="1"/>
  <c r="M126" i="13"/>
  <c r="O126" i="13" s="1"/>
  <c r="J128" i="13"/>
  <c r="N132" i="13"/>
  <c r="O132" i="13" s="1"/>
  <c r="O133" i="13"/>
  <c r="O138" i="13"/>
  <c r="O160" i="13"/>
  <c r="R160" i="13" s="1"/>
  <c r="O162" i="13"/>
  <c r="R162" i="13" s="1"/>
  <c r="M142" i="13"/>
  <c r="O142" i="13" s="1"/>
  <c r="R142" i="13" s="1"/>
  <c r="M143" i="13"/>
  <c r="O143" i="13" s="1"/>
  <c r="R143" i="13" s="1"/>
  <c r="M144" i="13"/>
  <c r="O144" i="13" s="1"/>
  <c r="R144" i="13" s="1"/>
  <c r="M152" i="13"/>
  <c r="O152" i="13" s="1"/>
  <c r="R152" i="13" s="1"/>
  <c r="M153" i="13"/>
  <c r="O153" i="13" s="1"/>
  <c r="M154" i="13"/>
  <c r="O154" i="13" s="1"/>
  <c r="R154" i="13" s="1"/>
  <c r="N164" i="13"/>
  <c r="O164" i="13" s="1"/>
  <c r="R164" i="13" s="1"/>
  <c r="M36" i="51"/>
  <c r="M37" i="51"/>
  <c r="M35" i="51"/>
  <c r="M32" i="51"/>
  <c r="M33" i="51"/>
  <c r="M31" i="51"/>
  <c r="M28" i="51"/>
  <c r="M29" i="51"/>
  <c r="M27" i="51"/>
  <c r="M23" i="51"/>
  <c r="M24" i="51"/>
  <c r="M25" i="51"/>
  <c r="M20" i="51"/>
  <c r="M21" i="51"/>
  <c r="M19" i="51"/>
  <c r="M16" i="51"/>
  <c r="M17" i="51"/>
  <c r="M15" i="51"/>
  <c r="M12" i="51"/>
  <c r="M13" i="51"/>
  <c r="M11" i="51"/>
  <c r="M8" i="51"/>
  <c r="M9" i="51"/>
  <c r="M7" i="51"/>
  <c r="E38" i="51"/>
  <c r="E39" i="51"/>
  <c r="E37" i="51"/>
  <c r="E34" i="51"/>
  <c r="E35" i="51"/>
  <c r="E33" i="51"/>
  <c r="E30" i="51"/>
  <c r="E31" i="51"/>
  <c r="E29" i="51"/>
  <c r="E26" i="51"/>
  <c r="E27" i="51"/>
  <c r="E25" i="51"/>
  <c r="E22" i="51"/>
  <c r="E23" i="51"/>
  <c r="E21" i="51"/>
  <c r="E16" i="51"/>
  <c r="E17" i="51"/>
  <c r="E15" i="51"/>
  <c r="E12" i="51"/>
  <c r="E13" i="51"/>
  <c r="E11" i="51"/>
  <c r="E8" i="51"/>
  <c r="E9" i="51"/>
  <c r="E7" i="51"/>
  <c r="R128" i="13" l="1"/>
  <c r="R61" i="13"/>
  <c r="R163" i="13"/>
  <c r="R153" i="13"/>
  <c r="R59" i="13"/>
  <c r="R47" i="13"/>
  <c r="R50" i="13"/>
  <c r="R56" i="13" s="1"/>
  <c r="R22" i="13"/>
  <c r="R25" i="13" s="1"/>
  <c r="R96" i="13"/>
  <c r="R97" i="13" s="1"/>
  <c r="R45" i="13"/>
  <c r="R10" i="13"/>
  <c r="R43" i="13"/>
  <c r="R48" i="13" s="1"/>
  <c r="R121" i="13"/>
  <c r="R123" i="13" s="1"/>
  <c r="R32" i="13"/>
  <c r="R24" i="13"/>
  <c r="R120" i="13"/>
  <c r="R31" i="13"/>
  <c r="R138" i="13"/>
  <c r="R133" i="13"/>
  <c r="M114" i="13"/>
  <c r="O114" i="13" s="1"/>
  <c r="R114" i="13" s="1"/>
  <c r="R117" i="13" s="1"/>
  <c r="R79" i="13"/>
  <c r="R82" i="13" s="1"/>
  <c r="R29" i="13"/>
  <c r="R34" i="13" s="1"/>
  <c r="R132" i="13"/>
  <c r="R106" i="13"/>
  <c r="R107" i="13" s="1"/>
  <c r="R71" i="13"/>
  <c r="R72" i="13" s="1"/>
  <c r="R155" i="13"/>
  <c r="R55" i="13"/>
  <c r="R53" i="13"/>
  <c r="R65" i="13"/>
  <c r="R67" i="13" s="1"/>
  <c r="R87" i="13"/>
  <c r="R8" i="13"/>
  <c r="R11" i="13" s="1"/>
  <c r="R149" i="13"/>
  <c r="R112" i="13"/>
  <c r="R102" i="13"/>
  <c r="R51" i="13"/>
  <c r="R42" i="13"/>
  <c r="R54" i="13"/>
  <c r="R36" i="13"/>
  <c r="R13" i="13"/>
  <c r="R19" i="13" s="1"/>
  <c r="R140" i="13"/>
  <c r="R77" i="13"/>
  <c r="R130" i="13"/>
  <c r="R38" i="13"/>
  <c r="R40" i="13" s="1"/>
  <c r="R150" i="13"/>
  <c r="R92" i="13"/>
  <c r="R62" i="13"/>
  <c r="R145" i="13"/>
  <c r="O134" i="13"/>
  <c r="R134" i="13" s="1"/>
  <c r="R135" i="13" s="1"/>
  <c r="R126" i="13"/>
  <c r="AC25" i="36"/>
  <c r="AM25" i="36" s="1"/>
  <c r="AW25" i="36" s="1"/>
  <c r="BG25" i="36" s="1"/>
  <c r="BQ25" i="36" s="1"/>
  <c r="CA25" i="36" s="1"/>
  <c r="CK25" i="36" s="1"/>
  <c r="CU25" i="36" s="1"/>
  <c r="DE25" i="36" s="1"/>
  <c r="DO25" i="36" s="1"/>
  <c r="S16" i="36"/>
  <c r="AC16" i="36" s="1"/>
  <c r="AM16" i="36" s="1"/>
  <c r="AW16" i="36" s="1"/>
  <c r="BG16" i="36" s="1"/>
  <c r="BQ16" i="36" s="1"/>
  <c r="CA16" i="36" s="1"/>
  <c r="CK16" i="36" s="1"/>
  <c r="CU16" i="36" s="1"/>
  <c r="DE16" i="36" s="1"/>
  <c r="DO16" i="36" s="1"/>
  <c r="S17" i="36"/>
  <c r="AC17" i="36" s="1"/>
  <c r="AM17" i="36" s="1"/>
  <c r="AW17" i="36" s="1"/>
  <c r="BG17" i="36" s="1"/>
  <c r="BQ17" i="36" s="1"/>
  <c r="CA17" i="36" s="1"/>
  <c r="CK17" i="36" s="1"/>
  <c r="CU17" i="36" s="1"/>
  <c r="DE17" i="36" s="1"/>
  <c r="DO17" i="36" s="1"/>
  <c r="S25" i="36"/>
  <c r="R165" i="13" l="1"/>
  <c r="R170" i="13" s="1"/>
  <c r="R166" i="13" l="1"/>
  <c r="M169" i="13"/>
  <c r="E15" i="53"/>
  <c r="B19" i="53" s="1"/>
  <c r="E71" i="53"/>
  <c r="F71" i="53" s="1"/>
  <c r="E75" i="53" s="1"/>
  <c r="E63" i="53"/>
  <c r="F63" i="53" s="1"/>
  <c r="E67" i="53" s="1"/>
  <c r="E55" i="53"/>
  <c r="F55" i="53" s="1"/>
  <c r="E59" i="53" s="1"/>
  <c r="E47" i="53"/>
  <c r="F47" i="53" s="1"/>
  <c r="E51" i="53" s="1"/>
  <c r="E39" i="53"/>
  <c r="E31" i="53"/>
  <c r="D33" i="53" s="1"/>
  <c r="E23" i="53"/>
  <c r="F23" i="53" s="1"/>
  <c r="E27" i="53" s="1"/>
  <c r="E7" i="53"/>
  <c r="B11" i="53" s="1"/>
  <c r="F39" i="53" l="1"/>
  <c r="E43" i="53" s="1"/>
  <c r="F31" i="53"/>
  <c r="E35" i="53" s="1"/>
  <c r="B35" i="53" s="1"/>
  <c r="B27" i="53"/>
  <c r="D25" i="53"/>
  <c r="F7" i="53"/>
  <c r="E11" i="53" s="1"/>
  <c r="F15" i="53"/>
  <c r="E19" i="53" s="1"/>
  <c r="C75" i="53"/>
  <c r="B75" i="53"/>
  <c r="C11" i="53"/>
  <c r="C19" i="53"/>
  <c r="B51" i="53"/>
  <c r="C51" i="53"/>
  <c r="B59" i="53"/>
  <c r="C59" i="53"/>
  <c r="C27" i="53"/>
  <c r="B43" i="53"/>
  <c r="C43" i="53"/>
  <c r="B67" i="53"/>
  <c r="C67" i="53"/>
  <c r="F31" i="52"/>
  <c r="E35" i="52" s="1"/>
  <c r="E31" i="52"/>
  <c r="B35" i="52" s="1"/>
  <c r="C35" i="53" l="1"/>
  <c r="E15" i="52" l="1"/>
  <c r="E7" i="52"/>
  <c r="E62" i="52"/>
  <c r="F62" i="52" s="1"/>
  <c r="E66" i="52" s="1"/>
  <c r="F66" i="52" s="1"/>
  <c r="C66" i="52" s="1"/>
  <c r="E54" i="52"/>
  <c r="F54" i="52" s="1"/>
  <c r="E58" i="52" s="1"/>
  <c r="F58" i="52" s="1"/>
  <c r="E46" i="52"/>
  <c r="F46" i="52" s="1"/>
  <c r="E50" i="52" s="1"/>
  <c r="F50" i="52" s="1"/>
  <c r="C50" i="52" s="1"/>
  <c r="E38" i="52"/>
  <c r="F38" i="52" s="1"/>
  <c r="E42" i="52" s="1"/>
  <c r="F42" i="52" s="1"/>
  <c r="C42" i="52" s="1"/>
  <c r="E23" i="52"/>
  <c r="E27" i="52" l="1"/>
  <c r="F27" i="52" s="1"/>
  <c r="C27" i="52" s="1"/>
  <c r="F23" i="52"/>
  <c r="B11" i="52"/>
  <c r="F7" i="52"/>
  <c r="E11" i="52" s="1"/>
  <c r="E19" i="52"/>
  <c r="F19" i="52" s="1"/>
  <c r="C19" i="52" s="1"/>
  <c r="F15" i="52"/>
  <c r="B19" i="52"/>
  <c r="B42" i="52"/>
  <c r="B50" i="52"/>
  <c r="B58" i="52"/>
  <c r="B66" i="52"/>
  <c r="C58" i="52"/>
  <c r="B27" i="52" l="1"/>
  <c r="G5" i="51"/>
  <c r="P36" i="51" l="1"/>
  <c r="O36" i="51" s="1"/>
  <c r="P37" i="51"/>
  <c r="O37" i="51" s="1"/>
  <c r="P32" i="51"/>
  <c r="O32" i="51" s="1"/>
  <c r="P33" i="51"/>
  <c r="O33" i="51" s="1"/>
  <c r="P28" i="51"/>
  <c r="O28" i="51" s="1"/>
  <c r="P29" i="51"/>
  <c r="O29" i="51" s="1"/>
  <c r="P24" i="51"/>
  <c r="O24" i="51" s="1"/>
  <c r="P25" i="51"/>
  <c r="O25" i="51" s="1"/>
  <c r="P20" i="51"/>
  <c r="O20" i="51" s="1"/>
  <c r="P21" i="51"/>
  <c r="O21" i="51" s="1"/>
  <c r="P16" i="51"/>
  <c r="O16" i="51" s="1"/>
  <c r="P17" i="51"/>
  <c r="O17" i="51" s="1"/>
  <c r="P12" i="51"/>
  <c r="O12" i="51" s="1"/>
  <c r="P13" i="51"/>
  <c r="O13" i="51" s="1"/>
  <c r="H39" i="51"/>
  <c r="G39" i="51" s="1"/>
  <c r="P8" i="51"/>
  <c r="O8" i="51" s="1"/>
  <c r="P9" i="51"/>
  <c r="O9" i="51" s="1"/>
  <c r="H8" i="51"/>
  <c r="G8" i="51" s="1"/>
  <c r="H12" i="51"/>
  <c r="G12" i="51" s="1"/>
  <c r="P15" i="51"/>
  <c r="O15" i="51" s="1"/>
  <c r="P27" i="51"/>
  <c r="O27" i="51" s="1"/>
  <c r="P23" i="51"/>
  <c r="O23" i="51" s="1"/>
  <c r="H13" i="51"/>
  <c r="G13" i="51" s="1"/>
  <c r="H15" i="51"/>
  <c r="G15" i="51" s="1"/>
  <c r="H16" i="51"/>
  <c r="G16" i="51" s="1"/>
  <c r="H17" i="51"/>
  <c r="G17" i="51" s="1"/>
  <c r="H21" i="51"/>
  <c r="G21" i="51" s="1"/>
  <c r="H22" i="51"/>
  <c r="G22" i="51" s="1"/>
  <c r="H23" i="51"/>
  <c r="G23" i="51" s="1"/>
  <c r="H25" i="51"/>
  <c r="G25" i="51" s="1"/>
  <c r="H26" i="51"/>
  <c r="G26" i="51" s="1"/>
  <c r="H27" i="51"/>
  <c r="G27" i="51" s="1"/>
  <c r="H29" i="51"/>
  <c r="G29" i="51" s="1"/>
  <c r="H30" i="51"/>
  <c r="G30" i="51" s="1"/>
  <c r="H31" i="51"/>
  <c r="G31" i="51" s="1"/>
  <c r="H33" i="51"/>
  <c r="G33" i="51" s="1"/>
  <c r="H34" i="51"/>
  <c r="G34" i="51" s="1"/>
  <c r="H35" i="51"/>
  <c r="G35" i="51" s="1"/>
  <c r="H37" i="51"/>
  <c r="G37" i="51" s="1"/>
  <c r="H38" i="51"/>
  <c r="G38" i="51" s="1"/>
  <c r="P7" i="51"/>
  <c r="O7" i="51" s="1"/>
  <c r="P11" i="51"/>
  <c r="O11" i="51" s="1"/>
  <c r="P31" i="51"/>
  <c r="O31" i="51" s="1"/>
  <c r="P35" i="51"/>
  <c r="O35" i="51" s="1"/>
  <c r="H7" i="51"/>
  <c r="G7" i="51" s="1"/>
  <c r="H9" i="51"/>
  <c r="G9" i="51" s="1"/>
  <c r="H11" i="51"/>
  <c r="G11" i="51" s="1"/>
  <c r="G14" i="51" s="1"/>
  <c r="I9" i="36" s="1"/>
  <c r="S9" i="36" s="1"/>
  <c r="P19" i="51"/>
  <c r="O19" i="51" s="1"/>
  <c r="AC9" i="36" l="1"/>
  <c r="AM9" i="36" s="1"/>
  <c r="O34" i="51"/>
  <c r="I24" i="36" s="1"/>
  <c r="S24" i="36" s="1"/>
  <c r="AC24" i="36" s="1"/>
  <c r="AM24" i="36" s="1"/>
  <c r="AW24" i="36" s="1"/>
  <c r="BG24" i="36" s="1"/>
  <c r="BQ24" i="36" s="1"/>
  <c r="CA24" i="36" s="1"/>
  <c r="CK24" i="36" s="1"/>
  <c r="CU24" i="36" s="1"/>
  <c r="DE24" i="36" s="1"/>
  <c r="DO24" i="36" s="1"/>
  <c r="O38" i="51"/>
  <c r="I26" i="36" s="1"/>
  <c r="S26" i="36" s="1"/>
  <c r="AC26" i="36" s="1"/>
  <c r="AM26" i="36" s="1"/>
  <c r="AW26" i="36" s="1"/>
  <c r="BG26" i="36" s="1"/>
  <c r="BQ26" i="36" s="1"/>
  <c r="CA26" i="36" s="1"/>
  <c r="CK26" i="36" s="1"/>
  <c r="CU26" i="36" s="1"/>
  <c r="DE26" i="36" s="1"/>
  <c r="DO26" i="36" s="1"/>
  <c r="O26" i="51"/>
  <c r="I22" i="36" s="1"/>
  <c r="S22" i="36" s="1"/>
  <c r="AC22" i="36" s="1"/>
  <c r="AM22" i="36" s="1"/>
  <c r="AW22" i="36" s="1"/>
  <c r="BG22" i="36" s="1"/>
  <c r="BQ22" i="36" s="1"/>
  <c r="CA22" i="36" s="1"/>
  <c r="CK22" i="36" s="1"/>
  <c r="CU22" i="36" s="1"/>
  <c r="DE22" i="36" s="1"/>
  <c r="DO22" i="36" s="1"/>
  <c r="O30" i="51"/>
  <c r="I23" i="36" s="1"/>
  <c r="S23" i="36" s="1"/>
  <c r="AC23" i="36" s="1"/>
  <c r="AM23" i="36" s="1"/>
  <c r="AW23" i="36" s="1"/>
  <c r="BG23" i="36" s="1"/>
  <c r="BQ23" i="36" s="1"/>
  <c r="CA23" i="36" s="1"/>
  <c r="CK23" i="36" s="1"/>
  <c r="CU23" i="36" s="1"/>
  <c r="DE23" i="36" s="1"/>
  <c r="DO23" i="36" s="1"/>
  <c r="O22" i="51"/>
  <c r="I21" i="36" s="1"/>
  <c r="S21" i="36" s="1"/>
  <c r="AC21" i="36" s="1"/>
  <c r="AM21" i="36" s="1"/>
  <c r="AW21" i="36" s="1"/>
  <c r="BG21" i="36" s="1"/>
  <c r="BQ21" i="36" s="1"/>
  <c r="CA21" i="36" s="1"/>
  <c r="CK21" i="36" s="1"/>
  <c r="CU21" i="36" s="1"/>
  <c r="DE21" i="36" s="1"/>
  <c r="DO21" i="36" s="1"/>
  <c r="O18" i="51"/>
  <c r="I20" i="36" s="1"/>
  <c r="S20" i="36" s="1"/>
  <c r="AC20" i="36" s="1"/>
  <c r="AM20" i="36" s="1"/>
  <c r="AW20" i="36" s="1"/>
  <c r="BG20" i="36" s="1"/>
  <c r="BQ20" i="36" s="1"/>
  <c r="CA20" i="36" s="1"/>
  <c r="CK20" i="36" s="1"/>
  <c r="CU20" i="36" s="1"/>
  <c r="DE20" i="36" s="1"/>
  <c r="DO20" i="36" s="1"/>
  <c r="O14" i="51"/>
  <c r="I19" i="36" s="1"/>
  <c r="S19" i="36" s="1"/>
  <c r="AC19" i="36" s="1"/>
  <c r="AM19" i="36" s="1"/>
  <c r="AW19" i="36" s="1"/>
  <c r="BG19" i="36" s="1"/>
  <c r="BQ19" i="36" s="1"/>
  <c r="CA19" i="36" s="1"/>
  <c r="CK19" i="36" s="1"/>
  <c r="CU19" i="36" s="1"/>
  <c r="DE19" i="36" s="1"/>
  <c r="DO19" i="36" s="1"/>
  <c r="O10" i="51"/>
  <c r="I18" i="36" s="1"/>
  <c r="S18" i="36" s="1"/>
  <c r="AC18" i="36" s="1"/>
  <c r="AM18" i="36" s="1"/>
  <c r="AW18" i="36" s="1"/>
  <c r="BG18" i="36" s="1"/>
  <c r="BQ18" i="36" s="1"/>
  <c r="CA18" i="36" s="1"/>
  <c r="CK18" i="36" s="1"/>
  <c r="CU18" i="36" s="1"/>
  <c r="DE18" i="36" s="1"/>
  <c r="DO18" i="36" s="1"/>
  <c r="G40" i="51"/>
  <c r="I15" i="36" s="1"/>
  <c r="S15" i="36" s="1"/>
  <c r="AC15" i="36" s="1"/>
  <c r="AM15" i="36" s="1"/>
  <c r="AW15" i="36" s="1"/>
  <c r="BG15" i="36" s="1"/>
  <c r="BQ15" i="36" s="1"/>
  <c r="CA15" i="36" s="1"/>
  <c r="CK15" i="36" s="1"/>
  <c r="CU15" i="36" s="1"/>
  <c r="DE15" i="36" s="1"/>
  <c r="DO15" i="36" s="1"/>
  <c r="G36" i="51"/>
  <c r="I14" i="36" s="1"/>
  <c r="S14" i="36" s="1"/>
  <c r="AC14" i="36" s="1"/>
  <c r="AM14" i="36" s="1"/>
  <c r="AW14" i="36" s="1"/>
  <c r="BG14" i="36" s="1"/>
  <c r="BQ14" i="36" s="1"/>
  <c r="CA14" i="36" s="1"/>
  <c r="CK14" i="36" s="1"/>
  <c r="CU14" i="36" s="1"/>
  <c r="DE14" i="36" s="1"/>
  <c r="DO14" i="36" s="1"/>
  <c r="G32" i="51"/>
  <c r="I13" i="36" s="1"/>
  <c r="S13" i="36" s="1"/>
  <c r="AC13" i="36" s="1"/>
  <c r="AM13" i="36" s="1"/>
  <c r="AW13" i="36" s="1"/>
  <c r="BG13" i="36" s="1"/>
  <c r="BQ13" i="36" s="1"/>
  <c r="CA13" i="36" s="1"/>
  <c r="CK13" i="36" s="1"/>
  <c r="CU13" i="36" s="1"/>
  <c r="DE13" i="36" s="1"/>
  <c r="DO13" i="36" s="1"/>
  <c r="G28" i="51"/>
  <c r="I12" i="36" s="1"/>
  <c r="S12" i="36" s="1"/>
  <c r="AC12" i="36" s="1"/>
  <c r="AM12" i="36" s="1"/>
  <c r="AW12" i="36" s="1"/>
  <c r="BG12" i="36" s="1"/>
  <c r="BQ12" i="36" s="1"/>
  <c r="CA12" i="36" s="1"/>
  <c r="CK12" i="36" s="1"/>
  <c r="CU12" i="36" s="1"/>
  <c r="DE12" i="36" s="1"/>
  <c r="DO12" i="36" s="1"/>
  <c r="G18" i="51"/>
  <c r="I10" i="36" s="1"/>
  <c r="S10" i="36" s="1"/>
  <c r="AC10" i="36" s="1"/>
  <c r="AM10" i="36" s="1"/>
  <c r="AW10" i="36" s="1"/>
  <c r="BG10" i="36" s="1"/>
  <c r="BQ10" i="36" s="1"/>
  <c r="CA10" i="36" s="1"/>
  <c r="CK10" i="36" s="1"/>
  <c r="CU10" i="36" s="1"/>
  <c r="DE10" i="36" s="1"/>
  <c r="DO10" i="36" s="1"/>
  <c r="G24" i="51"/>
  <c r="I11" i="36" s="1"/>
  <c r="S11" i="36" s="1"/>
  <c r="AC11" i="36" s="1"/>
  <c r="AM11" i="36" s="1"/>
  <c r="AW11" i="36" s="1"/>
  <c r="BG11" i="36" s="1"/>
  <c r="BQ11" i="36" s="1"/>
  <c r="CA11" i="36" s="1"/>
  <c r="CK11" i="36" s="1"/>
  <c r="CU11" i="36" s="1"/>
  <c r="DE11" i="36" s="1"/>
  <c r="DO11" i="36" s="1"/>
  <c r="G10" i="51"/>
  <c r="I8" i="36" s="1"/>
  <c r="S8" i="36" s="1"/>
  <c r="AC8" i="36" s="1"/>
  <c r="AM8" i="36" s="1"/>
  <c r="AW8" i="36" s="1"/>
  <c r="BG8" i="36" s="1"/>
  <c r="BQ8" i="36" s="1"/>
  <c r="CA8" i="36" s="1"/>
  <c r="CK8" i="36" s="1"/>
  <c r="CU8" i="36" s="1"/>
  <c r="DE8" i="36" s="1"/>
  <c r="DO8" i="36" s="1"/>
  <c r="AW9" i="36" l="1"/>
  <c r="DN9" i="36"/>
  <c r="DN10" i="36"/>
  <c r="DN11" i="36"/>
  <c r="DN12" i="36"/>
  <c r="DN13" i="36"/>
  <c r="DN14" i="36"/>
  <c r="DN15" i="36"/>
  <c r="DN16" i="36"/>
  <c r="DN17" i="36"/>
  <c r="DN18" i="36"/>
  <c r="DN19" i="36"/>
  <c r="DN20" i="36"/>
  <c r="DN21" i="36"/>
  <c r="DN22" i="36"/>
  <c r="DN23" i="36"/>
  <c r="DN24" i="36"/>
  <c r="DN25" i="36"/>
  <c r="DN26" i="36"/>
  <c r="DN8" i="36"/>
  <c r="DD9" i="36"/>
  <c r="DD10" i="36"/>
  <c r="DD11" i="36"/>
  <c r="DD12" i="36"/>
  <c r="DD13" i="36"/>
  <c r="DD14" i="36"/>
  <c r="DD15" i="36"/>
  <c r="DD16" i="36"/>
  <c r="DD17" i="36"/>
  <c r="DD18" i="36"/>
  <c r="DD19" i="36"/>
  <c r="DD20" i="36"/>
  <c r="DD21" i="36"/>
  <c r="DD22" i="36"/>
  <c r="DD23" i="36"/>
  <c r="DD24" i="36"/>
  <c r="DD25" i="36"/>
  <c r="DD26" i="36"/>
  <c r="DD8" i="36"/>
  <c r="CT9" i="36"/>
  <c r="CT10" i="36"/>
  <c r="CT11" i="36"/>
  <c r="CT12" i="36"/>
  <c r="CT13" i="36"/>
  <c r="CT14" i="36"/>
  <c r="CT15" i="36"/>
  <c r="CT16" i="36"/>
  <c r="CT17" i="36"/>
  <c r="CT18" i="36"/>
  <c r="CT19" i="36"/>
  <c r="CT20" i="36"/>
  <c r="CT21" i="36"/>
  <c r="CT22" i="36"/>
  <c r="CT23" i="36"/>
  <c r="CT24" i="36"/>
  <c r="CT25" i="36"/>
  <c r="CT26" i="36"/>
  <c r="CT8" i="36"/>
  <c r="CJ9" i="36"/>
  <c r="CJ10" i="36"/>
  <c r="CJ11" i="36"/>
  <c r="CJ12" i="36"/>
  <c r="CJ13" i="36"/>
  <c r="CJ14" i="36"/>
  <c r="CJ15" i="36"/>
  <c r="CJ16" i="36"/>
  <c r="CJ17" i="36"/>
  <c r="CJ18" i="36"/>
  <c r="CJ19" i="36"/>
  <c r="CJ20" i="36"/>
  <c r="CJ21" i="36"/>
  <c r="CJ22" i="36"/>
  <c r="CJ23" i="36"/>
  <c r="CJ24" i="36"/>
  <c r="CJ25" i="36"/>
  <c r="CJ26" i="36"/>
  <c r="CJ8" i="36"/>
  <c r="BZ9" i="36"/>
  <c r="BZ10" i="36"/>
  <c r="BZ11" i="36"/>
  <c r="BZ12" i="36"/>
  <c r="BZ13" i="36"/>
  <c r="BZ14" i="36"/>
  <c r="BZ15" i="36"/>
  <c r="BZ16" i="36"/>
  <c r="BZ17" i="36"/>
  <c r="BZ18" i="36"/>
  <c r="BZ19" i="36"/>
  <c r="BZ20" i="36"/>
  <c r="BZ21" i="36"/>
  <c r="BZ22" i="36"/>
  <c r="BZ23" i="36"/>
  <c r="BZ24" i="36"/>
  <c r="BZ25" i="36"/>
  <c r="BZ26" i="36"/>
  <c r="BZ8" i="36"/>
  <c r="BP9" i="36"/>
  <c r="BP10" i="36"/>
  <c r="BP11" i="36"/>
  <c r="BP12" i="36"/>
  <c r="BP13" i="36"/>
  <c r="BP14" i="36"/>
  <c r="BP15" i="36"/>
  <c r="BP16" i="36"/>
  <c r="BP17" i="36"/>
  <c r="BP18" i="36"/>
  <c r="BP19" i="36"/>
  <c r="BP20" i="36"/>
  <c r="BP21" i="36"/>
  <c r="BP22" i="36"/>
  <c r="BP23" i="36"/>
  <c r="BP24" i="36"/>
  <c r="BP25" i="36"/>
  <c r="BP26" i="36"/>
  <c r="BP8" i="36"/>
  <c r="BF9" i="36"/>
  <c r="BF10" i="36"/>
  <c r="BF11" i="36"/>
  <c r="BF12" i="36"/>
  <c r="BF13" i="36"/>
  <c r="BF14" i="36"/>
  <c r="BF15" i="36"/>
  <c r="BF16" i="36"/>
  <c r="BF17" i="36"/>
  <c r="BF18" i="36"/>
  <c r="BF19" i="36"/>
  <c r="BF20" i="36"/>
  <c r="BF21" i="36"/>
  <c r="BF22" i="36"/>
  <c r="BF23" i="36"/>
  <c r="BF24" i="36"/>
  <c r="BF25" i="36"/>
  <c r="BF26" i="36"/>
  <c r="BF8" i="36"/>
  <c r="AV9" i="36"/>
  <c r="AV10" i="36"/>
  <c r="AV11" i="36"/>
  <c r="AV12" i="36"/>
  <c r="AV13" i="36"/>
  <c r="AV14" i="36"/>
  <c r="AV15" i="36"/>
  <c r="AV16" i="36"/>
  <c r="AV17" i="36"/>
  <c r="AV18" i="36"/>
  <c r="AV19" i="36"/>
  <c r="AV20" i="36"/>
  <c r="AV21" i="36"/>
  <c r="AV22" i="36"/>
  <c r="AV23" i="36"/>
  <c r="AV24" i="36"/>
  <c r="AV25" i="36"/>
  <c r="AV26" i="36"/>
  <c r="AV8" i="36"/>
  <c r="AL9" i="36"/>
  <c r="AL10" i="36"/>
  <c r="AL11" i="36"/>
  <c r="AL12" i="36"/>
  <c r="AL13" i="36"/>
  <c r="AL14" i="36"/>
  <c r="AL15" i="36"/>
  <c r="AL16" i="36"/>
  <c r="AL17" i="36"/>
  <c r="AL18" i="36"/>
  <c r="AL19" i="36"/>
  <c r="AL20" i="36"/>
  <c r="AL21" i="36"/>
  <c r="AL22" i="36"/>
  <c r="AL23" i="36"/>
  <c r="AL24" i="36"/>
  <c r="AL25" i="36"/>
  <c r="AL26" i="36"/>
  <c r="AL8" i="36"/>
  <c r="AB9" i="36"/>
  <c r="AB10" i="36"/>
  <c r="AB11" i="36"/>
  <c r="AB12" i="36"/>
  <c r="AB13" i="36"/>
  <c r="AB14" i="36"/>
  <c r="AB15" i="36"/>
  <c r="AB16" i="36"/>
  <c r="AB17" i="36"/>
  <c r="AB18" i="36"/>
  <c r="AB19" i="36"/>
  <c r="AB20" i="36"/>
  <c r="AB21" i="36"/>
  <c r="AB22" i="36"/>
  <c r="AB23" i="36"/>
  <c r="AB24" i="36"/>
  <c r="AB25" i="36"/>
  <c r="AB26" i="36"/>
  <c r="AB8" i="36"/>
  <c r="R9" i="36"/>
  <c r="R10" i="36"/>
  <c r="R11" i="36"/>
  <c r="R12" i="36"/>
  <c r="R13" i="36"/>
  <c r="R14" i="36"/>
  <c r="R15" i="36"/>
  <c r="R16" i="36"/>
  <c r="R17" i="36"/>
  <c r="R18" i="36"/>
  <c r="R19" i="36"/>
  <c r="R20" i="36"/>
  <c r="R21" i="36"/>
  <c r="R22" i="36"/>
  <c r="R23" i="36"/>
  <c r="R24" i="36"/>
  <c r="R25" i="36"/>
  <c r="R26" i="36"/>
  <c r="R8" i="36"/>
  <c r="BG9" i="36" l="1"/>
  <c r="DL9" i="36"/>
  <c r="DL10" i="36"/>
  <c r="DL11" i="36"/>
  <c r="DL12" i="36"/>
  <c r="DL13" i="36"/>
  <c r="DL14" i="36"/>
  <c r="DL15" i="36"/>
  <c r="DL16" i="36"/>
  <c r="DL17" i="36"/>
  <c r="DL18" i="36"/>
  <c r="DL19" i="36"/>
  <c r="DL20" i="36"/>
  <c r="DL21" i="36"/>
  <c r="DL22" i="36"/>
  <c r="DL23" i="36"/>
  <c r="DL24" i="36"/>
  <c r="DL25" i="36"/>
  <c r="DL26" i="36"/>
  <c r="DL8" i="36"/>
  <c r="DB9" i="36"/>
  <c r="DB10" i="36"/>
  <c r="DB11" i="36"/>
  <c r="DB12" i="36"/>
  <c r="DB13" i="36"/>
  <c r="DB14" i="36"/>
  <c r="DB15" i="36"/>
  <c r="DB16" i="36"/>
  <c r="DB17" i="36"/>
  <c r="DB18" i="36"/>
  <c r="DB19" i="36"/>
  <c r="DB20" i="36"/>
  <c r="DB21" i="36"/>
  <c r="DB22" i="36"/>
  <c r="DB23" i="36"/>
  <c r="DB24" i="36"/>
  <c r="DB25" i="36"/>
  <c r="DB26" i="36"/>
  <c r="DB8" i="36"/>
  <c r="CR9" i="36"/>
  <c r="CR10" i="36"/>
  <c r="CR11" i="36"/>
  <c r="CR12" i="36"/>
  <c r="CR13" i="36"/>
  <c r="CR14" i="36"/>
  <c r="CR15" i="36"/>
  <c r="CR16" i="36"/>
  <c r="CR17" i="36"/>
  <c r="CR18" i="36"/>
  <c r="CR19" i="36"/>
  <c r="CR20" i="36"/>
  <c r="CR21" i="36"/>
  <c r="CR22" i="36"/>
  <c r="CR23" i="36"/>
  <c r="CR24" i="36"/>
  <c r="CR25" i="36"/>
  <c r="CR26" i="36"/>
  <c r="CR8" i="36"/>
  <c r="CH9" i="36"/>
  <c r="CH10" i="36"/>
  <c r="CH11" i="36"/>
  <c r="CH12" i="36"/>
  <c r="CH13" i="36"/>
  <c r="CH14" i="36"/>
  <c r="CH15" i="36"/>
  <c r="CH16" i="36"/>
  <c r="CH17" i="36"/>
  <c r="CH18" i="36"/>
  <c r="CH19" i="36"/>
  <c r="CH20" i="36"/>
  <c r="CH21" i="36"/>
  <c r="CH22" i="36"/>
  <c r="CH23" i="36"/>
  <c r="CH24" i="36"/>
  <c r="CH25" i="36"/>
  <c r="CH26" i="36"/>
  <c r="CH8" i="36"/>
  <c r="BX9" i="36"/>
  <c r="BX10" i="36"/>
  <c r="BX11" i="36"/>
  <c r="BX12" i="36"/>
  <c r="BX13" i="36"/>
  <c r="BX14" i="36"/>
  <c r="BX15" i="36"/>
  <c r="BX16" i="36"/>
  <c r="BX17" i="36"/>
  <c r="BX18" i="36"/>
  <c r="BX19" i="36"/>
  <c r="BX20" i="36"/>
  <c r="BX21" i="36"/>
  <c r="BX22" i="36"/>
  <c r="BX23" i="36"/>
  <c r="BX24" i="36"/>
  <c r="BX25" i="36"/>
  <c r="BX26" i="36"/>
  <c r="BX8" i="36"/>
  <c r="BN9" i="36"/>
  <c r="BN10" i="36"/>
  <c r="BN11" i="36"/>
  <c r="BN12" i="36"/>
  <c r="BN13" i="36"/>
  <c r="BN14" i="36"/>
  <c r="BN15" i="36"/>
  <c r="BN16" i="36"/>
  <c r="BN17" i="36"/>
  <c r="BN18" i="36"/>
  <c r="BN19" i="36"/>
  <c r="BN20" i="36"/>
  <c r="BN21" i="36"/>
  <c r="BN22" i="36"/>
  <c r="BN23" i="36"/>
  <c r="BN24" i="36"/>
  <c r="BN25" i="36"/>
  <c r="BN26" i="36"/>
  <c r="BN8" i="36"/>
  <c r="BD9" i="36"/>
  <c r="BD10" i="36"/>
  <c r="BD11" i="36"/>
  <c r="BD12" i="36"/>
  <c r="BD13" i="36"/>
  <c r="BD14" i="36"/>
  <c r="BD15" i="36"/>
  <c r="BD16" i="36"/>
  <c r="BD17" i="36"/>
  <c r="BD18" i="36"/>
  <c r="BD19" i="36"/>
  <c r="BD20" i="36"/>
  <c r="BD21" i="36"/>
  <c r="BD22" i="36"/>
  <c r="BD23" i="36"/>
  <c r="BD24" i="36"/>
  <c r="BD25" i="36"/>
  <c r="BD26" i="36"/>
  <c r="BD8" i="36"/>
  <c r="BQ9" i="36" l="1"/>
  <c r="AT9" i="36"/>
  <c r="AT10" i="36"/>
  <c r="AT11" i="36"/>
  <c r="AT12" i="36"/>
  <c r="AT13" i="36"/>
  <c r="AT14" i="36"/>
  <c r="AT15" i="36"/>
  <c r="AT16" i="36"/>
  <c r="AT17" i="36"/>
  <c r="AT18" i="36"/>
  <c r="AT19" i="36"/>
  <c r="AT20" i="36"/>
  <c r="AT21" i="36"/>
  <c r="AT22" i="36"/>
  <c r="AT23" i="36"/>
  <c r="AT24" i="36"/>
  <c r="AT25" i="36"/>
  <c r="AT26" i="36"/>
  <c r="AT8" i="36"/>
  <c r="AJ9" i="36"/>
  <c r="AJ10" i="36"/>
  <c r="AJ11" i="36"/>
  <c r="AJ12" i="36"/>
  <c r="AJ13" i="36"/>
  <c r="AJ14" i="36"/>
  <c r="AJ15" i="36"/>
  <c r="AJ16" i="36"/>
  <c r="AJ17" i="36"/>
  <c r="AJ18" i="36"/>
  <c r="AJ19" i="36"/>
  <c r="AJ20" i="36"/>
  <c r="AJ21" i="36"/>
  <c r="AJ22" i="36"/>
  <c r="AJ23" i="36"/>
  <c r="AJ24" i="36"/>
  <c r="AJ25" i="36"/>
  <c r="AJ26" i="36"/>
  <c r="AJ8" i="36"/>
  <c r="Z9" i="36"/>
  <c r="Z10" i="36"/>
  <c r="Z11" i="36"/>
  <c r="Z12" i="36"/>
  <c r="Z13" i="36"/>
  <c r="Z14" i="36"/>
  <c r="Z15" i="36"/>
  <c r="Z16" i="36"/>
  <c r="Z17" i="36"/>
  <c r="Z18" i="36"/>
  <c r="Z19" i="36"/>
  <c r="Z20" i="36"/>
  <c r="Z21" i="36"/>
  <c r="Z22" i="36"/>
  <c r="Z23" i="36"/>
  <c r="Z24" i="36"/>
  <c r="Z25" i="36"/>
  <c r="Z26" i="36"/>
  <c r="Z8" i="36"/>
  <c r="P9" i="36"/>
  <c r="P10" i="36"/>
  <c r="P11" i="36"/>
  <c r="P12" i="36"/>
  <c r="P13" i="36"/>
  <c r="P14" i="36"/>
  <c r="P15" i="36"/>
  <c r="P16" i="36"/>
  <c r="P17" i="36"/>
  <c r="P18" i="36"/>
  <c r="P19" i="36"/>
  <c r="P20" i="36"/>
  <c r="P21" i="36"/>
  <c r="P22" i="36"/>
  <c r="P23" i="36"/>
  <c r="P24" i="36"/>
  <c r="P25" i="36"/>
  <c r="P26" i="36"/>
  <c r="P8" i="36"/>
  <c r="F17" i="36"/>
  <c r="CA9" i="36" l="1"/>
  <c r="AN13" i="50"/>
  <c r="AK13" i="50"/>
  <c r="AH13" i="50"/>
  <c r="AE13" i="50"/>
  <c r="AB13" i="50"/>
  <c r="Y13" i="50"/>
  <c r="V13" i="50"/>
  <c r="S13" i="50"/>
  <c r="P13" i="50"/>
  <c r="M13" i="50"/>
  <c r="J13" i="50"/>
  <c r="G13" i="50"/>
  <c r="AN12" i="50"/>
  <c r="AK12" i="50"/>
  <c r="AH12" i="50"/>
  <c r="AE12" i="50"/>
  <c r="AB12" i="50"/>
  <c r="Y12" i="50"/>
  <c r="V12" i="50"/>
  <c r="S12" i="50"/>
  <c r="P12" i="50"/>
  <c r="M12" i="50"/>
  <c r="J12" i="50"/>
  <c r="G12" i="50"/>
  <c r="AN11" i="50"/>
  <c r="AK11" i="50"/>
  <c r="AH11" i="50"/>
  <c r="AE11" i="50"/>
  <c r="AB11" i="50"/>
  <c r="Y11" i="50"/>
  <c r="V11" i="50"/>
  <c r="S11" i="50"/>
  <c r="P11" i="50"/>
  <c r="M11" i="50"/>
  <c r="J11" i="50"/>
  <c r="G11" i="50"/>
  <c r="AN10" i="50"/>
  <c r="AK10" i="50"/>
  <c r="AH10" i="50"/>
  <c r="AE10" i="50"/>
  <c r="AB10" i="50"/>
  <c r="Y10" i="50"/>
  <c r="V10" i="50"/>
  <c r="S10" i="50"/>
  <c r="P10" i="50"/>
  <c r="M10" i="50"/>
  <c r="J10" i="50"/>
  <c r="G10" i="50"/>
  <c r="AN9" i="50"/>
  <c r="AK9" i="50"/>
  <c r="AH9" i="50"/>
  <c r="AE9" i="50"/>
  <c r="AB9" i="50"/>
  <c r="Y9" i="50"/>
  <c r="V9" i="50"/>
  <c r="S9" i="50"/>
  <c r="P9" i="50"/>
  <c r="M9" i="50"/>
  <c r="J9" i="50"/>
  <c r="G9" i="50"/>
  <c r="AN8" i="50"/>
  <c r="AK8" i="50"/>
  <c r="AH8" i="50"/>
  <c r="AE8" i="50"/>
  <c r="AB8" i="50"/>
  <c r="Y8" i="50"/>
  <c r="V8" i="50"/>
  <c r="S8" i="50"/>
  <c r="P8" i="50"/>
  <c r="M8" i="50"/>
  <c r="J8" i="50"/>
  <c r="G8" i="50"/>
  <c r="AN7" i="50"/>
  <c r="AK7" i="50"/>
  <c r="AH7" i="50"/>
  <c r="AE7" i="50"/>
  <c r="AB7" i="50"/>
  <c r="Y7" i="50"/>
  <c r="V7" i="50"/>
  <c r="S7" i="50"/>
  <c r="P7" i="50"/>
  <c r="M7" i="50"/>
  <c r="J7" i="50"/>
  <c r="G7" i="50"/>
  <c r="AN6" i="50"/>
  <c r="AK6" i="50"/>
  <c r="AH6" i="50"/>
  <c r="AE6" i="50"/>
  <c r="AB6" i="50"/>
  <c r="Y6" i="50"/>
  <c r="V6" i="50"/>
  <c r="S6" i="50"/>
  <c r="S14" i="50" s="1"/>
  <c r="AP17" i="36" s="1"/>
  <c r="EJ17" i="36" s="1"/>
  <c r="P6" i="50"/>
  <c r="P14" i="50" s="1"/>
  <c r="AF17" i="36" s="1"/>
  <c r="EI17" i="36" s="1"/>
  <c r="M6" i="50"/>
  <c r="M14" i="50" s="1"/>
  <c r="V17" i="36" s="1"/>
  <c r="EH17" i="36" s="1"/>
  <c r="J6" i="50"/>
  <c r="J14" i="50" s="1"/>
  <c r="L17" i="36" s="1"/>
  <c r="EG17" i="36" s="1"/>
  <c r="G6" i="50"/>
  <c r="V14" i="50" l="1"/>
  <c r="AZ17" i="36" s="1"/>
  <c r="EK17" i="36" s="1"/>
  <c r="Y14" i="50"/>
  <c r="BJ17" i="36" s="1"/>
  <c r="EL17" i="36" s="1"/>
  <c r="AE14" i="50"/>
  <c r="CD17" i="36" s="1"/>
  <c r="EN17" i="36" s="1"/>
  <c r="AN14" i="50"/>
  <c r="DH17" i="36" s="1"/>
  <c r="EQ17" i="36" s="1"/>
  <c r="AH14" i="50"/>
  <c r="CN17" i="36" s="1"/>
  <c r="EO17" i="36" s="1"/>
  <c r="I80" i="41"/>
  <c r="D80" i="41" s="1"/>
  <c r="I67" i="41"/>
  <c r="D67" i="41" s="1"/>
  <c r="I93" i="41"/>
  <c r="D93" i="41" s="1"/>
  <c r="I10" i="41"/>
  <c r="I54" i="41"/>
  <c r="D54" i="41" s="1"/>
  <c r="I41" i="41"/>
  <c r="D41" i="41" s="1"/>
  <c r="I26" i="41"/>
  <c r="D26" i="41" s="1"/>
  <c r="AK14" i="50"/>
  <c r="CX17" i="36" s="1"/>
  <c r="EP17" i="36" s="1"/>
  <c r="AB14" i="50"/>
  <c r="BT17" i="36" s="1"/>
  <c r="EM17" i="36" s="1"/>
  <c r="G14" i="50"/>
  <c r="B17" i="36" s="1"/>
  <c r="EF17" i="36" s="1"/>
  <c r="CK9" i="36"/>
  <c r="CU9" i="36" s="1"/>
  <c r="DE9" i="36" s="1"/>
  <c r="DO9" i="36" s="1"/>
  <c r="I15" i="31"/>
  <c r="D15" i="31"/>
  <c r="J15" i="31"/>
  <c r="L15" i="31"/>
  <c r="N15" i="31"/>
  <c r="F15" i="31"/>
  <c r="G15" i="31"/>
  <c r="E15" i="31"/>
  <c r="K15" i="31"/>
  <c r="H15" i="31"/>
  <c r="C15" i="31"/>
  <c r="F9" i="36"/>
  <c r="F10" i="36"/>
  <c r="F11" i="36"/>
  <c r="F12" i="36"/>
  <c r="F13" i="36"/>
  <c r="F14" i="36"/>
  <c r="F15" i="36"/>
  <c r="F16" i="36"/>
  <c r="F18" i="36"/>
  <c r="F19" i="36"/>
  <c r="F20" i="36"/>
  <c r="F21" i="36"/>
  <c r="F22" i="36"/>
  <c r="F23" i="36"/>
  <c r="F24" i="36"/>
  <c r="F25" i="36"/>
  <c r="F26" i="36"/>
  <c r="F8" i="36"/>
  <c r="M15" i="31" l="1"/>
  <c r="EB35" i="34" l="1"/>
  <c r="EA35" i="34"/>
  <c r="EA36" i="34" s="1"/>
  <c r="DY35" i="34"/>
  <c r="DX35" i="34"/>
  <c r="DV35" i="34"/>
  <c r="DU35" i="34"/>
  <c r="DT35" i="34"/>
  <c r="DQ35" i="34"/>
  <c r="DP35" i="34"/>
  <c r="DN35" i="34"/>
  <c r="DM35" i="34"/>
  <c r="DK35" i="34"/>
  <c r="DJ35" i="34"/>
  <c r="DI35" i="34"/>
  <c r="DF35" i="34"/>
  <c r="DE35" i="34"/>
  <c r="DE36" i="34" s="1"/>
  <c r="DC35" i="34"/>
  <c r="DB35" i="34"/>
  <c r="CZ35" i="34"/>
  <c r="CY35" i="34"/>
  <c r="CX35" i="34"/>
  <c r="CU35" i="34"/>
  <c r="CT35" i="34"/>
  <c r="CR35" i="34"/>
  <c r="CQ35" i="34"/>
  <c r="CO35" i="34"/>
  <c r="CN35" i="34"/>
  <c r="CM35" i="34"/>
  <c r="CJ35" i="34"/>
  <c r="CI35" i="34"/>
  <c r="CG35" i="34"/>
  <c r="CF35" i="34"/>
  <c r="CD35" i="34"/>
  <c r="CC35" i="34"/>
  <c r="CB35" i="34"/>
  <c r="CE35" i="34" s="1"/>
  <c r="L4" i="32" s="1"/>
  <c r="BY35" i="34"/>
  <c r="BX35" i="34"/>
  <c r="BX36" i="34" s="1"/>
  <c r="BV35" i="34"/>
  <c r="BU35" i="34"/>
  <c r="BS35" i="34"/>
  <c r="BR35" i="34"/>
  <c r="BQ35" i="34"/>
  <c r="EC34" i="34"/>
  <c r="DZ34" i="34"/>
  <c r="DW34" i="34"/>
  <c r="DR34" i="34"/>
  <c r="DO34" i="34"/>
  <c r="DL34" i="34"/>
  <c r="DG34" i="34"/>
  <c r="DD34" i="34"/>
  <c r="DA34" i="34"/>
  <c r="CV34" i="34"/>
  <c r="CS34" i="34"/>
  <c r="CP34" i="34"/>
  <c r="CK34" i="34"/>
  <c r="CH34" i="34"/>
  <c r="CE34" i="34"/>
  <c r="BZ34" i="34"/>
  <c r="BW34" i="34"/>
  <c r="BT34" i="34"/>
  <c r="EC33" i="34"/>
  <c r="DZ33" i="34"/>
  <c r="DW33" i="34"/>
  <c r="DR33" i="34"/>
  <c r="DO33" i="34"/>
  <c r="DL33" i="34"/>
  <c r="DG33" i="34"/>
  <c r="DD33" i="34"/>
  <c r="DA33" i="34"/>
  <c r="CV33" i="34"/>
  <c r="CS33" i="34"/>
  <c r="CP33" i="34"/>
  <c r="CK33" i="34"/>
  <c r="CH33" i="34"/>
  <c r="CE33" i="34"/>
  <c r="BZ33" i="34"/>
  <c r="BW33" i="34"/>
  <c r="BT33" i="34"/>
  <c r="EC32" i="34"/>
  <c r="DZ32" i="34"/>
  <c r="DW32" i="34"/>
  <c r="DR32" i="34"/>
  <c r="DO32" i="34"/>
  <c r="DL32" i="34"/>
  <c r="DG32" i="34"/>
  <c r="DD32" i="34"/>
  <c r="DA32" i="34"/>
  <c r="CV32" i="34"/>
  <c r="CS32" i="34"/>
  <c r="CP32" i="34"/>
  <c r="CK32" i="34"/>
  <c r="CH32" i="34"/>
  <c r="CE32" i="34"/>
  <c r="BZ32" i="34"/>
  <c r="BW32" i="34"/>
  <c r="BT32" i="34"/>
  <c r="EC31" i="34"/>
  <c r="DZ31" i="34"/>
  <c r="DW31" i="34"/>
  <c r="DR31" i="34"/>
  <c r="DO31" i="34"/>
  <c r="DL31" i="34"/>
  <c r="DG31" i="34"/>
  <c r="DD31" i="34"/>
  <c r="DA31" i="34"/>
  <c r="CV31" i="34"/>
  <c r="CS31" i="34"/>
  <c r="CP31" i="34"/>
  <c r="CK31" i="34"/>
  <c r="CH31" i="34"/>
  <c r="CE31" i="34"/>
  <c r="BZ31" i="34"/>
  <c r="BW31" i="34"/>
  <c r="BT31" i="34"/>
  <c r="EC30" i="34"/>
  <c r="DZ30" i="34"/>
  <c r="DW30" i="34"/>
  <c r="DR30" i="34"/>
  <c r="DO30" i="34"/>
  <c r="DL30" i="34"/>
  <c r="DG30" i="34"/>
  <c r="DD30" i="34"/>
  <c r="DA30" i="34"/>
  <c r="CV30" i="34"/>
  <c r="CS30" i="34"/>
  <c r="CP30" i="34"/>
  <c r="CK30" i="34"/>
  <c r="CH30" i="34"/>
  <c r="CE30" i="34"/>
  <c r="BZ30" i="34"/>
  <c r="BW30" i="34"/>
  <c r="BT30" i="34"/>
  <c r="EC29" i="34"/>
  <c r="DZ29" i="34"/>
  <c r="DW29" i="34"/>
  <c r="DR29" i="34"/>
  <c r="DO29" i="34"/>
  <c r="DL29" i="34"/>
  <c r="DG29" i="34"/>
  <c r="DD29" i="34"/>
  <c r="DA29" i="34"/>
  <c r="CV29" i="34"/>
  <c r="CS29" i="34"/>
  <c r="CP29" i="34"/>
  <c r="CK29" i="34"/>
  <c r="CH29" i="34"/>
  <c r="CE29" i="34"/>
  <c r="BZ29" i="34"/>
  <c r="BW29" i="34"/>
  <c r="BT29" i="34"/>
  <c r="EC28" i="34"/>
  <c r="DZ28" i="34"/>
  <c r="DW28" i="34"/>
  <c r="DR28" i="34"/>
  <c r="DO28" i="34"/>
  <c r="DL28" i="34"/>
  <c r="DG28" i="34"/>
  <c r="DD28" i="34"/>
  <c r="DA28" i="34"/>
  <c r="CV28" i="34"/>
  <c r="CS28" i="34"/>
  <c r="CP28" i="34"/>
  <c r="CK28" i="34"/>
  <c r="CH28" i="34"/>
  <c r="CE28" i="34"/>
  <c r="BZ28" i="34"/>
  <c r="BW28" i="34"/>
  <c r="BT28" i="34"/>
  <c r="EC27" i="34"/>
  <c r="DZ27" i="34"/>
  <c r="DW27" i="34"/>
  <c r="DR27" i="34"/>
  <c r="DO27" i="34"/>
  <c r="DL27" i="34"/>
  <c r="DG27" i="34"/>
  <c r="DD27" i="34"/>
  <c r="DA27" i="34"/>
  <c r="CV27" i="34"/>
  <c r="CS27" i="34"/>
  <c r="CP27" i="34"/>
  <c r="CK27" i="34"/>
  <c r="CH27" i="34"/>
  <c r="CE27" i="34"/>
  <c r="BZ27" i="34"/>
  <c r="BW27" i="34"/>
  <c r="BT27" i="34"/>
  <c r="EC26" i="34"/>
  <c r="DZ26" i="34"/>
  <c r="DW26" i="34"/>
  <c r="DR26" i="34"/>
  <c r="DO26" i="34"/>
  <c r="DL26" i="34"/>
  <c r="DG26" i="34"/>
  <c r="DD26" i="34"/>
  <c r="DA26" i="34"/>
  <c r="CV26" i="34"/>
  <c r="CS26" i="34"/>
  <c r="CP26" i="34"/>
  <c r="CK26" i="34"/>
  <c r="CH26" i="34"/>
  <c r="CE26" i="34"/>
  <c r="BZ26" i="34"/>
  <c r="BW26" i="34"/>
  <c r="BT26" i="34"/>
  <c r="EC25" i="34"/>
  <c r="DZ25" i="34"/>
  <c r="DW25" i="34"/>
  <c r="DR25" i="34"/>
  <c r="DO25" i="34"/>
  <c r="DL25" i="34"/>
  <c r="DG25" i="34"/>
  <c r="DD25" i="34"/>
  <c r="DA25" i="34"/>
  <c r="CV25" i="34"/>
  <c r="CS25" i="34"/>
  <c r="CP25" i="34"/>
  <c r="CK25" i="34"/>
  <c r="CH25" i="34"/>
  <c r="CE25" i="34"/>
  <c r="BZ25" i="34"/>
  <c r="BW25" i="34"/>
  <c r="BT25" i="34"/>
  <c r="EC24" i="34"/>
  <c r="DZ24" i="34"/>
  <c r="DW24" i="34"/>
  <c r="DR24" i="34"/>
  <c r="DO24" i="34"/>
  <c r="DL24" i="34"/>
  <c r="DG24" i="34"/>
  <c r="DD24" i="34"/>
  <c r="DA24" i="34"/>
  <c r="CV24" i="34"/>
  <c r="CS24" i="34"/>
  <c r="CP24" i="34"/>
  <c r="CK24" i="34"/>
  <c r="CH24" i="34"/>
  <c r="CE24" i="34"/>
  <c r="BZ24" i="34"/>
  <c r="BW24" i="34"/>
  <c r="BT24" i="34"/>
  <c r="EC23" i="34"/>
  <c r="DZ23" i="34"/>
  <c r="DW23" i="34"/>
  <c r="DR23" i="34"/>
  <c r="DO23" i="34"/>
  <c r="DL23" i="34"/>
  <c r="DG23" i="34"/>
  <c r="DD23" i="34"/>
  <c r="DA23" i="34"/>
  <c r="CV23" i="34"/>
  <c r="CS23" i="34"/>
  <c r="CP23" i="34"/>
  <c r="CK23" i="34"/>
  <c r="CH23" i="34"/>
  <c r="CE23" i="34"/>
  <c r="BZ23" i="34"/>
  <c r="BW23" i="34"/>
  <c r="BT23" i="34"/>
  <c r="EC22" i="34"/>
  <c r="DZ22" i="34"/>
  <c r="DW22" i="34"/>
  <c r="DR22" i="34"/>
  <c r="DO22" i="34"/>
  <c r="DL22" i="34"/>
  <c r="DG22" i="34"/>
  <c r="DD22" i="34"/>
  <c r="DA22" i="34"/>
  <c r="CV22" i="34"/>
  <c r="CS22" i="34"/>
  <c r="CP22" i="34"/>
  <c r="CK22" i="34"/>
  <c r="CH22" i="34"/>
  <c r="CE22" i="34"/>
  <c r="BZ22" i="34"/>
  <c r="BW22" i="34"/>
  <c r="BT22" i="34"/>
  <c r="EC21" i="34"/>
  <c r="DZ21" i="34"/>
  <c r="DW21" i="34"/>
  <c r="DR21" i="34"/>
  <c r="DO21" i="34"/>
  <c r="DL21" i="34"/>
  <c r="DG21" i="34"/>
  <c r="DD21" i="34"/>
  <c r="DA21" i="34"/>
  <c r="CV21" i="34"/>
  <c r="CS21" i="34"/>
  <c r="CP21" i="34"/>
  <c r="CK21" i="34"/>
  <c r="CH21" i="34"/>
  <c r="CE21" i="34"/>
  <c r="BZ21" i="34"/>
  <c r="BW21" i="34"/>
  <c r="BT21" i="34"/>
  <c r="EC20" i="34"/>
  <c r="DZ20" i="34"/>
  <c r="DW20" i="34"/>
  <c r="DR20" i="34"/>
  <c r="DO20" i="34"/>
  <c r="DL20" i="34"/>
  <c r="DG20" i="34"/>
  <c r="DD20" i="34"/>
  <c r="DA20" i="34"/>
  <c r="CV20" i="34"/>
  <c r="CS20" i="34"/>
  <c r="CP20" i="34"/>
  <c r="CK20" i="34"/>
  <c r="CH20" i="34"/>
  <c r="CE20" i="34"/>
  <c r="BZ20" i="34"/>
  <c r="BW20" i="34"/>
  <c r="BT20" i="34"/>
  <c r="EC19" i="34"/>
  <c r="DZ19" i="34"/>
  <c r="DW19" i="34"/>
  <c r="DR19" i="34"/>
  <c r="DO19" i="34"/>
  <c r="DL19" i="34"/>
  <c r="DG19" i="34"/>
  <c r="DD19" i="34"/>
  <c r="DA19" i="34"/>
  <c r="CV19" i="34"/>
  <c r="CS19" i="34"/>
  <c r="CP19" i="34"/>
  <c r="CK19" i="34"/>
  <c r="CH19" i="34"/>
  <c r="CE19" i="34"/>
  <c r="BZ19" i="34"/>
  <c r="BW19" i="34"/>
  <c r="BT19" i="34"/>
  <c r="EC18" i="34"/>
  <c r="DZ18" i="34"/>
  <c r="DW18" i="34"/>
  <c r="DR18" i="34"/>
  <c r="DO18" i="34"/>
  <c r="DL18" i="34"/>
  <c r="DG18" i="34"/>
  <c r="DD18" i="34"/>
  <c r="DA18" i="34"/>
  <c r="CV18" i="34"/>
  <c r="CS18" i="34"/>
  <c r="CP18" i="34"/>
  <c r="CK18" i="34"/>
  <c r="CH18" i="34"/>
  <c r="CE18" i="34"/>
  <c r="BZ18" i="34"/>
  <c r="BW18" i="34"/>
  <c r="BT18" i="34"/>
  <c r="EC17" i="34"/>
  <c r="DZ17" i="34"/>
  <c r="DW17" i="34"/>
  <c r="DR17" i="34"/>
  <c r="DO17" i="34"/>
  <c r="DL17" i="34"/>
  <c r="DG17" i="34"/>
  <c r="DD17" i="34"/>
  <c r="DA17" i="34"/>
  <c r="CV17" i="34"/>
  <c r="CS17" i="34"/>
  <c r="CP17" i="34"/>
  <c r="CK17" i="34"/>
  <c r="CH17" i="34"/>
  <c r="CE17" i="34"/>
  <c r="BZ17" i="34"/>
  <c r="BW17" i="34"/>
  <c r="BT17" i="34"/>
  <c r="EC16" i="34"/>
  <c r="DZ16" i="34"/>
  <c r="DW16" i="34"/>
  <c r="DR16" i="34"/>
  <c r="DO16" i="34"/>
  <c r="DL16" i="34"/>
  <c r="DG16" i="34"/>
  <c r="DD16" i="34"/>
  <c r="DA16" i="34"/>
  <c r="CV16" i="34"/>
  <c r="CS16" i="34"/>
  <c r="CP16" i="34"/>
  <c r="CK16" i="34"/>
  <c r="CH16" i="34"/>
  <c r="CE16" i="34"/>
  <c r="BZ16" i="34"/>
  <c r="BW16" i="34"/>
  <c r="BT16" i="34"/>
  <c r="EC15" i="34"/>
  <c r="DZ15" i="34"/>
  <c r="DW15" i="34"/>
  <c r="DR15" i="34"/>
  <c r="DO15" i="34"/>
  <c r="DL15" i="34"/>
  <c r="DG15" i="34"/>
  <c r="DD15" i="34"/>
  <c r="DA15" i="34"/>
  <c r="CV15" i="34"/>
  <c r="CS15" i="34"/>
  <c r="CP15" i="34"/>
  <c r="CK15" i="34"/>
  <c r="CH15" i="34"/>
  <c r="CE15" i="34"/>
  <c r="BZ15" i="34"/>
  <c r="BW15" i="34"/>
  <c r="BT15" i="34"/>
  <c r="EC14" i="34"/>
  <c r="DZ14" i="34"/>
  <c r="DW14" i="34"/>
  <c r="DR14" i="34"/>
  <c r="DO14" i="34"/>
  <c r="DL14" i="34"/>
  <c r="DG14" i="34"/>
  <c r="DD14" i="34"/>
  <c r="DA14" i="34"/>
  <c r="CV14" i="34"/>
  <c r="CS14" i="34"/>
  <c r="CP14" i="34"/>
  <c r="CK14" i="34"/>
  <c r="CH14" i="34"/>
  <c r="CE14" i="34"/>
  <c r="BZ14" i="34"/>
  <c r="BW14" i="34"/>
  <c r="BT14" i="34"/>
  <c r="EC13" i="34"/>
  <c r="DZ13" i="34"/>
  <c r="DW13" i="34"/>
  <c r="DR13" i="34"/>
  <c r="DO13" i="34"/>
  <c r="DL13" i="34"/>
  <c r="DG13" i="34"/>
  <c r="DD13" i="34"/>
  <c r="DA13" i="34"/>
  <c r="CV13" i="34"/>
  <c r="CS13" i="34"/>
  <c r="CP13" i="34"/>
  <c r="CK13" i="34"/>
  <c r="CH13" i="34"/>
  <c r="CE13" i="34"/>
  <c r="BZ13" i="34"/>
  <c r="BW13" i="34"/>
  <c r="BT13" i="34"/>
  <c r="EC12" i="34"/>
  <c r="DZ12" i="34"/>
  <c r="DW12" i="34"/>
  <c r="DR12" i="34"/>
  <c r="DO12" i="34"/>
  <c r="DL12" i="34"/>
  <c r="DG12" i="34"/>
  <c r="DD12" i="34"/>
  <c r="DA12" i="34"/>
  <c r="CV12" i="34"/>
  <c r="CS12" i="34"/>
  <c r="CP12" i="34"/>
  <c r="CK12" i="34"/>
  <c r="CH12" i="34"/>
  <c r="CE12" i="34"/>
  <c r="BZ12" i="34"/>
  <c r="BW12" i="34"/>
  <c r="BT12" i="34"/>
  <c r="EC11" i="34"/>
  <c r="DZ11" i="34"/>
  <c r="DW11" i="34"/>
  <c r="DR11" i="34"/>
  <c r="DO11" i="34"/>
  <c r="DL11" i="34"/>
  <c r="DG11" i="34"/>
  <c r="DD11" i="34"/>
  <c r="DA11" i="34"/>
  <c r="CV11" i="34"/>
  <c r="CS11" i="34"/>
  <c r="CP11" i="34"/>
  <c r="CK11" i="34"/>
  <c r="CH11" i="34"/>
  <c r="CE11" i="34"/>
  <c r="BZ11" i="34"/>
  <c r="BW11" i="34"/>
  <c r="BT11" i="34"/>
  <c r="EC10" i="34"/>
  <c r="DZ10" i="34"/>
  <c r="DW10" i="34"/>
  <c r="DR10" i="34"/>
  <c r="DO10" i="34"/>
  <c r="DL10" i="34"/>
  <c r="DG10" i="34"/>
  <c r="DD10" i="34"/>
  <c r="DA10" i="34"/>
  <c r="CV10" i="34"/>
  <c r="CS10" i="34"/>
  <c r="CP10" i="34"/>
  <c r="CK10" i="34"/>
  <c r="CH10" i="34"/>
  <c r="CE10" i="34"/>
  <c r="BZ10" i="34"/>
  <c r="BW10" i="34"/>
  <c r="BT10" i="34"/>
  <c r="EC9" i="34"/>
  <c r="DZ9" i="34"/>
  <c r="DW9" i="34"/>
  <c r="DR9" i="34"/>
  <c r="DO9" i="34"/>
  <c r="DL9" i="34"/>
  <c r="DG9" i="34"/>
  <c r="DD9" i="34"/>
  <c r="DA9" i="34"/>
  <c r="CV9" i="34"/>
  <c r="CS9" i="34"/>
  <c r="CP9" i="34"/>
  <c r="CK9" i="34"/>
  <c r="CH9" i="34"/>
  <c r="CE9" i="34"/>
  <c r="BZ9" i="34"/>
  <c r="BW9" i="34"/>
  <c r="BT9" i="34"/>
  <c r="EC8" i="34"/>
  <c r="DZ8" i="34"/>
  <c r="DW8" i="34"/>
  <c r="DR8" i="34"/>
  <c r="DO8" i="34"/>
  <c r="DL8" i="34"/>
  <c r="DG8" i="34"/>
  <c r="DD8" i="34"/>
  <c r="DA8" i="34"/>
  <c r="CV8" i="34"/>
  <c r="CS8" i="34"/>
  <c r="CP8" i="34"/>
  <c r="CK8" i="34"/>
  <c r="CH8" i="34"/>
  <c r="CE8" i="34"/>
  <c r="BZ8" i="34"/>
  <c r="BW8" i="34"/>
  <c r="BT8" i="34"/>
  <c r="EC7" i="34"/>
  <c r="DZ7" i="34"/>
  <c r="DW7" i="34"/>
  <c r="DR7" i="34"/>
  <c r="DO7" i="34"/>
  <c r="DL7" i="34"/>
  <c r="DG7" i="34"/>
  <c r="DD7" i="34"/>
  <c r="DA7" i="34"/>
  <c r="CV7" i="34"/>
  <c r="CS7" i="34"/>
  <c r="CP7" i="34"/>
  <c r="CK7" i="34"/>
  <c r="CH7" i="34"/>
  <c r="CE7" i="34"/>
  <c r="BZ7" i="34"/>
  <c r="BW7" i="34"/>
  <c r="BT7" i="34"/>
  <c r="EC6" i="34"/>
  <c r="DZ6" i="34"/>
  <c r="DW6" i="34"/>
  <c r="DR6" i="34"/>
  <c r="DO6" i="34"/>
  <c r="DL6" i="34"/>
  <c r="DG6" i="34"/>
  <c r="DD6" i="34"/>
  <c r="DA6" i="34"/>
  <c r="CV6" i="34"/>
  <c r="CS6" i="34"/>
  <c r="CP6" i="34"/>
  <c r="CK6" i="34"/>
  <c r="CH6" i="34"/>
  <c r="CE6" i="34"/>
  <c r="BZ6" i="34"/>
  <c r="BW6" i="34"/>
  <c r="BT6" i="34"/>
  <c r="EC5" i="34"/>
  <c r="DZ5" i="34"/>
  <c r="DW5" i="34"/>
  <c r="DR5" i="34"/>
  <c r="DO5" i="34"/>
  <c r="DL5" i="34"/>
  <c r="DG5" i="34"/>
  <c r="DD5" i="34"/>
  <c r="DA5" i="34"/>
  <c r="CV5" i="34"/>
  <c r="CS5" i="34"/>
  <c r="CP5" i="34"/>
  <c r="CK5" i="34"/>
  <c r="CH5" i="34"/>
  <c r="CE5" i="34"/>
  <c r="BZ5" i="34"/>
  <c r="BW5" i="34"/>
  <c r="BT5" i="34"/>
  <c r="EC4" i="34"/>
  <c r="DZ4" i="34"/>
  <c r="DW4" i="34"/>
  <c r="DR4" i="34"/>
  <c r="DO4" i="34"/>
  <c r="DL4" i="34"/>
  <c r="DG4" i="34"/>
  <c r="DD4" i="34"/>
  <c r="DA4" i="34"/>
  <c r="DA37" i="34" s="1"/>
  <c r="CV4" i="34"/>
  <c r="CV37" i="34" s="1"/>
  <c r="CS4" i="34"/>
  <c r="CP4" i="34"/>
  <c r="CK4" i="34"/>
  <c r="CH4" i="34"/>
  <c r="CE4" i="34"/>
  <c r="BZ4" i="34"/>
  <c r="BW4" i="34"/>
  <c r="BT4" i="34"/>
  <c r="BN35" i="34"/>
  <c r="BM35" i="34"/>
  <c r="BM36" i="34" s="1"/>
  <c r="BK35" i="34"/>
  <c r="BJ35" i="34"/>
  <c r="BH35" i="34"/>
  <c r="BG35" i="34"/>
  <c r="BF35" i="34"/>
  <c r="BC35" i="34"/>
  <c r="BB35" i="34"/>
  <c r="AZ35" i="34"/>
  <c r="AY35" i="34"/>
  <c r="AW35" i="34"/>
  <c r="AV35" i="34"/>
  <c r="AU35" i="34"/>
  <c r="AR35" i="34"/>
  <c r="AQ35" i="34"/>
  <c r="AO35" i="34"/>
  <c r="AN35" i="34"/>
  <c r="AL35" i="34"/>
  <c r="AK35" i="34"/>
  <c r="AJ35" i="34"/>
  <c r="BO34" i="34"/>
  <c r="BL34" i="34"/>
  <c r="BI34" i="34"/>
  <c r="BD34" i="34"/>
  <c r="BA34" i="34"/>
  <c r="AX34" i="34"/>
  <c r="AS34" i="34"/>
  <c r="AP34" i="34"/>
  <c r="AM34" i="34"/>
  <c r="BO33" i="34"/>
  <c r="BL33" i="34"/>
  <c r="BI33" i="34"/>
  <c r="BD33" i="34"/>
  <c r="BA33" i="34"/>
  <c r="AX33" i="34"/>
  <c r="AS33" i="34"/>
  <c r="AP33" i="34"/>
  <c r="AM33" i="34"/>
  <c r="BO32" i="34"/>
  <c r="BL32" i="34"/>
  <c r="BI32" i="34"/>
  <c r="BD32" i="34"/>
  <c r="BA32" i="34"/>
  <c r="AX32" i="34"/>
  <c r="AS32" i="34"/>
  <c r="AP32" i="34"/>
  <c r="AM32" i="34"/>
  <c r="BO31" i="34"/>
  <c r="BL31" i="34"/>
  <c r="BI31" i="34"/>
  <c r="BD31" i="34"/>
  <c r="BA31" i="34"/>
  <c r="AX31" i="34"/>
  <c r="AS31" i="34"/>
  <c r="AP31" i="34"/>
  <c r="AM31" i="34"/>
  <c r="BO30" i="34"/>
  <c r="BL30" i="34"/>
  <c r="BI30" i="34"/>
  <c r="BD30" i="34"/>
  <c r="BA30" i="34"/>
  <c r="AX30" i="34"/>
  <c r="AS30" i="34"/>
  <c r="AP30" i="34"/>
  <c r="AM30" i="34"/>
  <c r="BO29" i="34"/>
  <c r="BL29" i="34"/>
  <c r="BI29" i="34"/>
  <c r="BD29" i="34"/>
  <c r="BA29" i="34"/>
  <c r="AX29" i="34"/>
  <c r="AS29" i="34"/>
  <c r="AP29" i="34"/>
  <c r="AM29" i="34"/>
  <c r="BO28" i="34"/>
  <c r="BL28" i="34"/>
  <c r="BI28" i="34"/>
  <c r="BD28" i="34"/>
  <c r="BA28" i="34"/>
  <c r="AX28" i="34"/>
  <c r="AS28" i="34"/>
  <c r="AP28" i="34"/>
  <c r="AM28" i="34"/>
  <c r="BO27" i="34"/>
  <c r="BL27" i="34"/>
  <c r="BI27" i="34"/>
  <c r="BD27" i="34"/>
  <c r="BA27" i="34"/>
  <c r="AX27" i="34"/>
  <c r="AS27" i="34"/>
  <c r="AP27" i="34"/>
  <c r="AM27" i="34"/>
  <c r="BO26" i="34"/>
  <c r="BL26" i="34"/>
  <c r="BI26" i="34"/>
  <c r="BD26" i="34"/>
  <c r="BA26" i="34"/>
  <c r="AX26" i="34"/>
  <c r="AS26" i="34"/>
  <c r="AP26" i="34"/>
  <c r="AM26" i="34"/>
  <c r="BO25" i="34"/>
  <c r="BL25" i="34"/>
  <c r="BI25" i="34"/>
  <c r="BD25" i="34"/>
  <c r="BA25" i="34"/>
  <c r="AX25" i="34"/>
  <c r="AS25" i="34"/>
  <c r="AP25" i="34"/>
  <c r="AM25" i="34"/>
  <c r="BO24" i="34"/>
  <c r="BL24" i="34"/>
  <c r="BI24" i="34"/>
  <c r="BD24" i="34"/>
  <c r="BA24" i="34"/>
  <c r="AX24" i="34"/>
  <c r="AS24" i="34"/>
  <c r="AP24" i="34"/>
  <c r="AM24" i="34"/>
  <c r="BO23" i="34"/>
  <c r="BL23" i="34"/>
  <c r="BI23" i="34"/>
  <c r="BD23" i="34"/>
  <c r="BA23" i="34"/>
  <c r="AX23" i="34"/>
  <c r="AS23" i="34"/>
  <c r="AP23" i="34"/>
  <c r="AM23" i="34"/>
  <c r="BO22" i="34"/>
  <c r="BL22" i="34"/>
  <c r="BI22" i="34"/>
  <c r="BD22" i="34"/>
  <c r="BA22" i="34"/>
  <c r="AX22" i="34"/>
  <c r="AS22" i="34"/>
  <c r="AP22" i="34"/>
  <c r="AM22" i="34"/>
  <c r="BO21" i="34"/>
  <c r="BL21" i="34"/>
  <c r="BI21" i="34"/>
  <c r="BD21" i="34"/>
  <c r="BA21" i="34"/>
  <c r="AX21" i="34"/>
  <c r="AS21" i="34"/>
  <c r="AP21" i="34"/>
  <c r="AM21" i="34"/>
  <c r="BO20" i="34"/>
  <c r="BL20" i="34"/>
  <c r="BI20" i="34"/>
  <c r="BD20" i="34"/>
  <c r="BA20" i="34"/>
  <c r="AX20" i="34"/>
  <c r="AS20" i="34"/>
  <c r="AP20" i="34"/>
  <c r="AM20" i="34"/>
  <c r="BO19" i="34"/>
  <c r="BL19" i="34"/>
  <c r="BI19" i="34"/>
  <c r="BD19" i="34"/>
  <c r="BA19" i="34"/>
  <c r="AX19" i="34"/>
  <c r="AS19" i="34"/>
  <c r="AP19" i="34"/>
  <c r="AM19" i="34"/>
  <c r="BO18" i="34"/>
  <c r="BL18" i="34"/>
  <c r="BI18" i="34"/>
  <c r="BD18" i="34"/>
  <c r="BA18" i="34"/>
  <c r="AX18" i="34"/>
  <c r="AS18" i="34"/>
  <c r="AP18" i="34"/>
  <c r="AM18" i="34"/>
  <c r="BO17" i="34"/>
  <c r="BL17" i="34"/>
  <c r="BI17" i="34"/>
  <c r="BD17" i="34"/>
  <c r="BA17" i="34"/>
  <c r="AX17" i="34"/>
  <c r="AS17" i="34"/>
  <c r="AP17" i="34"/>
  <c r="AM17" i="34"/>
  <c r="BO16" i="34"/>
  <c r="BL16" i="34"/>
  <c r="BI16" i="34"/>
  <c r="BD16" i="34"/>
  <c r="BA16" i="34"/>
  <c r="AX16" i="34"/>
  <c r="AS16" i="34"/>
  <c r="AP16" i="34"/>
  <c r="AM16" i="34"/>
  <c r="BO15" i="34"/>
  <c r="BL15" i="34"/>
  <c r="BI15" i="34"/>
  <c r="BD15" i="34"/>
  <c r="BA15" i="34"/>
  <c r="AX15" i="34"/>
  <c r="AS15" i="34"/>
  <c r="AP15" i="34"/>
  <c r="AM15" i="34"/>
  <c r="BO14" i="34"/>
  <c r="BL14" i="34"/>
  <c r="BI14" i="34"/>
  <c r="BD14" i="34"/>
  <c r="BA14" i="34"/>
  <c r="AX14" i="34"/>
  <c r="AS14" i="34"/>
  <c r="AP14" i="34"/>
  <c r="AM14" i="34"/>
  <c r="BO13" i="34"/>
  <c r="BL13" i="34"/>
  <c r="BI13" i="34"/>
  <c r="BD13" i="34"/>
  <c r="BA13" i="34"/>
  <c r="AX13" i="34"/>
  <c r="AS13" i="34"/>
  <c r="AP13" i="34"/>
  <c r="AM13" i="34"/>
  <c r="BO12" i="34"/>
  <c r="BL12" i="34"/>
  <c r="BI12" i="34"/>
  <c r="BD12" i="34"/>
  <c r="BA12" i="34"/>
  <c r="AX12" i="34"/>
  <c r="AS12" i="34"/>
  <c r="AP12" i="34"/>
  <c r="AM12" i="34"/>
  <c r="BO11" i="34"/>
  <c r="BL11" i="34"/>
  <c r="BI11" i="34"/>
  <c r="BD11" i="34"/>
  <c r="BA11" i="34"/>
  <c r="AX11" i="34"/>
  <c r="AS11" i="34"/>
  <c r="AP11" i="34"/>
  <c r="AM11" i="34"/>
  <c r="BO10" i="34"/>
  <c r="BL10" i="34"/>
  <c r="BI10" i="34"/>
  <c r="BD10" i="34"/>
  <c r="BA10" i="34"/>
  <c r="AX10" i="34"/>
  <c r="AS10" i="34"/>
  <c r="AP10" i="34"/>
  <c r="AM10" i="34"/>
  <c r="BO9" i="34"/>
  <c r="BL9" i="34"/>
  <c r="BI9" i="34"/>
  <c r="BD9" i="34"/>
  <c r="BA9" i="34"/>
  <c r="AX9" i="34"/>
  <c r="AS9" i="34"/>
  <c r="AP9" i="34"/>
  <c r="AM9" i="34"/>
  <c r="BO8" i="34"/>
  <c r="BL8" i="34"/>
  <c r="BI8" i="34"/>
  <c r="BD8" i="34"/>
  <c r="BA8" i="34"/>
  <c r="AX8" i="34"/>
  <c r="AS8" i="34"/>
  <c r="AP8" i="34"/>
  <c r="AM8" i="34"/>
  <c r="BO7" i="34"/>
  <c r="BL7" i="34"/>
  <c r="BI7" i="34"/>
  <c r="BD7" i="34"/>
  <c r="BA7" i="34"/>
  <c r="AX7" i="34"/>
  <c r="AS7" i="34"/>
  <c r="AP7" i="34"/>
  <c r="AM7" i="34"/>
  <c r="BO6" i="34"/>
  <c r="BL6" i="34"/>
  <c r="BI6" i="34"/>
  <c r="BD6" i="34"/>
  <c r="BA6" i="34"/>
  <c r="AX6" i="34"/>
  <c r="AS6" i="34"/>
  <c r="AP6" i="34"/>
  <c r="AM6" i="34"/>
  <c r="BO5" i="34"/>
  <c r="BL5" i="34"/>
  <c r="BI5" i="34"/>
  <c r="BD5" i="34"/>
  <c r="BA5" i="34"/>
  <c r="AX5" i="34"/>
  <c r="AS5" i="34"/>
  <c r="AP5" i="34"/>
  <c r="AM5" i="34"/>
  <c r="BO4" i="34"/>
  <c r="BL4" i="34"/>
  <c r="BI4" i="34"/>
  <c r="BD4" i="34"/>
  <c r="BA4" i="34"/>
  <c r="BA37" i="34" s="1"/>
  <c r="AX4" i="34"/>
  <c r="AS4" i="34"/>
  <c r="AP4" i="34"/>
  <c r="AM4" i="34"/>
  <c r="AG35" i="34"/>
  <c r="AF35" i="34"/>
  <c r="AF36" i="34" s="1"/>
  <c r="AD35" i="34"/>
  <c r="AC35" i="34"/>
  <c r="AA35" i="34"/>
  <c r="Z35" i="34"/>
  <c r="Y35" i="34"/>
  <c r="AH34" i="34"/>
  <c r="AE34" i="34"/>
  <c r="AB34" i="34"/>
  <c r="AH33" i="34"/>
  <c r="AE33" i="34"/>
  <c r="AB33" i="34"/>
  <c r="AH32" i="34"/>
  <c r="AE32" i="34"/>
  <c r="AB32" i="34"/>
  <c r="AH31" i="34"/>
  <c r="AE31" i="34"/>
  <c r="AB31" i="34"/>
  <c r="AH30" i="34"/>
  <c r="AE30" i="34"/>
  <c r="AB30" i="34"/>
  <c r="AH29" i="34"/>
  <c r="AE29" i="34"/>
  <c r="AB29" i="34"/>
  <c r="AH28" i="34"/>
  <c r="AE28" i="34"/>
  <c r="AB28" i="34"/>
  <c r="AH27" i="34"/>
  <c r="AE27" i="34"/>
  <c r="AB27" i="34"/>
  <c r="AH26" i="34"/>
  <c r="AE26" i="34"/>
  <c r="AB26" i="34"/>
  <c r="AH25" i="34"/>
  <c r="AE25" i="34"/>
  <c r="AB25" i="34"/>
  <c r="AH24" i="34"/>
  <c r="AE24" i="34"/>
  <c r="AB24" i="34"/>
  <c r="AH23" i="34"/>
  <c r="AE23" i="34"/>
  <c r="AB23" i="34"/>
  <c r="AH22" i="34"/>
  <c r="AE22" i="34"/>
  <c r="AB22" i="34"/>
  <c r="AH21" i="34"/>
  <c r="AE21" i="34"/>
  <c r="AB21" i="34"/>
  <c r="AH20" i="34"/>
  <c r="AE20" i="34"/>
  <c r="AB20" i="34"/>
  <c r="AH19" i="34"/>
  <c r="AE19" i="34"/>
  <c r="AB19" i="34"/>
  <c r="AH18" i="34"/>
  <c r="AE18" i="34"/>
  <c r="AB18" i="34"/>
  <c r="AH17" i="34"/>
  <c r="AE17" i="34"/>
  <c r="AB17" i="34"/>
  <c r="AH16" i="34"/>
  <c r="AE16" i="34"/>
  <c r="AB16" i="34"/>
  <c r="AH15" i="34"/>
  <c r="AE15" i="34"/>
  <c r="AB15" i="34"/>
  <c r="AH14" i="34"/>
  <c r="AE14" i="34"/>
  <c r="AB14" i="34"/>
  <c r="AH13" i="34"/>
  <c r="AE13" i="34"/>
  <c r="AB13" i="34"/>
  <c r="AH12" i="34"/>
  <c r="AE12" i="34"/>
  <c r="AB12" i="34"/>
  <c r="AH11" i="34"/>
  <c r="AE11" i="34"/>
  <c r="AB11" i="34"/>
  <c r="AH10" i="34"/>
  <c r="AE10" i="34"/>
  <c r="AB10" i="34"/>
  <c r="AH9" i="34"/>
  <c r="AE9" i="34"/>
  <c r="AB9" i="34"/>
  <c r="AH8" i="34"/>
  <c r="AE8" i="34"/>
  <c r="AB8" i="34"/>
  <c r="AH7" i="34"/>
  <c r="AE7" i="34"/>
  <c r="AB7" i="34"/>
  <c r="AH6" i="34"/>
  <c r="AE6" i="34"/>
  <c r="AB6" i="34"/>
  <c r="AH5" i="34"/>
  <c r="AE5" i="34"/>
  <c r="AB5" i="34"/>
  <c r="AH4" i="34"/>
  <c r="AE4" i="34"/>
  <c r="AB4" i="34"/>
  <c r="BI37" i="34" l="1"/>
  <c r="DD37" i="34"/>
  <c r="CI36" i="34"/>
  <c r="DL37" i="34"/>
  <c r="O4" i="32" s="1"/>
  <c r="DO37" i="34"/>
  <c r="O5" i="32" s="1"/>
  <c r="DR37" i="34"/>
  <c r="O6" i="32" s="1"/>
  <c r="DW37" i="34"/>
  <c r="P4" i="32" s="1"/>
  <c r="DG37" i="34"/>
  <c r="AB37" i="34"/>
  <c r="AQ36" i="34"/>
  <c r="BT37" i="34"/>
  <c r="DZ37" i="34"/>
  <c r="P5" i="32" s="1"/>
  <c r="BW37" i="34"/>
  <c r="EC37" i="34"/>
  <c r="P6" i="32" s="1"/>
  <c r="AH37" i="34"/>
  <c r="BZ35" i="34"/>
  <c r="K6" i="32" s="1"/>
  <c r="CE37" i="34"/>
  <c r="CH37" i="34"/>
  <c r="CK37" i="34"/>
  <c r="AS37" i="34"/>
  <c r="CP37" i="34"/>
  <c r="BO37" i="34"/>
  <c r="BB36" i="34"/>
  <c r="CS37" i="34"/>
  <c r="DL35" i="34"/>
  <c r="DI36" i="34" s="1"/>
  <c r="DL36" i="34" s="1"/>
  <c r="CP35" i="34"/>
  <c r="M4" i="32" s="1"/>
  <c r="BT35" i="34"/>
  <c r="K4" i="32" s="1"/>
  <c r="AM37" i="34"/>
  <c r="AE35" i="34"/>
  <c r="G5" i="32" s="1"/>
  <c r="AP35" i="34"/>
  <c r="H5" i="32" s="1"/>
  <c r="AX37" i="34"/>
  <c r="BD37" i="34"/>
  <c r="BL35" i="34"/>
  <c r="J5" i="32" s="1"/>
  <c r="CT36" i="34"/>
  <c r="DA35" i="34"/>
  <c r="N4" i="32" s="1"/>
  <c r="DP36" i="34"/>
  <c r="DW35" i="34"/>
  <c r="DU36" i="34" s="1"/>
  <c r="CC36" i="34"/>
  <c r="DK36" i="34"/>
  <c r="CD36" i="34"/>
  <c r="BW35" i="34"/>
  <c r="CH35" i="34"/>
  <c r="CS35" i="34"/>
  <c r="CR36" i="34" s="1"/>
  <c r="DD35" i="34"/>
  <c r="DO35" i="34"/>
  <c r="DN36" i="34" s="1"/>
  <c r="DZ35" i="34"/>
  <c r="DX36" i="34" s="1"/>
  <c r="CB36" i="34"/>
  <c r="BZ37" i="34"/>
  <c r="CK35" i="34"/>
  <c r="CV35" i="34"/>
  <c r="DG35" i="34"/>
  <c r="DR35" i="34"/>
  <c r="DR36" i="34" s="1"/>
  <c r="EC35" i="34"/>
  <c r="EC36" i="34" s="1"/>
  <c r="BJ36" i="34"/>
  <c r="BK36" i="34"/>
  <c r="AM35" i="34"/>
  <c r="AS35" i="34"/>
  <c r="AS36" i="34" s="1"/>
  <c r="AX35" i="34"/>
  <c r="BD35" i="34"/>
  <c r="BI35" i="34"/>
  <c r="BO35" i="34"/>
  <c r="BD36" i="34"/>
  <c r="BO36" i="34"/>
  <c r="AP37" i="34"/>
  <c r="BL37" i="34"/>
  <c r="BA35" i="34"/>
  <c r="AB35" i="34"/>
  <c r="AH35" i="34"/>
  <c r="AH36" i="34" s="1"/>
  <c r="AE37" i="34"/>
  <c r="L4" i="34"/>
  <c r="J35" i="34"/>
  <c r="W5" i="34"/>
  <c r="W6" i="34"/>
  <c r="W7" i="34"/>
  <c r="W8" i="34"/>
  <c r="W9" i="34"/>
  <c r="W10" i="34"/>
  <c r="W11" i="34"/>
  <c r="W12" i="34"/>
  <c r="W13" i="34"/>
  <c r="W14" i="34"/>
  <c r="W15" i="34"/>
  <c r="W16" i="34"/>
  <c r="W17" i="34"/>
  <c r="W18" i="34"/>
  <c r="W19" i="34"/>
  <c r="W20" i="34"/>
  <c r="W21" i="34"/>
  <c r="W22" i="34"/>
  <c r="W23" i="34"/>
  <c r="W24" i="34"/>
  <c r="W25" i="34"/>
  <c r="W26" i="34"/>
  <c r="W27" i="34"/>
  <c r="W28" i="34"/>
  <c r="W29" i="34"/>
  <c r="W30" i="34"/>
  <c r="W31" i="34"/>
  <c r="W32" i="34"/>
  <c r="W33" i="34"/>
  <c r="W34" i="34"/>
  <c r="W4" i="34"/>
  <c r="U35" i="34"/>
  <c r="V35" i="34"/>
  <c r="S35" i="34"/>
  <c r="R35" i="34"/>
  <c r="P35" i="34"/>
  <c r="O35" i="34"/>
  <c r="N35" i="34"/>
  <c r="T34" i="34"/>
  <c r="Q34" i="34"/>
  <c r="T33" i="34"/>
  <c r="Q33" i="34"/>
  <c r="T32" i="34"/>
  <c r="Q32" i="34"/>
  <c r="T31" i="34"/>
  <c r="Q31" i="34"/>
  <c r="T30" i="34"/>
  <c r="Q30" i="34"/>
  <c r="T29" i="34"/>
  <c r="Q29" i="34"/>
  <c r="T28" i="34"/>
  <c r="Q28" i="34"/>
  <c r="T27" i="34"/>
  <c r="Q27" i="34"/>
  <c r="T26" i="34"/>
  <c r="Q26" i="34"/>
  <c r="T25" i="34"/>
  <c r="Q25" i="34"/>
  <c r="T24" i="34"/>
  <c r="Q24" i="34"/>
  <c r="T23" i="34"/>
  <c r="Q23" i="34"/>
  <c r="T22" i="34"/>
  <c r="Q22" i="34"/>
  <c r="T21" i="34"/>
  <c r="Q21" i="34"/>
  <c r="T20" i="34"/>
  <c r="Q20" i="34"/>
  <c r="T19" i="34"/>
  <c r="Q19" i="34"/>
  <c r="T18" i="34"/>
  <c r="Q18" i="34"/>
  <c r="T17" i="34"/>
  <c r="Q17" i="34"/>
  <c r="T16" i="34"/>
  <c r="Q16" i="34"/>
  <c r="T15" i="34"/>
  <c r="Q15" i="34"/>
  <c r="T14" i="34"/>
  <c r="Q14" i="34"/>
  <c r="T13" i="34"/>
  <c r="Q13" i="34"/>
  <c r="T12" i="34"/>
  <c r="Q12" i="34"/>
  <c r="T11" i="34"/>
  <c r="Q11" i="34"/>
  <c r="T10" i="34"/>
  <c r="Q10" i="34"/>
  <c r="T9" i="34"/>
  <c r="Q9" i="34"/>
  <c r="T8" i="34"/>
  <c r="Q8" i="34"/>
  <c r="T7" i="34"/>
  <c r="Q7" i="34"/>
  <c r="T6" i="34"/>
  <c r="Q6" i="34"/>
  <c r="T5" i="34"/>
  <c r="Q5" i="34"/>
  <c r="T4" i="34"/>
  <c r="Q4" i="34"/>
  <c r="AO36" i="34" l="1"/>
  <c r="W37" i="34"/>
  <c r="F6" i="32" s="1"/>
  <c r="CO36" i="34"/>
  <c r="AN36" i="34"/>
  <c r="BZ36" i="34"/>
  <c r="DJ36" i="34"/>
  <c r="BY36" i="34"/>
  <c r="CM36" i="34"/>
  <c r="CP36" i="34" s="1"/>
  <c r="Q37" i="34"/>
  <c r="F4" i="32" s="1"/>
  <c r="CN36" i="34"/>
  <c r="T35" i="34"/>
  <c r="R36" i="34" s="1"/>
  <c r="DT36" i="34"/>
  <c r="DW36" i="34" s="1"/>
  <c r="DV36" i="34"/>
  <c r="CX36" i="34"/>
  <c r="BS36" i="34"/>
  <c r="BQ36" i="34"/>
  <c r="BT36" i="34" s="1"/>
  <c r="BR36" i="34"/>
  <c r="AD36" i="34"/>
  <c r="AC36" i="34"/>
  <c r="Z36" i="34"/>
  <c r="G4" i="32"/>
  <c r="BG36" i="34"/>
  <c r="J4" i="32"/>
  <c r="AU36" i="34"/>
  <c r="I4" i="32"/>
  <c r="AK36" i="34"/>
  <c r="H4" i="32"/>
  <c r="CV36" i="34"/>
  <c r="M6" i="32"/>
  <c r="DQ36" i="34"/>
  <c r="DB36" i="34"/>
  <c r="N5" i="32"/>
  <c r="CF36" i="34"/>
  <c r="CH36" i="34" s="1"/>
  <c r="L5" i="32"/>
  <c r="W35" i="34"/>
  <c r="W36" i="34" s="1"/>
  <c r="AG36" i="34"/>
  <c r="G6" i="32"/>
  <c r="AZ36" i="34"/>
  <c r="I5" i="32"/>
  <c r="BN36" i="34"/>
  <c r="J6" i="32"/>
  <c r="BC36" i="34"/>
  <c r="I6" i="32"/>
  <c r="AR36" i="34"/>
  <c r="H6" i="32"/>
  <c r="DG36" i="34"/>
  <c r="N6" i="32"/>
  <c r="CK36" i="34"/>
  <c r="L6" i="32"/>
  <c r="CU36" i="34"/>
  <c r="CQ36" i="34"/>
  <c r="CS36" i="34" s="1"/>
  <c r="M5" i="32"/>
  <c r="BV36" i="34"/>
  <c r="K5" i="32"/>
  <c r="CZ36" i="34"/>
  <c r="CY36" i="34"/>
  <c r="CE36" i="34"/>
  <c r="DY36" i="34"/>
  <c r="DZ36" i="34" s="1"/>
  <c r="DM36" i="34"/>
  <c r="DO36" i="34" s="1"/>
  <c r="DC36" i="34"/>
  <c r="CG36" i="34"/>
  <c r="BU36" i="34"/>
  <c r="BW36" i="34" s="1"/>
  <c r="EB36" i="34"/>
  <c r="DF36" i="34"/>
  <c r="CJ36" i="34"/>
  <c r="BH36" i="34"/>
  <c r="AY36" i="34"/>
  <c r="BA36" i="34" s="1"/>
  <c r="AL36" i="34"/>
  <c r="BL36" i="34"/>
  <c r="AW36" i="34"/>
  <c r="AP36" i="34"/>
  <c r="BF36" i="34"/>
  <c r="BI36" i="34" s="1"/>
  <c r="AV36" i="34"/>
  <c r="AJ36" i="34"/>
  <c r="AM36" i="34" s="1"/>
  <c r="AA36" i="34"/>
  <c r="AE36" i="34"/>
  <c r="Y36" i="34"/>
  <c r="U36" i="34"/>
  <c r="S36" i="34"/>
  <c r="Q35" i="34"/>
  <c r="N36" i="34" s="1"/>
  <c r="T37" i="34"/>
  <c r="F5" i="32" s="1"/>
  <c r="V36" i="34"/>
  <c r="DD36" i="34" l="1"/>
  <c r="DA36" i="34"/>
  <c r="AX36" i="34"/>
  <c r="AB36" i="34"/>
  <c r="T36" i="34"/>
  <c r="O36" i="34"/>
  <c r="P36" i="34"/>
  <c r="Q36" i="34" l="1"/>
  <c r="L16" i="31"/>
  <c r="F25" i="31"/>
  <c r="H18" i="31"/>
  <c r="I25" i="31"/>
  <c r="M25" i="31"/>
  <c r="M12" i="31"/>
  <c r="N11" i="31"/>
  <c r="D25" i="31"/>
  <c r="E19" i="31"/>
  <c r="J2" i="31"/>
  <c r="J19" i="31"/>
  <c r="F19" i="31"/>
  <c r="H16" i="31"/>
  <c r="J17" i="31"/>
  <c r="N25" i="31"/>
  <c r="N13" i="31"/>
  <c r="M20" i="31"/>
  <c r="M4" i="31"/>
  <c r="I12" i="31"/>
  <c r="I10" i="31"/>
  <c r="F16" i="31"/>
  <c r="F8" i="31"/>
  <c r="G16" i="31"/>
  <c r="F4" i="31"/>
  <c r="E17" i="31"/>
  <c r="E11" i="31"/>
  <c r="G20" i="31"/>
  <c r="H12" i="31"/>
  <c r="K2" i="31"/>
  <c r="L25" i="31"/>
  <c r="L19" i="31"/>
  <c r="L12" i="31"/>
  <c r="L6" i="31"/>
  <c r="M18" i="31"/>
  <c r="M16" i="31"/>
  <c r="N18" i="31"/>
  <c r="N19" i="31"/>
  <c r="N3" i="31"/>
  <c r="F10" i="31"/>
  <c r="G22" i="31"/>
  <c r="I4" i="31"/>
  <c r="M23" i="31"/>
  <c r="N23" i="31"/>
  <c r="N9" i="31"/>
  <c r="M10" i="31"/>
  <c r="M6" i="31"/>
  <c r="L23" i="31"/>
  <c r="L17" i="31"/>
  <c r="L10" i="31"/>
  <c r="K30" i="31"/>
  <c r="K31" i="31" s="1"/>
  <c r="K24" i="31"/>
  <c r="K19" i="31"/>
  <c r="K17" i="31"/>
  <c r="K13" i="31"/>
  <c r="K11" i="31"/>
  <c r="K8" i="31"/>
  <c r="K6" i="31"/>
  <c r="J23" i="31"/>
  <c r="J10" i="31"/>
  <c r="J8" i="31"/>
  <c r="J6" i="31"/>
  <c r="I23" i="31"/>
  <c r="I19" i="31"/>
  <c r="I16" i="31"/>
  <c r="I8" i="31"/>
  <c r="H30" i="31"/>
  <c r="H31" i="31" s="1"/>
  <c r="H26" i="31"/>
  <c r="H24" i="31"/>
  <c r="H10" i="31"/>
  <c r="G19" i="31"/>
  <c r="F23" i="31"/>
  <c r="E23" i="31"/>
  <c r="D23" i="31"/>
  <c r="D17" i="31"/>
  <c r="N30" i="31"/>
  <c r="N31" i="31" s="1"/>
  <c r="N24" i="31"/>
  <c r="N20" i="31"/>
  <c r="N16" i="31"/>
  <c r="N10" i="31"/>
  <c r="N8" i="31"/>
  <c r="N6" i="31"/>
  <c r="N7" i="31"/>
  <c r="N26" i="31"/>
  <c r="N22" i="31"/>
  <c r="N12" i="31"/>
  <c r="N4" i="31"/>
  <c r="N17" i="31"/>
  <c r="N5" i="31"/>
  <c r="M26" i="31"/>
  <c r="M19" i="31"/>
  <c r="M22" i="31"/>
  <c r="M13" i="31"/>
  <c r="M30" i="31"/>
  <c r="M31" i="31" s="1"/>
  <c r="M28" i="31"/>
  <c r="M17" i="31"/>
  <c r="M11" i="31"/>
  <c r="M9" i="31"/>
  <c r="M7" i="31"/>
  <c r="M5" i="31"/>
  <c r="M24" i="31"/>
  <c r="M2" i="31"/>
  <c r="M8" i="31"/>
  <c r="L26" i="31"/>
  <c r="L24" i="31"/>
  <c r="L22" i="31"/>
  <c r="L18" i="31"/>
  <c r="L11" i="31"/>
  <c r="L9" i="31"/>
  <c r="L7" i="31"/>
  <c r="L30" i="31"/>
  <c r="L31" i="31" s="1"/>
  <c r="L28" i="31"/>
  <c r="L20" i="31"/>
  <c r="L13" i="31"/>
  <c r="L5" i="31"/>
  <c r="L3" i="31"/>
  <c r="K18" i="31"/>
  <c r="K16" i="31"/>
  <c r="K3" i="31"/>
  <c r="K28" i="31"/>
  <c r="K22" i="31"/>
  <c r="K20" i="31"/>
  <c r="K12" i="31"/>
  <c r="K10" i="31"/>
  <c r="K7" i="31"/>
  <c r="K5" i="31"/>
  <c r="K26" i="31"/>
  <c r="K9" i="31"/>
  <c r="K23" i="31"/>
  <c r="K25" i="31"/>
  <c r="K4" i="31"/>
  <c r="J26" i="31"/>
  <c r="J24" i="31"/>
  <c r="J20" i="31"/>
  <c r="J13" i="31"/>
  <c r="J5" i="31"/>
  <c r="J3" i="31"/>
  <c r="J30" i="31"/>
  <c r="J31" i="31" s="1"/>
  <c r="J22" i="31"/>
  <c r="J18" i="31"/>
  <c r="J11" i="31"/>
  <c r="J9" i="31"/>
  <c r="J7" i="31"/>
  <c r="J16" i="31"/>
  <c r="J12" i="31"/>
  <c r="J28" i="31"/>
  <c r="J25" i="31"/>
  <c r="J4" i="31"/>
  <c r="I26" i="31"/>
  <c r="I28" i="31"/>
  <c r="I22" i="31"/>
  <c r="I18" i="31"/>
  <c r="I11" i="31"/>
  <c r="I9" i="31"/>
  <c r="I7" i="31"/>
  <c r="I3" i="31"/>
  <c r="I30" i="31"/>
  <c r="I31" i="31" s="1"/>
  <c r="I24" i="31"/>
  <c r="I20" i="31"/>
  <c r="I13" i="31"/>
  <c r="I5" i="31"/>
  <c r="I6" i="31"/>
  <c r="I17" i="31"/>
  <c r="H23" i="31"/>
  <c r="H22" i="31"/>
  <c r="H20" i="31"/>
  <c r="H19" i="31"/>
  <c r="H13" i="31"/>
  <c r="H4" i="31"/>
  <c r="H25" i="31"/>
  <c r="H17" i="31"/>
  <c r="H11" i="31"/>
  <c r="H9" i="31"/>
  <c r="H7" i="31"/>
  <c r="H8" i="31"/>
  <c r="H2" i="31"/>
  <c r="H6" i="31"/>
  <c r="H5" i="31"/>
  <c r="H3" i="31"/>
  <c r="G30" i="31"/>
  <c r="G31" i="31" s="1"/>
  <c r="G28" i="31"/>
  <c r="G25" i="31"/>
  <c r="G13" i="31"/>
  <c r="G17" i="31"/>
  <c r="G7" i="31"/>
  <c r="G6" i="31"/>
  <c r="G8" i="31"/>
  <c r="G5" i="31"/>
  <c r="G26" i="31"/>
  <c r="G11" i="31"/>
  <c r="G9" i="31"/>
  <c r="G4" i="31"/>
  <c r="G3" i="31"/>
  <c r="G24" i="31"/>
  <c r="G2" i="31"/>
  <c r="F26" i="31"/>
  <c r="F28" i="31"/>
  <c r="F24" i="31"/>
  <c r="F20" i="31"/>
  <c r="F18" i="31"/>
  <c r="F11" i="31"/>
  <c r="F9" i="31"/>
  <c r="F7" i="31"/>
  <c r="F30" i="31"/>
  <c r="F31" i="31" s="1"/>
  <c r="F22" i="31"/>
  <c r="F13" i="31"/>
  <c r="F5" i="31"/>
  <c r="F3" i="31"/>
  <c r="F17" i="31"/>
  <c r="F2" i="31"/>
  <c r="E30" i="31"/>
  <c r="E31" i="31" s="1"/>
  <c r="E24" i="31"/>
  <c r="E25" i="31"/>
  <c r="E20" i="31"/>
  <c r="E12" i="31"/>
  <c r="E26" i="31"/>
  <c r="E22" i="31"/>
  <c r="E18" i="31"/>
  <c r="E16" i="31"/>
  <c r="E10" i="31"/>
  <c r="E8" i="31"/>
  <c r="E6" i="31"/>
  <c r="E4" i="31"/>
  <c r="D2" i="31"/>
  <c r="E9" i="31"/>
  <c r="D26" i="31"/>
  <c r="D20" i="31"/>
  <c r="D16" i="31"/>
  <c r="D12" i="31"/>
  <c r="D10" i="31"/>
  <c r="D9" i="31"/>
  <c r="D7" i="31"/>
  <c r="D6" i="31"/>
  <c r="D4" i="31"/>
  <c r="D30" i="31"/>
  <c r="D31" i="31" s="1"/>
  <c r="D24" i="31"/>
  <c r="D22" i="31"/>
  <c r="D18" i="31"/>
  <c r="D13" i="31"/>
  <c r="D11" i="31"/>
  <c r="D5" i="31"/>
  <c r="D28" i="31"/>
  <c r="D19" i="31"/>
  <c r="D3" i="31"/>
  <c r="C26" i="31"/>
  <c r="C25" i="31"/>
  <c r="C24" i="31"/>
  <c r="X19" i="36" l="1"/>
  <c r="X21" i="36"/>
  <c r="X23" i="36"/>
  <c r="X25" i="36"/>
  <c r="X17" i="36"/>
  <c r="X18" i="36"/>
  <c r="X20" i="36"/>
  <c r="X22" i="36"/>
  <c r="X24" i="36"/>
  <c r="X26" i="36"/>
  <c r="AH18" i="36"/>
  <c r="AH20" i="36"/>
  <c r="AH22" i="36"/>
  <c r="AH24" i="36"/>
  <c r="AH26" i="36"/>
  <c r="AH19" i="36"/>
  <c r="AH21" i="36"/>
  <c r="AH23" i="36"/>
  <c r="AH25" i="36"/>
  <c r="AH17" i="36"/>
  <c r="AR19" i="36"/>
  <c r="AR21" i="36"/>
  <c r="AR23" i="36"/>
  <c r="AR25" i="36"/>
  <c r="AR17" i="36"/>
  <c r="AR18" i="36"/>
  <c r="AR20" i="36"/>
  <c r="AR22" i="36"/>
  <c r="AR24" i="36"/>
  <c r="AR26" i="36"/>
  <c r="CP18" i="36"/>
  <c r="CP20" i="36"/>
  <c r="CP22" i="36"/>
  <c r="CP24" i="36"/>
  <c r="CP26" i="36"/>
  <c r="CP19" i="36"/>
  <c r="CP21" i="36"/>
  <c r="CP23" i="36"/>
  <c r="CP25" i="36"/>
  <c r="CP17" i="36"/>
  <c r="DJ18" i="36"/>
  <c r="DJ20" i="36"/>
  <c r="DJ22" i="36"/>
  <c r="DJ24" i="36"/>
  <c r="DJ26" i="36"/>
  <c r="DJ19" i="36"/>
  <c r="DJ21" i="36"/>
  <c r="DJ23" i="36"/>
  <c r="DJ25" i="36"/>
  <c r="DJ17" i="36"/>
  <c r="BB18" i="36"/>
  <c r="BB20" i="36"/>
  <c r="BB22" i="36"/>
  <c r="BB24" i="36"/>
  <c r="BB26" i="36"/>
  <c r="BB19" i="36"/>
  <c r="BB21" i="36"/>
  <c r="BB23" i="36"/>
  <c r="BB25" i="36"/>
  <c r="BB17" i="36"/>
  <c r="E7" i="31"/>
  <c r="G18" i="31"/>
  <c r="N18" i="36"/>
  <c r="N20" i="36"/>
  <c r="N22" i="36"/>
  <c r="N24" i="36"/>
  <c r="N26" i="36"/>
  <c r="N19" i="36"/>
  <c r="N21" i="36"/>
  <c r="N23" i="36"/>
  <c r="N25" i="36"/>
  <c r="N17" i="36"/>
  <c r="BL19" i="36"/>
  <c r="BL21" i="36"/>
  <c r="BL23" i="36"/>
  <c r="BL25" i="36"/>
  <c r="BL17" i="36"/>
  <c r="BL18" i="36"/>
  <c r="BL20" i="36"/>
  <c r="BL22" i="36"/>
  <c r="BL24" i="36"/>
  <c r="BL26" i="36"/>
  <c r="BV18" i="36"/>
  <c r="BV20" i="36"/>
  <c r="BV22" i="36"/>
  <c r="BV24" i="36"/>
  <c r="BV26" i="36"/>
  <c r="BV19" i="36"/>
  <c r="BV21" i="36"/>
  <c r="BV23" i="36"/>
  <c r="BV25" i="36"/>
  <c r="BV17" i="36"/>
  <c r="CZ19" i="36"/>
  <c r="CZ21" i="36"/>
  <c r="CZ23" i="36"/>
  <c r="CZ25" i="36"/>
  <c r="CZ17" i="36"/>
  <c r="CZ18" i="36"/>
  <c r="CZ20" i="36"/>
  <c r="CZ22" i="36"/>
  <c r="CZ24" i="36"/>
  <c r="CZ26" i="36"/>
  <c r="CF19" i="36"/>
  <c r="CF21" i="36"/>
  <c r="CF23" i="36"/>
  <c r="CF25" i="36"/>
  <c r="CF17" i="36"/>
  <c r="CF18" i="36"/>
  <c r="CF20" i="36"/>
  <c r="CF22" i="36"/>
  <c r="CF24" i="36"/>
  <c r="CF26" i="36"/>
  <c r="E5" i="31"/>
  <c r="F6" i="31"/>
  <c r="G23" i="31"/>
  <c r="H9" i="36"/>
  <c r="H11" i="36"/>
  <c r="H13" i="36"/>
  <c r="H15" i="36"/>
  <c r="H16" i="36"/>
  <c r="H18" i="36"/>
  <c r="H20" i="36"/>
  <c r="H22" i="36"/>
  <c r="H24" i="36"/>
  <c r="H26" i="36"/>
  <c r="H10" i="36"/>
  <c r="H12" i="36"/>
  <c r="H14" i="36"/>
  <c r="H17" i="36"/>
  <c r="H19" i="36"/>
  <c r="H21" i="36"/>
  <c r="H23" i="36"/>
  <c r="H25" i="36"/>
  <c r="H8" i="36"/>
  <c r="F21" i="31"/>
  <c r="G10" i="31"/>
  <c r="G12" i="31"/>
  <c r="E13" i="31"/>
  <c r="F27" i="31"/>
  <c r="L8" i="31"/>
  <c r="J14" i="31"/>
  <c r="L2" i="31"/>
  <c r="L14" i="31" s="1"/>
  <c r="F12" i="31"/>
  <c r="F14" i="31" s="1"/>
  <c r="L4" i="31"/>
  <c r="M3" i="31"/>
  <c r="E3" i="31"/>
  <c r="E2" i="31"/>
  <c r="L21" i="31"/>
  <c r="L27" i="31" s="1"/>
  <c r="N2" i="31"/>
  <c r="N14" i="31" s="1"/>
  <c r="K14" i="31"/>
  <c r="H14" i="31"/>
  <c r="I2" i="31"/>
  <c r="I14" i="31" s="1"/>
  <c r="I21" i="31"/>
  <c r="I27" i="31" s="1"/>
  <c r="M14" i="31"/>
  <c r="M21" i="31"/>
  <c r="M27" i="31" s="1"/>
  <c r="N28" i="31"/>
  <c r="H28" i="31"/>
  <c r="E28" i="31"/>
  <c r="N21" i="31"/>
  <c r="N27" i="31" s="1"/>
  <c r="K21" i="31"/>
  <c r="K27" i="31" s="1"/>
  <c r="J21" i="31"/>
  <c r="J27" i="31" s="1"/>
  <c r="H21" i="31"/>
  <c r="H27" i="31" s="1"/>
  <c r="G21" i="31"/>
  <c r="D8" i="31"/>
  <c r="D14" i="31" s="1"/>
  <c r="E21" i="31"/>
  <c r="E27" i="31" s="1"/>
  <c r="D21" i="31"/>
  <c r="D27" i="31" s="1"/>
  <c r="G27" i="31" l="1"/>
  <c r="AQ19" i="36" s="1"/>
  <c r="G14" i="31"/>
  <c r="W19" i="36"/>
  <c r="W21" i="36"/>
  <c r="W23" i="36"/>
  <c r="W25" i="36"/>
  <c r="W17" i="36"/>
  <c r="W18" i="36"/>
  <c r="W20" i="36"/>
  <c r="W22" i="36"/>
  <c r="W24" i="36"/>
  <c r="W26" i="36"/>
  <c r="BA18" i="36"/>
  <c r="BA20" i="36"/>
  <c r="BA22" i="36"/>
  <c r="BA24" i="36"/>
  <c r="BA26" i="36"/>
  <c r="BA19" i="36"/>
  <c r="BA21" i="36"/>
  <c r="BA23" i="36"/>
  <c r="BA25" i="36"/>
  <c r="BA17" i="36"/>
  <c r="CE19" i="36"/>
  <c r="CE21" i="36"/>
  <c r="CE23" i="36"/>
  <c r="CE25" i="36"/>
  <c r="CE17" i="36"/>
  <c r="CE18" i="36"/>
  <c r="CE20" i="36"/>
  <c r="CE22" i="36"/>
  <c r="CE24" i="36"/>
  <c r="CE26" i="36"/>
  <c r="CY10" i="36"/>
  <c r="CY12" i="36"/>
  <c r="CY14" i="36"/>
  <c r="CY8" i="36"/>
  <c r="CY9" i="36"/>
  <c r="CY11" i="36"/>
  <c r="CY13" i="36"/>
  <c r="CY15" i="36"/>
  <c r="CY16" i="36"/>
  <c r="BK10" i="36"/>
  <c r="BK12" i="36"/>
  <c r="BK14" i="36"/>
  <c r="BK8" i="36"/>
  <c r="BK9" i="36"/>
  <c r="BK11" i="36"/>
  <c r="BK13" i="36"/>
  <c r="BK15" i="36"/>
  <c r="BK16" i="36"/>
  <c r="CE10" i="36"/>
  <c r="CE12" i="36"/>
  <c r="CE14" i="36"/>
  <c r="CE8" i="36"/>
  <c r="CE9" i="36"/>
  <c r="CE11" i="36"/>
  <c r="CE13" i="36"/>
  <c r="CE15" i="36"/>
  <c r="CE16" i="36"/>
  <c r="DI9" i="36"/>
  <c r="DI11" i="36"/>
  <c r="DI13" i="36"/>
  <c r="DI15" i="36"/>
  <c r="DI16" i="36"/>
  <c r="DI10" i="36"/>
  <c r="DI12" i="36"/>
  <c r="DI14" i="36"/>
  <c r="DI8" i="36"/>
  <c r="CO9" i="36"/>
  <c r="CO11" i="36"/>
  <c r="CO13" i="36"/>
  <c r="CO15" i="36"/>
  <c r="CO16" i="36"/>
  <c r="CO10" i="36"/>
  <c r="CO12" i="36"/>
  <c r="CO14" i="36"/>
  <c r="CO8" i="36"/>
  <c r="AG18" i="36"/>
  <c r="AG20" i="36"/>
  <c r="AG22" i="36"/>
  <c r="AG24" i="36"/>
  <c r="AG26" i="36"/>
  <c r="AG19" i="36"/>
  <c r="AG21" i="36"/>
  <c r="AG23" i="36"/>
  <c r="AG25" i="36"/>
  <c r="AG17" i="36"/>
  <c r="M18" i="36"/>
  <c r="M20" i="36"/>
  <c r="M22" i="36"/>
  <c r="M24" i="36"/>
  <c r="M26" i="36"/>
  <c r="M19" i="36"/>
  <c r="M21" i="36"/>
  <c r="M23" i="36"/>
  <c r="M25" i="36"/>
  <c r="M17" i="36"/>
  <c r="BU18" i="36"/>
  <c r="BU20" i="36"/>
  <c r="BU22" i="36"/>
  <c r="BU24" i="36"/>
  <c r="BU26" i="36"/>
  <c r="BU19" i="36"/>
  <c r="BU21" i="36"/>
  <c r="BU23" i="36"/>
  <c r="BU25" i="36"/>
  <c r="BU17" i="36"/>
  <c r="DI18" i="36"/>
  <c r="DI20" i="36"/>
  <c r="DI22" i="36"/>
  <c r="DI24" i="36"/>
  <c r="DI26" i="36"/>
  <c r="DI19" i="36"/>
  <c r="DI21" i="36"/>
  <c r="DI23" i="36"/>
  <c r="DI25" i="36"/>
  <c r="DI17" i="36"/>
  <c r="CY19" i="36"/>
  <c r="CY21" i="36"/>
  <c r="CY23" i="36"/>
  <c r="CY25" i="36"/>
  <c r="CY17" i="36"/>
  <c r="CY18" i="36"/>
  <c r="CY20" i="36"/>
  <c r="CY22" i="36"/>
  <c r="CY24" i="36"/>
  <c r="CY26" i="36"/>
  <c r="BK19" i="36"/>
  <c r="BK21" i="36"/>
  <c r="BK23" i="36"/>
  <c r="BK25" i="36"/>
  <c r="BK17" i="36"/>
  <c r="BK18" i="36"/>
  <c r="BK20" i="36"/>
  <c r="BK22" i="36"/>
  <c r="BK24" i="36"/>
  <c r="BK26" i="36"/>
  <c r="BA9" i="36"/>
  <c r="BA11" i="36"/>
  <c r="BA13" i="36"/>
  <c r="BA15" i="36"/>
  <c r="BA16" i="36"/>
  <c r="BA10" i="36"/>
  <c r="BA12" i="36"/>
  <c r="BA14" i="36"/>
  <c r="BA8" i="36"/>
  <c r="CO18" i="36"/>
  <c r="CO20" i="36"/>
  <c r="CO22" i="36"/>
  <c r="CO24" i="36"/>
  <c r="CO26" i="36"/>
  <c r="CO19" i="36"/>
  <c r="CO21" i="36"/>
  <c r="CO23" i="36"/>
  <c r="CO25" i="36"/>
  <c r="CO17" i="36"/>
  <c r="AG9" i="36"/>
  <c r="AG11" i="36"/>
  <c r="AG13" i="36"/>
  <c r="AG15" i="36"/>
  <c r="AG16" i="36"/>
  <c r="AG10" i="36"/>
  <c r="AG12" i="36"/>
  <c r="AG14" i="36"/>
  <c r="AG8" i="36"/>
  <c r="BU9" i="36"/>
  <c r="BU11" i="36"/>
  <c r="BU13" i="36"/>
  <c r="BU15" i="36"/>
  <c r="BU16" i="36"/>
  <c r="BU10" i="36"/>
  <c r="BU12" i="36"/>
  <c r="BU14" i="36"/>
  <c r="BU8" i="36"/>
  <c r="AQ10" i="36"/>
  <c r="AQ12" i="36"/>
  <c r="AQ14" i="36"/>
  <c r="AQ8" i="36"/>
  <c r="AQ9" i="36"/>
  <c r="AQ11" i="36"/>
  <c r="AQ13" i="36"/>
  <c r="AQ15" i="36"/>
  <c r="AQ16" i="36"/>
  <c r="M9" i="36"/>
  <c r="M11" i="36"/>
  <c r="M13" i="36"/>
  <c r="M15" i="36"/>
  <c r="M16" i="36"/>
  <c r="M10" i="36"/>
  <c r="M12" i="36"/>
  <c r="M14" i="36"/>
  <c r="M8" i="36"/>
  <c r="E14" i="31"/>
  <c r="C23" i="31"/>
  <c r="F12" i="40"/>
  <c r="AQ26" i="36" l="1"/>
  <c r="AQ18" i="36"/>
  <c r="AQ22" i="36"/>
  <c r="AQ25" i="36"/>
  <c r="AQ21" i="36"/>
  <c r="AQ24" i="36"/>
  <c r="AQ20" i="36"/>
  <c r="AQ17" i="36"/>
  <c r="AQ23" i="36"/>
  <c r="W10" i="36"/>
  <c r="W12" i="36"/>
  <c r="W14" i="36"/>
  <c r="W8" i="36"/>
  <c r="W9" i="36"/>
  <c r="W11" i="36"/>
  <c r="W13" i="36"/>
  <c r="W15" i="36"/>
  <c r="W16" i="36"/>
  <c r="AN13" i="14"/>
  <c r="AK13" i="14"/>
  <c r="AH13" i="14"/>
  <c r="AE13" i="14"/>
  <c r="AB13" i="14"/>
  <c r="Y13" i="14"/>
  <c r="V13" i="14"/>
  <c r="S13" i="14"/>
  <c r="P13" i="14"/>
  <c r="M13" i="14"/>
  <c r="J13" i="14"/>
  <c r="G13" i="14"/>
  <c r="AN12" i="14"/>
  <c r="AK12" i="14"/>
  <c r="AH12" i="14"/>
  <c r="AE12" i="14"/>
  <c r="AB12" i="14"/>
  <c r="Y12" i="14"/>
  <c r="V12" i="14"/>
  <c r="S12" i="14"/>
  <c r="P12" i="14"/>
  <c r="M12" i="14"/>
  <c r="J12" i="14"/>
  <c r="G12" i="14"/>
  <c r="AN11" i="14"/>
  <c r="AK11" i="14"/>
  <c r="AH11" i="14"/>
  <c r="AE11" i="14"/>
  <c r="AB11" i="14"/>
  <c r="Y11" i="14"/>
  <c r="V11" i="14"/>
  <c r="S11" i="14"/>
  <c r="P11" i="14"/>
  <c r="M11" i="14"/>
  <c r="J11" i="14"/>
  <c r="G11" i="14"/>
  <c r="AN10" i="14"/>
  <c r="AK10" i="14"/>
  <c r="AH10" i="14"/>
  <c r="AE10" i="14"/>
  <c r="AB10" i="14"/>
  <c r="Y10" i="14"/>
  <c r="V10" i="14"/>
  <c r="S10" i="14"/>
  <c r="P10" i="14"/>
  <c r="M10" i="14"/>
  <c r="J10" i="14"/>
  <c r="G10" i="14"/>
  <c r="AN9" i="14"/>
  <c r="AK9" i="14"/>
  <c r="AH9" i="14"/>
  <c r="AE9" i="14"/>
  <c r="AB9" i="14"/>
  <c r="Y9" i="14"/>
  <c r="V9" i="14"/>
  <c r="S9" i="14"/>
  <c r="P9" i="14"/>
  <c r="M9" i="14"/>
  <c r="J9" i="14"/>
  <c r="G9" i="14"/>
  <c r="AN8" i="14"/>
  <c r="AK8" i="14"/>
  <c r="AH8" i="14"/>
  <c r="AE8" i="14"/>
  <c r="AB8" i="14"/>
  <c r="Y8" i="14"/>
  <c r="V8" i="14"/>
  <c r="S8" i="14"/>
  <c r="P8" i="14"/>
  <c r="M8" i="14"/>
  <c r="J8" i="14"/>
  <c r="G8" i="14"/>
  <c r="AN7" i="14"/>
  <c r="AK7" i="14"/>
  <c r="AH7" i="14"/>
  <c r="AE7" i="14"/>
  <c r="AB7" i="14"/>
  <c r="Y7" i="14"/>
  <c r="V7" i="14"/>
  <c r="S7" i="14"/>
  <c r="P7" i="14"/>
  <c r="M7" i="14"/>
  <c r="J7" i="14"/>
  <c r="G7" i="14"/>
  <c r="AN6" i="14"/>
  <c r="AK6" i="14"/>
  <c r="AH6" i="14"/>
  <c r="AE6" i="14"/>
  <c r="AB6" i="14"/>
  <c r="AB14" i="14" s="1"/>
  <c r="BT26" i="36" s="1"/>
  <c r="Y6" i="14"/>
  <c r="V6" i="14"/>
  <c r="S6" i="14"/>
  <c r="S14" i="14" s="1"/>
  <c r="AP26" i="36" s="1"/>
  <c r="P6" i="14"/>
  <c r="M6" i="14"/>
  <c r="M14" i="14" s="1"/>
  <c r="V26" i="36" s="1"/>
  <c r="J6" i="14"/>
  <c r="G6" i="14"/>
  <c r="AN13" i="47"/>
  <c r="AK13" i="47"/>
  <c r="AH13" i="47"/>
  <c r="AE13" i="47"/>
  <c r="AB13" i="47"/>
  <c r="Y13" i="47"/>
  <c r="V13" i="47"/>
  <c r="S13" i="47"/>
  <c r="P13" i="47"/>
  <c r="M13" i="47"/>
  <c r="J13" i="47"/>
  <c r="G13" i="47"/>
  <c r="AN12" i="47"/>
  <c r="AK12" i="47"/>
  <c r="AH12" i="47"/>
  <c r="AE12" i="47"/>
  <c r="AB12" i="47"/>
  <c r="Y12" i="47"/>
  <c r="V12" i="47"/>
  <c r="S12" i="47"/>
  <c r="P12" i="47"/>
  <c r="M12" i="47"/>
  <c r="J12" i="47"/>
  <c r="G12" i="47"/>
  <c r="AN11" i="47"/>
  <c r="AK11" i="47"/>
  <c r="AH11" i="47"/>
  <c r="AE11" i="47"/>
  <c r="AB11" i="47"/>
  <c r="Y11" i="47"/>
  <c r="V11" i="47"/>
  <c r="S11" i="47"/>
  <c r="P11" i="47"/>
  <c r="M11" i="47"/>
  <c r="J11" i="47"/>
  <c r="G11" i="47"/>
  <c r="AN10" i="47"/>
  <c r="AK10" i="47"/>
  <c r="AH10" i="47"/>
  <c r="AE10" i="47"/>
  <c r="AB10" i="47"/>
  <c r="Y10" i="47"/>
  <c r="V10" i="47"/>
  <c r="S10" i="47"/>
  <c r="P10" i="47"/>
  <c r="M10" i="47"/>
  <c r="J10" i="47"/>
  <c r="G10" i="47"/>
  <c r="AN9" i="47"/>
  <c r="AK9" i="47"/>
  <c r="AH9" i="47"/>
  <c r="AE9" i="47"/>
  <c r="AB9" i="47"/>
  <c r="Y9" i="47"/>
  <c r="V9" i="47"/>
  <c r="S9" i="47"/>
  <c r="P9" i="47"/>
  <c r="M9" i="47"/>
  <c r="J9" i="47"/>
  <c r="G9" i="47"/>
  <c r="AN8" i="47"/>
  <c r="AK8" i="47"/>
  <c r="AH8" i="47"/>
  <c r="AE8" i="47"/>
  <c r="AB8" i="47"/>
  <c r="Y8" i="47"/>
  <c r="V8" i="47"/>
  <c r="S8" i="47"/>
  <c r="P8" i="47"/>
  <c r="M8" i="47"/>
  <c r="J8" i="47"/>
  <c r="G8" i="47"/>
  <c r="AN7" i="47"/>
  <c r="AK7" i="47"/>
  <c r="AH7" i="47"/>
  <c r="AE7" i="47"/>
  <c r="AB7" i="47"/>
  <c r="Y7" i="47"/>
  <c r="V7" i="47"/>
  <c r="S7" i="47"/>
  <c r="P7" i="47"/>
  <c r="M7" i="47"/>
  <c r="J7" i="47"/>
  <c r="G7" i="47"/>
  <c r="AN6" i="47"/>
  <c r="AK6" i="47"/>
  <c r="AH6" i="47"/>
  <c r="AE6" i="47"/>
  <c r="AB6" i="47"/>
  <c r="Y6" i="47"/>
  <c r="V6" i="47"/>
  <c r="S6" i="47"/>
  <c r="P6" i="47"/>
  <c r="P14" i="47" s="1"/>
  <c r="AF25" i="36" s="1"/>
  <c r="M6" i="47"/>
  <c r="M14" i="47" s="1"/>
  <c r="V25" i="36" s="1"/>
  <c r="J6" i="47"/>
  <c r="G6" i="47"/>
  <c r="AN13" i="46"/>
  <c r="AK13" i="46"/>
  <c r="AH13" i="46"/>
  <c r="AE13" i="46"/>
  <c r="AB13" i="46"/>
  <c r="Y13" i="46"/>
  <c r="V13" i="46"/>
  <c r="S13" i="46"/>
  <c r="P13" i="46"/>
  <c r="M13" i="46"/>
  <c r="J13" i="46"/>
  <c r="G13" i="46"/>
  <c r="AN12" i="46"/>
  <c r="AK12" i="46"/>
  <c r="AH12" i="46"/>
  <c r="AE12" i="46"/>
  <c r="AB12" i="46"/>
  <c r="Y12" i="46"/>
  <c r="V12" i="46"/>
  <c r="S12" i="46"/>
  <c r="P12" i="46"/>
  <c r="M12" i="46"/>
  <c r="J12" i="46"/>
  <c r="G12" i="46"/>
  <c r="AN11" i="46"/>
  <c r="AK11" i="46"/>
  <c r="AH11" i="46"/>
  <c r="AE11" i="46"/>
  <c r="AB11" i="46"/>
  <c r="Y11" i="46"/>
  <c r="V11" i="46"/>
  <c r="S11" i="46"/>
  <c r="P11" i="46"/>
  <c r="M11" i="46"/>
  <c r="J11" i="46"/>
  <c r="G11" i="46"/>
  <c r="AN10" i="46"/>
  <c r="AK10" i="46"/>
  <c r="AH10" i="46"/>
  <c r="AE10" i="46"/>
  <c r="AB10" i="46"/>
  <c r="Y10" i="46"/>
  <c r="V10" i="46"/>
  <c r="S10" i="46"/>
  <c r="P10" i="46"/>
  <c r="M10" i="46"/>
  <c r="J10" i="46"/>
  <c r="G10" i="46"/>
  <c r="AN9" i="46"/>
  <c r="AK9" i="46"/>
  <c r="AH9" i="46"/>
  <c r="AE9" i="46"/>
  <c r="AB9" i="46"/>
  <c r="Y9" i="46"/>
  <c r="V9" i="46"/>
  <c r="S9" i="46"/>
  <c r="P9" i="46"/>
  <c r="M9" i="46"/>
  <c r="J9" i="46"/>
  <c r="G9" i="46"/>
  <c r="AN8" i="46"/>
  <c r="AK8" i="46"/>
  <c r="AH8" i="46"/>
  <c r="AE8" i="46"/>
  <c r="AB8" i="46"/>
  <c r="Y8" i="46"/>
  <c r="V8" i="46"/>
  <c r="S8" i="46"/>
  <c r="P8" i="46"/>
  <c r="M8" i="46"/>
  <c r="J8" i="46"/>
  <c r="G8" i="46"/>
  <c r="AN7" i="46"/>
  <c r="AK7" i="46"/>
  <c r="AH7" i="46"/>
  <c r="AE7" i="46"/>
  <c r="AB7" i="46"/>
  <c r="Y7" i="46"/>
  <c r="V7" i="46"/>
  <c r="S7" i="46"/>
  <c r="P7" i="46"/>
  <c r="M7" i="46"/>
  <c r="J7" i="46"/>
  <c r="G7" i="46"/>
  <c r="AN6" i="46"/>
  <c r="AK6" i="46"/>
  <c r="AH6" i="46"/>
  <c r="AE6" i="46"/>
  <c r="AB6" i="46"/>
  <c r="Y6" i="46"/>
  <c r="V6" i="46"/>
  <c r="S6" i="46"/>
  <c r="S14" i="46" s="1"/>
  <c r="AP16" i="36" s="1"/>
  <c r="P6" i="46"/>
  <c r="P14" i="46" s="1"/>
  <c r="AF16" i="36" s="1"/>
  <c r="M6" i="46"/>
  <c r="M14" i="46" s="1"/>
  <c r="V16" i="36" s="1"/>
  <c r="J6" i="46"/>
  <c r="G6" i="46"/>
  <c r="P14" i="14" l="1"/>
  <c r="AF26" i="36" s="1"/>
  <c r="V14" i="14"/>
  <c r="AZ26" i="36" s="1"/>
  <c r="Y14" i="47"/>
  <c r="BJ25" i="36" s="1"/>
  <c r="Y14" i="14"/>
  <c r="BJ26" i="36" s="1"/>
  <c r="AB14" i="47"/>
  <c r="BT25" i="36" s="1"/>
  <c r="G14" i="46"/>
  <c r="B16" i="36" s="1"/>
  <c r="S14" i="47"/>
  <c r="AP25" i="36" s="1"/>
  <c r="AE14" i="47"/>
  <c r="CD25" i="36" s="1"/>
  <c r="AE14" i="14"/>
  <c r="CD26" i="36" s="1"/>
  <c r="AK14" i="14"/>
  <c r="CX26" i="36" s="1"/>
  <c r="AN14" i="47"/>
  <c r="DH25" i="36" s="1"/>
  <c r="AN14" i="14"/>
  <c r="DH26" i="36" s="1"/>
  <c r="AH14" i="14"/>
  <c r="CN26" i="36" s="1"/>
  <c r="AH14" i="47"/>
  <c r="CN25" i="36" s="1"/>
  <c r="V14" i="46"/>
  <c r="AZ16" i="36" s="1"/>
  <c r="Y14" i="46"/>
  <c r="BJ16" i="36" s="1"/>
  <c r="AK14" i="46"/>
  <c r="CX16" i="36" s="1"/>
  <c r="AN14" i="46"/>
  <c r="DH16" i="36" s="1"/>
  <c r="AB14" i="46"/>
  <c r="BT16" i="36" s="1"/>
  <c r="AK14" i="47"/>
  <c r="CX25" i="36" s="1"/>
  <c r="G14" i="14"/>
  <c r="B26" i="36" s="1"/>
  <c r="G14" i="47"/>
  <c r="B25" i="36" s="1"/>
  <c r="J14" i="46"/>
  <c r="L16" i="36" s="1"/>
  <c r="J14" i="47"/>
  <c r="L25" i="36" s="1"/>
  <c r="J14" i="14"/>
  <c r="L26" i="36" s="1"/>
  <c r="V14" i="47"/>
  <c r="AZ25" i="36" s="1"/>
  <c r="AH14" i="46"/>
  <c r="CN16" i="36" s="1"/>
  <c r="AE14" i="46"/>
  <c r="CD16" i="36" s="1"/>
  <c r="AM21" i="12"/>
  <c r="AM20" i="12"/>
  <c r="AM19" i="12"/>
  <c r="AM18" i="12"/>
  <c r="AM17" i="12"/>
  <c r="AM16" i="12"/>
  <c r="AM15" i="12"/>
  <c r="AM14" i="12"/>
  <c r="AJ21" i="12"/>
  <c r="AJ20" i="12"/>
  <c r="AJ19" i="12"/>
  <c r="AJ18" i="12"/>
  <c r="AJ17" i="12"/>
  <c r="AJ16" i="12"/>
  <c r="AJ15" i="12"/>
  <c r="AJ14" i="12"/>
  <c r="AG21" i="12"/>
  <c r="AG20" i="12"/>
  <c r="AG19" i="12"/>
  <c r="AG18" i="12"/>
  <c r="AG17" i="12"/>
  <c r="AG16" i="12"/>
  <c r="AG15" i="12"/>
  <c r="AG14" i="12"/>
  <c r="AD21" i="12"/>
  <c r="AD20" i="12"/>
  <c r="AD19" i="12"/>
  <c r="AD18" i="12"/>
  <c r="AD17" i="12"/>
  <c r="AD16" i="12"/>
  <c r="AD15" i="12"/>
  <c r="AD14" i="12"/>
  <c r="AA21" i="12"/>
  <c r="AA20" i="12"/>
  <c r="AA19" i="12"/>
  <c r="AA18" i="12"/>
  <c r="AA17" i="12"/>
  <c r="AA16" i="12"/>
  <c r="AA15" i="12"/>
  <c r="AA14" i="12"/>
  <c r="X21" i="12"/>
  <c r="X20" i="12"/>
  <c r="X19" i="12"/>
  <c r="X18" i="12"/>
  <c r="X17" i="12"/>
  <c r="X16" i="12"/>
  <c r="X15" i="12"/>
  <c r="X14" i="12"/>
  <c r="U21" i="12"/>
  <c r="U20" i="12"/>
  <c r="U19" i="12"/>
  <c r="U18" i="12"/>
  <c r="U17" i="12"/>
  <c r="U16" i="12"/>
  <c r="U15" i="12"/>
  <c r="U14" i="12"/>
  <c r="R21" i="12"/>
  <c r="R20" i="12"/>
  <c r="R19" i="12"/>
  <c r="R18" i="12"/>
  <c r="R17" i="12"/>
  <c r="R16" i="12"/>
  <c r="R15" i="12"/>
  <c r="R14" i="12"/>
  <c r="O21" i="12"/>
  <c r="O20" i="12"/>
  <c r="O19" i="12"/>
  <c r="O18" i="12"/>
  <c r="O17" i="12"/>
  <c r="O16" i="12"/>
  <c r="O15" i="12"/>
  <c r="O14" i="12"/>
  <c r="L14" i="12"/>
  <c r="L15" i="12"/>
  <c r="L16" i="12"/>
  <c r="L17" i="12"/>
  <c r="L18" i="12"/>
  <c r="L19" i="12"/>
  <c r="L20" i="12"/>
  <c r="L21" i="12"/>
  <c r="I14" i="12"/>
  <c r="I15" i="12"/>
  <c r="I16" i="12"/>
  <c r="I17" i="12"/>
  <c r="I18" i="12"/>
  <c r="I19" i="12"/>
  <c r="I20" i="12"/>
  <c r="I21" i="12"/>
  <c r="F14" i="12"/>
  <c r="F15" i="12"/>
  <c r="F16" i="12"/>
  <c r="F17" i="12"/>
  <c r="F18" i="12"/>
  <c r="F19" i="12"/>
  <c r="F20" i="12"/>
  <c r="F21" i="12"/>
  <c r="AM40" i="40"/>
  <c r="AM39" i="40"/>
  <c r="AJ40" i="40"/>
  <c r="AJ39" i="40"/>
  <c r="AM22" i="40"/>
  <c r="AM21" i="40"/>
  <c r="AJ22" i="40"/>
  <c r="AJ21" i="40"/>
  <c r="AG40" i="40"/>
  <c r="AG39" i="40"/>
  <c r="AG22" i="40"/>
  <c r="AG21" i="40"/>
  <c r="AD40" i="40"/>
  <c r="AD39" i="40"/>
  <c r="AD22" i="40"/>
  <c r="AD21" i="40"/>
  <c r="AA40" i="40"/>
  <c r="AA39" i="40"/>
  <c r="AA22" i="40"/>
  <c r="AA21" i="40"/>
  <c r="X40" i="40"/>
  <c r="X39" i="40"/>
  <c r="X22" i="40"/>
  <c r="X21" i="40"/>
  <c r="U40" i="40"/>
  <c r="U39" i="40"/>
  <c r="U22" i="40"/>
  <c r="U21" i="40"/>
  <c r="R40" i="40"/>
  <c r="R39" i="40"/>
  <c r="R22" i="40"/>
  <c r="R21" i="40"/>
  <c r="O40" i="40"/>
  <c r="O39" i="40"/>
  <c r="O22" i="40"/>
  <c r="O21" i="40"/>
  <c r="L40" i="40"/>
  <c r="L39" i="40"/>
  <c r="L22" i="40"/>
  <c r="L21" i="40"/>
  <c r="I40" i="40"/>
  <c r="I39" i="40"/>
  <c r="I22" i="40"/>
  <c r="I21" i="40"/>
  <c r="F40" i="40"/>
  <c r="F39" i="40"/>
  <c r="F22" i="40"/>
  <c r="F21" i="40"/>
  <c r="M13" i="8" l="1"/>
  <c r="M13" i="7" l="1"/>
  <c r="M14" i="2" l="1"/>
  <c r="AN13" i="16" l="1"/>
  <c r="AK13" i="16"/>
  <c r="AH13" i="16"/>
  <c r="AE13" i="16"/>
  <c r="AB13" i="16"/>
  <c r="Y13" i="16"/>
  <c r="V13" i="16"/>
  <c r="S13" i="16"/>
  <c r="P13" i="16"/>
  <c r="M13" i="16"/>
  <c r="J13" i="16"/>
  <c r="G13" i="16"/>
  <c r="AN12" i="16"/>
  <c r="AK12" i="16"/>
  <c r="AH12" i="16"/>
  <c r="AE12" i="16"/>
  <c r="AB12" i="16"/>
  <c r="Y12" i="16"/>
  <c r="V12" i="16"/>
  <c r="S12" i="16"/>
  <c r="P12" i="16"/>
  <c r="M12" i="16"/>
  <c r="J12" i="16"/>
  <c r="G12" i="16"/>
  <c r="AN11" i="16"/>
  <c r="AK11" i="16"/>
  <c r="AH11" i="16"/>
  <c r="AE11" i="16"/>
  <c r="AB11" i="16"/>
  <c r="Y11" i="16"/>
  <c r="V11" i="16"/>
  <c r="S11" i="16"/>
  <c r="P11" i="16"/>
  <c r="M11" i="16"/>
  <c r="J11" i="16"/>
  <c r="G11" i="16"/>
  <c r="AN10" i="16"/>
  <c r="AK10" i="16"/>
  <c r="AH10" i="16"/>
  <c r="AE10" i="16"/>
  <c r="AB10" i="16"/>
  <c r="Y10" i="16"/>
  <c r="V10" i="16"/>
  <c r="S10" i="16"/>
  <c r="P10" i="16"/>
  <c r="M10" i="16"/>
  <c r="J10" i="16"/>
  <c r="G10" i="16"/>
  <c r="AN9" i="16"/>
  <c r="AK9" i="16"/>
  <c r="AH9" i="16"/>
  <c r="AE9" i="16"/>
  <c r="AB9" i="16"/>
  <c r="Y9" i="16"/>
  <c r="V9" i="16"/>
  <c r="S9" i="16"/>
  <c r="P9" i="16"/>
  <c r="M9" i="16"/>
  <c r="J9" i="16"/>
  <c r="G9" i="16"/>
  <c r="AN8" i="16"/>
  <c r="AK8" i="16"/>
  <c r="AH8" i="16"/>
  <c r="AE8" i="16"/>
  <c r="AB8" i="16"/>
  <c r="Y8" i="16"/>
  <c r="V8" i="16"/>
  <c r="S8" i="16"/>
  <c r="P8" i="16"/>
  <c r="M8" i="16"/>
  <c r="J8" i="16"/>
  <c r="G8" i="16"/>
  <c r="AN7" i="16"/>
  <c r="AN15" i="16" s="1"/>
  <c r="DH8" i="36" s="1"/>
  <c r="AK7" i="16"/>
  <c r="AH7" i="16"/>
  <c r="AE7" i="16"/>
  <c r="AB7" i="16"/>
  <c r="Y7" i="16"/>
  <c r="Y15" i="16" s="1"/>
  <c r="BJ8" i="36" s="1"/>
  <c r="V7" i="16"/>
  <c r="S7" i="16"/>
  <c r="S15" i="16" s="1"/>
  <c r="AP8" i="36" s="1"/>
  <c r="P7" i="16"/>
  <c r="M7" i="16"/>
  <c r="J7" i="16"/>
  <c r="G7" i="16"/>
  <c r="AE15" i="16" l="1"/>
  <c r="CD8" i="36" s="1"/>
  <c r="AB15" i="16"/>
  <c r="BT8" i="36" s="1"/>
  <c r="AK15" i="16"/>
  <c r="CX8" i="36" s="1"/>
  <c r="G15" i="16"/>
  <c r="B8" i="36" s="1"/>
  <c r="EF8" i="36" s="1"/>
  <c r="J15" i="16"/>
  <c r="L8" i="36" s="1"/>
  <c r="AH15" i="16"/>
  <c r="CN8" i="36" s="1"/>
  <c r="P15" i="16"/>
  <c r="AF8" i="36" s="1"/>
  <c r="V15" i="16"/>
  <c r="AZ8" i="36" s="1"/>
  <c r="M15" i="16"/>
  <c r="V8" i="36" s="1"/>
  <c r="K35" i="34" l="1"/>
  <c r="L37" i="40" l="1"/>
  <c r="L36" i="40"/>
  <c r="L12" i="40"/>
  <c r="L13" i="40"/>
  <c r="L14" i="40"/>
  <c r="L15" i="40"/>
  <c r="L16" i="40"/>
  <c r="M20" i="15" l="1"/>
  <c r="G20" i="15"/>
  <c r="J20" i="15"/>
  <c r="DC15" i="36" l="1"/>
  <c r="DC16" i="36"/>
  <c r="DC11" i="36"/>
  <c r="DC17" i="36"/>
  <c r="DC12" i="36"/>
  <c r="DC18" i="36"/>
  <c r="DC19" i="36"/>
  <c r="DC20" i="36"/>
  <c r="DC8" i="36"/>
  <c r="DC21" i="36"/>
  <c r="DC13" i="36"/>
  <c r="DC22" i="36"/>
  <c r="DC26" i="36"/>
  <c r="DC23" i="36"/>
  <c r="DC24" i="36"/>
  <c r="DC9" i="36"/>
  <c r="DC25" i="36"/>
  <c r="DC10" i="36"/>
  <c r="DC14" i="36"/>
  <c r="BY13" i="36"/>
  <c r="BY14" i="36"/>
  <c r="BY10" i="36"/>
  <c r="BY12" i="36"/>
  <c r="BY15" i="36"/>
  <c r="BY16" i="36"/>
  <c r="BY17" i="36"/>
  <c r="BY24" i="36"/>
  <c r="BY25" i="36"/>
  <c r="BY18" i="36"/>
  <c r="BY19" i="36"/>
  <c r="BY20" i="36"/>
  <c r="BY21" i="36"/>
  <c r="BY26" i="36"/>
  <c r="BY8" i="36"/>
  <c r="BY22" i="36"/>
  <c r="BY9" i="36"/>
  <c r="BY23" i="36"/>
  <c r="BY11" i="36"/>
  <c r="AU11" i="36"/>
  <c r="AU8" i="36"/>
  <c r="AU10" i="36"/>
  <c r="AU12" i="36"/>
  <c r="AU22" i="36"/>
  <c r="AU13" i="36"/>
  <c r="AU23" i="36"/>
  <c r="AU26" i="36"/>
  <c r="AU14" i="36"/>
  <c r="AU15" i="36"/>
  <c r="AU16" i="36"/>
  <c r="AU17" i="36"/>
  <c r="AU24" i="36"/>
  <c r="AU25" i="36"/>
  <c r="AU18" i="36"/>
  <c r="AU9" i="36"/>
  <c r="AU19" i="36"/>
  <c r="AU20" i="36"/>
  <c r="AU21" i="36"/>
  <c r="AM37" i="40"/>
  <c r="AM38" i="40"/>
  <c r="AM36" i="40"/>
  <c r="AJ37" i="40"/>
  <c r="AJ38" i="40"/>
  <c r="AJ36" i="40"/>
  <c r="AG37" i="40"/>
  <c r="AG38" i="40"/>
  <c r="AG36" i="40"/>
  <c r="AD37" i="40"/>
  <c r="AD38" i="40"/>
  <c r="AD36" i="40"/>
  <c r="AA37" i="40"/>
  <c r="AA38" i="40"/>
  <c r="AA36" i="40"/>
  <c r="X37" i="40"/>
  <c r="X38" i="40"/>
  <c r="X36" i="40"/>
  <c r="U37" i="40"/>
  <c r="U38" i="40"/>
  <c r="U36" i="40"/>
  <c r="R37" i="40"/>
  <c r="R38" i="40"/>
  <c r="R36" i="40"/>
  <c r="O37" i="40"/>
  <c r="O38" i="40"/>
  <c r="O36" i="40"/>
  <c r="AM31" i="40"/>
  <c r="AM32" i="40"/>
  <c r="AM33" i="40"/>
  <c r="AM34" i="40"/>
  <c r="AM30" i="40"/>
  <c r="AJ31" i="40"/>
  <c r="AJ32" i="40"/>
  <c r="AJ33" i="40"/>
  <c r="AJ34" i="40"/>
  <c r="AJ30" i="40"/>
  <c r="AG31" i="40"/>
  <c r="AG32" i="40"/>
  <c r="AG33" i="40"/>
  <c r="AG34" i="40"/>
  <c r="AG30" i="40"/>
  <c r="AD31" i="40"/>
  <c r="AD32" i="40"/>
  <c r="AD33" i="40"/>
  <c r="AD34" i="40"/>
  <c r="AD30" i="40"/>
  <c r="AA31" i="40"/>
  <c r="AA32" i="40"/>
  <c r="AA33" i="40"/>
  <c r="AA34" i="40"/>
  <c r="AA30" i="40"/>
  <c r="AA35" i="40" s="1"/>
  <c r="BT22" i="36" s="1"/>
  <c r="X31" i="40"/>
  <c r="X32" i="40"/>
  <c r="X33" i="40"/>
  <c r="X34" i="40"/>
  <c r="X30" i="40"/>
  <c r="U31" i="40"/>
  <c r="U32" i="40"/>
  <c r="U33" i="40"/>
  <c r="U34" i="40"/>
  <c r="U30" i="40"/>
  <c r="R31" i="40"/>
  <c r="R32" i="40"/>
  <c r="R33" i="40"/>
  <c r="R34" i="40"/>
  <c r="R30" i="40"/>
  <c r="O31" i="40"/>
  <c r="O32" i="40"/>
  <c r="O33" i="40"/>
  <c r="O34" i="40"/>
  <c r="O30" i="40"/>
  <c r="AM25" i="40"/>
  <c r="AM26" i="40"/>
  <c r="AM27" i="40"/>
  <c r="AM28" i="40"/>
  <c r="AM24" i="40"/>
  <c r="AJ25" i="40"/>
  <c r="AJ26" i="40"/>
  <c r="AJ27" i="40"/>
  <c r="AJ28" i="40"/>
  <c r="AJ24" i="40"/>
  <c r="AG25" i="40"/>
  <c r="AG26" i="40"/>
  <c r="AG27" i="40"/>
  <c r="AG28" i="40"/>
  <c r="AG24" i="40"/>
  <c r="AD25" i="40"/>
  <c r="AD26" i="40"/>
  <c r="AD27" i="40"/>
  <c r="AD28" i="40"/>
  <c r="AD24" i="40"/>
  <c r="AA25" i="40"/>
  <c r="AA26" i="40"/>
  <c r="AA27" i="40"/>
  <c r="AA28" i="40"/>
  <c r="AA24" i="40"/>
  <c r="AA29" i="40" s="1"/>
  <c r="BT21" i="36" s="1"/>
  <c r="X25" i="40"/>
  <c r="X26" i="40"/>
  <c r="X27" i="40"/>
  <c r="X28" i="40"/>
  <c r="X24" i="40"/>
  <c r="U25" i="40"/>
  <c r="U26" i="40"/>
  <c r="U27" i="40"/>
  <c r="U28" i="40"/>
  <c r="U24" i="40"/>
  <c r="R25" i="40"/>
  <c r="R26" i="40"/>
  <c r="R27" i="40"/>
  <c r="R28" i="40"/>
  <c r="R24" i="40"/>
  <c r="O25" i="40"/>
  <c r="O26" i="40"/>
  <c r="O27" i="40"/>
  <c r="O28" i="40"/>
  <c r="O24" i="40"/>
  <c r="L24" i="40"/>
  <c r="O19" i="40"/>
  <c r="O20" i="40"/>
  <c r="O18" i="40"/>
  <c r="O13" i="40"/>
  <c r="O14" i="40"/>
  <c r="O15" i="40"/>
  <c r="O16" i="40"/>
  <c r="AM19" i="40"/>
  <c r="AM20" i="40"/>
  <c r="AM18" i="40"/>
  <c r="AM16" i="40"/>
  <c r="AM13" i="40"/>
  <c r="AM14" i="40"/>
  <c r="AM15" i="40"/>
  <c r="AJ19" i="40"/>
  <c r="AJ20" i="40"/>
  <c r="AJ18" i="40"/>
  <c r="AJ13" i="40"/>
  <c r="AJ14" i="40"/>
  <c r="AJ15" i="40"/>
  <c r="AJ16" i="40"/>
  <c r="AG19" i="40"/>
  <c r="AG20" i="40"/>
  <c r="AG18" i="40"/>
  <c r="AG13" i="40"/>
  <c r="AG14" i="40"/>
  <c r="AG15" i="40"/>
  <c r="AG16" i="40"/>
  <c r="AD19" i="40"/>
  <c r="AD20" i="40"/>
  <c r="AD18" i="40"/>
  <c r="AD13" i="40"/>
  <c r="AD14" i="40"/>
  <c r="AD15" i="40"/>
  <c r="AD16" i="40"/>
  <c r="AA19" i="40"/>
  <c r="AA20" i="40"/>
  <c r="AA18" i="40"/>
  <c r="AA23" i="40" s="1"/>
  <c r="BT20" i="36" s="1"/>
  <c r="AA13" i="40"/>
  <c r="AA14" i="40"/>
  <c r="AA15" i="40"/>
  <c r="AA16" i="40"/>
  <c r="X19" i="40"/>
  <c r="X20" i="40"/>
  <c r="X18" i="40"/>
  <c r="U19" i="40"/>
  <c r="U20" i="40"/>
  <c r="U18" i="40"/>
  <c r="U13" i="40"/>
  <c r="U14" i="40"/>
  <c r="U15" i="40"/>
  <c r="U16" i="40"/>
  <c r="R19" i="40"/>
  <c r="R20" i="40"/>
  <c r="R18" i="40"/>
  <c r="O35" i="40" l="1"/>
  <c r="AF22" i="36" s="1"/>
  <c r="O29" i="40"/>
  <c r="AF21" i="36" s="1"/>
  <c r="C11" i="31"/>
  <c r="C13" i="31"/>
  <c r="C5" i="31" l="1"/>
  <c r="C3" i="31"/>
  <c r="C21" i="31"/>
  <c r="C28" i="31"/>
  <c r="C29" i="31" s="1"/>
  <c r="C17" i="31"/>
  <c r="C30" i="31"/>
  <c r="C31" i="31" s="1"/>
  <c r="C16" i="31"/>
  <c r="C19" i="31"/>
  <c r="C10" i="31"/>
  <c r="C8" i="31"/>
  <c r="C6" i="31"/>
  <c r="C9" i="31"/>
  <c r="C4" i="31"/>
  <c r="C2" i="31"/>
  <c r="C12" i="31"/>
  <c r="N29" i="31"/>
  <c r="L29" i="31"/>
  <c r="K29" i="31"/>
  <c r="J29" i="31"/>
  <c r="I29" i="31"/>
  <c r="H29" i="31"/>
  <c r="G29" i="31"/>
  <c r="F29" i="31"/>
  <c r="D29" i="31"/>
  <c r="C20" i="31"/>
  <c r="M29" i="31"/>
  <c r="C7" i="31"/>
  <c r="R29" i="40"/>
  <c r="AP21" i="36" s="1"/>
  <c r="AM41" i="40"/>
  <c r="AM35" i="40"/>
  <c r="DH22" i="36" s="1"/>
  <c r="AM29" i="40"/>
  <c r="DH21" i="36" s="1"/>
  <c r="AM23" i="40"/>
  <c r="DH20" i="36" s="1"/>
  <c r="AJ41" i="40"/>
  <c r="AJ35" i="40"/>
  <c r="CX22" i="36" s="1"/>
  <c r="AJ29" i="40"/>
  <c r="CX21" i="36" s="1"/>
  <c r="AJ23" i="40"/>
  <c r="CX20" i="36" s="1"/>
  <c r="AG41" i="40"/>
  <c r="AG35" i="40"/>
  <c r="CN22" i="36" s="1"/>
  <c r="AG29" i="40"/>
  <c r="CN21" i="36" s="1"/>
  <c r="AG23" i="40"/>
  <c r="CN20" i="36" s="1"/>
  <c r="AD35" i="40"/>
  <c r="CD22" i="36" s="1"/>
  <c r="AD41" i="40"/>
  <c r="AD29" i="40"/>
  <c r="CD21" i="36" s="1"/>
  <c r="AD23" i="40"/>
  <c r="CD20" i="36" s="1"/>
  <c r="AA41" i="40"/>
  <c r="X41" i="40"/>
  <c r="BJ23" i="36" s="1"/>
  <c r="X35" i="40"/>
  <c r="BJ22" i="36" s="1"/>
  <c r="X29" i="40"/>
  <c r="BJ21" i="36" s="1"/>
  <c r="X23" i="40"/>
  <c r="BJ20" i="36" s="1"/>
  <c r="X13" i="40"/>
  <c r="X14" i="40"/>
  <c r="X15" i="40"/>
  <c r="X16" i="40"/>
  <c r="X8" i="40"/>
  <c r="X9" i="40"/>
  <c r="X10" i="40"/>
  <c r="U41" i="40"/>
  <c r="AZ23" i="36" s="1"/>
  <c r="U35" i="40"/>
  <c r="AZ22" i="36" s="1"/>
  <c r="U29" i="40"/>
  <c r="AZ21" i="36" s="1"/>
  <c r="U23" i="40"/>
  <c r="AZ20" i="36" s="1"/>
  <c r="R41" i="40"/>
  <c r="AP23" i="36" s="1"/>
  <c r="R35" i="40"/>
  <c r="AP22" i="36" s="1"/>
  <c r="R23" i="40"/>
  <c r="AP20" i="36" s="1"/>
  <c r="R13" i="40"/>
  <c r="R14" i="40"/>
  <c r="R15" i="40"/>
  <c r="R16" i="40"/>
  <c r="R8" i="40"/>
  <c r="R9" i="40"/>
  <c r="R10" i="40"/>
  <c r="O8" i="40"/>
  <c r="O9" i="40"/>
  <c r="O10" i="40"/>
  <c r="L38" i="40"/>
  <c r="L19" i="40"/>
  <c r="L9" i="40"/>
  <c r="L10" i="40"/>
  <c r="I38" i="40"/>
  <c r="I19" i="40"/>
  <c r="I13" i="40"/>
  <c r="I14" i="40"/>
  <c r="I15" i="40"/>
  <c r="I16" i="40"/>
  <c r="I9" i="40"/>
  <c r="I10" i="40"/>
  <c r="F38" i="40"/>
  <c r="F19" i="40"/>
  <c r="F9" i="40"/>
  <c r="F10" i="40"/>
  <c r="F13" i="40"/>
  <c r="F14" i="40"/>
  <c r="F15" i="40"/>
  <c r="F16" i="40"/>
  <c r="EM22" i="36" l="1"/>
  <c r="BT23" i="36"/>
  <c r="EQ22" i="36"/>
  <c r="DH23" i="36"/>
  <c r="EN22" i="36"/>
  <c r="CD23" i="36"/>
  <c r="EO22" i="36"/>
  <c r="CN23" i="36"/>
  <c r="EP22" i="36"/>
  <c r="CX23" i="36"/>
  <c r="N9" i="36"/>
  <c r="N11" i="36"/>
  <c r="N13" i="36"/>
  <c r="N15" i="36"/>
  <c r="N16" i="36"/>
  <c r="N10" i="36"/>
  <c r="N12" i="36"/>
  <c r="N14" i="36"/>
  <c r="N8" i="36"/>
  <c r="AR10" i="36"/>
  <c r="AR12" i="36"/>
  <c r="AR14" i="36"/>
  <c r="AR8" i="36"/>
  <c r="AR9" i="36"/>
  <c r="AR11" i="36"/>
  <c r="AR13" i="36"/>
  <c r="AR15" i="36"/>
  <c r="AR16" i="36"/>
  <c r="BL10" i="36"/>
  <c r="BL12" i="36"/>
  <c r="BL14" i="36"/>
  <c r="BL8" i="36"/>
  <c r="BL9" i="36"/>
  <c r="BL11" i="36"/>
  <c r="BL13" i="36"/>
  <c r="BL15" i="36"/>
  <c r="BL16" i="36"/>
  <c r="CF10" i="36"/>
  <c r="CF12" i="36"/>
  <c r="CF14" i="36"/>
  <c r="CF8" i="36"/>
  <c r="CF9" i="36"/>
  <c r="CF11" i="36"/>
  <c r="CF13" i="36"/>
  <c r="CF15" i="36"/>
  <c r="CF16" i="36"/>
  <c r="DJ9" i="36"/>
  <c r="DJ11" i="36"/>
  <c r="DJ13" i="36"/>
  <c r="DJ15" i="36"/>
  <c r="DJ16" i="36"/>
  <c r="DJ10" i="36"/>
  <c r="DJ12" i="36"/>
  <c r="DJ14" i="36"/>
  <c r="DJ8" i="36"/>
  <c r="D18" i="36"/>
  <c r="D20" i="36"/>
  <c r="D22" i="36"/>
  <c r="D24" i="36"/>
  <c r="D26" i="36"/>
  <c r="D19" i="36"/>
  <c r="D21" i="36"/>
  <c r="D23" i="36"/>
  <c r="D25" i="36"/>
  <c r="D17" i="36"/>
  <c r="CZ10" i="36"/>
  <c r="CZ12" i="36"/>
  <c r="CZ14" i="36"/>
  <c r="CZ8" i="36"/>
  <c r="CZ9" i="36"/>
  <c r="CZ11" i="36"/>
  <c r="CZ13" i="36"/>
  <c r="CZ15" i="36"/>
  <c r="CZ16" i="36"/>
  <c r="D9" i="36"/>
  <c r="D11" i="36"/>
  <c r="D13" i="36"/>
  <c r="D15" i="36"/>
  <c r="D16" i="36"/>
  <c r="D10" i="36"/>
  <c r="D12" i="36"/>
  <c r="D14" i="36"/>
  <c r="D8" i="36"/>
  <c r="AH9" i="36"/>
  <c r="AH11" i="36"/>
  <c r="AH13" i="36"/>
  <c r="AH15" i="36"/>
  <c r="AH16" i="36"/>
  <c r="AH10" i="36"/>
  <c r="AH12" i="36"/>
  <c r="AH14" i="36"/>
  <c r="AH8" i="36"/>
  <c r="BB9" i="36"/>
  <c r="BB11" i="36"/>
  <c r="BB13" i="36"/>
  <c r="BB15" i="36"/>
  <c r="BB16" i="36"/>
  <c r="BB10" i="36"/>
  <c r="BB12" i="36"/>
  <c r="BB14" i="36"/>
  <c r="BB8" i="36"/>
  <c r="BV9" i="36"/>
  <c r="BV11" i="36"/>
  <c r="BV13" i="36"/>
  <c r="BV15" i="36"/>
  <c r="BV16" i="36"/>
  <c r="BV10" i="36"/>
  <c r="BV12" i="36"/>
  <c r="BV14" i="36"/>
  <c r="BV8" i="36"/>
  <c r="CP9" i="36"/>
  <c r="CP11" i="36"/>
  <c r="CP13" i="36"/>
  <c r="CP15" i="36"/>
  <c r="CP16" i="36"/>
  <c r="CP10" i="36"/>
  <c r="CP12" i="36"/>
  <c r="CP14" i="36"/>
  <c r="CP8" i="36"/>
  <c r="C22" i="31"/>
  <c r="C14" i="31"/>
  <c r="C18" i="31"/>
  <c r="C27" i="31" s="1"/>
  <c r="EL22" i="36"/>
  <c r="EK22" i="36"/>
  <c r="EJ22" i="36"/>
  <c r="O41" i="40"/>
  <c r="O23" i="40"/>
  <c r="AF20" i="36" s="1"/>
  <c r="L41" i="40"/>
  <c r="V23" i="36" s="1"/>
  <c r="I37" i="40"/>
  <c r="F37" i="40"/>
  <c r="I36" i="40"/>
  <c r="I41" i="40" s="1"/>
  <c r="F36" i="40"/>
  <c r="F41" i="40" s="1"/>
  <c r="B23" i="36" l="1"/>
  <c r="L23" i="36"/>
  <c r="EI22" i="36"/>
  <c r="AF23" i="36"/>
  <c r="C18" i="36"/>
  <c r="C20" i="36"/>
  <c r="C22" i="36"/>
  <c r="C24" i="36"/>
  <c r="C26" i="36"/>
  <c r="C19" i="36"/>
  <c r="C21" i="36"/>
  <c r="C23" i="36"/>
  <c r="C25" i="36"/>
  <c r="C16" i="36"/>
  <c r="EQ20" i="36"/>
  <c r="EQ21" i="36"/>
  <c r="EP20" i="36"/>
  <c r="EP21" i="36"/>
  <c r="EO20" i="36"/>
  <c r="EO21" i="36"/>
  <c r="EN20" i="36"/>
  <c r="EN21" i="36"/>
  <c r="EM20" i="36"/>
  <c r="EM21" i="36"/>
  <c r="EL20" i="36"/>
  <c r="EL21" i="36"/>
  <c r="EK20" i="36"/>
  <c r="EK21" i="36"/>
  <c r="EJ20" i="36"/>
  <c r="EJ21" i="36"/>
  <c r="EI20" i="36"/>
  <c r="EI21" i="36"/>
  <c r="L31" i="40"/>
  <c r="L32" i="40"/>
  <c r="L33" i="40"/>
  <c r="L34" i="40"/>
  <c r="L25" i="40"/>
  <c r="L26" i="40"/>
  <c r="L27" i="40"/>
  <c r="L28" i="40"/>
  <c r="I24" i="40"/>
  <c r="I25" i="40"/>
  <c r="I26" i="40"/>
  <c r="I27" i="40"/>
  <c r="I28" i="40"/>
  <c r="I31" i="40"/>
  <c r="I32" i="40"/>
  <c r="I33" i="40"/>
  <c r="I34" i="40"/>
  <c r="F32" i="40"/>
  <c r="F33" i="40"/>
  <c r="F34" i="40"/>
  <c r="L18" i="40"/>
  <c r="L20" i="40"/>
  <c r="I18" i="40"/>
  <c r="I23" i="40" s="1"/>
  <c r="L20" i="36" s="1"/>
  <c r="I20" i="40"/>
  <c r="L30" i="40"/>
  <c r="I30" i="40"/>
  <c r="L8" i="40"/>
  <c r="I8" i="40"/>
  <c r="F7" i="40"/>
  <c r="L7" i="40"/>
  <c r="F8" i="40"/>
  <c r="I35" i="40" l="1"/>
  <c r="C17" i="36"/>
  <c r="I29" i="40"/>
  <c r="L21" i="36" s="1"/>
  <c r="L35" i="40"/>
  <c r="V22" i="36" s="1"/>
  <c r="EH22" i="36" s="1"/>
  <c r="I68" i="41" s="1"/>
  <c r="D68" i="41" s="1"/>
  <c r="L29" i="40"/>
  <c r="V21" i="36" s="1"/>
  <c r="L23" i="40"/>
  <c r="V20" i="36" s="1"/>
  <c r="EG21" i="36" l="1"/>
  <c r="L22" i="36"/>
  <c r="EG22" i="36" s="1"/>
  <c r="EG20" i="36"/>
  <c r="EH20" i="36"/>
  <c r="I42" i="41" s="1"/>
  <c r="D42" i="41" s="1"/>
  <c r="EH21" i="36"/>
  <c r="I55" i="41" s="1"/>
  <c r="D55" i="41" s="1"/>
  <c r="F28" i="40"/>
  <c r="F27" i="40"/>
  <c r="F25" i="40"/>
  <c r="F26" i="40"/>
  <c r="F31" i="40"/>
  <c r="F30" i="40"/>
  <c r="F35" i="40" l="1"/>
  <c r="B22" i="36" l="1"/>
  <c r="EF22" i="36" s="1"/>
  <c r="M14" i="4"/>
  <c r="F24" i="40" l="1"/>
  <c r="F20" i="40"/>
  <c r="F18" i="40"/>
  <c r="AM12" i="40"/>
  <c r="AM17" i="40" s="1"/>
  <c r="DH19" i="36" s="1"/>
  <c r="AJ12" i="40"/>
  <c r="AJ17" i="40" s="1"/>
  <c r="CX19" i="36" s="1"/>
  <c r="AG12" i="40"/>
  <c r="AG17" i="40" s="1"/>
  <c r="CN19" i="36" s="1"/>
  <c r="AD12" i="40"/>
  <c r="AD17" i="40" s="1"/>
  <c r="CD19" i="36" s="1"/>
  <c r="AA12" i="40"/>
  <c r="AA17" i="40" s="1"/>
  <c r="BT19" i="36" s="1"/>
  <c r="X12" i="40"/>
  <c r="X17" i="40" s="1"/>
  <c r="BJ19" i="36" s="1"/>
  <c r="U12" i="40"/>
  <c r="U17" i="40" s="1"/>
  <c r="AZ19" i="36" s="1"/>
  <c r="R12" i="40"/>
  <c r="R17" i="40" s="1"/>
  <c r="AP19" i="36" s="1"/>
  <c r="O12" i="40"/>
  <c r="O17" i="40" s="1"/>
  <c r="I12" i="40"/>
  <c r="I17" i="40" s="1"/>
  <c r="L19" i="36" s="1"/>
  <c r="F17" i="40"/>
  <c r="L17" i="40"/>
  <c r="V19" i="36" s="1"/>
  <c r="EH19" i="36" s="1"/>
  <c r="I27" i="41" s="1"/>
  <c r="D27" i="41" s="1"/>
  <c r="AM7" i="40"/>
  <c r="AJ7" i="40"/>
  <c r="AG7" i="40"/>
  <c r="AD7" i="40"/>
  <c r="AA7" i="40"/>
  <c r="X7" i="40"/>
  <c r="U7" i="40"/>
  <c r="R7" i="40"/>
  <c r="O7" i="40"/>
  <c r="I7" i="40"/>
  <c r="AM6" i="40"/>
  <c r="AJ6" i="40"/>
  <c r="AJ11" i="40" s="1"/>
  <c r="AG6" i="40"/>
  <c r="AG11" i="40" s="1"/>
  <c r="AD6" i="40"/>
  <c r="AD11" i="40" s="1"/>
  <c r="AA6" i="40"/>
  <c r="AA11" i="40" s="1"/>
  <c r="X6" i="40"/>
  <c r="X11" i="40" s="1"/>
  <c r="U6" i="40"/>
  <c r="U11" i="40" s="1"/>
  <c r="R6" i="40"/>
  <c r="O6" i="40"/>
  <c r="L6" i="40"/>
  <c r="L11" i="40" s="1"/>
  <c r="I6" i="40"/>
  <c r="F6" i="40"/>
  <c r="F11" i="40" s="1"/>
  <c r="X42" i="40" l="1"/>
  <c r="BJ18" i="36"/>
  <c r="AJ42" i="40"/>
  <c r="CX18" i="36"/>
  <c r="U42" i="40"/>
  <c r="AZ18" i="36"/>
  <c r="EK18" i="36" s="1"/>
  <c r="AA42" i="40"/>
  <c r="BT18" i="36"/>
  <c r="EM18" i="36" s="1"/>
  <c r="AD42" i="40"/>
  <c r="CD18" i="36"/>
  <c r="EN18" i="36" s="1"/>
  <c r="AG42" i="40"/>
  <c r="CN18" i="36"/>
  <c r="EO18" i="36" s="1"/>
  <c r="AM11" i="40"/>
  <c r="V18" i="36"/>
  <c r="EH18" i="36" s="1"/>
  <c r="I11" i="41" s="1"/>
  <c r="D11" i="41" s="1"/>
  <c r="L42" i="40"/>
  <c r="O11" i="40"/>
  <c r="B18" i="36"/>
  <c r="I11" i="40"/>
  <c r="R11" i="40"/>
  <c r="EM19" i="36"/>
  <c r="EL19" i="36"/>
  <c r="EK19" i="36"/>
  <c r="EJ19" i="36"/>
  <c r="AF19" i="36"/>
  <c r="EI19" i="36" s="1"/>
  <c r="EG19" i="36"/>
  <c r="EF18" i="36"/>
  <c r="B19" i="36"/>
  <c r="EQ19" i="36"/>
  <c r="EP19" i="36"/>
  <c r="EO19" i="36"/>
  <c r="EN19" i="36"/>
  <c r="EL18" i="36"/>
  <c r="EP18" i="36"/>
  <c r="F29" i="40"/>
  <c r="F23" i="40"/>
  <c r="B21" i="36" l="1"/>
  <c r="EF21" i="36" s="1"/>
  <c r="AF18" i="36"/>
  <c r="EI18" i="36" s="1"/>
  <c r="O42" i="40"/>
  <c r="AM42" i="40"/>
  <c r="DH18" i="36"/>
  <c r="EQ18" i="36" s="1"/>
  <c r="R42" i="40"/>
  <c r="AP18" i="36"/>
  <c r="EJ18" i="36" s="1"/>
  <c r="EF19" i="36"/>
  <c r="B20" i="36"/>
  <c r="EF20" i="36" s="1"/>
  <c r="I42" i="40"/>
  <c r="L18" i="36"/>
  <c r="EG18" i="36" s="1"/>
  <c r="F42" i="40"/>
  <c r="EP26" i="36"/>
  <c r="EN26" i="36"/>
  <c r="EL26" i="36"/>
  <c r="EJ26" i="36"/>
  <c r="EH26" i="36"/>
  <c r="EF26" i="36"/>
  <c r="EH16" i="36"/>
  <c r="K2" i="36"/>
  <c r="L2" i="36" s="1"/>
  <c r="I30" i="45" l="1"/>
  <c r="D30" i="45" s="1"/>
  <c r="I15" i="45"/>
  <c r="D15" i="45" s="1"/>
  <c r="I96" i="41"/>
  <c r="D96" i="41" s="1"/>
  <c r="I83" i="41"/>
  <c r="D83" i="41" s="1"/>
  <c r="I70" i="41"/>
  <c r="D70" i="41" s="1"/>
  <c r="I44" i="41"/>
  <c r="D44" i="41" s="1"/>
  <c r="I13" i="41"/>
  <c r="D13" i="41" s="1"/>
  <c r="I57" i="41"/>
  <c r="D57" i="41" s="1"/>
  <c r="I29" i="41"/>
  <c r="D29" i="41" s="1"/>
  <c r="I43" i="45"/>
  <c r="D43" i="45" s="1"/>
  <c r="EG26" i="36"/>
  <c r="EI26" i="36"/>
  <c r="EK26" i="36"/>
  <c r="EM26" i="36"/>
  <c r="EO26" i="36"/>
  <c r="EQ26" i="36"/>
  <c r="H35" i="34" l="1"/>
  <c r="G35" i="34"/>
  <c r="E35" i="34"/>
  <c r="D35" i="34"/>
  <c r="C35" i="34"/>
  <c r="L34" i="34"/>
  <c r="I34" i="34"/>
  <c r="F34" i="34"/>
  <c r="L33" i="34"/>
  <c r="I33" i="34"/>
  <c r="F33" i="34"/>
  <c r="L32" i="34"/>
  <c r="I32" i="34"/>
  <c r="F32" i="34"/>
  <c r="L31" i="34"/>
  <c r="I31" i="34"/>
  <c r="F31" i="34"/>
  <c r="L30" i="34"/>
  <c r="I30" i="34"/>
  <c r="F30" i="34"/>
  <c r="L29" i="34"/>
  <c r="I29" i="34"/>
  <c r="F29" i="34"/>
  <c r="L28" i="34"/>
  <c r="I28" i="34"/>
  <c r="F28" i="34"/>
  <c r="L27" i="34"/>
  <c r="I27" i="34"/>
  <c r="F27" i="34"/>
  <c r="L26" i="34"/>
  <c r="I26" i="34"/>
  <c r="F26" i="34"/>
  <c r="L25" i="34"/>
  <c r="I25" i="34"/>
  <c r="F25" i="34"/>
  <c r="L24" i="34"/>
  <c r="I24" i="34"/>
  <c r="F24" i="34"/>
  <c r="L23" i="34"/>
  <c r="I23" i="34"/>
  <c r="F23" i="34"/>
  <c r="L22" i="34"/>
  <c r="I22" i="34"/>
  <c r="F22" i="34"/>
  <c r="L21" i="34"/>
  <c r="I21" i="34"/>
  <c r="F21" i="34"/>
  <c r="L20" i="34"/>
  <c r="I20" i="34"/>
  <c r="F20" i="34"/>
  <c r="L19" i="34"/>
  <c r="I19" i="34"/>
  <c r="F19" i="34"/>
  <c r="L18" i="34"/>
  <c r="I18" i="34"/>
  <c r="F18" i="34"/>
  <c r="L17" i="34"/>
  <c r="I17" i="34"/>
  <c r="F17" i="34"/>
  <c r="L16" i="34"/>
  <c r="I16" i="34"/>
  <c r="F16" i="34"/>
  <c r="L15" i="34"/>
  <c r="I15" i="34"/>
  <c r="F15" i="34"/>
  <c r="L14" i="34"/>
  <c r="I14" i="34"/>
  <c r="F14" i="34"/>
  <c r="L13" i="34"/>
  <c r="I13" i="34"/>
  <c r="F13" i="34"/>
  <c r="L12" i="34"/>
  <c r="I12" i="34"/>
  <c r="F12" i="34"/>
  <c r="L11" i="34"/>
  <c r="I11" i="34"/>
  <c r="F11" i="34"/>
  <c r="L10" i="34"/>
  <c r="I10" i="34"/>
  <c r="F10" i="34"/>
  <c r="L9" i="34"/>
  <c r="I9" i="34"/>
  <c r="F9" i="34"/>
  <c r="L8" i="34"/>
  <c r="I8" i="34"/>
  <c r="F8" i="34"/>
  <c r="L7" i="34"/>
  <c r="I7" i="34"/>
  <c r="F7" i="34"/>
  <c r="L6" i="34"/>
  <c r="I6" i="34"/>
  <c r="F6" i="34"/>
  <c r="L5" i="34"/>
  <c r="I5" i="34"/>
  <c r="F5" i="34"/>
  <c r="I4" i="34"/>
  <c r="F4" i="34"/>
  <c r="F37" i="34" l="1"/>
  <c r="E4" i="32" s="1"/>
  <c r="F35" i="34"/>
  <c r="I37" i="34"/>
  <c r="E5" i="32" s="1"/>
  <c r="D36" i="34"/>
  <c r="E36" i="34"/>
  <c r="I35" i="34"/>
  <c r="L35" i="34" l="1"/>
  <c r="J36" i="34" s="1"/>
  <c r="L37" i="34"/>
  <c r="E6" i="32" s="1"/>
  <c r="C36" i="34"/>
  <c r="F36" i="34" s="1"/>
  <c r="H36" i="34"/>
  <c r="G36" i="34"/>
  <c r="L36" i="34" l="1"/>
  <c r="K36" i="34"/>
  <c r="I36" i="34"/>
  <c r="N20" i="32" l="1"/>
  <c r="N21" i="32" s="1"/>
  <c r="CQ10" i="36" l="1"/>
  <c r="CQ12" i="36"/>
  <c r="CQ14" i="36"/>
  <c r="CQ16" i="36"/>
  <c r="CQ18" i="36"/>
  <c r="CQ20" i="36"/>
  <c r="CQ22" i="36"/>
  <c r="CQ24" i="36"/>
  <c r="CQ26" i="36"/>
  <c r="CQ9" i="36"/>
  <c r="CQ11" i="36"/>
  <c r="CQ13" i="36"/>
  <c r="CQ15" i="36"/>
  <c r="CQ17" i="36"/>
  <c r="CQ19" i="36"/>
  <c r="CQ21" i="36"/>
  <c r="CQ23" i="36"/>
  <c r="CQ25" i="36"/>
  <c r="CQ8" i="36"/>
  <c r="L20" i="32"/>
  <c r="L21" i="32" s="1"/>
  <c r="AM11" i="10"/>
  <c r="AJ11" i="10"/>
  <c r="AG11" i="10"/>
  <c r="AD11" i="10"/>
  <c r="AA11" i="10"/>
  <c r="X11" i="10"/>
  <c r="U11" i="10"/>
  <c r="R11" i="10"/>
  <c r="O11" i="10"/>
  <c r="L11" i="10"/>
  <c r="I11" i="10"/>
  <c r="AM10" i="10"/>
  <c r="AJ10" i="10"/>
  <c r="AG10" i="10"/>
  <c r="AD10" i="10"/>
  <c r="AA10" i="10"/>
  <c r="X10" i="10"/>
  <c r="U10" i="10"/>
  <c r="R10" i="10"/>
  <c r="O10" i="10"/>
  <c r="L10" i="10"/>
  <c r="I10" i="10"/>
  <c r="AM9" i="10"/>
  <c r="AJ9" i="10"/>
  <c r="AG9" i="10"/>
  <c r="AD9" i="10"/>
  <c r="AA9" i="10"/>
  <c r="X9" i="10"/>
  <c r="U9" i="10"/>
  <c r="R9" i="10"/>
  <c r="O9" i="10"/>
  <c r="L9" i="10"/>
  <c r="I9" i="10"/>
  <c r="AM8" i="10"/>
  <c r="AJ8" i="10"/>
  <c r="AG8" i="10"/>
  <c r="AD8" i="10"/>
  <c r="AA8" i="10"/>
  <c r="X8" i="10"/>
  <c r="U8" i="10"/>
  <c r="R8" i="10"/>
  <c r="O8" i="10"/>
  <c r="L8" i="10"/>
  <c r="I8" i="10"/>
  <c r="AM7" i="10"/>
  <c r="AJ7" i="10"/>
  <c r="AG7" i="10"/>
  <c r="AD7" i="10"/>
  <c r="AA7" i="10"/>
  <c r="X7" i="10"/>
  <c r="U7" i="10"/>
  <c r="R7" i="10"/>
  <c r="O7" i="10"/>
  <c r="L7" i="10"/>
  <c r="I7" i="10"/>
  <c r="AM6" i="10"/>
  <c r="AJ6" i="10"/>
  <c r="AG6" i="10"/>
  <c r="AD6" i="10"/>
  <c r="AA6" i="10"/>
  <c r="X6" i="10"/>
  <c r="U6" i="10"/>
  <c r="R6" i="10"/>
  <c r="O6" i="10"/>
  <c r="L6" i="10"/>
  <c r="I6" i="10"/>
  <c r="AM5" i="10"/>
  <c r="AM20" i="10" s="1"/>
  <c r="EQ16" i="36" s="1"/>
  <c r="AJ5" i="10"/>
  <c r="AG5" i="10"/>
  <c r="AD5" i="10"/>
  <c r="AA5" i="10"/>
  <c r="X5" i="10"/>
  <c r="U5" i="10"/>
  <c r="R5" i="10"/>
  <c r="R20" i="10" s="1"/>
  <c r="EJ16" i="36" s="1"/>
  <c r="O5" i="10"/>
  <c r="O20" i="10" s="1"/>
  <c r="EI16" i="36" s="1"/>
  <c r="L5" i="10"/>
  <c r="I5" i="10"/>
  <c r="AM13" i="12"/>
  <c r="AJ13" i="12"/>
  <c r="AG13" i="12"/>
  <c r="AD13" i="12"/>
  <c r="AA13" i="12"/>
  <c r="X13" i="12"/>
  <c r="U13" i="12"/>
  <c r="R13" i="12"/>
  <c r="O13" i="12"/>
  <c r="L13" i="12"/>
  <c r="I13" i="12"/>
  <c r="AM12" i="12"/>
  <c r="AJ12" i="12"/>
  <c r="AG12" i="12"/>
  <c r="AD12" i="12"/>
  <c r="AA12" i="12"/>
  <c r="X12" i="12"/>
  <c r="U12" i="12"/>
  <c r="R12" i="12"/>
  <c r="O12" i="12"/>
  <c r="L12" i="12"/>
  <c r="I12" i="12"/>
  <c r="AM11" i="12"/>
  <c r="AJ11" i="12"/>
  <c r="AG11" i="12"/>
  <c r="AD11" i="12"/>
  <c r="AA11" i="12"/>
  <c r="X11" i="12"/>
  <c r="U11" i="12"/>
  <c r="R11" i="12"/>
  <c r="O11" i="12"/>
  <c r="L11" i="12"/>
  <c r="I11" i="12"/>
  <c r="AM10" i="12"/>
  <c r="AJ10" i="12"/>
  <c r="AG10" i="12"/>
  <c r="AD10" i="12"/>
  <c r="AA10" i="12"/>
  <c r="X10" i="12"/>
  <c r="U10" i="12"/>
  <c r="R10" i="12"/>
  <c r="O10" i="12"/>
  <c r="L10" i="12"/>
  <c r="I10" i="12"/>
  <c r="AM9" i="12"/>
  <c r="AJ9" i="12"/>
  <c r="AG9" i="12"/>
  <c r="AD9" i="12"/>
  <c r="AA9" i="12"/>
  <c r="X9" i="12"/>
  <c r="U9" i="12"/>
  <c r="R9" i="12"/>
  <c r="O9" i="12"/>
  <c r="L9" i="12"/>
  <c r="I9" i="12"/>
  <c r="AM8" i="12"/>
  <c r="AJ8" i="12"/>
  <c r="AG8" i="12"/>
  <c r="AD8" i="12"/>
  <c r="AA8" i="12"/>
  <c r="X8" i="12"/>
  <c r="U8" i="12"/>
  <c r="R8" i="12"/>
  <c r="O8" i="12"/>
  <c r="L8" i="12"/>
  <c r="I8" i="12"/>
  <c r="AM7" i="12"/>
  <c r="AJ7" i="12"/>
  <c r="AG7" i="12"/>
  <c r="AD7" i="12"/>
  <c r="AD22" i="12" s="1"/>
  <c r="AA7" i="12"/>
  <c r="X7" i="12"/>
  <c r="U7" i="12"/>
  <c r="R7" i="12"/>
  <c r="O7" i="12"/>
  <c r="L7" i="12"/>
  <c r="I7" i="12"/>
  <c r="EQ25" i="36"/>
  <c r="EP25" i="36"/>
  <c r="EO25" i="36"/>
  <c r="EN25" i="36"/>
  <c r="EM25" i="36"/>
  <c r="EL25" i="36"/>
  <c r="EK25" i="36"/>
  <c r="EJ25" i="36"/>
  <c r="EI25" i="36"/>
  <c r="EG25" i="36"/>
  <c r="AM13" i="11"/>
  <c r="AJ13" i="11"/>
  <c r="AG13" i="11"/>
  <c r="AD13" i="11"/>
  <c r="AA13" i="11"/>
  <c r="X13" i="11"/>
  <c r="U13" i="11"/>
  <c r="R13" i="11"/>
  <c r="O13" i="11"/>
  <c r="L13" i="11"/>
  <c r="I13" i="11"/>
  <c r="AM12" i="11"/>
  <c r="AJ12" i="11"/>
  <c r="AG12" i="11"/>
  <c r="AD12" i="11"/>
  <c r="AA12" i="11"/>
  <c r="X12" i="11"/>
  <c r="U12" i="11"/>
  <c r="R12" i="11"/>
  <c r="O12" i="11"/>
  <c r="L12" i="11"/>
  <c r="I12" i="11"/>
  <c r="AM11" i="11"/>
  <c r="AJ11" i="11"/>
  <c r="AG11" i="11"/>
  <c r="AD11" i="11"/>
  <c r="AA11" i="11"/>
  <c r="X11" i="11"/>
  <c r="U11" i="11"/>
  <c r="R11" i="11"/>
  <c r="O11" i="11"/>
  <c r="L11" i="11"/>
  <c r="I11" i="11"/>
  <c r="AM10" i="11"/>
  <c r="AJ10" i="11"/>
  <c r="AG10" i="11"/>
  <c r="AD10" i="11"/>
  <c r="AA10" i="11"/>
  <c r="X10" i="11"/>
  <c r="U10" i="11"/>
  <c r="R10" i="11"/>
  <c r="O10" i="11"/>
  <c r="L10" i="11"/>
  <c r="I10" i="11"/>
  <c r="AM9" i="11"/>
  <c r="AJ9" i="11"/>
  <c r="AG9" i="11"/>
  <c r="AD9" i="11"/>
  <c r="AA9" i="11"/>
  <c r="X9" i="11"/>
  <c r="U9" i="11"/>
  <c r="R9" i="11"/>
  <c r="O9" i="11"/>
  <c r="L9" i="11"/>
  <c r="I9" i="11"/>
  <c r="AM8" i="11"/>
  <c r="AJ8" i="11"/>
  <c r="AG8" i="11"/>
  <c r="AD8" i="11"/>
  <c r="AA8" i="11"/>
  <c r="X8" i="11"/>
  <c r="U8" i="11"/>
  <c r="R8" i="11"/>
  <c r="O8" i="11"/>
  <c r="L8" i="11"/>
  <c r="I8" i="11"/>
  <c r="AM7" i="11"/>
  <c r="AJ7" i="11"/>
  <c r="AG7" i="11"/>
  <c r="AD7" i="11"/>
  <c r="AD15" i="11" s="1"/>
  <c r="EN23" i="36" s="1"/>
  <c r="AA7" i="11"/>
  <c r="AA15" i="11" s="1"/>
  <c r="X7" i="11"/>
  <c r="X15" i="11" s="1"/>
  <c r="EL23" i="36" s="1"/>
  <c r="U7" i="11"/>
  <c r="R7" i="11"/>
  <c r="O7" i="11"/>
  <c r="L7" i="11"/>
  <c r="I7" i="11"/>
  <c r="AN13" i="9"/>
  <c r="AK13" i="9"/>
  <c r="AH13" i="9"/>
  <c r="AE13" i="9"/>
  <c r="AB13" i="9"/>
  <c r="Y13" i="9"/>
  <c r="V13" i="9"/>
  <c r="S13" i="9"/>
  <c r="P13" i="9"/>
  <c r="M13" i="9"/>
  <c r="J13" i="9"/>
  <c r="AN12" i="9"/>
  <c r="AK12" i="9"/>
  <c r="AH12" i="9"/>
  <c r="AE12" i="9"/>
  <c r="AB12" i="9"/>
  <c r="Y12" i="9"/>
  <c r="V12" i="9"/>
  <c r="S12" i="9"/>
  <c r="P12" i="9"/>
  <c r="M12" i="9"/>
  <c r="J12" i="9"/>
  <c r="AN11" i="9"/>
  <c r="AK11" i="9"/>
  <c r="AH11" i="9"/>
  <c r="AE11" i="9"/>
  <c r="AB11" i="9"/>
  <c r="Y11" i="9"/>
  <c r="V11" i="9"/>
  <c r="S11" i="9"/>
  <c r="P11" i="9"/>
  <c r="M11" i="9"/>
  <c r="J11" i="9"/>
  <c r="AN10" i="9"/>
  <c r="AK10" i="9"/>
  <c r="AH10" i="9"/>
  <c r="AE10" i="9"/>
  <c r="AB10" i="9"/>
  <c r="Y10" i="9"/>
  <c r="V10" i="9"/>
  <c r="S10" i="9"/>
  <c r="P10" i="9"/>
  <c r="M10" i="9"/>
  <c r="J10" i="9"/>
  <c r="AN9" i="9"/>
  <c r="AK9" i="9"/>
  <c r="AH9" i="9"/>
  <c r="AE9" i="9"/>
  <c r="AB9" i="9"/>
  <c r="Y9" i="9"/>
  <c r="V9" i="9"/>
  <c r="S9" i="9"/>
  <c r="P9" i="9"/>
  <c r="M9" i="9"/>
  <c r="J9" i="9"/>
  <c r="AN8" i="9"/>
  <c r="AK8" i="9"/>
  <c r="AH8" i="9"/>
  <c r="AE8" i="9"/>
  <c r="AB8" i="9"/>
  <c r="Y8" i="9"/>
  <c r="V8" i="9"/>
  <c r="S8" i="9"/>
  <c r="P8" i="9"/>
  <c r="M8" i="9"/>
  <c r="J8" i="9"/>
  <c r="AN7" i="9"/>
  <c r="AK7" i="9"/>
  <c r="AH7" i="9"/>
  <c r="AE7" i="9"/>
  <c r="AB7" i="9"/>
  <c r="Y7" i="9"/>
  <c r="V7" i="9"/>
  <c r="S7" i="9"/>
  <c r="S15" i="9" s="1"/>
  <c r="P7" i="9"/>
  <c r="P15" i="9" s="1"/>
  <c r="M7" i="9"/>
  <c r="J7" i="9"/>
  <c r="AN12" i="8"/>
  <c r="AK12" i="8"/>
  <c r="AH12" i="8"/>
  <c r="AE12" i="8"/>
  <c r="AB12" i="8"/>
  <c r="Y12" i="8"/>
  <c r="V12" i="8"/>
  <c r="S12" i="8"/>
  <c r="P12" i="8"/>
  <c r="M12" i="8"/>
  <c r="J12" i="8"/>
  <c r="AN11" i="8"/>
  <c r="AK11" i="8"/>
  <c r="AH11" i="8"/>
  <c r="AE11" i="8"/>
  <c r="AB11" i="8"/>
  <c r="Y11" i="8"/>
  <c r="V11" i="8"/>
  <c r="S11" i="8"/>
  <c r="P11" i="8"/>
  <c r="M11" i="8"/>
  <c r="J11" i="8"/>
  <c r="AN10" i="8"/>
  <c r="AK10" i="8"/>
  <c r="AH10" i="8"/>
  <c r="AE10" i="8"/>
  <c r="AB10" i="8"/>
  <c r="Y10" i="8"/>
  <c r="V10" i="8"/>
  <c r="S10" i="8"/>
  <c r="P10" i="8"/>
  <c r="M10" i="8"/>
  <c r="J10" i="8"/>
  <c r="AN9" i="8"/>
  <c r="AK9" i="8"/>
  <c r="AH9" i="8"/>
  <c r="AE9" i="8"/>
  <c r="AB9" i="8"/>
  <c r="Y9" i="8"/>
  <c r="V9" i="8"/>
  <c r="S9" i="8"/>
  <c r="P9" i="8"/>
  <c r="M9" i="8"/>
  <c r="J9" i="8"/>
  <c r="AN8" i="8"/>
  <c r="AK8" i="8"/>
  <c r="AH8" i="8"/>
  <c r="AE8" i="8"/>
  <c r="AB8" i="8"/>
  <c r="Y8" i="8"/>
  <c r="V8" i="8"/>
  <c r="S8" i="8"/>
  <c r="P8" i="8"/>
  <c r="M8" i="8"/>
  <c r="J8" i="8"/>
  <c r="AN7" i="8"/>
  <c r="AK7" i="8"/>
  <c r="AH7" i="8"/>
  <c r="AE7" i="8"/>
  <c r="AB7" i="8"/>
  <c r="Y7" i="8"/>
  <c r="V7" i="8"/>
  <c r="S7" i="8"/>
  <c r="P7" i="8"/>
  <c r="M7" i="8"/>
  <c r="J7" i="8"/>
  <c r="AN6" i="8"/>
  <c r="AK6" i="8"/>
  <c r="AH6" i="8"/>
  <c r="AE6" i="8"/>
  <c r="AB6" i="8"/>
  <c r="Y6" i="8"/>
  <c r="V6" i="8"/>
  <c r="S6" i="8"/>
  <c r="P6" i="8"/>
  <c r="M6" i="8"/>
  <c r="J6" i="8"/>
  <c r="J14" i="8" s="1"/>
  <c r="AN12" i="7"/>
  <c r="AK12" i="7"/>
  <c r="AH12" i="7"/>
  <c r="AE12" i="7"/>
  <c r="AB12" i="7"/>
  <c r="Y12" i="7"/>
  <c r="V12" i="7"/>
  <c r="S12" i="7"/>
  <c r="P12" i="7"/>
  <c r="M12" i="7"/>
  <c r="J12" i="7"/>
  <c r="AN11" i="7"/>
  <c r="AK11" i="7"/>
  <c r="AH11" i="7"/>
  <c r="AE11" i="7"/>
  <c r="AB11" i="7"/>
  <c r="Y11" i="7"/>
  <c r="V11" i="7"/>
  <c r="S11" i="7"/>
  <c r="P11" i="7"/>
  <c r="M11" i="7"/>
  <c r="J11" i="7"/>
  <c r="AN10" i="7"/>
  <c r="AK10" i="7"/>
  <c r="AH10" i="7"/>
  <c r="AE10" i="7"/>
  <c r="AB10" i="7"/>
  <c r="Y10" i="7"/>
  <c r="V10" i="7"/>
  <c r="S10" i="7"/>
  <c r="P10" i="7"/>
  <c r="M10" i="7"/>
  <c r="J10" i="7"/>
  <c r="AN9" i="7"/>
  <c r="AK9" i="7"/>
  <c r="AH9" i="7"/>
  <c r="AE9" i="7"/>
  <c r="AB9" i="7"/>
  <c r="Y9" i="7"/>
  <c r="V9" i="7"/>
  <c r="S9" i="7"/>
  <c r="P9" i="7"/>
  <c r="M9" i="7"/>
  <c r="J9" i="7"/>
  <c r="AN8" i="7"/>
  <c r="AK8" i="7"/>
  <c r="AH8" i="7"/>
  <c r="AE8" i="7"/>
  <c r="AB8" i="7"/>
  <c r="Y8" i="7"/>
  <c r="V8" i="7"/>
  <c r="S8" i="7"/>
  <c r="P8" i="7"/>
  <c r="M8" i="7"/>
  <c r="J8" i="7"/>
  <c r="AN7" i="7"/>
  <c r="AK7" i="7"/>
  <c r="AH7" i="7"/>
  <c r="AE7" i="7"/>
  <c r="AB7" i="7"/>
  <c r="Y7" i="7"/>
  <c r="V7" i="7"/>
  <c r="S7" i="7"/>
  <c r="P7" i="7"/>
  <c r="M7" i="7"/>
  <c r="J7" i="7"/>
  <c r="AN6" i="7"/>
  <c r="AK6" i="7"/>
  <c r="AH6" i="7"/>
  <c r="AE6" i="7"/>
  <c r="AB6" i="7"/>
  <c r="Y6" i="7"/>
  <c r="V6" i="7"/>
  <c r="S6" i="7"/>
  <c r="P6" i="7"/>
  <c r="M6" i="7"/>
  <c r="J6" i="7"/>
  <c r="Y15" i="9" l="1"/>
  <c r="AG15" i="11"/>
  <c r="EO23" i="36" s="1"/>
  <c r="U20" i="10"/>
  <c r="EK16" i="36" s="1"/>
  <c r="AJ15" i="11"/>
  <c r="EP23" i="36" s="1"/>
  <c r="X20" i="10"/>
  <c r="EL16" i="36" s="1"/>
  <c r="L15" i="36"/>
  <c r="V14" i="8"/>
  <c r="AZ15" i="36" s="1"/>
  <c r="AE15" i="9"/>
  <c r="AM15" i="11"/>
  <c r="EQ23" i="36" s="1"/>
  <c r="R22" i="12"/>
  <c r="AA20" i="10"/>
  <c r="EM16" i="36" s="1"/>
  <c r="Y14" i="8"/>
  <c r="AH15" i="9"/>
  <c r="AD20" i="10"/>
  <c r="EN16" i="36" s="1"/>
  <c r="X22" i="12"/>
  <c r="AG20" i="10"/>
  <c r="EO16" i="36" s="1"/>
  <c r="AB15" i="9"/>
  <c r="AB14" i="8"/>
  <c r="AK15" i="9"/>
  <c r="AE14" i="8"/>
  <c r="AN15" i="9"/>
  <c r="AJ20" i="10"/>
  <c r="EP16" i="36" s="1"/>
  <c r="Y14" i="7"/>
  <c r="EN24" i="36"/>
  <c r="CD24" i="36"/>
  <c r="AB14" i="7"/>
  <c r="AK14" i="8"/>
  <c r="AH14" i="8"/>
  <c r="AE14" i="7"/>
  <c r="AN14" i="8"/>
  <c r="I15" i="11"/>
  <c r="EG23" i="36" s="1"/>
  <c r="AJ22" i="12"/>
  <c r="AK14" i="7"/>
  <c r="O15" i="11"/>
  <c r="EI23" i="36" s="1"/>
  <c r="AN14" i="7"/>
  <c r="J15" i="9"/>
  <c r="R15" i="11"/>
  <c r="EJ23" i="36" s="1"/>
  <c r="V15" i="9"/>
  <c r="J14" i="7"/>
  <c r="AH14" i="7"/>
  <c r="U15" i="11"/>
  <c r="EK23" i="36" s="1"/>
  <c r="I20" i="10"/>
  <c r="EG16" i="36" s="1"/>
  <c r="EK15" i="36"/>
  <c r="V14" i="7"/>
  <c r="AZ14" i="36" s="1"/>
  <c r="EK14" i="36" s="1"/>
  <c r="S14" i="8"/>
  <c r="AP15" i="36" s="1"/>
  <c r="EJ15" i="36" s="1"/>
  <c r="S14" i="7"/>
  <c r="AP14" i="36"/>
  <c r="EJ14" i="36" s="1"/>
  <c r="P14" i="8"/>
  <c r="AF15" i="36" s="1"/>
  <c r="EI15" i="36" s="1"/>
  <c r="P14" i="7"/>
  <c r="AF14" i="36"/>
  <c r="EI14" i="36" s="1"/>
  <c r="BW10" i="36"/>
  <c r="BW12" i="36"/>
  <c r="BW14" i="36"/>
  <c r="BW16" i="36"/>
  <c r="BW18" i="36"/>
  <c r="BW20" i="36"/>
  <c r="BW22" i="36"/>
  <c r="BW24" i="36"/>
  <c r="BW26" i="36"/>
  <c r="BW9" i="36"/>
  <c r="BW11" i="36"/>
  <c r="BW13" i="36"/>
  <c r="BW15" i="36"/>
  <c r="BW17" i="36"/>
  <c r="CB17" i="36" s="1"/>
  <c r="CC17" i="36" s="1"/>
  <c r="DZ17" i="36" s="1"/>
  <c r="BW19" i="36"/>
  <c r="BW21" i="36"/>
  <c r="BW23" i="36"/>
  <c r="BW25" i="36"/>
  <c r="BW8" i="36"/>
  <c r="I22" i="12"/>
  <c r="O22" i="12"/>
  <c r="U22" i="12"/>
  <c r="AA22" i="12"/>
  <c r="BT24" i="36" s="1"/>
  <c r="AG22" i="12"/>
  <c r="AM22" i="12"/>
  <c r="EG15" i="36"/>
  <c r="EM24" i="36"/>
  <c r="EM23" i="36"/>
  <c r="L22" i="12"/>
  <c r="L20" i="10"/>
  <c r="EH25" i="36"/>
  <c r="L15" i="11"/>
  <c r="EH23" i="36" s="1"/>
  <c r="I81" i="41" s="1"/>
  <c r="D81" i="41" s="1"/>
  <c r="M15" i="9"/>
  <c r="M14" i="8"/>
  <c r="M14" i="7"/>
  <c r="V14" i="36" s="1"/>
  <c r="I20" i="32"/>
  <c r="I21" i="32" s="1"/>
  <c r="P20" i="32"/>
  <c r="P21" i="32" s="1"/>
  <c r="M20" i="32"/>
  <c r="M21" i="32" s="1"/>
  <c r="K20" i="32"/>
  <c r="K21" i="32" s="1"/>
  <c r="F20" i="32"/>
  <c r="F21" i="32" s="1"/>
  <c r="EK24" i="36" l="1"/>
  <c r="AZ24" i="36"/>
  <c r="DH15" i="36"/>
  <c r="AF24" i="36"/>
  <c r="EI24" i="36" s="1"/>
  <c r="CD14" i="36"/>
  <c r="CN15" i="36"/>
  <c r="EO15" i="36" s="1"/>
  <c r="EL14" i="36"/>
  <c r="BJ15" i="36"/>
  <c r="EL15" i="36" s="1"/>
  <c r="BT14" i="36"/>
  <c r="EM14" i="36" s="1"/>
  <c r="EJ24" i="36"/>
  <c r="AP24" i="36"/>
  <c r="CX15" i="36"/>
  <c r="L24" i="36"/>
  <c r="EG24" i="36" s="1"/>
  <c r="CN14" i="36"/>
  <c r="EO14" i="36" s="1"/>
  <c r="I95" i="41"/>
  <c r="D95" i="41" s="1"/>
  <c r="I82" i="41"/>
  <c r="D82" i="41" s="1"/>
  <c r="I69" i="41"/>
  <c r="D69" i="41" s="1"/>
  <c r="I12" i="41"/>
  <c r="D12" i="41" s="1"/>
  <c r="I28" i="41"/>
  <c r="D28" i="41" s="1"/>
  <c r="I43" i="41"/>
  <c r="D43" i="41" s="1"/>
  <c r="I56" i="41"/>
  <c r="D56" i="41" s="1"/>
  <c r="L14" i="36"/>
  <c r="EG14" i="36" s="1"/>
  <c r="BJ14" i="36"/>
  <c r="EQ15" i="36"/>
  <c r="EN14" i="36"/>
  <c r="CD15" i="36"/>
  <c r="EN15" i="36" s="1"/>
  <c r="BT15" i="36"/>
  <c r="DH14" i="36"/>
  <c r="EQ14" i="36" s="1"/>
  <c r="DH24" i="36"/>
  <c r="EQ24" i="36" s="1"/>
  <c r="CX14" i="36"/>
  <c r="EP14" i="36" s="1"/>
  <c r="EM15" i="36"/>
  <c r="EP15" i="36"/>
  <c r="CN24" i="36"/>
  <c r="EO24" i="36" s="1"/>
  <c r="CX24" i="36"/>
  <c r="EP24" i="36" s="1"/>
  <c r="BJ24" i="36"/>
  <c r="EL24" i="36" s="1"/>
  <c r="BM9" i="36"/>
  <c r="BM11" i="36"/>
  <c r="BM13" i="36"/>
  <c r="BM15" i="36"/>
  <c r="BM17" i="36"/>
  <c r="BM19" i="36"/>
  <c r="BM21" i="36"/>
  <c r="BM23" i="36"/>
  <c r="BM25" i="36"/>
  <c r="BM8" i="36"/>
  <c r="BM10" i="36"/>
  <c r="BM12" i="36"/>
  <c r="BM14" i="36"/>
  <c r="BM16" i="36"/>
  <c r="BM18" i="36"/>
  <c r="BM20" i="36"/>
  <c r="BM22" i="36"/>
  <c r="BM24" i="36"/>
  <c r="BM26" i="36"/>
  <c r="DK10" i="36"/>
  <c r="DK12" i="36"/>
  <c r="DK14" i="36"/>
  <c r="DK16" i="36"/>
  <c r="DK18" i="36"/>
  <c r="DK20" i="36"/>
  <c r="DK22" i="36"/>
  <c r="DK24" i="36"/>
  <c r="DK26" i="36"/>
  <c r="DK9" i="36"/>
  <c r="DK11" i="36"/>
  <c r="DK13" i="36"/>
  <c r="DK15" i="36"/>
  <c r="DK17" i="36"/>
  <c r="DK19" i="36"/>
  <c r="DK21" i="36"/>
  <c r="DK23" i="36"/>
  <c r="DK25" i="36"/>
  <c r="DK8" i="36"/>
  <c r="O20" i="36"/>
  <c r="O24" i="36"/>
  <c r="O10" i="36"/>
  <c r="O14" i="36"/>
  <c r="O17" i="36"/>
  <c r="O19" i="36"/>
  <c r="O21" i="36"/>
  <c r="O23" i="36"/>
  <c r="O25" i="36"/>
  <c r="O9" i="36"/>
  <c r="O11" i="36"/>
  <c r="O13" i="36"/>
  <c r="O15" i="36"/>
  <c r="O8" i="36"/>
  <c r="O18" i="36"/>
  <c r="O22" i="36"/>
  <c r="O26" i="36"/>
  <c r="O12" i="36"/>
  <c r="O16" i="36"/>
  <c r="CG9" i="36"/>
  <c r="CG11" i="36"/>
  <c r="CG13" i="36"/>
  <c r="CG15" i="36"/>
  <c r="CG17" i="36"/>
  <c r="CG19" i="36"/>
  <c r="CG21" i="36"/>
  <c r="CG23" i="36"/>
  <c r="CG25" i="36"/>
  <c r="CG8" i="36"/>
  <c r="CG10" i="36"/>
  <c r="CG12" i="36"/>
  <c r="CG14" i="36"/>
  <c r="CG16" i="36"/>
  <c r="CG18" i="36"/>
  <c r="CG20" i="36"/>
  <c r="CG22" i="36"/>
  <c r="CG24" i="36"/>
  <c r="CG26" i="36"/>
  <c r="AS10" i="36"/>
  <c r="AS12" i="36"/>
  <c r="AS14" i="36"/>
  <c r="AS16" i="36"/>
  <c r="AS18" i="36"/>
  <c r="AS20" i="36"/>
  <c r="AS22" i="36"/>
  <c r="AS24" i="36"/>
  <c r="AS26" i="36"/>
  <c r="AS9" i="36"/>
  <c r="AS11" i="36"/>
  <c r="AS13" i="36"/>
  <c r="AS15" i="36"/>
  <c r="AS17" i="36"/>
  <c r="AX17" i="36" s="1"/>
  <c r="AY17" i="36" s="1"/>
  <c r="DW17" i="36" s="1"/>
  <c r="AS19" i="36"/>
  <c r="AS21" i="36"/>
  <c r="AS23" i="36"/>
  <c r="AS25" i="36"/>
  <c r="AS8" i="36"/>
  <c r="V24" i="36"/>
  <c r="EH24" i="36" s="1"/>
  <c r="I94" i="41" s="1"/>
  <c r="D94" i="41" s="1"/>
  <c r="EH14" i="36"/>
  <c r="V15" i="36"/>
  <c r="EH15" i="36" s="1"/>
  <c r="CB19" i="36"/>
  <c r="CC19" i="36" s="1"/>
  <c r="DZ19" i="36" s="1"/>
  <c r="CB18" i="36"/>
  <c r="CC18" i="36" s="1"/>
  <c r="DZ18" i="36" s="1"/>
  <c r="CB20" i="36"/>
  <c r="CC20" i="36" s="1"/>
  <c r="DZ20" i="36" s="1"/>
  <c r="CB22" i="36"/>
  <c r="CC22" i="36" s="1"/>
  <c r="DZ22" i="36" s="1"/>
  <c r="CB21" i="36"/>
  <c r="CC21" i="36" s="1"/>
  <c r="DZ21" i="36" s="1"/>
  <c r="H20" i="32"/>
  <c r="H21" i="32" s="1"/>
  <c r="O20" i="32"/>
  <c r="O21" i="32" s="1"/>
  <c r="J20" i="32"/>
  <c r="J21" i="32" s="1"/>
  <c r="G20" i="32"/>
  <c r="G21" i="32" s="1"/>
  <c r="E20" i="32"/>
  <c r="E21" i="32" s="1"/>
  <c r="E17" i="36" s="1"/>
  <c r="AN13" i="6"/>
  <c r="AK13" i="6"/>
  <c r="AH13" i="6"/>
  <c r="AE13" i="6"/>
  <c r="AB13" i="6"/>
  <c r="Y13" i="6"/>
  <c r="V13" i="6"/>
  <c r="S13" i="6"/>
  <c r="P13" i="6"/>
  <c r="M13" i="6"/>
  <c r="J13" i="6"/>
  <c r="AN12" i="6"/>
  <c r="AK12" i="6"/>
  <c r="AH12" i="6"/>
  <c r="AE12" i="6"/>
  <c r="AB12" i="6"/>
  <c r="Y12" i="6"/>
  <c r="V12" i="6"/>
  <c r="S12" i="6"/>
  <c r="P12" i="6"/>
  <c r="M12" i="6"/>
  <c r="J12" i="6"/>
  <c r="AN11" i="6"/>
  <c r="AK11" i="6"/>
  <c r="AH11" i="6"/>
  <c r="AE11" i="6"/>
  <c r="AB11" i="6"/>
  <c r="Y11" i="6"/>
  <c r="V11" i="6"/>
  <c r="S11" i="6"/>
  <c r="M11" i="6"/>
  <c r="J11" i="6"/>
  <c r="AN10" i="6"/>
  <c r="AK10" i="6"/>
  <c r="AH10" i="6"/>
  <c r="AE10" i="6"/>
  <c r="AB10" i="6"/>
  <c r="Y10" i="6"/>
  <c r="V10" i="6"/>
  <c r="S10" i="6"/>
  <c r="P10" i="6"/>
  <c r="M10" i="6"/>
  <c r="J10" i="6"/>
  <c r="AN9" i="6"/>
  <c r="AK9" i="6"/>
  <c r="AH9" i="6"/>
  <c r="AE9" i="6"/>
  <c r="AB9" i="6"/>
  <c r="Y9" i="6"/>
  <c r="V9" i="6"/>
  <c r="S9" i="6"/>
  <c r="P9" i="6"/>
  <c r="M9" i="6"/>
  <c r="J9" i="6"/>
  <c r="AN8" i="6"/>
  <c r="AK8" i="6"/>
  <c r="AH8" i="6"/>
  <c r="AE8" i="6"/>
  <c r="AB8" i="6"/>
  <c r="Y8" i="6"/>
  <c r="V8" i="6"/>
  <c r="S8" i="6"/>
  <c r="P8" i="6"/>
  <c r="M8" i="6"/>
  <c r="J8" i="6"/>
  <c r="AN7" i="6"/>
  <c r="AK7" i="6"/>
  <c r="AH7" i="6"/>
  <c r="AE7" i="6"/>
  <c r="AB7" i="6"/>
  <c r="Y7" i="6"/>
  <c r="V7" i="6"/>
  <c r="V15" i="6" s="1"/>
  <c r="S7" i="6"/>
  <c r="P7" i="6"/>
  <c r="M7" i="6"/>
  <c r="J7" i="6"/>
  <c r="AN13" i="4"/>
  <c r="AK13" i="4"/>
  <c r="AH13" i="4"/>
  <c r="AE13" i="4"/>
  <c r="AB13" i="4"/>
  <c r="Y13" i="4"/>
  <c r="V13" i="4"/>
  <c r="S13" i="4"/>
  <c r="P13" i="4"/>
  <c r="M13" i="4"/>
  <c r="J13" i="4"/>
  <c r="AN12" i="4"/>
  <c r="AK12" i="4"/>
  <c r="AH12" i="4"/>
  <c r="AE12" i="4"/>
  <c r="AB12" i="4"/>
  <c r="Y12" i="4"/>
  <c r="V12" i="4"/>
  <c r="S12" i="4"/>
  <c r="P12" i="4"/>
  <c r="M12" i="4"/>
  <c r="J12" i="4"/>
  <c r="AN11" i="4"/>
  <c r="AK11" i="4"/>
  <c r="AH11" i="4"/>
  <c r="AE11" i="4"/>
  <c r="AB11" i="4"/>
  <c r="Y11" i="4"/>
  <c r="V11" i="4"/>
  <c r="S11" i="4"/>
  <c r="P11" i="4"/>
  <c r="M11" i="4"/>
  <c r="J11" i="4"/>
  <c r="AN10" i="4"/>
  <c r="AK10" i="4"/>
  <c r="AH10" i="4"/>
  <c r="AE10" i="4"/>
  <c r="AB10" i="4"/>
  <c r="Y10" i="4"/>
  <c r="V10" i="4"/>
  <c r="S10" i="4"/>
  <c r="P10" i="4"/>
  <c r="M10" i="4"/>
  <c r="J10" i="4"/>
  <c r="AN9" i="4"/>
  <c r="AK9" i="4"/>
  <c r="AH9" i="4"/>
  <c r="AE9" i="4"/>
  <c r="AB9" i="4"/>
  <c r="Y9" i="4"/>
  <c r="V9" i="4"/>
  <c r="S9" i="4"/>
  <c r="P9" i="4"/>
  <c r="M9" i="4"/>
  <c r="J9" i="4"/>
  <c r="AN8" i="4"/>
  <c r="AK8" i="4"/>
  <c r="AH8" i="4"/>
  <c r="AE8" i="4"/>
  <c r="AB8" i="4"/>
  <c r="Y8" i="4"/>
  <c r="V8" i="4"/>
  <c r="S8" i="4"/>
  <c r="P8" i="4"/>
  <c r="M8" i="4"/>
  <c r="J8" i="4"/>
  <c r="AN7" i="4"/>
  <c r="AK7" i="4"/>
  <c r="AH7" i="4"/>
  <c r="AE7" i="4"/>
  <c r="AB7" i="4"/>
  <c r="Y7" i="4"/>
  <c r="V7" i="4"/>
  <c r="S7" i="4"/>
  <c r="P7" i="4"/>
  <c r="M7" i="4"/>
  <c r="J7" i="4"/>
  <c r="AN13" i="3"/>
  <c r="AK13" i="3"/>
  <c r="AH13" i="3"/>
  <c r="AE13" i="3"/>
  <c r="AB13" i="3"/>
  <c r="Y13" i="3"/>
  <c r="V13" i="3"/>
  <c r="S13" i="3"/>
  <c r="P13" i="3"/>
  <c r="M13" i="3"/>
  <c r="J13" i="3"/>
  <c r="AN12" i="3"/>
  <c r="AK12" i="3"/>
  <c r="AH12" i="3"/>
  <c r="AE12" i="3"/>
  <c r="AB12" i="3"/>
  <c r="Y12" i="3"/>
  <c r="V12" i="3"/>
  <c r="S12" i="3"/>
  <c r="P12" i="3"/>
  <c r="M12" i="3"/>
  <c r="J12" i="3"/>
  <c r="AN11" i="3"/>
  <c r="AK11" i="3"/>
  <c r="AH11" i="3"/>
  <c r="AE11" i="3"/>
  <c r="AB11" i="3"/>
  <c r="Y11" i="3"/>
  <c r="V11" i="3"/>
  <c r="S11" i="3"/>
  <c r="P11" i="3"/>
  <c r="M11" i="3"/>
  <c r="J11" i="3"/>
  <c r="AN10" i="3"/>
  <c r="AK10" i="3"/>
  <c r="AH10" i="3"/>
  <c r="AE10" i="3"/>
  <c r="AB10" i="3"/>
  <c r="Y10" i="3"/>
  <c r="V10" i="3"/>
  <c r="S10" i="3"/>
  <c r="P10" i="3"/>
  <c r="M10" i="3"/>
  <c r="J10" i="3"/>
  <c r="AN9" i="3"/>
  <c r="AK9" i="3"/>
  <c r="AH9" i="3"/>
  <c r="AE9" i="3"/>
  <c r="AB9" i="3"/>
  <c r="Y9" i="3"/>
  <c r="V9" i="3"/>
  <c r="S9" i="3"/>
  <c r="P9" i="3"/>
  <c r="M9" i="3"/>
  <c r="J9" i="3"/>
  <c r="AN8" i="3"/>
  <c r="AK8" i="3"/>
  <c r="AH8" i="3"/>
  <c r="AE8" i="3"/>
  <c r="AB8" i="3"/>
  <c r="Y8" i="3"/>
  <c r="V8" i="3"/>
  <c r="S8" i="3"/>
  <c r="P8" i="3"/>
  <c r="M8" i="3"/>
  <c r="J8" i="3"/>
  <c r="AN7" i="3"/>
  <c r="AK7" i="3"/>
  <c r="AH7" i="3"/>
  <c r="AE7" i="3"/>
  <c r="AB7" i="3"/>
  <c r="Y7" i="3"/>
  <c r="V7" i="3"/>
  <c r="S7" i="3"/>
  <c r="P7" i="3"/>
  <c r="M7" i="3"/>
  <c r="J7" i="3"/>
  <c r="AN13" i="2"/>
  <c r="AN12" i="2"/>
  <c r="AN11" i="2"/>
  <c r="AN10" i="2"/>
  <c r="AN9" i="2"/>
  <c r="AN8" i="2"/>
  <c r="AN7" i="2"/>
  <c r="AK13" i="2"/>
  <c r="AK12" i="2"/>
  <c r="AK11" i="2"/>
  <c r="AK10" i="2"/>
  <c r="AK9" i="2"/>
  <c r="AK8" i="2"/>
  <c r="AK7" i="2"/>
  <c r="AH13" i="2"/>
  <c r="AH12" i="2"/>
  <c r="AH11" i="2"/>
  <c r="AH10" i="2"/>
  <c r="AH9" i="2"/>
  <c r="AH8" i="2"/>
  <c r="AH7" i="2"/>
  <c r="AH15" i="2" s="1"/>
  <c r="AE13" i="2"/>
  <c r="AE12" i="2"/>
  <c r="AE11" i="2"/>
  <c r="AE10" i="2"/>
  <c r="AE9" i="2"/>
  <c r="AE8" i="2"/>
  <c r="AE7" i="2"/>
  <c r="AB13" i="2"/>
  <c r="AB12" i="2"/>
  <c r="AB11" i="2"/>
  <c r="AB10" i="2"/>
  <c r="AB9" i="2"/>
  <c r="AB8" i="2"/>
  <c r="AB7" i="2"/>
  <c r="Y13" i="2"/>
  <c r="Y12" i="2"/>
  <c r="Y11" i="2"/>
  <c r="Y10" i="2"/>
  <c r="Y9" i="2"/>
  <c r="Y8" i="2"/>
  <c r="Y7" i="2"/>
  <c r="V13" i="2"/>
  <c r="V12" i="2"/>
  <c r="V11" i="2"/>
  <c r="V10" i="2"/>
  <c r="V9" i="2"/>
  <c r="V8" i="2"/>
  <c r="V7" i="2"/>
  <c r="S13" i="2"/>
  <c r="S12" i="2"/>
  <c r="S11" i="2"/>
  <c r="S10" i="2"/>
  <c r="S9" i="2"/>
  <c r="S8" i="2"/>
  <c r="S7" i="2"/>
  <c r="P13" i="2"/>
  <c r="P12" i="2"/>
  <c r="P11" i="2"/>
  <c r="P10" i="2"/>
  <c r="P9" i="2"/>
  <c r="P8" i="2"/>
  <c r="P7" i="2"/>
  <c r="M13" i="2"/>
  <c r="M12" i="2"/>
  <c r="M11" i="2"/>
  <c r="M10" i="2"/>
  <c r="M9" i="2"/>
  <c r="M8" i="2"/>
  <c r="M7" i="2"/>
  <c r="J13" i="2"/>
  <c r="J12" i="2"/>
  <c r="J11" i="2"/>
  <c r="J10" i="2"/>
  <c r="J9" i="2"/>
  <c r="J8" i="2"/>
  <c r="J7" i="2"/>
  <c r="AN15" i="1"/>
  <c r="AN14" i="1"/>
  <c r="AN13" i="1"/>
  <c r="AN12" i="1"/>
  <c r="AN11" i="1"/>
  <c r="AN10" i="1"/>
  <c r="AN9" i="1"/>
  <c r="AN8" i="1"/>
  <c r="AN7" i="1"/>
  <c r="AK15" i="1"/>
  <c r="AK14" i="1"/>
  <c r="AK13" i="1"/>
  <c r="AK12" i="1"/>
  <c r="AK11" i="1"/>
  <c r="AK10" i="1"/>
  <c r="AK9" i="1"/>
  <c r="AK8" i="1"/>
  <c r="AK7" i="1"/>
  <c r="AH15" i="1"/>
  <c r="AH14" i="1"/>
  <c r="AH13" i="1"/>
  <c r="AH12" i="1"/>
  <c r="AH11" i="1"/>
  <c r="AH10" i="1"/>
  <c r="AH9" i="1"/>
  <c r="AH8" i="1"/>
  <c r="AH7" i="1"/>
  <c r="AE15" i="1"/>
  <c r="AE14" i="1"/>
  <c r="AE13" i="1"/>
  <c r="AE12" i="1"/>
  <c r="AE11" i="1"/>
  <c r="AE10" i="1"/>
  <c r="AE9" i="1"/>
  <c r="AE8" i="1"/>
  <c r="AE7" i="1"/>
  <c r="AB15" i="1"/>
  <c r="AB14" i="1"/>
  <c r="AB13" i="1"/>
  <c r="AB12" i="1"/>
  <c r="AB11" i="1"/>
  <c r="AB10" i="1"/>
  <c r="AB9" i="1"/>
  <c r="AB8" i="1"/>
  <c r="AB7" i="1"/>
  <c r="Y15" i="1"/>
  <c r="Y14" i="1"/>
  <c r="Y13" i="1"/>
  <c r="Y12" i="1"/>
  <c r="Y11" i="1"/>
  <c r="Y10" i="1"/>
  <c r="Y9" i="1"/>
  <c r="Y8" i="1"/>
  <c r="Y7" i="1"/>
  <c r="V15" i="1"/>
  <c r="V14" i="1"/>
  <c r="V13" i="1"/>
  <c r="V12" i="1"/>
  <c r="V11" i="1"/>
  <c r="V10" i="1"/>
  <c r="V9" i="1"/>
  <c r="V8" i="1"/>
  <c r="V7" i="1"/>
  <c r="S15" i="1"/>
  <c r="S14" i="1"/>
  <c r="S13" i="1"/>
  <c r="S12" i="1"/>
  <c r="S11" i="1"/>
  <c r="S10" i="1"/>
  <c r="S9" i="1"/>
  <c r="S8" i="1"/>
  <c r="S7" i="1"/>
  <c r="P15" i="1"/>
  <c r="P14" i="1"/>
  <c r="P13" i="1"/>
  <c r="P12" i="1"/>
  <c r="P11" i="1"/>
  <c r="P10" i="1"/>
  <c r="P9" i="1"/>
  <c r="P8" i="1"/>
  <c r="P7" i="1"/>
  <c r="M15" i="1"/>
  <c r="J12" i="1"/>
  <c r="J13" i="1"/>
  <c r="J14" i="1"/>
  <c r="J15" i="1"/>
  <c r="J11" i="1"/>
  <c r="J8" i="1"/>
  <c r="J9" i="1"/>
  <c r="J10" i="1"/>
  <c r="G15" i="1"/>
  <c r="J7" i="1"/>
  <c r="AB15" i="2" l="1"/>
  <c r="BT10" i="36" s="1"/>
  <c r="J15" i="4"/>
  <c r="Y15" i="6"/>
  <c r="AE15" i="6"/>
  <c r="AK15" i="2"/>
  <c r="Y15" i="4"/>
  <c r="AH15" i="6"/>
  <c r="S15" i="4"/>
  <c r="AP12" i="36" s="1"/>
  <c r="AB15" i="6"/>
  <c r="J15" i="2"/>
  <c r="AB15" i="4"/>
  <c r="AK15" i="6"/>
  <c r="AE15" i="2"/>
  <c r="CD10" i="36" s="1"/>
  <c r="AE15" i="4"/>
  <c r="AN15" i="6"/>
  <c r="Y15" i="3"/>
  <c r="AH15" i="4"/>
  <c r="CN10" i="36"/>
  <c r="P15" i="4"/>
  <c r="AF12" i="36" s="1"/>
  <c r="EI12" i="36" s="1"/>
  <c r="J15" i="3"/>
  <c r="V15" i="4"/>
  <c r="AZ12" i="36" s="1"/>
  <c r="EK12" i="36" s="1"/>
  <c r="Y15" i="2"/>
  <c r="BJ10" i="36" s="1"/>
  <c r="AB15" i="3"/>
  <c r="AK15" i="4"/>
  <c r="AN15" i="4"/>
  <c r="AH15" i="3"/>
  <c r="AE15" i="3"/>
  <c r="AN15" i="2"/>
  <c r="AN15" i="3"/>
  <c r="J15" i="6"/>
  <c r="AZ13" i="36"/>
  <c r="EK13" i="36" s="1"/>
  <c r="V15" i="3"/>
  <c r="AZ11" i="36" s="1"/>
  <c r="EK11" i="36" s="1"/>
  <c r="V15" i="2"/>
  <c r="AZ10" i="36" s="1"/>
  <c r="EK10" i="36" s="1"/>
  <c r="S15" i="6"/>
  <c r="S15" i="3"/>
  <c r="AP11" i="36" s="1"/>
  <c r="EJ11" i="36" s="1"/>
  <c r="S15" i="2"/>
  <c r="AP10" i="36" s="1"/>
  <c r="EJ10" i="36" s="1"/>
  <c r="I42" i="54"/>
  <c r="D42" i="54" s="1"/>
  <c r="I42" i="45"/>
  <c r="D42" i="45" s="1"/>
  <c r="I29" i="54"/>
  <c r="D29" i="54" s="1"/>
  <c r="I14" i="45"/>
  <c r="D14" i="45" s="1"/>
  <c r="I14" i="54"/>
  <c r="D14" i="54" s="1"/>
  <c r="I29" i="45"/>
  <c r="D29" i="45" s="1"/>
  <c r="P15" i="2"/>
  <c r="AF10" i="36" s="1"/>
  <c r="EI10" i="36" s="1"/>
  <c r="P15" i="6"/>
  <c r="AF13" i="36"/>
  <c r="EI13" i="36" s="1"/>
  <c r="P15" i="3"/>
  <c r="AF11" i="36" s="1"/>
  <c r="EI11" i="36" s="1"/>
  <c r="Y18" i="36"/>
  <c r="Y20" i="36"/>
  <c r="Y22" i="36"/>
  <c r="Y24" i="36"/>
  <c r="Y26" i="36"/>
  <c r="Y10" i="36"/>
  <c r="Y12" i="36"/>
  <c r="Y14" i="36"/>
  <c r="Y16" i="36"/>
  <c r="Y17" i="36"/>
  <c r="Y19" i="36"/>
  <c r="Y21" i="36"/>
  <c r="Y23" i="36"/>
  <c r="Y25" i="36"/>
  <c r="Y9" i="36"/>
  <c r="Y11" i="36"/>
  <c r="Y13" i="36"/>
  <c r="Y15" i="36"/>
  <c r="Y8" i="36"/>
  <c r="DA9" i="36"/>
  <c r="DA11" i="36"/>
  <c r="DA13" i="36"/>
  <c r="DA15" i="36"/>
  <c r="DA17" i="36"/>
  <c r="DF17" i="36" s="1"/>
  <c r="DG17" i="36" s="1"/>
  <c r="EC17" i="36" s="1"/>
  <c r="DA19" i="36"/>
  <c r="DA21" i="36"/>
  <c r="DA23" i="36"/>
  <c r="DA25" i="36"/>
  <c r="DA8" i="36"/>
  <c r="DA10" i="36"/>
  <c r="DA12" i="36"/>
  <c r="DA14" i="36"/>
  <c r="DA16" i="36"/>
  <c r="DA18" i="36"/>
  <c r="DA20" i="36"/>
  <c r="DA22" i="36"/>
  <c r="DA24" i="36"/>
  <c r="DA26" i="36"/>
  <c r="BC10" i="36"/>
  <c r="BC12" i="36"/>
  <c r="BC14" i="36"/>
  <c r="BC16" i="36"/>
  <c r="BC18" i="36"/>
  <c r="BC20" i="36"/>
  <c r="BC22" i="36"/>
  <c r="BC24" i="36"/>
  <c r="BC26" i="36"/>
  <c r="BC9" i="36"/>
  <c r="BC11" i="36"/>
  <c r="BC13" i="36"/>
  <c r="BC15" i="36"/>
  <c r="BC17" i="36"/>
  <c r="BC19" i="36"/>
  <c r="BC21" i="36"/>
  <c r="BC23" i="36"/>
  <c r="BC25" i="36"/>
  <c r="BC8" i="36"/>
  <c r="AI9" i="36"/>
  <c r="AI11" i="36"/>
  <c r="AI13" i="36"/>
  <c r="AI15" i="36"/>
  <c r="AI17" i="36"/>
  <c r="AI19" i="36"/>
  <c r="AI21" i="36"/>
  <c r="AI23" i="36"/>
  <c r="AI25" i="36"/>
  <c r="AI8" i="36"/>
  <c r="AI10" i="36"/>
  <c r="AI12" i="36"/>
  <c r="AI14" i="36"/>
  <c r="AI16" i="36"/>
  <c r="AI18" i="36"/>
  <c r="AI20" i="36"/>
  <c r="AI22" i="36"/>
  <c r="AI24" i="36"/>
  <c r="AI26" i="36"/>
  <c r="M15" i="6"/>
  <c r="V13" i="36" s="1"/>
  <c r="EH13" i="36" s="1"/>
  <c r="AX18" i="36"/>
  <c r="AY18" i="36" s="1"/>
  <c r="DW18" i="36" s="1"/>
  <c r="AX20" i="36"/>
  <c r="AY20" i="36" s="1"/>
  <c r="DW20" i="36" s="1"/>
  <c r="AX22" i="36"/>
  <c r="AY22" i="36" s="1"/>
  <c r="DW22" i="36" s="1"/>
  <c r="AX19" i="36"/>
  <c r="AY19" i="36" s="1"/>
  <c r="DW19" i="36" s="1"/>
  <c r="AX21" i="36"/>
  <c r="AY21" i="36" s="1"/>
  <c r="DW21" i="36" s="1"/>
  <c r="AK15" i="3"/>
  <c r="AN16" i="1"/>
  <c r="V16" i="1"/>
  <c r="P16" i="1"/>
  <c r="J16" i="1"/>
  <c r="S16" i="1"/>
  <c r="Y16" i="1"/>
  <c r="AB16" i="1"/>
  <c r="AE16" i="1"/>
  <c r="AK16" i="1"/>
  <c r="AH16" i="1"/>
  <c r="M15" i="4"/>
  <c r="V12" i="36" s="1"/>
  <c r="EH12" i="36" s="1"/>
  <c r="M15" i="3"/>
  <c r="V11" i="36" s="1"/>
  <c r="M15" i="2"/>
  <c r="V10" i="36" s="1"/>
  <c r="M16" i="1"/>
  <c r="C20" i="15"/>
  <c r="N20" i="15"/>
  <c r="L20" i="15"/>
  <c r="K20" i="15"/>
  <c r="I20" i="15"/>
  <c r="H20" i="15"/>
  <c r="F20" i="15"/>
  <c r="E20" i="15"/>
  <c r="D19" i="15"/>
  <c r="D20" i="15" s="1"/>
  <c r="DH12" i="36" l="1"/>
  <c r="BO23" i="36"/>
  <c r="BO20" i="36"/>
  <c r="BR20" i="36" s="1"/>
  <c r="BS20" i="36" s="1"/>
  <c r="DY20" i="36" s="1"/>
  <c r="BO24" i="36"/>
  <c r="BO9" i="36"/>
  <c r="BO25" i="36"/>
  <c r="BO10" i="36"/>
  <c r="BO26" i="36"/>
  <c r="BO11" i="36"/>
  <c r="BO8" i="36"/>
  <c r="BO18" i="36"/>
  <c r="BR18" i="36" s="1"/>
  <c r="BS18" i="36" s="1"/>
  <c r="DY18" i="36" s="1"/>
  <c r="BO12" i="36"/>
  <c r="BO13" i="36"/>
  <c r="BO22" i="36"/>
  <c r="BR22" i="36" s="1"/>
  <c r="BS22" i="36" s="1"/>
  <c r="DY22" i="36" s="1"/>
  <c r="BO14" i="36"/>
  <c r="BO15" i="36"/>
  <c r="BO16" i="36"/>
  <c r="BO19" i="36"/>
  <c r="BR19" i="36" s="1"/>
  <c r="BS19" i="36" s="1"/>
  <c r="DY19" i="36" s="1"/>
  <c r="BO21" i="36"/>
  <c r="BR21" i="36" s="1"/>
  <c r="BS21" i="36" s="1"/>
  <c r="DY21" i="36" s="1"/>
  <c r="BO17" i="36"/>
  <c r="BR17" i="36" s="1"/>
  <c r="BS17" i="36" s="1"/>
  <c r="DY17" i="36" s="1"/>
  <c r="CI19" i="36"/>
  <c r="CL19" i="36" s="1"/>
  <c r="CM19" i="36" s="1"/>
  <c r="EA19" i="36" s="1"/>
  <c r="CI18" i="36"/>
  <c r="CL18" i="36" s="1"/>
  <c r="CM18" i="36" s="1"/>
  <c r="EA18" i="36" s="1"/>
  <c r="CI20" i="36"/>
  <c r="CL20" i="36" s="1"/>
  <c r="CM20" i="36" s="1"/>
  <c r="EA20" i="36" s="1"/>
  <c r="CI21" i="36"/>
  <c r="CL21" i="36" s="1"/>
  <c r="CI22" i="36"/>
  <c r="CL22" i="36" s="1"/>
  <c r="CI23" i="36"/>
  <c r="CI24" i="36"/>
  <c r="CI14" i="36"/>
  <c r="CI16" i="36"/>
  <c r="CI9" i="36"/>
  <c r="CI25" i="36"/>
  <c r="CI10" i="36"/>
  <c r="CI26" i="36"/>
  <c r="CI11" i="36"/>
  <c r="CI8" i="36"/>
  <c r="CI15" i="36"/>
  <c r="CI17" i="36"/>
  <c r="CL17" i="36" s="1"/>
  <c r="CM17" i="36" s="1"/>
  <c r="EA17" i="36" s="1"/>
  <c r="CI12" i="36"/>
  <c r="CI13" i="36"/>
  <c r="EO10" i="36"/>
  <c r="CN11" i="36"/>
  <c r="CX13" i="36"/>
  <c r="EP13" i="36" s="1"/>
  <c r="CX12" i="36"/>
  <c r="EP12" i="36" s="1"/>
  <c r="EM11" i="36"/>
  <c r="BT12" i="36"/>
  <c r="EM12" i="36" s="1"/>
  <c r="DM21" i="36"/>
  <c r="DP21" i="36" s="1"/>
  <c r="DQ21" i="36" s="1"/>
  <c r="ED21" i="36" s="1"/>
  <c r="DM22" i="36"/>
  <c r="DP22" i="36" s="1"/>
  <c r="DQ22" i="36" s="1"/>
  <c r="ED22" i="36" s="1"/>
  <c r="DM23" i="36"/>
  <c r="DM24" i="36"/>
  <c r="DM19" i="36"/>
  <c r="DP19" i="36" s="1"/>
  <c r="DQ19" i="36" s="1"/>
  <c r="ED19" i="36" s="1"/>
  <c r="DM9" i="36"/>
  <c r="DM25" i="36"/>
  <c r="DM17" i="36"/>
  <c r="DP17" i="36" s="1"/>
  <c r="DQ17" i="36" s="1"/>
  <c r="ED17" i="36" s="1"/>
  <c r="DM10" i="36"/>
  <c r="DM26" i="36"/>
  <c r="DM11" i="36"/>
  <c r="DM8" i="36"/>
  <c r="DM12" i="36"/>
  <c r="DM13" i="36"/>
  <c r="DM14" i="36"/>
  <c r="DM16" i="36"/>
  <c r="DM15" i="36"/>
  <c r="DM18" i="36"/>
  <c r="DP18" i="36" s="1"/>
  <c r="DQ18" i="36" s="1"/>
  <c r="ED18" i="36" s="1"/>
  <c r="DM20" i="36"/>
  <c r="DP20" i="36" s="1"/>
  <c r="DQ20" i="36" s="1"/>
  <c r="ED20" i="36" s="1"/>
  <c r="BT13" i="36"/>
  <c r="EM13" i="36" s="1"/>
  <c r="CS9" i="36"/>
  <c r="CS25" i="36"/>
  <c r="CS10" i="36"/>
  <c r="CS26" i="36"/>
  <c r="CS23" i="36"/>
  <c r="CS11" i="36"/>
  <c r="CS8" i="36"/>
  <c r="CS12" i="36"/>
  <c r="CS20" i="36"/>
  <c r="CV20" i="36" s="1"/>
  <c r="CW20" i="36" s="1"/>
  <c r="EB20" i="36" s="1"/>
  <c r="CS13" i="36"/>
  <c r="CS14" i="36"/>
  <c r="CS15" i="36"/>
  <c r="CS22" i="36"/>
  <c r="CV22" i="36" s="1"/>
  <c r="CW22" i="36" s="1"/>
  <c r="EB22" i="36" s="1"/>
  <c r="CS16" i="36"/>
  <c r="CS21" i="36"/>
  <c r="CV21" i="36" s="1"/>
  <c r="CW21" i="36" s="1"/>
  <c r="EB21" i="36" s="1"/>
  <c r="CS17" i="36"/>
  <c r="CV17" i="36" s="1"/>
  <c r="CW17" i="36" s="1"/>
  <c r="EB17" i="36" s="1"/>
  <c r="CS18" i="36"/>
  <c r="CV18" i="36" s="1"/>
  <c r="CW18" i="36" s="1"/>
  <c r="EB18" i="36" s="1"/>
  <c r="CS24" i="36"/>
  <c r="CS19" i="36"/>
  <c r="CV19" i="36" s="1"/>
  <c r="CW19" i="36" s="1"/>
  <c r="EB19" i="36" s="1"/>
  <c r="EM10" i="36"/>
  <c r="BT11" i="36"/>
  <c r="L11" i="36"/>
  <c r="CN13" i="36"/>
  <c r="EO13" i="36" s="1"/>
  <c r="EP10" i="36"/>
  <c r="CX11" i="36"/>
  <c r="EP11" i="36" s="1"/>
  <c r="EP8" i="36"/>
  <c r="CX9" i="36"/>
  <c r="BJ12" i="36"/>
  <c r="EQ8" i="36"/>
  <c r="DH9" i="36"/>
  <c r="EQ9" i="36" s="1"/>
  <c r="CD9" i="36"/>
  <c r="EN9" i="36" s="1"/>
  <c r="EP9" i="36"/>
  <c r="CX10" i="36"/>
  <c r="EG9" i="36"/>
  <c r="L10" i="36"/>
  <c r="EG10" i="36" s="1"/>
  <c r="I12" i="54"/>
  <c r="D12" i="54" s="1"/>
  <c r="I27" i="45"/>
  <c r="D27" i="45" s="1"/>
  <c r="I12" i="45"/>
  <c r="D12" i="45" s="1"/>
  <c r="I41" i="54"/>
  <c r="D41" i="54" s="1"/>
  <c r="I27" i="54"/>
  <c r="D27" i="54" s="1"/>
  <c r="I41" i="45"/>
  <c r="D41" i="45" s="1"/>
  <c r="EO8" i="36"/>
  <c r="CN9" i="36"/>
  <c r="EO9" i="36" s="1"/>
  <c r="Q9" i="36"/>
  <c r="Q25" i="36"/>
  <c r="Q21" i="36"/>
  <c r="T21" i="36" s="1"/>
  <c r="Q23" i="36"/>
  <c r="Q10" i="36"/>
  <c r="Q26" i="36"/>
  <c r="Q11" i="36"/>
  <c r="Q8" i="36"/>
  <c r="Q12" i="36"/>
  <c r="Q15" i="36"/>
  <c r="Q24" i="36"/>
  <c r="Q13" i="36"/>
  <c r="Q14" i="36"/>
  <c r="Q16" i="36"/>
  <c r="Q18" i="36"/>
  <c r="T18" i="36" s="1"/>
  <c r="Q19" i="36"/>
  <c r="T19" i="36" s="1"/>
  <c r="Q22" i="36"/>
  <c r="T22" i="36" s="1"/>
  <c r="Q17" i="36"/>
  <c r="T17" i="36" s="1"/>
  <c r="U17" i="36" s="1"/>
  <c r="DT17" i="36" s="1"/>
  <c r="Q20" i="36"/>
  <c r="T20" i="36" s="1"/>
  <c r="BT9" i="36"/>
  <c r="CB9" i="36" s="1"/>
  <c r="CC9" i="36" s="1"/>
  <c r="AN17" i="36"/>
  <c r="AO17" i="36" s="1"/>
  <c r="DV17" i="36" s="1"/>
  <c r="L13" i="36"/>
  <c r="EG13" i="36" s="1"/>
  <c r="EO11" i="36"/>
  <c r="CN12" i="36"/>
  <c r="EO12" i="36" s="1"/>
  <c r="EN12" i="36"/>
  <c r="CD13" i="36"/>
  <c r="EN13" i="36" s="1"/>
  <c r="DH11" i="36"/>
  <c r="EQ11" i="36" s="1"/>
  <c r="EL10" i="36"/>
  <c r="BJ11" i="36"/>
  <c r="EL11" i="36" s="1"/>
  <c r="EL12" i="36"/>
  <c r="BJ13" i="36"/>
  <c r="EL13" i="36" s="1"/>
  <c r="EQ12" i="36"/>
  <c r="DH13" i="36"/>
  <c r="EQ13" i="36" s="1"/>
  <c r="AA15" i="36"/>
  <c r="AA12" i="36"/>
  <c r="AA16" i="36"/>
  <c r="AA11" i="36"/>
  <c r="AA17" i="36"/>
  <c r="AA21" i="36"/>
  <c r="AA18" i="36"/>
  <c r="AA19" i="36"/>
  <c r="AA10" i="36"/>
  <c r="AA20" i="36"/>
  <c r="AA14" i="36"/>
  <c r="AA22" i="36"/>
  <c r="AA24" i="36"/>
  <c r="AA23" i="36"/>
  <c r="AA13" i="36"/>
  <c r="AA9" i="36"/>
  <c r="AA25" i="36"/>
  <c r="AA26" i="36"/>
  <c r="AA8" i="36"/>
  <c r="EL8" i="36"/>
  <c r="BJ9" i="36"/>
  <c r="BR9" i="36" s="1"/>
  <c r="BS9" i="36" s="1"/>
  <c r="AK21" i="36"/>
  <c r="AK16" i="36"/>
  <c r="AK22" i="36"/>
  <c r="AK23" i="36"/>
  <c r="AK24" i="36"/>
  <c r="AK8" i="36"/>
  <c r="AK17" i="36"/>
  <c r="AK9" i="36"/>
  <c r="AK25" i="36"/>
  <c r="AK19" i="36"/>
  <c r="AK10" i="36"/>
  <c r="AK26" i="36"/>
  <c r="AK18" i="36"/>
  <c r="AK11" i="36"/>
  <c r="AK12" i="36"/>
  <c r="AK13" i="36"/>
  <c r="AK14" i="36"/>
  <c r="AK20" i="36"/>
  <c r="AK15" i="36"/>
  <c r="DH10" i="36"/>
  <c r="EQ10" i="36" s="1"/>
  <c r="BE17" i="36"/>
  <c r="BH17" i="36" s="1"/>
  <c r="BI17" i="36" s="1"/>
  <c r="DX17" i="36" s="1"/>
  <c r="BE13" i="36"/>
  <c r="BE18" i="36"/>
  <c r="BE19" i="36"/>
  <c r="BH19" i="36" s="1"/>
  <c r="BI19" i="36" s="1"/>
  <c r="DX19" i="36" s="1"/>
  <c r="BE15" i="36"/>
  <c r="BE20" i="36"/>
  <c r="BE16" i="36"/>
  <c r="BE21" i="36"/>
  <c r="BE12" i="36"/>
  <c r="BE22" i="36"/>
  <c r="BH22" i="36" s="1"/>
  <c r="BI22" i="36" s="1"/>
  <c r="DX22" i="36" s="1"/>
  <c r="BE23" i="36"/>
  <c r="BE24" i="36"/>
  <c r="BE9" i="36"/>
  <c r="BE25" i="36"/>
  <c r="BE10" i="36"/>
  <c r="BE26" i="36"/>
  <c r="BE14" i="36"/>
  <c r="BE11" i="36"/>
  <c r="BE8" i="36"/>
  <c r="EG8" i="36"/>
  <c r="L9" i="36"/>
  <c r="T9" i="36" s="1"/>
  <c r="EN10" i="36"/>
  <c r="CD11" i="36"/>
  <c r="EN11" i="36"/>
  <c r="CD12" i="36"/>
  <c r="EG11" i="36"/>
  <c r="L12" i="36"/>
  <c r="EG12" i="36" s="1"/>
  <c r="AD17" i="36"/>
  <c r="AE17" i="36" s="1"/>
  <c r="DU17" i="36" s="1"/>
  <c r="G54" i="41" s="1"/>
  <c r="C54" i="41" s="1"/>
  <c r="AZ9" i="36"/>
  <c r="BH9" i="36" s="1"/>
  <c r="BI9" i="36" s="1"/>
  <c r="EJ12" i="36"/>
  <c r="AP13" i="36"/>
  <c r="EJ13" i="36" s="1"/>
  <c r="I28" i="45"/>
  <c r="D28" i="45" s="1"/>
  <c r="I13" i="45"/>
  <c r="D13" i="45" s="1"/>
  <c r="I28" i="54"/>
  <c r="D28" i="54" s="1"/>
  <c r="I13" i="54"/>
  <c r="D13" i="54" s="1"/>
  <c r="AP9" i="36"/>
  <c r="AX9" i="36" s="1"/>
  <c r="AY9" i="36" s="1"/>
  <c r="CM22" i="36"/>
  <c r="EA22" i="36" s="1"/>
  <c r="CM21" i="36"/>
  <c r="EA21" i="36" s="1"/>
  <c r="EI8" i="36"/>
  <c r="AF9" i="36"/>
  <c r="AN9" i="36" s="1"/>
  <c r="AO9" i="36" s="1"/>
  <c r="G80" i="41"/>
  <c r="C80" i="41" s="1"/>
  <c r="G41" i="41"/>
  <c r="C41" i="41" s="1"/>
  <c r="G67" i="41"/>
  <c r="C67" i="41" s="1"/>
  <c r="EH11" i="36"/>
  <c r="EH10" i="36"/>
  <c r="V9" i="36"/>
  <c r="EH9" i="36" s="1"/>
  <c r="G9" i="36"/>
  <c r="G11" i="36"/>
  <c r="G13" i="36"/>
  <c r="G15" i="36"/>
  <c r="G16" i="36"/>
  <c r="G18" i="36"/>
  <c r="G20" i="36"/>
  <c r="G22" i="36"/>
  <c r="G24" i="36"/>
  <c r="G26" i="36"/>
  <c r="G10" i="36"/>
  <c r="G12" i="36"/>
  <c r="G14" i="36"/>
  <c r="G17" i="36"/>
  <c r="J17" i="36" s="1"/>
  <c r="K17" i="36" s="1"/>
  <c r="DS17" i="36" s="1"/>
  <c r="G19" i="36"/>
  <c r="G21" i="36"/>
  <c r="G23" i="36"/>
  <c r="G25" i="36"/>
  <c r="G8" i="36"/>
  <c r="U20" i="36"/>
  <c r="DT20" i="36" s="1"/>
  <c r="U21" i="36"/>
  <c r="DT21" i="36" s="1"/>
  <c r="U22" i="36"/>
  <c r="DT22" i="36" s="1"/>
  <c r="U18" i="36"/>
  <c r="DT18" i="36" s="1"/>
  <c r="U19" i="36"/>
  <c r="DT19" i="36" s="1"/>
  <c r="DF18" i="36"/>
  <c r="DG18" i="36" s="1"/>
  <c r="EC18" i="36" s="1"/>
  <c r="DF20" i="36"/>
  <c r="DG20" i="36" s="1"/>
  <c r="EC20" i="36" s="1"/>
  <c r="DF22" i="36"/>
  <c r="DG22" i="36" s="1"/>
  <c r="EC22" i="36" s="1"/>
  <c r="DF19" i="36"/>
  <c r="DG19" i="36" s="1"/>
  <c r="EC19" i="36" s="1"/>
  <c r="DF21" i="36"/>
  <c r="DG21" i="36" s="1"/>
  <c r="EC21" i="36" s="1"/>
  <c r="BH18" i="36"/>
  <c r="BI18" i="36" s="1"/>
  <c r="DX18" i="36" s="1"/>
  <c r="BH20" i="36"/>
  <c r="BI20" i="36" s="1"/>
  <c r="DX20" i="36" s="1"/>
  <c r="BH21" i="36"/>
  <c r="BI21" i="36" s="1"/>
  <c r="DX21" i="36" s="1"/>
  <c r="AN22" i="36"/>
  <c r="AO22" i="36" s="1"/>
  <c r="DV22" i="36" s="1"/>
  <c r="E25" i="36"/>
  <c r="E26" i="36"/>
  <c r="EN8" i="36"/>
  <c r="EM8" i="36"/>
  <c r="EK8" i="36"/>
  <c r="EJ8" i="36"/>
  <c r="EI9" i="36"/>
  <c r="E10" i="36"/>
  <c r="E12" i="36"/>
  <c r="E14" i="36"/>
  <c r="E18" i="36"/>
  <c r="E20" i="36"/>
  <c r="E22" i="36"/>
  <c r="E24" i="36"/>
  <c r="E9" i="36"/>
  <c r="E11" i="36"/>
  <c r="E13" i="36"/>
  <c r="E15" i="36"/>
  <c r="E16" i="36"/>
  <c r="E19" i="36"/>
  <c r="E21" i="36"/>
  <c r="E23" i="36"/>
  <c r="E8" i="36"/>
  <c r="EH8" i="36"/>
  <c r="EM9" i="36" l="1"/>
  <c r="EL9" i="36"/>
  <c r="G10" i="41"/>
  <c r="C10" i="41" s="1"/>
  <c r="G93" i="41"/>
  <c r="C93" i="41" s="1"/>
  <c r="J22" i="36"/>
  <c r="G26" i="41"/>
  <c r="C26" i="41" s="1"/>
  <c r="EK9" i="36"/>
  <c r="EJ9" i="36"/>
  <c r="I38" i="54"/>
  <c r="D38" i="54" s="1"/>
  <c r="I9" i="54"/>
  <c r="D9" i="54" s="1"/>
  <c r="I9" i="45"/>
  <c r="D9" i="45" s="1"/>
  <c r="I24" i="54"/>
  <c r="D24" i="54" s="1"/>
  <c r="I24" i="45"/>
  <c r="D24" i="45" s="1"/>
  <c r="I38" i="45"/>
  <c r="D38" i="45" s="1"/>
  <c r="I25" i="45"/>
  <c r="D25" i="45" s="1"/>
  <c r="I39" i="54"/>
  <c r="D39" i="54" s="1"/>
  <c r="I25" i="54"/>
  <c r="D25" i="54" s="1"/>
  <c r="I39" i="45"/>
  <c r="D39" i="45" s="1"/>
  <c r="I26" i="54"/>
  <c r="I11" i="45"/>
  <c r="D11" i="45" s="1"/>
  <c r="I40" i="54"/>
  <c r="I11" i="54"/>
  <c r="D11" i="54" s="1"/>
  <c r="I26" i="45"/>
  <c r="D26" i="45" s="1"/>
  <c r="I40" i="45"/>
  <c r="D40" i="45" s="1"/>
  <c r="I10" i="54"/>
  <c r="I10" i="45"/>
  <c r="D10" i="45" s="1"/>
  <c r="K22" i="36"/>
  <c r="DS22" i="36" s="1"/>
  <c r="D40" i="54" l="1"/>
  <c r="D47" i="54" s="1"/>
  <c r="I46" i="54"/>
  <c r="D26" i="54"/>
  <c r="D35" i="54" s="1"/>
  <c r="I33" i="54"/>
  <c r="D10" i="54"/>
  <c r="I18" i="54"/>
  <c r="EF25" i="36"/>
  <c r="DF26" i="36"/>
  <c r="DG26" i="36" s="1"/>
  <c r="EC26" i="36" s="1"/>
  <c r="CV26" i="36"/>
  <c r="CW26" i="36" s="1"/>
  <c r="EB26" i="36" s="1"/>
  <c r="CL26" i="36"/>
  <c r="CM26" i="36" s="1"/>
  <c r="EA26" i="36" s="1"/>
  <c r="BR26" i="36"/>
  <c r="BS26" i="36" s="1"/>
  <c r="DY26" i="36" s="1"/>
  <c r="BH26" i="36"/>
  <c r="BI26" i="36" s="1"/>
  <c r="DX26" i="36" s="1"/>
  <c r="E29" i="31" l="1"/>
  <c r="AN26" i="36"/>
  <c r="AO26" i="36" s="1"/>
  <c r="DV26" i="36" s="1"/>
  <c r="T25" i="36"/>
  <c r="BR24" i="36"/>
  <c r="BS24" i="36" s="1"/>
  <c r="DY24" i="36" s="1"/>
  <c r="CL25" i="36"/>
  <c r="CM25" i="36" s="1"/>
  <c r="EA25" i="36" s="1"/>
  <c r="CV24" i="36"/>
  <c r="CW24" i="36" s="1"/>
  <c r="EB24" i="36" s="1"/>
  <c r="DF25" i="36"/>
  <c r="DG25" i="36" s="1"/>
  <c r="EC25" i="36" s="1"/>
  <c r="CV25" i="36"/>
  <c r="CW25" i="36" s="1"/>
  <c r="EB25" i="36" s="1"/>
  <c r="BR16" i="36"/>
  <c r="CL16" i="36"/>
  <c r="CB26" i="36"/>
  <c r="CC26" i="36" s="1"/>
  <c r="DZ26" i="36" s="1"/>
  <c r="CL23" i="36"/>
  <c r="CM23" i="36" s="1"/>
  <c r="EA23" i="36" s="1"/>
  <c r="CV16" i="36"/>
  <c r="DF23" i="36"/>
  <c r="DG23" i="36" s="1"/>
  <c r="EC23" i="36" s="1"/>
  <c r="AN16" i="36"/>
  <c r="DP26" i="36"/>
  <c r="DQ26" i="36" s="1"/>
  <c r="ED26" i="36" s="1"/>
  <c r="X10" i="36" l="1"/>
  <c r="X12" i="36"/>
  <c r="X14" i="36"/>
  <c r="X8" i="36"/>
  <c r="X9" i="36"/>
  <c r="AD9" i="36" s="1"/>
  <c r="X11" i="36"/>
  <c r="X13" i="36"/>
  <c r="X15" i="36"/>
  <c r="X16" i="36"/>
  <c r="U25" i="36"/>
  <c r="DT25" i="36" s="1"/>
  <c r="AD26" i="36"/>
  <c r="AE26" i="36" s="1"/>
  <c r="DU26" i="36" s="1"/>
  <c r="DF9" i="36"/>
  <c r="DG9" i="36" s="1"/>
  <c r="EC9" i="36" s="1"/>
  <c r="DF15" i="36"/>
  <c r="DG15" i="36" s="1"/>
  <c r="EC15" i="36" s="1"/>
  <c r="DF10" i="36"/>
  <c r="DG10" i="36" s="1"/>
  <c r="EC10" i="36" s="1"/>
  <c r="DF12" i="36"/>
  <c r="DG12" i="36" s="1"/>
  <c r="EC12" i="36" s="1"/>
  <c r="DF14" i="36"/>
  <c r="DG14" i="36" s="1"/>
  <c r="EC14" i="36" s="1"/>
  <c r="DF8" i="36"/>
  <c r="DG8" i="36" s="1"/>
  <c r="EC8" i="36" s="1"/>
  <c r="DF11" i="36"/>
  <c r="DG11" i="36" s="1"/>
  <c r="EC11" i="36" s="1"/>
  <c r="DF13" i="36"/>
  <c r="DG13" i="36" s="1"/>
  <c r="EC13" i="36" s="1"/>
  <c r="CW16" i="36"/>
  <c r="EB16" i="36" s="1"/>
  <c r="CM16" i="36"/>
  <c r="EA16" i="36" s="1"/>
  <c r="AD22" i="36"/>
  <c r="AE22" i="36" s="1"/>
  <c r="DU22" i="36" s="1"/>
  <c r="G68" i="41" s="1"/>
  <c r="C68" i="41" s="1"/>
  <c r="BS16" i="36"/>
  <c r="DY16" i="36" s="1"/>
  <c r="DF24" i="36"/>
  <c r="DG24" i="36" s="1"/>
  <c r="EC24" i="36" s="1"/>
  <c r="DF16" i="36"/>
  <c r="CV23" i="36"/>
  <c r="CW23" i="36" s="1"/>
  <c r="EB23" i="36" s="1"/>
  <c r="CL24" i="36"/>
  <c r="CM24" i="36" s="1"/>
  <c r="EA24" i="36" s="1"/>
  <c r="BR23" i="36"/>
  <c r="BS23" i="36" s="1"/>
  <c r="DY23" i="36" s="1"/>
  <c r="BR25" i="36"/>
  <c r="BS25" i="36" s="1"/>
  <c r="DY25" i="36" s="1"/>
  <c r="T24" i="36"/>
  <c r="T23" i="36"/>
  <c r="U23" i="36" s="1"/>
  <c r="T16" i="36"/>
  <c r="BH25" i="36"/>
  <c r="BI25" i="36" s="1"/>
  <c r="DX25" i="36" s="1"/>
  <c r="AO16" i="36"/>
  <c r="DV16" i="36" s="1"/>
  <c r="G96" i="41" l="1"/>
  <c r="C96" i="41" s="1"/>
  <c r="G43" i="54"/>
  <c r="C43" i="54" s="1"/>
  <c r="G30" i="54"/>
  <c r="C30" i="54" s="1"/>
  <c r="G15" i="54"/>
  <c r="C15" i="54" s="1"/>
  <c r="G70" i="41"/>
  <c r="C70" i="41" s="1"/>
  <c r="G83" i="41"/>
  <c r="C83" i="41" s="1"/>
  <c r="G57" i="41"/>
  <c r="C57" i="41" s="1"/>
  <c r="G44" i="41"/>
  <c r="C44" i="41" s="1"/>
  <c r="G29" i="41"/>
  <c r="C29" i="41" s="1"/>
  <c r="G13" i="41"/>
  <c r="C13" i="41" s="1"/>
  <c r="G43" i="45"/>
  <c r="C43" i="45" s="1"/>
  <c r="G30" i="45"/>
  <c r="C30" i="45" s="1"/>
  <c r="G15" i="45"/>
  <c r="C15" i="45" s="1"/>
  <c r="U16" i="36"/>
  <c r="DT16" i="36" s="1"/>
  <c r="U24" i="36"/>
  <c r="DT24" i="36" s="1"/>
  <c r="DG16" i="36"/>
  <c r="EC16" i="36" s="1"/>
  <c r="CL9" i="36"/>
  <c r="CM9" i="36" s="1"/>
  <c r="EA9" i="36" s="1"/>
  <c r="CL11" i="36"/>
  <c r="CM11" i="36" s="1"/>
  <c r="EA11" i="36" s="1"/>
  <c r="CL13" i="36"/>
  <c r="CM13" i="36" s="1"/>
  <c r="EA13" i="36" s="1"/>
  <c r="CL15" i="36"/>
  <c r="CM15" i="36" s="1"/>
  <c r="EA15" i="36" s="1"/>
  <c r="CL10" i="36"/>
  <c r="CM10" i="36" s="1"/>
  <c r="EA10" i="36" s="1"/>
  <c r="CL12" i="36"/>
  <c r="CM12" i="36" s="1"/>
  <c r="EA12" i="36" s="1"/>
  <c r="CL14" i="36"/>
  <c r="CM14" i="36" s="1"/>
  <c r="EA14" i="36" s="1"/>
  <c r="CL8" i="36"/>
  <c r="CM8" i="36" s="1"/>
  <c r="EA8" i="36" s="1"/>
  <c r="BR11" i="36"/>
  <c r="BS11" i="36" s="1"/>
  <c r="DY11" i="36" s="1"/>
  <c r="BR13" i="36"/>
  <c r="BS13" i="36" s="1"/>
  <c r="DY13" i="36" s="1"/>
  <c r="BR15" i="36"/>
  <c r="BS15" i="36" s="1"/>
  <c r="DY15" i="36" s="1"/>
  <c r="BR10" i="36"/>
  <c r="BS10" i="36" s="1"/>
  <c r="DY10" i="36" s="1"/>
  <c r="BR12" i="36"/>
  <c r="BS12" i="36" s="1"/>
  <c r="DY12" i="36" s="1"/>
  <c r="BR14" i="36"/>
  <c r="BS14" i="36" s="1"/>
  <c r="DY14" i="36" s="1"/>
  <c r="BR8" i="36"/>
  <c r="BS8" i="36" s="1"/>
  <c r="BH10" i="36"/>
  <c r="BI10" i="36" s="1"/>
  <c r="DX10" i="36" s="1"/>
  <c r="BH12" i="36"/>
  <c r="BI12" i="36" s="1"/>
  <c r="DX12" i="36" s="1"/>
  <c r="BH14" i="36"/>
  <c r="BI14" i="36" s="1"/>
  <c r="DX14" i="36" s="1"/>
  <c r="BH8" i="36"/>
  <c r="BH11" i="36"/>
  <c r="BI11" i="36" s="1"/>
  <c r="DX11" i="36" s="1"/>
  <c r="BH13" i="36"/>
  <c r="BI13" i="36" s="1"/>
  <c r="DX13" i="36" s="1"/>
  <c r="BH15" i="36"/>
  <c r="BI15" i="36" s="1"/>
  <c r="DX15" i="36" s="1"/>
  <c r="DT23" i="36"/>
  <c r="BH24" i="36"/>
  <c r="BI24" i="36" s="1"/>
  <c r="DX24" i="36" s="1"/>
  <c r="BH23" i="36"/>
  <c r="BI23" i="36" s="1"/>
  <c r="DX23" i="36" s="1"/>
  <c r="BH16" i="36"/>
  <c r="AN21" i="36"/>
  <c r="AO21" i="36" s="1"/>
  <c r="DV21" i="36" s="1"/>
  <c r="AN19" i="36"/>
  <c r="AO19" i="36" s="1"/>
  <c r="DV19" i="36" s="1"/>
  <c r="AN23" i="36"/>
  <c r="AO23" i="36" s="1"/>
  <c r="DV23" i="36" s="1"/>
  <c r="AN20" i="36"/>
  <c r="AO20" i="36" s="1"/>
  <c r="DV20" i="36" s="1"/>
  <c r="AN18" i="36"/>
  <c r="AO18" i="36" s="1"/>
  <c r="DV18" i="36" s="1"/>
  <c r="CB23" i="36"/>
  <c r="CC23" i="36" s="1"/>
  <c r="DZ23" i="36" s="1"/>
  <c r="DP9" i="36" l="1"/>
  <c r="DQ9" i="36" s="1"/>
  <c r="ED9" i="36" s="1"/>
  <c r="DP8" i="36"/>
  <c r="DQ8" i="36" s="1"/>
  <c r="ED8" i="36" s="1"/>
  <c r="BI8" i="36"/>
  <c r="BI16" i="36"/>
  <c r="DX16" i="36" s="1"/>
  <c r="AN24" i="36"/>
  <c r="AO24" i="36" s="1"/>
  <c r="DV24" i="36" s="1"/>
  <c r="CB24" i="36"/>
  <c r="CC24" i="36" s="1"/>
  <c r="DZ24" i="36" s="1"/>
  <c r="DY9" i="36"/>
  <c r="DY8" i="36"/>
  <c r="DX8" i="36" l="1"/>
  <c r="DX9" i="36"/>
  <c r="DP10" i="36"/>
  <c r="DQ10" i="36" s="1"/>
  <c r="ED10" i="36" s="1"/>
  <c r="DP11" i="36" l="1"/>
  <c r="DQ11" i="36" s="1"/>
  <c r="ED11" i="36" s="1"/>
  <c r="CB10" i="36" l="1"/>
  <c r="CC10" i="36" s="1"/>
  <c r="DZ10" i="36" s="1"/>
  <c r="CB12" i="36"/>
  <c r="CC12" i="36" s="1"/>
  <c r="DZ12" i="36" s="1"/>
  <c r="CB14" i="36"/>
  <c r="CC14" i="36" s="1"/>
  <c r="DZ14" i="36" s="1"/>
  <c r="CB8" i="36"/>
  <c r="CB11" i="36"/>
  <c r="CC11" i="36" s="1"/>
  <c r="DZ11" i="36" s="1"/>
  <c r="CB13" i="36"/>
  <c r="CC13" i="36" s="1"/>
  <c r="DZ13" i="36" s="1"/>
  <c r="AD18" i="36"/>
  <c r="AE18" i="36" s="1"/>
  <c r="DU18" i="36" s="1"/>
  <c r="G11" i="41" s="1"/>
  <c r="C11" i="41" s="1"/>
  <c r="AD16" i="36"/>
  <c r="DP12" i="36"/>
  <c r="DQ12" i="36" s="1"/>
  <c r="ED12" i="36" s="1"/>
  <c r="F8" i="12"/>
  <c r="F9" i="12"/>
  <c r="F10" i="12"/>
  <c r="F11" i="12"/>
  <c r="F12" i="12"/>
  <c r="F13" i="12"/>
  <c r="F7" i="12"/>
  <c r="F8" i="11"/>
  <c r="F9" i="11"/>
  <c r="F10" i="11"/>
  <c r="F11" i="11"/>
  <c r="F12" i="11"/>
  <c r="F13" i="11"/>
  <c r="F7" i="11"/>
  <c r="F6" i="10"/>
  <c r="F7" i="10"/>
  <c r="F8" i="10"/>
  <c r="F9" i="10"/>
  <c r="F10" i="10"/>
  <c r="F11" i="10"/>
  <c r="F12" i="10"/>
  <c r="F13" i="10"/>
  <c r="F14" i="10"/>
  <c r="F15" i="10"/>
  <c r="F16" i="10"/>
  <c r="F17" i="10"/>
  <c r="F18" i="10"/>
  <c r="F19" i="10"/>
  <c r="F5" i="10"/>
  <c r="G8" i="9"/>
  <c r="G9" i="9"/>
  <c r="G10" i="9"/>
  <c r="G11" i="9"/>
  <c r="G12" i="9"/>
  <c r="G13" i="9"/>
  <c r="G7" i="9"/>
  <c r="G7" i="8"/>
  <c r="G8" i="8"/>
  <c r="G9" i="8"/>
  <c r="G10" i="8"/>
  <c r="G11" i="8"/>
  <c r="G12" i="8"/>
  <c r="G13" i="8"/>
  <c r="G6" i="8"/>
  <c r="G7" i="7"/>
  <c r="G8" i="7"/>
  <c r="G9" i="7"/>
  <c r="G10" i="7"/>
  <c r="G11" i="7"/>
  <c r="G12" i="7"/>
  <c r="G13" i="7"/>
  <c r="G6" i="7"/>
  <c r="G8" i="6"/>
  <c r="G9" i="6"/>
  <c r="G10" i="6"/>
  <c r="G11" i="6"/>
  <c r="G12" i="6"/>
  <c r="G13" i="6"/>
  <c r="G14" i="6"/>
  <c r="G7" i="6"/>
  <c r="G8" i="4"/>
  <c r="G9" i="4"/>
  <c r="G10" i="4"/>
  <c r="G11" i="4"/>
  <c r="G12" i="4"/>
  <c r="G13" i="4"/>
  <c r="G14" i="4"/>
  <c r="G7" i="4"/>
  <c r="G9" i="3"/>
  <c r="G10" i="3"/>
  <c r="G11" i="3"/>
  <c r="G12" i="3"/>
  <c r="G13" i="3"/>
  <c r="G14" i="3"/>
  <c r="G8" i="3"/>
  <c r="G7" i="3"/>
  <c r="G13" i="2"/>
  <c r="G12" i="2"/>
  <c r="G11" i="2"/>
  <c r="G10" i="2"/>
  <c r="G9" i="2"/>
  <c r="G8" i="2"/>
  <c r="G7" i="2"/>
  <c r="G14" i="1"/>
  <c r="G13" i="1"/>
  <c r="G12" i="1"/>
  <c r="G11" i="1"/>
  <c r="G10" i="1"/>
  <c r="G9" i="1"/>
  <c r="G8" i="1"/>
  <c r="G7" i="1"/>
  <c r="CC8" i="36" l="1"/>
  <c r="C9" i="36"/>
  <c r="C11" i="36"/>
  <c r="C13" i="36"/>
  <c r="C15" i="36"/>
  <c r="C10" i="36"/>
  <c r="C12" i="36"/>
  <c r="C14" i="36"/>
  <c r="C8" i="36"/>
  <c r="F22" i="12"/>
  <c r="F20" i="10"/>
  <c r="EF16" i="36" s="1"/>
  <c r="AE16" i="36"/>
  <c r="DU16" i="36" s="1"/>
  <c r="AD19" i="36"/>
  <c r="AE19" i="36" s="1"/>
  <c r="DU19" i="36" s="1"/>
  <c r="G27" i="41" s="1"/>
  <c r="C27" i="41" s="1"/>
  <c r="AD23" i="36"/>
  <c r="G15" i="9"/>
  <c r="G14" i="7"/>
  <c r="B14" i="36" s="1"/>
  <c r="G15" i="4"/>
  <c r="B12" i="36" s="1"/>
  <c r="G15" i="2"/>
  <c r="B10" i="36" s="1"/>
  <c r="G16" i="1"/>
  <c r="DP13" i="36"/>
  <c r="DQ13" i="36" s="1"/>
  <c r="ED13" i="36" s="1"/>
  <c r="F15" i="11"/>
  <c r="G15" i="3"/>
  <c r="B11" i="36" s="1"/>
  <c r="G14" i="8"/>
  <c r="G15" i="6"/>
  <c r="B13" i="36" s="1"/>
  <c r="B24" i="36" l="1"/>
  <c r="EF24" i="36" s="1"/>
  <c r="EF14" i="36"/>
  <c r="B15" i="36"/>
  <c r="EF15" i="36"/>
  <c r="EF13" i="36"/>
  <c r="EF11" i="36"/>
  <c r="B9" i="36"/>
  <c r="EF9" i="36" s="1"/>
  <c r="DZ9" i="36"/>
  <c r="DZ8" i="36"/>
  <c r="J21" i="36"/>
  <c r="J19" i="36"/>
  <c r="J24" i="36"/>
  <c r="J18" i="36"/>
  <c r="J8" i="36"/>
  <c r="AE23" i="36"/>
  <c r="DU23" i="36" s="1"/>
  <c r="G81" i="41" s="1"/>
  <c r="C81" i="41" s="1"/>
  <c r="AD21" i="36"/>
  <c r="AE21" i="36" s="1"/>
  <c r="DU21" i="36" s="1"/>
  <c r="G55" i="41" s="1"/>
  <c r="C55" i="41" s="1"/>
  <c r="AD20" i="36"/>
  <c r="AE20" i="36" s="1"/>
  <c r="DU20" i="36" s="1"/>
  <c r="G42" i="41" s="1"/>
  <c r="C42" i="41" s="1"/>
  <c r="AD25" i="36"/>
  <c r="AD24" i="36"/>
  <c r="EF23" i="36"/>
  <c r="J23" i="36"/>
  <c r="J14" i="36"/>
  <c r="J13" i="36"/>
  <c r="EF12" i="36"/>
  <c r="J12" i="36"/>
  <c r="J11" i="36"/>
  <c r="EF10" i="36"/>
  <c r="J10" i="36"/>
  <c r="DP14" i="36"/>
  <c r="DQ14" i="36" s="1"/>
  <c r="ED14" i="36" s="1"/>
  <c r="J9" i="36" l="1"/>
  <c r="K9" i="36" s="1"/>
  <c r="DS9" i="36" s="1"/>
  <c r="K10" i="36"/>
  <c r="DS10" i="36" s="1"/>
  <c r="K11" i="36"/>
  <c r="DS11" i="36" s="1"/>
  <c r="K14" i="36"/>
  <c r="DS14" i="36" s="1"/>
  <c r="K8" i="36"/>
  <c r="DS8" i="36" s="1"/>
  <c r="K24" i="36"/>
  <c r="DS24" i="36" s="1"/>
  <c r="K21" i="36"/>
  <c r="DS21" i="36" s="1"/>
  <c r="K12" i="36"/>
  <c r="DS12" i="36" s="1"/>
  <c r="K13" i="36"/>
  <c r="DS13" i="36" s="1"/>
  <c r="K23" i="36"/>
  <c r="DS23" i="36" s="1"/>
  <c r="K18" i="36"/>
  <c r="DS18" i="36" s="1"/>
  <c r="K19" i="36"/>
  <c r="DS19" i="36" s="1"/>
  <c r="I35" i="41"/>
  <c r="D35" i="45"/>
  <c r="AE25" i="36"/>
  <c r="DU25" i="36" s="1"/>
  <c r="AE24" i="36"/>
  <c r="DU24" i="36" s="1"/>
  <c r="G94" i="41" s="1"/>
  <c r="C94" i="41" s="1"/>
  <c r="DP15" i="36"/>
  <c r="DQ15" i="36" s="1"/>
  <c r="ED15" i="36" s="1"/>
  <c r="I62" i="41" l="1"/>
  <c r="I101" i="41"/>
  <c r="I49" i="41"/>
  <c r="I75" i="41"/>
  <c r="I88" i="41"/>
  <c r="DP16" i="36"/>
  <c r="I46" i="45" l="1"/>
  <c r="D47" i="45"/>
  <c r="D20" i="45"/>
  <c r="I18" i="45"/>
  <c r="I33" i="45"/>
  <c r="DQ16" i="36"/>
  <c r="ED16" i="36" s="1"/>
  <c r="CB15" i="36"/>
  <c r="DP23" i="36"/>
  <c r="DQ23" i="36" s="1"/>
  <c r="ED23" i="36" s="1"/>
  <c r="D92" i="41" l="1"/>
  <c r="D102" i="41" s="1"/>
  <c r="D53" i="41"/>
  <c r="D63" i="41" s="1"/>
  <c r="D25" i="41"/>
  <c r="D37" i="41" s="1"/>
  <c r="D79" i="41"/>
  <c r="D40" i="41"/>
  <c r="D50" i="41" s="1"/>
  <c r="D9" i="41"/>
  <c r="D66" i="41"/>
  <c r="D76" i="41" s="1"/>
  <c r="D89" i="41"/>
  <c r="CC15" i="36"/>
  <c r="DZ15" i="36" s="1"/>
  <c r="DP25" i="36"/>
  <c r="DQ25" i="36" s="1"/>
  <c r="ED25" i="36" s="1"/>
  <c r="DP24" i="36"/>
  <c r="DQ24" i="36" s="1"/>
  <c r="ED24" i="36" s="1"/>
  <c r="J15" i="36" l="1"/>
  <c r="K15" i="36" l="1"/>
  <c r="DS15" i="36" s="1"/>
  <c r="CB25" i="36" l="1"/>
  <c r="CC25" i="36" s="1"/>
  <c r="DZ25" i="36" s="1"/>
  <c r="J25" i="36" l="1"/>
  <c r="AN25" i="36"/>
  <c r="AO25" i="36" s="1"/>
  <c r="DV25" i="36" s="1"/>
  <c r="J20" i="36"/>
  <c r="G82" i="41" l="1"/>
  <c r="C82" i="41" s="1"/>
  <c r="G95" i="41"/>
  <c r="C95" i="41" s="1"/>
  <c r="G56" i="41"/>
  <c r="C56" i="41" s="1"/>
  <c r="G28" i="41"/>
  <c r="C28" i="41" s="1"/>
  <c r="G69" i="41"/>
  <c r="C69" i="41" s="1"/>
  <c r="G43" i="41"/>
  <c r="C43" i="41" s="1"/>
  <c r="G12" i="41"/>
  <c r="C12" i="41" s="1"/>
  <c r="K25" i="36"/>
  <c r="DS25" i="36" s="1"/>
  <c r="K20" i="36"/>
  <c r="DS20" i="36" s="1"/>
  <c r="T26" i="36" l="1"/>
  <c r="J26" i="36"/>
  <c r="T11" i="36"/>
  <c r="T13" i="36"/>
  <c r="T15" i="36"/>
  <c r="T10" i="36"/>
  <c r="T12" i="36"/>
  <c r="T14" i="36"/>
  <c r="T8" i="36"/>
  <c r="U8" i="36" s="1"/>
  <c r="U15" i="36" l="1"/>
  <c r="DT15" i="36" s="1"/>
  <c r="U26" i="36"/>
  <c r="DT26" i="36" s="1"/>
  <c r="U14" i="36"/>
  <c r="DT14" i="36" s="1"/>
  <c r="U10" i="36"/>
  <c r="DT10" i="36" s="1"/>
  <c r="U13" i="36"/>
  <c r="DT13" i="36" s="1"/>
  <c r="K26" i="36"/>
  <c r="DS26" i="36" s="1"/>
  <c r="U12" i="36"/>
  <c r="DT12" i="36" s="1"/>
  <c r="U11" i="36"/>
  <c r="DT11" i="36" s="1"/>
  <c r="U9" i="36"/>
  <c r="DT8" i="36" l="1"/>
  <c r="DT9" i="36"/>
  <c r="AD12" i="36" l="1"/>
  <c r="AE12" i="36" s="1"/>
  <c r="DU12" i="36" s="1"/>
  <c r="AD14" i="36"/>
  <c r="AE14" i="36" s="1"/>
  <c r="DU14" i="36" s="1"/>
  <c r="G42" i="54" s="1"/>
  <c r="C42" i="54" s="1"/>
  <c r="AD8" i="36"/>
  <c r="AD11" i="36"/>
  <c r="AE11" i="36" s="1"/>
  <c r="DU11" i="36" s="1"/>
  <c r="AD13" i="36"/>
  <c r="AE13" i="36" s="1"/>
  <c r="DU13" i="36" s="1"/>
  <c r="AD15" i="36"/>
  <c r="AE15" i="36" s="1"/>
  <c r="DU15" i="36" s="1"/>
  <c r="AD10" i="36"/>
  <c r="AE10" i="36" s="1"/>
  <c r="DU10" i="36" s="1"/>
  <c r="G29" i="54" l="1"/>
  <c r="C29" i="54" s="1"/>
  <c r="G14" i="54"/>
  <c r="C14" i="54" s="1"/>
  <c r="G40" i="45"/>
  <c r="C40" i="45" s="1"/>
  <c r="G40" i="54"/>
  <c r="C40" i="54" s="1"/>
  <c r="G26" i="54"/>
  <c r="C26" i="54" s="1"/>
  <c r="G11" i="54"/>
  <c r="C11" i="54" s="1"/>
  <c r="G39" i="54"/>
  <c r="C39" i="54" s="1"/>
  <c r="G25" i="54"/>
  <c r="C25" i="54" s="1"/>
  <c r="G28" i="54"/>
  <c r="C28" i="54" s="1"/>
  <c r="G13" i="54"/>
  <c r="C13" i="54" s="1"/>
  <c r="G41" i="45"/>
  <c r="C41" i="45" s="1"/>
  <c r="G41" i="54"/>
  <c r="C41" i="54" s="1"/>
  <c r="G27" i="54"/>
  <c r="C27" i="54" s="1"/>
  <c r="G12" i="54"/>
  <c r="C12" i="54" s="1"/>
  <c r="G39" i="45"/>
  <c r="C39" i="45" s="1"/>
  <c r="G25" i="45"/>
  <c r="C25" i="45" s="1"/>
  <c r="G42" i="45"/>
  <c r="C42" i="45" s="1"/>
  <c r="G14" i="45"/>
  <c r="C14" i="45" s="1"/>
  <c r="G29" i="45"/>
  <c r="C29" i="45" s="1"/>
  <c r="G13" i="45"/>
  <c r="C13" i="45" s="1"/>
  <c r="G28" i="45"/>
  <c r="C28" i="45" s="1"/>
  <c r="G12" i="45"/>
  <c r="C12" i="45" s="1"/>
  <c r="G27" i="45"/>
  <c r="C27" i="45" s="1"/>
  <c r="G11" i="45"/>
  <c r="C11" i="45" s="1"/>
  <c r="G26" i="45"/>
  <c r="C26" i="45" s="1"/>
  <c r="AE8" i="36"/>
  <c r="DU8" i="36" s="1"/>
  <c r="AE9" i="36"/>
  <c r="DU9" i="36" s="1"/>
  <c r="G10" i="45" l="1"/>
  <c r="C10" i="45" s="1"/>
  <c r="G10" i="54"/>
  <c r="G38" i="54"/>
  <c r="C38" i="54" s="1"/>
  <c r="G24" i="54"/>
  <c r="C24" i="54" s="1"/>
  <c r="G9" i="54"/>
  <c r="C9" i="54" s="1"/>
  <c r="C35" i="54"/>
  <c r="G38" i="45"/>
  <c r="C38" i="45" s="1"/>
  <c r="G9" i="45"/>
  <c r="C9" i="45" s="1"/>
  <c r="G24" i="45"/>
  <c r="C24" i="45" s="1"/>
  <c r="C35" i="45" s="1"/>
  <c r="C20" i="45" l="1"/>
  <c r="C10" i="54"/>
  <c r="C20" i="54" s="1"/>
  <c r="D20" i="54"/>
  <c r="G18" i="54"/>
  <c r="G33" i="54"/>
  <c r="G46" i="54"/>
  <c r="C47" i="54"/>
  <c r="G18" i="45"/>
  <c r="G33" i="45"/>
  <c r="C47" i="45"/>
  <c r="G46" i="45"/>
  <c r="C79" i="41" l="1"/>
  <c r="C92" i="41"/>
  <c r="C53" i="41"/>
  <c r="C66" i="41"/>
  <c r="C25" i="41"/>
  <c r="C40" i="41"/>
  <c r="C9" i="41"/>
  <c r="AN11" i="36"/>
  <c r="AO11" i="36" s="1"/>
  <c r="DV11" i="36" s="1"/>
  <c r="AN13" i="36"/>
  <c r="AO13" i="36" s="1"/>
  <c r="DV13" i="36" s="1"/>
  <c r="AN15" i="36"/>
  <c r="AO15" i="36" s="1"/>
  <c r="DV15" i="36" s="1"/>
  <c r="AN10" i="36"/>
  <c r="AO10" i="36" s="1"/>
  <c r="DV10" i="36" s="1"/>
  <c r="AN12" i="36"/>
  <c r="AO12" i="36" s="1"/>
  <c r="DV12" i="36" s="1"/>
  <c r="AN14" i="36"/>
  <c r="AO14" i="36" s="1"/>
  <c r="DV14" i="36" s="1"/>
  <c r="AN8" i="36"/>
  <c r="AO8" i="36" l="1"/>
  <c r="DV9" i="36" l="1"/>
  <c r="DV8" i="36"/>
  <c r="AX26" i="36" l="1"/>
  <c r="AY26" i="36" s="1"/>
  <c r="DW26" i="36" s="1"/>
  <c r="AX8" i="36"/>
  <c r="AY8" i="36" l="1"/>
  <c r="AX10" i="36"/>
  <c r="AY10" i="36" s="1"/>
  <c r="DW10" i="36" s="1"/>
  <c r="DW8" i="36" l="1"/>
  <c r="DW9" i="36"/>
  <c r="AX11" i="36"/>
  <c r="AY11" i="36" s="1"/>
  <c r="DW11" i="36" s="1"/>
  <c r="AX12" i="36" l="1"/>
  <c r="AY12" i="36" s="1"/>
  <c r="DW12" i="36" s="1"/>
  <c r="AX13" i="36" l="1"/>
  <c r="AY13" i="36" s="1"/>
  <c r="DW13" i="36" s="1"/>
  <c r="AX14" i="36" l="1"/>
  <c r="AY14" i="36" s="1"/>
  <c r="DW14" i="36" s="1"/>
  <c r="CV10" i="36" l="1"/>
  <c r="CW10" i="36" s="1"/>
  <c r="EB10" i="36" s="1"/>
  <c r="CV12" i="36"/>
  <c r="CW12" i="36" s="1"/>
  <c r="EB12" i="36" s="1"/>
  <c r="CV14" i="36"/>
  <c r="CW14" i="36" s="1"/>
  <c r="EB14" i="36" s="1"/>
  <c r="CV8" i="36"/>
  <c r="CW8" i="36" s="1"/>
  <c r="EB8" i="36" s="1"/>
  <c r="CV9" i="36"/>
  <c r="CW9" i="36" s="1"/>
  <c r="EB9" i="36" s="1"/>
  <c r="CV11" i="36"/>
  <c r="CW11" i="36" s="1"/>
  <c r="EB11" i="36" s="1"/>
  <c r="CV13" i="36"/>
  <c r="CW13" i="36" s="1"/>
  <c r="EB13" i="36" s="1"/>
  <c r="CV15" i="36"/>
  <c r="CW15" i="36" s="1"/>
  <c r="EB15" i="36" s="1"/>
  <c r="AX15" i="36"/>
  <c r="AY15" i="36" l="1"/>
  <c r="DW15" i="36" s="1"/>
  <c r="AX16" i="36"/>
  <c r="AY16" i="36" l="1"/>
  <c r="DW16" i="36" s="1"/>
  <c r="AX23" i="36"/>
  <c r="AY23" i="36" s="1"/>
  <c r="DW23" i="36" s="1"/>
  <c r="AX25" i="36" l="1"/>
  <c r="AY25" i="36" s="1"/>
  <c r="DW25" i="36" s="1"/>
  <c r="AX24" i="36"/>
  <c r="AY24" i="36" s="1"/>
  <c r="DW24" i="36" s="1"/>
  <c r="J16" i="36" l="1"/>
  <c r="CB16" i="36"/>
  <c r="K16" i="36" l="1"/>
  <c r="DS16" i="36" s="1"/>
  <c r="CC16" i="36"/>
  <c r="DZ16" i="36" s="1"/>
  <c r="G62" i="41" l="1"/>
  <c r="G35" i="41"/>
  <c r="C76" i="41"/>
  <c r="G49" i="41"/>
  <c r="C102" i="41"/>
  <c r="G88" i="41"/>
  <c r="C37" i="41" l="1"/>
  <c r="G75" i="41"/>
  <c r="C50" i="41"/>
  <c r="C63" i="41"/>
  <c r="G101" i="41"/>
  <c r="C89" i="41"/>
  <c r="D10" i="41" l="1"/>
  <c r="D21" i="41" s="1"/>
  <c r="C21" i="41"/>
  <c r="G19" i="41"/>
  <c r="I19" i="41"/>
</calcChain>
</file>

<file path=xl/sharedStrings.xml><?xml version="1.0" encoding="utf-8"?>
<sst xmlns="http://schemas.openxmlformats.org/spreadsheetml/2006/main" count="4031" uniqueCount="309">
  <si>
    <t>Pré Tratamento</t>
  </si>
  <si>
    <t>Produto</t>
  </si>
  <si>
    <t>ID</t>
  </si>
  <si>
    <t>Volume tanque / lts</t>
  </si>
  <si>
    <t>Concentração /%</t>
  </si>
  <si>
    <t>Consumo Kg/lt</t>
  </si>
  <si>
    <t>Custo/Kg</t>
  </si>
  <si>
    <t>Custo Total</t>
  </si>
  <si>
    <t>Total</t>
  </si>
  <si>
    <t>Concentração g/lt</t>
  </si>
  <si>
    <t>Cobre Ácido</t>
  </si>
  <si>
    <t>Desengraxante Químico</t>
  </si>
  <si>
    <t>Verniz Cataforético</t>
  </si>
  <si>
    <t xml:space="preserve">MC SOLV 010    </t>
  </si>
  <si>
    <t>Desplacante</t>
  </si>
  <si>
    <t>Verniz Imersão</t>
  </si>
  <si>
    <t xml:space="preserve">MC CLAD 2000    </t>
  </si>
  <si>
    <t xml:space="preserve">MC SOLV 2000 </t>
  </si>
  <si>
    <t>Hrs Trab</t>
  </si>
  <si>
    <t>Mês</t>
  </si>
  <si>
    <t>Janeiro</t>
  </si>
  <si>
    <t>INSS</t>
  </si>
  <si>
    <t>FGTS</t>
  </si>
  <si>
    <t>Férias</t>
  </si>
  <si>
    <t>1/3 Férias</t>
  </si>
  <si>
    <t>13°</t>
  </si>
  <si>
    <t>Hrs Extra</t>
  </si>
  <si>
    <t>Total Extra</t>
  </si>
  <si>
    <t>Hrs Extra Mês</t>
  </si>
  <si>
    <t>Por fora</t>
  </si>
  <si>
    <t>Insalubridade</t>
  </si>
  <si>
    <t>Total Geral</t>
  </si>
  <si>
    <t>Fevereiro</t>
  </si>
  <si>
    <t>Março</t>
  </si>
  <si>
    <t>Abril</t>
  </si>
  <si>
    <t>Maio</t>
  </si>
  <si>
    <t>Junho</t>
  </si>
  <si>
    <t>julho</t>
  </si>
  <si>
    <t>Agosto</t>
  </si>
  <si>
    <t>Setembro</t>
  </si>
  <si>
    <t>Outubro</t>
  </si>
  <si>
    <t>Novembro</t>
  </si>
  <si>
    <t>Dezembro</t>
  </si>
  <si>
    <t>Funcionário</t>
  </si>
  <si>
    <t>Sal/Hora</t>
  </si>
  <si>
    <t>Salario Mensal</t>
  </si>
  <si>
    <t>12</t>
  </si>
  <si>
    <t>-</t>
  </si>
  <si>
    <t>Transporte</t>
  </si>
  <si>
    <t>39,292,08</t>
  </si>
  <si>
    <t>Níquel Strik</t>
  </si>
  <si>
    <t>Níquel Brilhante</t>
  </si>
  <si>
    <t>Cromo</t>
  </si>
  <si>
    <t>E.T.E</t>
  </si>
  <si>
    <t>Jan
Custo Total</t>
  </si>
  <si>
    <t>Fev
Custo Total</t>
  </si>
  <si>
    <t>Mar
Custo Total</t>
  </si>
  <si>
    <t>Abr
Custo Total</t>
  </si>
  <si>
    <t>Mai
Custo Total</t>
  </si>
  <si>
    <t>Jun
Custo Total</t>
  </si>
  <si>
    <t>Jul
Custo Total</t>
  </si>
  <si>
    <t>Ago
Custo Total</t>
  </si>
  <si>
    <t>Set
Custo Total</t>
  </si>
  <si>
    <t>Out
Custo Total</t>
  </si>
  <si>
    <t>Nov
Custo Total</t>
  </si>
  <si>
    <t>Dez
Custo Total</t>
  </si>
  <si>
    <t>Agua</t>
  </si>
  <si>
    <t>Energia</t>
  </si>
  <si>
    <t>Data</t>
  </si>
  <si>
    <t>Total diário</t>
  </si>
  <si>
    <t>Total mensal de cada item</t>
  </si>
  <si>
    <t>% do custo</t>
  </si>
  <si>
    <t>Total mensal</t>
  </si>
  <si>
    <t>Julho</t>
  </si>
  <si>
    <t>Jan</t>
  </si>
  <si>
    <t>Fev</t>
  </si>
  <si>
    <t>Mar</t>
  </si>
  <si>
    <t>Abr</t>
  </si>
  <si>
    <t>Mai</t>
  </si>
  <si>
    <t>Jun</t>
  </si>
  <si>
    <t>Jul</t>
  </si>
  <si>
    <t>Ago</t>
  </si>
  <si>
    <t>Set</t>
  </si>
  <si>
    <t>Out</t>
  </si>
  <si>
    <t>Nov</t>
  </si>
  <si>
    <t>Dez</t>
  </si>
  <si>
    <t>ÁGUA</t>
  </si>
  <si>
    <t xml:space="preserve">Total </t>
  </si>
  <si>
    <t>Outros Custos / Investimentos</t>
  </si>
  <si>
    <t>Linha</t>
  </si>
  <si>
    <t>Equipamento</t>
  </si>
  <si>
    <t>Depreciaçao/Meses</t>
  </si>
  <si>
    <t>Vencimento</t>
  </si>
  <si>
    <t>Investimento/R$</t>
  </si>
  <si>
    <t>Valor /Mês</t>
  </si>
  <si>
    <t>Retificador</t>
  </si>
  <si>
    <t>Tanque</t>
  </si>
  <si>
    <t>Horas Trabalhadas</t>
  </si>
  <si>
    <t>Produto Químico</t>
  </si>
  <si>
    <t>M.O.D</t>
  </si>
  <si>
    <t>M.O.I</t>
  </si>
  <si>
    <t>Investimentos</t>
  </si>
  <si>
    <t>Outros Custos</t>
  </si>
  <si>
    <t>Custo Hora</t>
  </si>
  <si>
    <t xml:space="preserve">Cromo </t>
  </si>
  <si>
    <t>Custo Variáveis</t>
  </si>
  <si>
    <t>Área de 1 peça (dm²)</t>
  </si>
  <si>
    <t>Custo / Peça</t>
  </si>
  <si>
    <t>Custo/ Peça P.Q</t>
  </si>
  <si>
    <t xml:space="preserve">Jun </t>
  </si>
  <si>
    <t>Menu</t>
  </si>
  <si>
    <t>Cobre Alcalino</t>
  </si>
  <si>
    <t>Cromo ll</t>
  </si>
  <si>
    <t>Preto Fosco</t>
  </si>
  <si>
    <t>Preto Brilhante</t>
  </si>
  <si>
    <t>CustoKg/lt</t>
  </si>
  <si>
    <t>Custo Kg/lt</t>
  </si>
  <si>
    <t>Operador 9</t>
  </si>
  <si>
    <t>Verniz Cataforético Cobre</t>
  </si>
  <si>
    <t>Verniz Cataforético Gold</t>
  </si>
  <si>
    <t>Champagne</t>
  </si>
  <si>
    <t>Verniz cataforético Cobre</t>
  </si>
  <si>
    <t>Verniz cataforético Preto Fosco</t>
  </si>
  <si>
    <t>Verniz cataforético Preto Brilhante</t>
  </si>
  <si>
    <t>Verniz cataforético Champagne</t>
  </si>
  <si>
    <t xml:space="preserve">MC SOLV 013   </t>
  </si>
  <si>
    <t>Adjuster MC</t>
  </si>
  <si>
    <t>Unimate MC</t>
  </si>
  <si>
    <t xml:space="preserve">Adjuster MC </t>
  </si>
  <si>
    <t>Ouro Fosco Gold</t>
  </si>
  <si>
    <t>Grafite Omix</t>
  </si>
  <si>
    <t xml:space="preserve"> Cobre                 Gold 15</t>
  </si>
  <si>
    <t>Israel</t>
  </si>
  <si>
    <t xml:space="preserve">Op. </t>
  </si>
  <si>
    <t>Verniz Cataforético Preto Fosco</t>
  </si>
  <si>
    <t>Verniz Cataforético Preto Brilhante</t>
  </si>
  <si>
    <t>Verniz Cataforético Ouro Fosco Gold</t>
  </si>
  <si>
    <t>Verniz Cataforético Champagne</t>
  </si>
  <si>
    <t>Verniz Cataforético Grafite Onix</t>
  </si>
  <si>
    <t>Mão De Obra Indireta Galvano</t>
  </si>
  <si>
    <t>Mão De Obra Indireta Verniz</t>
  </si>
  <si>
    <t>Eletro Paulo</t>
  </si>
  <si>
    <t>Telefônia</t>
  </si>
  <si>
    <t>Telefone</t>
  </si>
  <si>
    <t>Mão De Obra Indireta Verniz /9</t>
  </si>
  <si>
    <t xml:space="preserve">Mão De Obra Indireta Galvano </t>
  </si>
  <si>
    <t>M.O.I / Pelo n° de Linhas  8</t>
  </si>
  <si>
    <t>M.O.I / Pelo n° de Linhas 9</t>
  </si>
  <si>
    <t>Total Dividido por n° de Linha 9</t>
  </si>
  <si>
    <t>Níquel Strik-2</t>
  </si>
  <si>
    <t xml:space="preserve">Custo Por Peça Galvanoplastia </t>
  </si>
  <si>
    <t xml:space="preserve">Custo Por Peça Verniz </t>
  </si>
  <si>
    <t>Custo / Total</t>
  </si>
  <si>
    <t>Verniz Cataforético  Gold</t>
  </si>
  <si>
    <t>Verniz  Imersão</t>
  </si>
  <si>
    <t>Prod. Químico</t>
  </si>
  <si>
    <t>Custo/ Total</t>
  </si>
  <si>
    <t>pe</t>
  </si>
  <si>
    <t>E Q</t>
  </si>
  <si>
    <t>Verniz por Imersão</t>
  </si>
  <si>
    <t>Salario Minimo</t>
  </si>
  <si>
    <t>Desplacante de Gancheira</t>
  </si>
  <si>
    <t xml:space="preserve">Desplacante de Gancheira </t>
  </si>
  <si>
    <t>Linha 1</t>
  </si>
  <si>
    <t>Linha 2</t>
  </si>
  <si>
    <t>Linha 3</t>
  </si>
  <si>
    <t>Linha 4</t>
  </si>
  <si>
    <t>Linha 5</t>
  </si>
  <si>
    <t>Linha 6</t>
  </si>
  <si>
    <t>Linha 7</t>
  </si>
  <si>
    <t>Linha 8</t>
  </si>
  <si>
    <t>Linha 9</t>
  </si>
  <si>
    <t>Linha 10</t>
  </si>
  <si>
    <t>Linha 11</t>
  </si>
  <si>
    <t>Manutenção</t>
  </si>
  <si>
    <t>Custo ADM</t>
  </si>
  <si>
    <t>Recursos Humanos</t>
  </si>
  <si>
    <t>Combustível</t>
  </si>
  <si>
    <t>Serviços Externo</t>
  </si>
  <si>
    <t>Alimentação</t>
  </si>
  <si>
    <t>Outros</t>
  </si>
  <si>
    <t xml:space="preserve">Operador </t>
  </si>
  <si>
    <t>Operador</t>
  </si>
  <si>
    <t xml:space="preserve">linha 11 </t>
  </si>
  <si>
    <t>Verniz cataforético Grafite Onix</t>
  </si>
  <si>
    <t xml:space="preserve">Desplacante </t>
  </si>
  <si>
    <t>Água</t>
  </si>
  <si>
    <t>Total Custos Variáveis / Pelo n° de linhas</t>
  </si>
  <si>
    <t>Soma</t>
  </si>
  <si>
    <t>Verniz cataforético Ouro Fosco Gold</t>
  </si>
  <si>
    <t>Total Dividido por n° de Linha 12</t>
  </si>
  <si>
    <t>Pré Tratamento Verniz</t>
  </si>
  <si>
    <t xml:space="preserve">Pré Tratamento Verniz </t>
  </si>
  <si>
    <t xml:space="preserve">Pré Tratamento Verniz  </t>
  </si>
  <si>
    <t>Desplacante De Gancheira</t>
  </si>
  <si>
    <t xml:space="preserve">Peso de 1 peça (Kg) </t>
  </si>
  <si>
    <t>Kg / Carga</t>
  </si>
  <si>
    <t>Peças/carga</t>
  </si>
  <si>
    <t>Area da Carga / Dm²</t>
  </si>
  <si>
    <t>Peças por hora</t>
  </si>
  <si>
    <t>Kg por hora</t>
  </si>
  <si>
    <t>Peças por carga</t>
  </si>
  <si>
    <t>Rendimento de corrente (%)</t>
  </si>
  <si>
    <r>
      <t>Espessura (</t>
    </r>
    <r>
      <rPr>
        <b/>
        <sz val="14"/>
        <color theme="1"/>
        <rFont val="Symbol"/>
        <family val="1"/>
        <charset val="2"/>
      </rPr>
      <t>m</t>
    </r>
    <r>
      <rPr>
        <b/>
        <sz val="14"/>
        <color theme="1"/>
        <rFont val="Calibri"/>
        <family val="2"/>
        <scheme val="minor"/>
      </rPr>
      <t>m)</t>
    </r>
  </si>
  <si>
    <t>Número de Tambores</t>
  </si>
  <si>
    <t>Tempo de banho</t>
  </si>
  <si>
    <t>Kg/ Carga</t>
  </si>
  <si>
    <t>Peças por Hora Galvanoplastia</t>
  </si>
  <si>
    <t>Níquel Strik ll</t>
  </si>
  <si>
    <t>Amperagem</t>
  </si>
  <si>
    <t>Densidade de Corrente</t>
  </si>
  <si>
    <t>Peças por Hora Verniz</t>
  </si>
  <si>
    <t>Pré Tratamento Verniz Cataforético</t>
  </si>
  <si>
    <t>Retificado</t>
  </si>
  <si>
    <t>Linha 12</t>
  </si>
  <si>
    <t>Linha 13</t>
  </si>
  <si>
    <t xml:space="preserve">Estufa </t>
  </si>
  <si>
    <t>Linnha 14</t>
  </si>
  <si>
    <t>Linha 14</t>
  </si>
  <si>
    <t>Estufa</t>
  </si>
  <si>
    <t>Linha 15</t>
  </si>
  <si>
    <t>Linha 16</t>
  </si>
  <si>
    <t>SODA</t>
  </si>
  <si>
    <t xml:space="preserve">ACTIVE ZMC  </t>
  </si>
  <si>
    <t xml:space="preserve">COMPOSTO C-10   </t>
  </si>
  <si>
    <t xml:space="preserve">METAL CLEAN 7E_F  </t>
  </si>
  <si>
    <t>METAL CLEAN FE-05</t>
  </si>
  <si>
    <t>Ácido Sulfurico</t>
  </si>
  <si>
    <t>Átivação Mista</t>
  </si>
  <si>
    <t>Anodo de Cobre</t>
  </si>
  <si>
    <t xml:space="preserve">ENVIROCOPPER ADJUSTER H </t>
  </si>
  <si>
    <t>ENVIROCOPPER BRIGHTENER</t>
  </si>
  <si>
    <t xml:space="preserve">ENVIROCOPPER MAKE-UP </t>
  </si>
  <si>
    <t>ENVIROCOPPER REFINER</t>
  </si>
  <si>
    <t>ENVIROCOPPER SOLUTION</t>
  </si>
  <si>
    <t>ENVIROCOPPER WETTER</t>
  </si>
  <si>
    <t>Ânodo de Níquel</t>
  </si>
  <si>
    <t>NIVELADOR MC INFINITY</t>
  </si>
  <si>
    <t xml:space="preserve">SULFATO DE NIQUEL SOLUCAO 60% </t>
  </si>
  <si>
    <t>MOLHADOR MC/P</t>
  </si>
  <si>
    <t>PURIFICADOR NIMC</t>
  </si>
  <si>
    <t>Sufato de Cobre</t>
  </si>
  <si>
    <t>MC COPPER EVOLUTION M.U</t>
  </si>
  <si>
    <t>MC COPPER EVOLUTION PARTE A</t>
  </si>
  <si>
    <t>MC COPPER EVOLUTION PARTE B</t>
  </si>
  <si>
    <t>MC COPPER EVOLUTION UMECTANTE</t>
  </si>
  <si>
    <t>MC COPPER CORRECTOR</t>
  </si>
  <si>
    <t>Cloreto de Níquel</t>
  </si>
  <si>
    <t>Ácido Borico</t>
  </si>
  <si>
    <t>ABRILHANTADOR MC INFINITY</t>
  </si>
  <si>
    <t>Níquel Strik (2)</t>
  </si>
  <si>
    <t>Ânodo  Chumbo</t>
  </si>
  <si>
    <t xml:space="preserve">COMPOSTO CRMC   </t>
  </si>
  <si>
    <t>SUPRESSOR CRMC/H</t>
  </si>
  <si>
    <t xml:space="preserve">COMPOSTO C-170   </t>
  </si>
  <si>
    <t xml:space="preserve">ACTIVE MC-20   </t>
  </si>
  <si>
    <t>STRIP COAT NI-2</t>
  </si>
  <si>
    <t xml:space="preserve">STRIP COAT UNIQUE  </t>
  </si>
  <si>
    <t xml:space="preserve">ACTIVE MC-40   </t>
  </si>
  <si>
    <t xml:space="preserve">Desengraxante </t>
  </si>
  <si>
    <t>Ativação Sulfúrica</t>
  </si>
  <si>
    <t>Soda 50%</t>
  </si>
  <si>
    <t>Ácido Cloridrico</t>
  </si>
  <si>
    <t>Metabissulfito de Sódio</t>
  </si>
  <si>
    <t xml:space="preserve">Carbonato de Calcio </t>
  </si>
  <si>
    <t>Anti espumante</t>
  </si>
  <si>
    <t>Polieletrólito</t>
  </si>
  <si>
    <t xml:space="preserve">Pré Tratamento </t>
  </si>
  <si>
    <t>Operador  8</t>
  </si>
  <si>
    <t>Mão de Obra</t>
  </si>
  <si>
    <t>Desengraxante Quí</t>
  </si>
  <si>
    <t>Resumo de Custo</t>
  </si>
  <si>
    <t>Colunas1</t>
  </si>
  <si>
    <t>jan/24</t>
  </si>
  <si>
    <t>fev/24</t>
  </si>
  <si>
    <t>mar/24</t>
  </si>
  <si>
    <t>abr/24</t>
  </si>
  <si>
    <t>mai/24</t>
  </si>
  <si>
    <t>jun/24</t>
  </si>
  <si>
    <t>jul/24</t>
  </si>
  <si>
    <t>ago/24</t>
  </si>
  <si>
    <t>set/24</t>
  </si>
  <si>
    <t>out/24</t>
  </si>
  <si>
    <t>nov/24</t>
  </si>
  <si>
    <t>dez/24</t>
  </si>
  <si>
    <t>Evandro Pereira Da silva</t>
  </si>
  <si>
    <t>Fernando Gregorio Alves</t>
  </si>
  <si>
    <t>Alex Sndro Santos De Jesus</t>
  </si>
  <si>
    <t>Morizon Wilton de Souza</t>
  </si>
  <si>
    <t>Edcarlos Francisco Alves</t>
  </si>
  <si>
    <t>Valmir Ribeiro Pires</t>
  </si>
  <si>
    <t>Kleber Pereira Da Costa</t>
  </si>
  <si>
    <t>Alessandra Izidoro Dos Santos</t>
  </si>
  <si>
    <t xml:space="preserve">Renata Aparecida Xavier Gomes </t>
  </si>
  <si>
    <t>Alessandro Guedes Da Silva</t>
  </si>
  <si>
    <t>Angelica Aparecida Miraldi</t>
  </si>
  <si>
    <t>Fabio Regis De Almeida</t>
  </si>
  <si>
    <t>Robson Santos Oliveira</t>
  </si>
  <si>
    <t>Jose Genilson Da Silva</t>
  </si>
  <si>
    <t>Paulo Henrique Azevedo Cordeiro</t>
  </si>
  <si>
    <t>Vanderson Bento Nascimento</t>
  </si>
  <si>
    <t>Eliana Muniz Dutra</t>
  </si>
  <si>
    <t>Número de Gancheira</t>
  </si>
  <si>
    <t>Obras</t>
  </si>
  <si>
    <t>Predial</t>
  </si>
  <si>
    <t>Galvano</t>
  </si>
  <si>
    <t>Máquinas</t>
  </si>
  <si>
    <t>Empilhadeiras</t>
  </si>
  <si>
    <t>Número de Gancheiras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</si>
</sst>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7" formatCode="&quot;R$&quot;\ #,##0.00;\-&quot;R$&quot;\ #,##0.00"/>
    <numFmt numFmtId="8" formatCode="&quot;R$&quot;\ #,##0.00;[Red]\-&quot;R$&quot;\ #,##0.00"/>
    <numFmt numFmtId="44" formatCode="_-&quot;R$&quot;\ * #,##0.00_-;\-&quot;R$&quot;\ * #,##0.00_-;_-&quot;R$&quot;\ * &quot;-&quot;??_-;_-@_-"/>
    <numFmt numFmtId="164" formatCode="&quot;R$&quot;\ #,##0.00"/>
    <numFmt numFmtId="165" formatCode="&quot;R$&quot;\ #,##0.000"/>
    <numFmt numFmtId="166" formatCode="0.0"/>
    <numFmt numFmtId="167" formatCode="&quot;R$ &quot;#,##0.00"/>
    <numFmt numFmtId="168" formatCode="&quot;R$&quot;\ #,##0.00000"/>
    <numFmt numFmtId="169" formatCode="0.00000"/>
    <numFmt numFmtId="170" formatCode="&quot;R$&quot;\ #,##0.0000"/>
    <numFmt numFmtId="171" formatCode="#,##0.0000"/>
    <numFmt numFmtId="172" formatCode="#,##0;[Red]#,##0"/>
    <numFmt numFmtId="173" formatCode="0.000"/>
    <numFmt numFmtId="174" formatCode="[$R$-416]\ #,##0.00;\-[$R$-416]\ #,##0.00"/>
  </numFmts>
  <fonts count="5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22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u/>
      <sz val="16"/>
      <color theme="0"/>
      <name val="Calibri"/>
      <family val="2"/>
      <scheme val="minor"/>
    </font>
    <font>
      <b/>
      <u/>
      <sz val="18"/>
      <color theme="0"/>
      <name val="Calibri"/>
      <family val="2"/>
      <scheme val="minor"/>
    </font>
    <font>
      <b/>
      <u/>
      <sz val="20"/>
      <color theme="0"/>
      <name val="Calibri"/>
      <family val="2"/>
      <scheme val="minor"/>
    </font>
    <font>
      <sz val="11"/>
      <color indexed="8"/>
      <name val="Calibri"/>
      <family val="2"/>
    </font>
    <font>
      <b/>
      <sz val="11"/>
      <color theme="0"/>
      <name val="Calibri"/>
      <family val="2"/>
      <scheme val="minor"/>
    </font>
    <font>
      <b/>
      <sz val="24"/>
      <color theme="0"/>
      <name val="Arial"/>
      <family val="2"/>
    </font>
    <font>
      <sz val="24"/>
      <color theme="0"/>
      <name val="Arial"/>
      <family val="2"/>
    </font>
    <font>
      <sz val="16"/>
      <color theme="0"/>
      <name val="Calibri"/>
      <family val="2"/>
      <scheme val="minor"/>
    </font>
    <font>
      <b/>
      <u/>
      <sz val="11"/>
      <color theme="0"/>
      <name val="Calibri"/>
      <family val="2"/>
      <scheme val="minor"/>
    </font>
    <font>
      <b/>
      <u/>
      <sz val="12"/>
      <color theme="0"/>
      <name val="Calibri"/>
      <family val="2"/>
      <scheme val="minor"/>
    </font>
    <font>
      <sz val="12"/>
      <color theme="0"/>
      <name val="Calibri"/>
      <family val="2"/>
      <scheme val="minor"/>
    </font>
    <font>
      <u/>
      <sz val="12"/>
      <color theme="0"/>
      <name val="Calibri"/>
      <family val="2"/>
      <scheme val="minor"/>
    </font>
    <font>
      <b/>
      <i/>
      <sz val="11"/>
      <color theme="0"/>
      <name val="Calibri"/>
      <family val="2"/>
      <scheme val="minor"/>
    </font>
    <font>
      <sz val="10"/>
      <name val="Arial"/>
      <family val="2"/>
    </font>
    <font>
      <sz val="10"/>
      <color theme="1"/>
      <name val="Calibri"/>
      <family val="2"/>
      <scheme val="minor"/>
    </font>
    <font>
      <b/>
      <i/>
      <sz val="11"/>
      <color theme="0"/>
      <name val="Calibri"/>
      <family val="2"/>
    </font>
    <font>
      <i/>
      <sz val="11"/>
      <color theme="0"/>
      <name val="Calibri"/>
      <family val="2"/>
      <scheme val="minor"/>
    </font>
    <font>
      <sz val="11"/>
      <color theme="0"/>
      <name val="Calibri"/>
      <family val="2"/>
    </font>
    <font>
      <sz val="11"/>
      <color rgb="FFFA7D00"/>
      <name val="Calibri"/>
      <family val="2"/>
      <scheme val="minor"/>
    </font>
    <font>
      <b/>
      <u/>
      <sz val="14"/>
      <color theme="0"/>
      <name val="Calibri"/>
      <family val="2"/>
      <scheme val="minor"/>
    </font>
    <font>
      <b/>
      <u/>
      <sz val="11"/>
      <color theme="0"/>
      <name val="Arial"/>
      <family val="2"/>
    </font>
    <font>
      <b/>
      <sz val="11"/>
      <color theme="0"/>
      <name val="Arial"/>
      <family val="2"/>
    </font>
    <font>
      <b/>
      <sz val="12"/>
      <color theme="0"/>
      <name val="Arial"/>
      <family val="2"/>
    </font>
    <font>
      <sz val="11"/>
      <color theme="0"/>
      <name val="Arial"/>
      <family val="2"/>
    </font>
    <font>
      <sz val="10"/>
      <color theme="0"/>
      <name val="Arial"/>
      <family val="2"/>
    </font>
    <font>
      <sz val="14"/>
      <color theme="0"/>
      <name val="Arial"/>
      <family val="2"/>
    </font>
    <font>
      <sz val="12"/>
      <color theme="0"/>
      <name val="Arial"/>
      <family val="2"/>
    </font>
    <font>
      <sz val="11"/>
      <color theme="4" tint="-0.249977111117893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4"/>
      <color theme="0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u val="singleAccounting"/>
      <sz val="12"/>
      <color theme="0"/>
      <name val="Calibri"/>
      <family val="2"/>
      <scheme val="minor"/>
    </font>
    <font>
      <b/>
      <i/>
      <u/>
      <sz val="16"/>
      <color theme="0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u val="singleAccounting"/>
      <sz val="11"/>
      <color theme="0"/>
      <name val="Calibri"/>
      <family val="2"/>
      <scheme val="minor"/>
    </font>
    <font>
      <u/>
      <sz val="11"/>
      <color theme="0"/>
      <name val="Calibri"/>
      <family val="2"/>
      <scheme val="minor"/>
    </font>
    <font>
      <sz val="16"/>
      <color theme="1"/>
      <name val="Calibri"/>
      <family val="2"/>
      <scheme val="minor"/>
    </font>
    <font>
      <b/>
      <i/>
      <sz val="12"/>
      <color theme="4" tint="-0.249977111117893"/>
      <name val="Calibri"/>
      <family val="2"/>
      <scheme val="minor"/>
    </font>
    <font>
      <b/>
      <u/>
      <sz val="22"/>
      <color theme="0"/>
      <name val="Calibri"/>
      <family val="2"/>
      <scheme val="minor"/>
    </font>
    <font>
      <b/>
      <sz val="22"/>
      <color theme="0"/>
      <name val="Calibri"/>
      <family val="2"/>
      <scheme val="minor"/>
    </font>
    <font>
      <b/>
      <u/>
      <sz val="14"/>
      <color theme="0"/>
      <name val="Arial"/>
      <family val="2"/>
    </font>
    <font>
      <b/>
      <u/>
      <sz val="16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4"/>
      <color theme="1"/>
      <name val="Symbol"/>
      <family val="1"/>
      <charset val="2"/>
    </font>
    <font>
      <sz val="12"/>
      <color theme="4" tint="0.39997558519241921"/>
      <name val="Calibri"/>
      <family val="2"/>
      <scheme val="minor"/>
    </font>
    <font>
      <sz val="11"/>
      <color theme="4" tint="0.39997558519241921"/>
      <name val="Calibri"/>
      <family val="2"/>
      <scheme val="minor"/>
    </font>
    <font>
      <b/>
      <i/>
      <sz val="12"/>
      <color theme="0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9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249977111117893"/>
        <bgColor indexed="64"/>
      </patternFill>
    </fill>
  </fills>
  <borders count="154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/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/>
      <diagonal/>
    </border>
    <border>
      <left/>
      <right/>
      <top/>
      <bottom style="medium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rgb="FFFFFFFF"/>
      </bottom>
      <diagonal/>
    </border>
    <border>
      <left/>
      <right/>
      <top/>
      <bottom style="thin">
        <color rgb="FFFFFFFF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/>
      <diagonal/>
    </border>
    <border diagonalUp="1">
      <left style="thin">
        <color theme="0"/>
      </left>
      <right style="thin">
        <color theme="0"/>
      </right>
      <top/>
      <bottom style="thin">
        <color theme="0"/>
      </bottom>
      <diagonal style="thin">
        <color theme="0"/>
      </diagonal>
    </border>
    <border>
      <left style="thin">
        <color theme="0"/>
      </left>
      <right/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 style="thin">
        <color theme="0"/>
      </left>
      <right style="thick">
        <color theme="0"/>
      </right>
      <top style="thin">
        <color theme="0"/>
      </top>
      <bottom style="thin">
        <color theme="0"/>
      </bottom>
      <diagonal/>
    </border>
    <border diagonalUp="1" diagonalDown="1">
      <left style="thin">
        <color theme="0"/>
      </left>
      <right style="thick">
        <color theme="0"/>
      </right>
      <top style="thin">
        <color theme="0"/>
      </top>
      <bottom style="thin">
        <color theme="0"/>
      </bottom>
      <diagonal style="thin">
        <color theme="0"/>
      </diagonal>
    </border>
    <border>
      <left style="thin">
        <color rgb="FFFFFFFF"/>
      </left>
      <right/>
      <top style="thin">
        <color rgb="FFFFFFFF"/>
      </top>
      <bottom/>
      <diagonal/>
    </border>
    <border>
      <left style="thin">
        <color theme="0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theme="0"/>
      </left>
      <right style="thin">
        <color rgb="FFFFFFFF"/>
      </right>
      <top style="thin">
        <color rgb="FFFFFFFF"/>
      </top>
      <bottom/>
      <diagonal/>
    </border>
    <border>
      <left style="thin">
        <color theme="0"/>
      </left>
      <right style="thin">
        <color rgb="FFFFFFFF"/>
      </right>
      <top style="medium">
        <color theme="0"/>
      </top>
      <bottom style="thin">
        <color rgb="FFFFFFFF"/>
      </bottom>
      <diagonal/>
    </border>
    <border>
      <left style="thin">
        <color rgb="FFFFFFFF"/>
      </left>
      <right/>
      <top style="medium">
        <color theme="0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medium">
        <color theme="0"/>
      </top>
      <bottom style="thin">
        <color rgb="FFFFFFFF"/>
      </bottom>
      <diagonal/>
    </border>
    <border>
      <left/>
      <right/>
      <top/>
      <bottom style="double">
        <color rgb="FFFF8001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theme="2" tint="-0.24994659260841701"/>
      </left>
      <right style="thin">
        <color theme="2" tint="-0.24994659260841701"/>
      </right>
      <top style="thin">
        <color theme="2" tint="-0.24994659260841701"/>
      </top>
      <bottom style="thin">
        <color theme="2" tint="-0.24994659260841701"/>
      </bottom>
      <diagonal/>
    </border>
    <border>
      <left/>
      <right/>
      <top style="double">
        <color theme="0"/>
      </top>
      <bottom/>
      <diagonal/>
    </border>
    <border>
      <left style="thin">
        <color theme="2" tint="-0.24994659260841701"/>
      </left>
      <right style="thin">
        <color theme="2" tint="-0.24994659260841701"/>
      </right>
      <top style="thin">
        <color theme="2" tint="-0.24994659260841701"/>
      </top>
      <bottom/>
      <diagonal/>
    </border>
    <border>
      <left style="thin">
        <color theme="2" tint="-0.24994659260841701"/>
      </left>
      <right/>
      <top style="double">
        <color theme="0"/>
      </top>
      <bottom/>
      <diagonal/>
    </border>
    <border>
      <left style="hair">
        <color theme="9"/>
      </left>
      <right style="hair">
        <color theme="9"/>
      </right>
      <top style="hair">
        <color theme="9"/>
      </top>
      <bottom style="hair">
        <color theme="9"/>
      </bottom>
      <diagonal/>
    </border>
    <border>
      <left/>
      <right style="double">
        <color theme="2" tint="-0.499984740745262"/>
      </right>
      <top/>
      <bottom style="double">
        <color theme="2" tint="-0.499984740745262"/>
      </bottom>
      <diagonal/>
    </border>
    <border>
      <left style="thin">
        <color theme="2" tint="-0.24994659260841701"/>
      </left>
      <right style="thin">
        <color theme="2" tint="-0.24994659260841701"/>
      </right>
      <top/>
      <bottom style="thin">
        <color theme="2" tint="-0.24994659260841701"/>
      </bottom>
      <diagonal/>
    </border>
    <border>
      <left style="hair">
        <color theme="9"/>
      </left>
      <right style="hair">
        <color theme="9"/>
      </right>
      <top style="hair">
        <color theme="9"/>
      </top>
      <bottom style="double">
        <color theme="2" tint="-0.24994659260841701"/>
      </bottom>
      <diagonal/>
    </border>
    <border>
      <left style="double">
        <color theme="2" tint="-0.24994659260841701"/>
      </left>
      <right/>
      <top style="double">
        <color theme="2" tint="-0.24994659260841701"/>
      </top>
      <bottom style="double">
        <color theme="2" tint="-0.24994659260841701"/>
      </bottom>
      <diagonal/>
    </border>
    <border>
      <left/>
      <right style="double">
        <color theme="2" tint="-0.24994659260841701"/>
      </right>
      <top style="double">
        <color theme="2" tint="-0.24994659260841701"/>
      </top>
      <bottom style="double">
        <color theme="2" tint="-0.24994659260841701"/>
      </bottom>
      <diagonal/>
    </border>
    <border>
      <left style="medium">
        <color theme="0"/>
      </left>
      <right style="medium">
        <color theme="0"/>
      </right>
      <top style="medium">
        <color theme="0"/>
      </top>
      <bottom style="medium">
        <color theme="0"/>
      </bottom>
      <diagonal/>
    </border>
    <border>
      <left style="medium">
        <color theme="0"/>
      </left>
      <right style="thin">
        <color theme="0"/>
      </right>
      <top style="medium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medium">
        <color theme="0"/>
      </top>
      <bottom style="thin">
        <color theme="0"/>
      </bottom>
      <diagonal/>
    </border>
    <border>
      <left style="thin">
        <color theme="0"/>
      </left>
      <right style="medium">
        <color theme="0"/>
      </right>
      <top style="medium">
        <color theme="0"/>
      </top>
      <bottom style="thin">
        <color theme="0"/>
      </bottom>
      <diagonal/>
    </border>
    <border>
      <left style="medium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medium">
        <color theme="0"/>
      </right>
      <top style="thin">
        <color theme="0"/>
      </top>
      <bottom style="thin">
        <color theme="0"/>
      </bottom>
      <diagonal/>
    </border>
    <border>
      <left style="medium">
        <color theme="0"/>
      </left>
      <right style="thin">
        <color theme="0"/>
      </right>
      <top style="thin">
        <color theme="0"/>
      </top>
      <bottom style="medium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medium">
        <color theme="0"/>
      </bottom>
      <diagonal/>
    </border>
    <border>
      <left style="medium">
        <color theme="0"/>
      </left>
      <right/>
      <top style="thin">
        <color theme="0"/>
      </top>
      <bottom style="thin">
        <color theme="0"/>
      </bottom>
      <diagonal/>
    </border>
    <border>
      <left/>
      <right style="medium">
        <color theme="0"/>
      </right>
      <top/>
      <bottom/>
      <diagonal/>
    </border>
    <border>
      <left/>
      <right style="medium">
        <color theme="0"/>
      </right>
      <top/>
      <bottom style="thin">
        <color theme="0"/>
      </bottom>
      <diagonal/>
    </border>
    <border>
      <left/>
      <right style="medium">
        <color theme="0"/>
      </right>
      <top style="thin">
        <color theme="0"/>
      </top>
      <bottom/>
      <diagonal/>
    </border>
    <border>
      <left style="thin">
        <color theme="0"/>
      </left>
      <right/>
      <top style="medium">
        <color theme="0"/>
      </top>
      <bottom style="thin">
        <color theme="0"/>
      </bottom>
      <diagonal/>
    </border>
    <border>
      <left/>
      <right/>
      <top style="medium">
        <color theme="0"/>
      </top>
      <bottom style="thin">
        <color theme="0"/>
      </bottom>
      <diagonal/>
    </border>
    <border>
      <left/>
      <right style="thin">
        <color theme="0"/>
      </right>
      <top style="medium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medium">
        <color theme="0"/>
      </top>
      <bottom/>
      <diagonal/>
    </border>
    <border>
      <left/>
      <right style="medium">
        <color theme="0"/>
      </right>
      <top style="medium">
        <color theme="0"/>
      </top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 style="medium">
        <color theme="0"/>
      </right>
      <top/>
      <bottom/>
      <diagonal/>
    </border>
    <border>
      <left/>
      <right style="thin">
        <color theme="0"/>
      </right>
      <top style="thin">
        <color theme="0"/>
      </top>
      <bottom style="medium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/>
      <top style="thin">
        <color theme="0"/>
      </top>
      <bottom style="medium">
        <color theme="0"/>
      </bottom>
      <diagonal/>
    </border>
    <border>
      <left style="thin">
        <color theme="0"/>
      </left>
      <right/>
      <top style="thin">
        <color theme="0"/>
      </top>
      <bottom style="medium">
        <color theme="0"/>
      </bottom>
      <diagonal/>
    </border>
    <border>
      <left style="thin">
        <color theme="0"/>
      </left>
      <right/>
      <top/>
      <bottom/>
      <diagonal/>
    </border>
    <border>
      <left style="medium">
        <color theme="0"/>
      </left>
      <right style="medium">
        <color theme="0"/>
      </right>
      <top style="medium">
        <color theme="0"/>
      </top>
      <bottom/>
      <diagonal/>
    </border>
    <border>
      <left/>
      <right/>
      <top style="medium">
        <color theme="0"/>
      </top>
      <bottom/>
      <diagonal/>
    </border>
    <border>
      <left style="medium">
        <color theme="0"/>
      </left>
      <right/>
      <top style="medium">
        <color theme="0"/>
      </top>
      <bottom/>
      <diagonal/>
    </border>
    <border>
      <left style="medium">
        <color theme="0"/>
      </left>
      <right/>
      <top/>
      <bottom style="medium">
        <color theme="0"/>
      </bottom>
      <diagonal/>
    </border>
    <border>
      <left/>
      <right style="medium">
        <color theme="0"/>
      </right>
      <top/>
      <bottom style="medium">
        <color theme="0"/>
      </bottom>
      <diagonal/>
    </border>
    <border>
      <left style="thin">
        <color theme="0"/>
      </left>
      <right style="medium">
        <color theme="0"/>
      </right>
      <top style="thin">
        <color theme="0"/>
      </top>
      <bottom/>
      <diagonal/>
    </border>
    <border>
      <left style="medium">
        <color theme="0"/>
      </left>
      <right style="thin">
        <color theme="0"/>
      </right>
      <top/>
      <bottom style="medium">
        <color theme="0"/>
      </bottom>
      <diagonal/>
    </border>
    <border>
      <left style="thin">
        <color theme="2" tint="-0.24994659260841701"/>
      </left>
      <right style="medium">
        <color theme="0"/>
      </right>
      <top style="thin">
        <color theme="0"/>
      </top>
      <bottom/>
      <diagonal/>
    </border>
    <border>
      <left style="thin">
        <color theme="2" tint="-0.24994659260841701"/>
      </left>
      <right style="medium">
        <color theme="0"/>
      </right>
      <top style="double">
        <color theme="0"/>
      </top>
      <bottom/>
      <diagonal/>
    </border>
    <border>
      <left style="thin">
        <color theme="2" tint="-0.24994659260841701"/>
      </left>
      <right style="medium">
        <color theme="0"/>
      </right>
      <top style="double">
        <color theme="0"/>
      </top>
      <bottom style="hair">
        <color theme="9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rgb="FFFFFFFF"/>
      </left>
      <right style="thin">
        <color rgb="FFFFFFFF"/>
      </right>
      <top/>
      <bottom style="thin">
        <color rgb="FFFFFFFF"/>
      </bottom>
      <diagonal/>
    </border>
    <border>
      <left/>
      <right style="medium">
        <color theme="0"/>
      </right>
      <top style="medium">
        <color theme="0"/>
      </top>
      <bottom style="medium">
        <color theme="0"/>
      </bottom>
      <diagonal/>
    </border>
    <border>
      <left style="thin">
        <color theme="0"/>
      </left>
      <right style="thin">
        <color rgb="FFFFFFFF"/>
      </right>
      <top style="thin">
        <color theme="0"/>
      </top>
      <bottom style="thin">
        <color theme="0"/>
      </bottom>
      <diagonal/>
    </border>
    <border>
      <left style="medium">
        <color indexed="64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medium">
        <color theme="0"/>
      </right>
      <top style="medium">
        <color theme="0"/>
      </top>
      <bottom style="thin">
        <color rgb="FFFFFFFF"/>
      </bottom>
      <diagonal/>
    </border>
    <border>
      <left style="thin">
        <color theme="0"/>
      </left>
      <right style="thin">
        <color rgb="FFFFFFFF"/>
      </right>
      <top/>
      <bottom/>
      <diagonal/>
    </border>
    <border>
      <left style="medium">
        <color rgb="FFFFFFFF"/>
      </left>
      <right/>
      <top/>
      <bottom style="thin">
        <color rgb="FFFFFFFF"/>
      </bottom>
      <diagonal/>
    </border>
    <border>
      <left style="medium">
        <color theme="0"/>
      </left>
      <right style="medium">
        <color theme="0"/>
      </right>
      <top style="medium">
        <color theme="0"/>
      </top>
      <bottom style="thin">
        <color theme="0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 style="medium">
        <color rgb="FFFFFFFF"/>
      </left>
      <right/>
      <top/>
      <bottom/>
      <diagonal/>
    </border>
    <border>
      <left style="medium">
        <color theme="0"/>
      </left>
      <right/>
      <top/>
      <bottom/>
      <diagonal/>
    </border>
    <border>
      <left style="thin">
        <color rgb="FFFFFFFF"/>
      </left>
      <right style="thin">
        <color theme="0"/>
      </right>
      <top style="thin">
        <color theme="0"/>
      </top>
      <bottom style="thin">
        <color rgb="FFFFFFFF"/>
      </bottom>
      <diagonal/>
    </border>
    <border>
      <left style="medium">
        <color theme="0"/>
      </left>
      <right/>
      <top style="medium">
        <color theme="0"/>
      </top>
      <bottom style="medium">
        <color theme="0"/>
      </bottom>
      <diagonal/>
    </border>
    <border>
      <left/>
      <right style="thick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medium">
        <color theme="0"/>
      </top>
      <bottom style="medium">
        <color theme="0"/>
      </bottom>
      <diagonal/>
    </border>
    <border>
      <left style="thin">
        <color theme="0"/>
      </left>
      <right style="thick">
        <color theme="0"/>
      </right>
      <top style="thin">
        <color theme="0"/>
      </top>
      <bottom/>
      <diagonal/>
    </border>
    <border>
      <left/>
      <right/>
      <top style="thick">
        <color theme="0"/>
      </top>
      <bottom style="thick">
        <color theme="0"/>
      </bottom>
      <diagonal/>
    </border>
    <border>
      <left/>
      <right style="thin">
        <color theme="0"/>
      </right>
      <top style="thick">
        <color theme="0"/>
      </top>
      <bottom style="thick">
        <color theme="0"/>
      </bottom>
      <diagonal/>
    </border>
    <border>
      <left style="thin">
        <color theme="0"/>
      </left>
      <right/>
      <top style="thick">
        <color theme="0"/>
      </top>
      <bottom style="thick">
        <color theme="0"/>
      </bottom>
      <diagonal/>
    </border>
    <border>
      <left style="thin">
        <color theme="0"/>
      </left>
      <right style="thick">
        <color theme="0"/>
      </right>
      <top style="thick">
        <color theme="0"/>
      </top>
      <bottom style="thick">
        <color theme="0"/>
      </bottom>
      <diagonal/>
    </border>
    <border>
      <left style="medium">
        <color theme="0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theme="0"/>
      </right>
      <top style="medium">
        <color auto="1"/>
      </top>
      <bottom style="medium">
        <color auto="1"/>
      </bottom>
      <diagonal/>
    </border>
    <border>
      <left style="medium">
        <color theme="0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theme="0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theme="0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theme="0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theme="0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medium">
        <color theme="0"/>
      </top>
      <bottom style="medium">
        <color theme="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medium">
        <color theme="0"/>
      </right>
      <top style="medium">
        <color auto="1"/>
      </top>
      <bottom style="thin">
        <color auto="1"/>
      </bottom>
      <diagonal/>
    </border>
    <border>
      <left style="thin">
        <color indexed="64"/>
      </left>
      <right style="medium">
        <color theme="0"/>
      </right>
      <top style="thin">
        <color indexed="64"/>
      </top>
      <bottom style="medium">
        <color indexed="64"/>
      </bottom>
      <diagonal/>
    </border>
    <border>
      <left/>
      <right style="medium">
        <color theme="0"/>
      </right>
      <top/>
      <bottom style="medium">
        <color auto="1"/>
      </bottom>
      <diagonal/>
    </border>
    <border>
      <left style="thin">
        <color indexed="64"/>
      </left>
      <right style="medium">
        <color theme="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theme="0"/>
      </right>
      <top style="thin">
        <color indexed="64"/>
      </top>
      <bottom/>
      <diagonal/>
    </border>
    <border>
      <left style="medium">
        <color theme="0"/>
      </left>
      <right/>
      <top style="thin">
        <color auto="1"/>
      </top>
      <bottom style="medium">
        <color theme="0"/>
      </bottom>
      <diagonal/>
    </border>
    <border>
      <left style="thin">
        <color indexed="64"/>
      </left>
      <right/>
      <top style="thin">
        <color indexed="64"/>
      </top>
      <bottom style="medium">
        <color theme="0"/>
      </bottom>
      <diagonal/>
    </border>
    <border>
      <left/>
      <right style="thin">
        <color auto="1"/>
      </right>
      <top style="thin">
        <color auto="1"/>
      </top>
      <bottom style="medium">
        <color theme="0"/>
      </bottom>
      <diagonal/>
    </border>
    <border>
      <left/>
      <right/>
      <top style="thin">
        <color auto="1"/>
      </top>
      <bottom style="medium">
        <color theme="0"/>
      </bottom>
      <diagonal/>
    </border>
    <border>
      <left style="thin">
        <color indexed="64"/>
      </left>
      <right style="medium">
        <color theme="0"/>
      </right>
      <top style="thin">
        <color indexed="64"/>
      </top>
      <bottom style="medium">
        <color theme="0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medium">
        <color auto="1"/>
      </bottom>
      <diagonal/>
    </border>
    <border>
      <left/>
      <right style="thin">
        <color theme="0"/>
      </right>
      <top style="medium">
        <color theme="0"/>
      </top>
      <bottom style="medium">
        <color theme="0"/>
      </bottom>
      <diagonal/>
    </border>
    <border>
      <left style="thin">
        <color theme="0"/>
      </left>
      <right style="thin">
        <color theme="0"/>
      </right>
      <top/>
      <bottom style="medium">
        <color theme="0"/>
      </bottom>
      <diagonal/>
    </border>
    <border>
      <left style="thin">
        <color theme="0"/>
      </left>
      <right style="thin">
        <color rgb="FFFFFFFF"/>
      </right>
      <top/>
      <bottom style="thin">
        <color theme="0"/>
      </bottom>
      <diagonal/>
    </border>
    <border>
      <left style="thin">
        <color theme="0"/>
      </left>
      <right/>
      <top/>
      <bottom style="medium">
        <color theme="0"/>
      </bottom>
      <diagonal/>
    </border>
    <border>
      <left style="medium">
        <color theme="0"/>
      </left>
      <right/>
      <top style="thin">
        <color theme="0"/>
      </top>
      <bottom style="medium">
        <color theme="0"/>
      </bottom>
      <diagonal/>
    </border>
    <border>
      <left style="thin">
        <color theme="0"/>
      </left>
      <right/>
      <top style="medium">
        <color theme="0"/>
      </top>
      <bottom/>
      <diagonal/>
    </border>
    <border>
      <left style="thin">
        <color theme="0"/>
      </left>
      <right style="medium">
        <color theme="0"/>
      </right>
      <top style="medium">
        <color theme="0"/>
      </top>
      <bottom/>
      <diagonal/>
    </border>
    <border>
      <left style="thin">
        <color theme="0"/>
      </left>
      <right style="medium">
        <color theme="0"/>
      </right>
      <top/>
      <bottom style="medium">
        <color theme="0"/>
      </bottom>
      <diagonal/>
    </border>
    <border>
      <left style="thick">
        <color theme="0"/>
      </left>
      <right/>
      <top style="thin">
        <color theme="0"/>
      </top>
      <bottom style="thin">
        <color theme="0"/>
      </bottom>
      <diagonal/>
    </border>
    <border>
      <left style="thick">
        <color theme="0"/>
      </left>
      <right/>
      <top style="thick">
        <color theme="0"/>
      </top>
      <bottom style="thick">
        <color theme="0"/>
      </bottom>
      <diagonal/>
    </border>
    <border>
      <left style="thick">
        <color theme="0"/>
      </left>
      <right/>
      <top style="thick">
        <color theme="0"/>
      </top>
      <bottom style="thin">
        <color theme="0"/>
      </bottom>
      <diagonal/>
    </border>
    <border>
      <left/>
      <right/>
      <top style="thick">
        <color theme="0"/>
      </top>
      <bottom style="thin">
        <color theme="0"/>
      </bottom>
      <diagonal/>
    </border>
    <border>
      <left/>
      <right style="thick">
        <color theme="0"/>
      </right>
      <top style="thick">
        <color theme="0"/>
      </top>
      <bottom style="thin">
        <color theme="0"/>
      </bottom>
      <diagonal/>
    </border>
    <border>
      <left style="thin">
        <color theme="0"/>
      </left>
      <right style="thin">
        <color rgb="FFFFFFFF"/>
      </right>
      <top style="thin">
        <color rgb="FFFFFFFF"/>
      </top>
      <bottom style="thin">
        <color theme="0"/>
      </bottom>
      <diagonal/>
    </border>
    <border>
      <left style="thin">
        <color rgb="FFFFFFFF"/>
      </left>
      <right style="thin">
        <color theme="0"/>
      </right>
      <top style="thin">
        <color rgb="FFFFFFFF"/>
      </top>
      <bottom style="thin">
        <color theme="0"/>
      </bottom>
      <diagonal/>
    </border>
  </borders>
  <cellStyleXfs count="10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4" fillId="0" borderId="0" applyNumberFormat="0" applyFill="0" applyBorder="0" applyAlignment="0" applyProtection="0"/>
    <xf numFmtId="9" fontId="8" fillId="0" borderId="0" applyFont="0" applyFill="0" applyBorder="0" applyAlignment="0" applyProtection="0"/>
    <xf numFmtId="44" fontId="8" fillId="0" borderId="0" applyFont="0" applyFill="0" applyBorder="0" applyAlignment="0" applyProtection="0"/>
    <xf numFmtId="0" fontId="2" fillId="4" borderId="0" applyNumberFormat="0" applyBorder="0" applyAlignment="0" applyProtection="0"/>
    <xf numFmtId="0" fontId="18" fillId="0" borderId="0"/>
    <xf numFmtId="0" fontId="19" fillId="0" borderId="0"/>
    <xf numFmtId="0" fontId="23" fillId="0" borderId="25" applyNumberFormat="0" applyFill="0" applyAlignment="0" applyProtection="0"/>
  </cellStyleXfs>
  <cellXfs count="791">
    <xf numFmtId="0" fontId="0" fillId="0" borderId="0" xfId="0"/>
    <xf numFmtId="0" fontId="0" fillId="2" borderId="0" xfId="0" applyFill="1"/>
    <xf numFmtId="0" fontId="5" fillId="2" borderId="0" xfId="3" applyFont="1" applyFill="1" applyBorder="1" applyAlignment="1">
      <alignment horizontal="center"/>
    </xf>
    <xf numFmtId="1" fontId="2" fillId="2" borderId="2" xfId="2" applyNumberFormat="1" applyFont="1" applyFill="1" applyBorder="1" applyAlignment="1">
      <alignment horizontal="center"/>
    </xf>
    <xf numFmtId="17" fontId="2" fillId="2" borderId="3" xfId="0" applyNumberFormat="1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3" fillId="2" borderId="0" xfId="0" applyFont="1" applyFill="1"/>
    <xf numFmtId="0" fontId="0" fillId="2" borderId="2" xfId="0" applyFill="1" applyBorder="1"/>
    <xf numFmtId="3" fontId="2" fillId="2" borderId="2" xfId="0" applyNumberFormat="1" applyFont="1" applyFill="1" applyBorder="1" applyAlignment="1">
      <alignment horizontal="center"/>
    </xf>
    <xf numFmtId="1" fontId="2" fillId="2" borderId="2" xfId="0" applyNumberFormat="1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17" fontId="2" fillId="2" borderId="6" xfId="0" applyNumberFormat="1" applyFont="1" applyFill="1" applyBorder="1" applyAlignment="1">
      <alignment horizontal="center"/>
    </xf>
    <xf numFmtId="0" fontId="0" fillId="2" borderId="6" xfId="0" applyFill="1" applyBorder="1"/>
    <xf numFmtId="0" fontId="2" fillId="2" borderId="6" xfId="0" applyFont="1" applyFill="1" applyBorder="1" applyAlignment="1">
      <alignment horizontal="center"/>
    </xf>
    <xf numFmtId="1" fontId="2" fillId="2" borderId="6" xfId="0" applyNumberFormat="1" applyFont="1" applyFill="1" applyBorder="1" applyAlignment="1">
      <alignment horizontal="center"/>
    </xf>
    <xf numFmtId="3" fontId="2" fillId="2" borderId="6" xfId="0" applyNumberFormat="1" applyFont="1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0" xfId="0" applyFont="1" applyFill="1" applyAlignment="1">
      <alignment horizontal="center"/>
    </xf>
    <xf numFmtId="0" fontId="3" fillId="2" borderId="0" xfId="0" applyFont="1" applyFill="1" applyAlignment="1">
      <alignment vertical="top"/>
    </xf>
    <xf numFmtId="0" fontId="0" fillId="2" borderId="2" xfId="0" applyFill="1" applyBorder="1" applyAlignment="1">
      <alignment horizontal="center"/>
    </xf>
    <xf numFmtId="0" fontId="2" fillId="2" borderId="2" xfId="0" applyFont="1" applyFill="1" applyBorder="1" applyAlignment="1">
      <alignment horizontal="left"/>
    </xf>
    <xf numFmtId="0" fontId="2" fillId="2" borderId="2" xfId="0" applyFont="1" applyFill="1" applyBorder="1"/>
    <xf numFmtId="0" fontId="2" fillId="2" borderId="4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2" borderId="6" xfId="0" applyFont="1" applyFill="1" applyBorder="1"/>
    <xf numFmtId="0" fontId="10" fillId="2" borderId="0" xfId="6" applyFont="1" applyFill="1" applyBorder="1" applyAlignment="1" applyProtection="1">
      <alignment vertical="center"/>
      <protection hidden="1"/>
    </xf>
    <xf numFmtId="164" fontId="2" fillId="2" borderId="6" xfId="0" applyNumberFormat="1" applyFont="1" applyFill="1" applyBorder="1" applyAlignment="1" applyProtection="1">
      <alignment horizontal="center" vertical="center" wrapText="1"/>
      <protection hidden="1"/>
    </xf>
    <xf numFmtId="17" fontId="2" fillId="2" borderId="2" xfId="0" applyNumberFormat="1" applyFont="1" applyFill="1" applyBorder="1" applyAlignment="1">
      <alignment horizontal="center"/>
    </xf>
    <xf numFmtId="0" fontId="2" fillId="2" borderId="3" xfId="0" applyFont="1" applyFill="1" applyBorder="1"/>
    <xf numFmtId="0" fontId="2" fillId="2" borderId="20" xfId="0" applyFont="1" applyFill="1" applyBorder="1" applyAlignment="1">
      <alignment horizontal="center"/>
    </xf>
    <xf numFmtId="0" fontId="2" fillId="2" borderId="21" xfId="0" applyFont="1" applyFill="1" applyBorder="1" applyAlignment="1">
      <alignment horizontal="center"/>
    </xf>
    <xf numFmtId="17" fontId="2" fillId="2" borderId="22" xfId="0" applyNumberFormat="1" applyFont="1" applyFill="1" applyBorder="1" applyAlignment="1">
      <alignment horizontal="center"/>
    </xf>
    <xf numFmtId="17" fontId="2" fillId="2" borderId="23" xfId="0" applyNumberFormat="1" applyFont="1" applyFill="1" applyBorder="1" applyAlignment="1">
      <alignment horizontal="center"/>
    </xf>
    <xf numFmtId="17" fontId="2" fillId="2" borderId="24" xfId="0" applyNumberFormat="1" applyFont="1" applyFill="1" applyBorder="1" applyAlignment="1">
      <alignment horizontal="center"/>
    </xf>
    <xf numFmtId="0" fontId="2" fillId="2" borderId="12" xfId="0" applyFont="1" applyFill="1" applyBorder="1" applyProtection="1">
      <protection hidden="1"/>
    </xf>
    <xf numFmtId="0" fontId="2" fillId="2" borderId="0" xfId="0" applyFont="1" applyFill="1" applyProtection="1">
      <protection hidden="1"/>
    </xf>
    <xf numFmtId="0" fontId="2" fillId="2" borderId="12" xfId="0" applyFont="1" applyFill="1" applyBorder="1" applyAlignment="1" applyProtection="1">
      <alignment horizontal="center"/>
      <protection hidden="1"/>
    </xf>
    <xf numFmtId="0" fontId="2" fillId="2" borderId="10" xfId="0" applyFont="1" applyFill="1" applyBorder="1" applyProtection="1">
      <protection hidden="1"/>
    </xf>
    <xf numFmtId="14" fontId="2" fillId="2" borderId="0" xfId="0" applyNumberFormat="1" applyFont="1" applyFill="1" applyProtection="1">
      <protection hidden="1"/>
    </xf>
    <xf numFmtId="0" fontId="2" fillId="2" borderId="0" xfId="0" applyFont="1" applyFill="1" applyAlignment="1" applyProtection="1">
      <alignment horizontal="center"/>
      <protection hidden="1"/>
    </xf>
    <xf numFmtId="164" fontId="2" fillId="2" borderId="0" xfId="0" applyNumberFormat="1" applyFont="1" applyFill="1" applyAlignment="1" applyProtection="1">
      <alignment horizontal="center" vertical="center"/>
      <protection hidden="1"/>
    </xf>
    <xf numFmtId="0" fontId="2" fillId="2" borderId="0" xfId="0" applyFont="1" applyFill="1" applyAlignment="1" applyProtection="1">
      <alignment horizontal="center" vertical="center"/>
      <protection hidden="1"/>
    </xf>
    <xf numFmtId="165" fontId="10" fillId="2" borderId="0" xfId="6" applyNumberFormat="1" applyFont="1" applyFill="1" applyBorder="1" applyAlignment="1" applyProtection="1">
      <alignment vertical="center"/>
      <protection hidden="1"/>
    </xf>
    <xf numFmtId="164" fontId="11" fillId="2" borderId="0" xfId="6" applyNumberFormat="1" applyFont="1" applyFill="1" applyBorder="1" applyAlignment="1" applyProtection="1">
      <alignment vertical="center"/>
      <protection hidden="1"/>
    </xf>
    <xf numFmtId="0" fontId="2" fillId="2" borderId="16" xfId="0" applyFont="1" applyFill="1" applyBorder="1" applyAlignment="1" applyProtection="1">
      <alignment horizontal="center" vertical="center"/>
      <protection hidden="1"/>
    </xf>
    <xf numFmtId="0" fontId="2" fillId="2" borderId="16" xfId="0" applyFont="1" applyFill="1" applyBorder="1" applyProtection="1">
      <protection hidden="1"/>
    </xf>
    <xf numFmtId="0" fontId="2" fillId="2" borderId="13" xfId="0" applyFont="1" applyFill="1" applyBorder="1" applyProtection="1">
      <protection hidden="1"/>
    </xf>
    <xf numFmtId="0" fontId="12" fillId="2" borderId="15" xfId="0" applyFont="1" applyFill="1" applyBorder="1" applyAlignment="1" applyProtection="1">
      <alignment vertical="center" textRotation="60"/>
      <protection hidden="1"/>
    </xf>
    <xf numFmtId="0" fontId="13" fillId="2" borderId="13" xfId="0" applyFont="1" applyFill="1" applyBorder="1" applyAlignment="1" applyProtection="1">
      <alignment horizontal="center" vertical="center" textRotation="61"/>
      <protection hidden="1"/>
    </xf>
    <xf numFmtId="0" fontId="13" fillId="2" borderId="13" xfId="0" applyFont="1" applyFill="1" applyBorder="1" applyAlignment="1" applyProtection="1">
      <alignment horizontal="center" vertical="center" textRotation="60"/>
      <protection hidden="1"/>
    </xf>
    <xf numFmtId="0" fontId="2" fillId="2" borderId="11" xfId="0" applyFont="1" applyFill="1" applyBorder="1" applyProtection="1">
      <protection hidden="1"/>
    </xf>
    <xf numFmtId="0" fontId="2" fillId="2" borderId="6" xfId="0" applyFont="1" applyFill="1" applyBorder="1" applyAlignment="1" applyProtection="1">
      <alignment horizontal="center" vertical="center" textRotation="60"/>
      <protection hidden="1"/>
    </xf>
    <xf numFmtId="0" fontId="12" fillId="2" borderId="6" xfId="0" applyFont="1" applyFill="1" applyBorder="1" applyAlignment="1" applyProtection="1">
      <alignment vertical="center" textRotation="60"/>
      <protection hidden="1"/>
    </xf>
    <xf numFmtId="0" fontId="5" fillId="2" borderId="6" xfId="0" applyFont="1" applyFill="1" applyBorder="1" applyAlignment="1" applyProtection="1">
      <alignment horizontal="left" vertical="center" textRotation="60"/>
      <protection hidden="1"/>
    </xf>
    <xf numFmtId="0" fontId="13" fillId="2" borderId="6" xfId="0" applyFont="1" applyFill="1" applyBorder="1" applyAlignment="1" applyProtection="1">
      <alignment horizontal="center" vertical="center" textRotation="61"/>
      <protection hidden="1"/>
    </xf>
    <xf numFmtId="0" fontId="13" fillId="2" borderId="6" xfId="0" applyFont="1" applyFill="1" applyBorder="1" applyAlignment="1" applyProtection="1">
      <alignment horizontal="center" vertical="center" textRotation="60"/>
      <protection hidden="1"/>
    </xf>
    <xf numFmtId="0" fontId="2" fillId="2" borderId="10" xfId="0" applyFont="1" applyFill="1" applyBorder="1" applyAlignment="1" applyProtection="1">
      <alignment horizontal="center"/>
      <protection hidden="1"/>
    </xf>
    <xf numFmtId="0" fontId="9" fillId="2" borderId="6" xfId="0" applyFont="1" applyFill="1" applyBorder="1" applyAlignment="1" applyProtection="1">
      <alignment horizontal="center" vertical="center"/>
      <protection hidden="1"/>
    </xf>
    <xf numFmtId="0" fontId="2" fillId="2" borderId="6" xfId="0" applyFont="1" applyFill="1" applyBorder="1" applyAlignment="1" applyProtection="1">
      <alignment horizontal="center" vertical="center" wrapText="1"/>
      <protection hidden="1"/>
    </xf>
    <xf numFmtId="9" fontId="2" fillId="2" borderId="6" xfId="4" applyFont="1" applyFill="1" applyBorder="1" applyAlignment="1" applyProtection="1">
      <alignment horizontal="center" vertical="center" wrapText="1"/>
      <protection hidden="1"/>
    </xf>
    <xf numFmtId="49" fontId="2" fillId="2" borderId="6" xfId="0" applyNumberFormat="1" applyFont="1" applyFill="1" applyBorder="1" applyAlignment="1" applyProtection="1">
      <alignment horizontal="center" vertical="center" wrapText="1"/>
      <protection hidden="1"/>
    </xf>
    <xf numFmtId="1" fontId="2" fillId="2" borderId="6" xfId="0" applyNumberFormat="1" applyFont="1" applyFill="1" applyBorder="1" applyAlignment="1" applyProtection="1">
      <alignment horizontal="center" vertical="center"/>
      <protection hidden="1"/>
    </xf>
    <xf numFmtId="9" fontId="2" fillId="2" borderId="6" xfId="0" applyNumberFormat="1" applyFont="1" applyFill="1" applyBorder="1" applyAlignment="1" applyProtection="1">
      <alignment horizontal="center" vertical="center"/>
      <protection hidden="1"/>
    </xf>
    <xf numFmtId="2" fontId="2" fillId="2" borderId="6" xfId="0" applyNumberFormat="1" applyFont="1" applyFill="1" applyBorder="1" applyAlignment="1" applyProtection="1">
      <alignment horizontal="center" vertical="center"/>
      <protection hidden="1"/>
    </xf>
    <xf numFmtId="166" fontId="2" fillId="2" borderId="6" xfId="0" applyNumberFormat="1" applyFont="1" applyFill="1" applyBorder="1" applyAlignment="1" applyProtection="1">
      <alignment horizontal="center" vertical="center"/>
      <protection hidden="1"/>
    </xf>
    <xf numFmtId="0" fontId="2" fillId="2" borderId="9" xfId="0" applyFont="1" applyFill="1" applyBorder="1" applyProtection="1">
      <protection hidden="1"/>
    </xf>
    <xf numFmtId="0" fontId="2" fillId="2" borderId="6" xfId="0" applyFont="1" applyFill="1" applyBorder="1" applyAlignment="1" applyProtection="1">
      <alignment horizontal="center" vertical="center"/>
      <protection hidden="1"/>
    </xf>
    <xf numFmtId="8" fontId="2" fillId="2" borderId="6" xfId="0" applyNumberFormat="1" applyFont="1" applyFill="1" applyBorder="1" applyAlignment="1" applyProtection="1">
      <alignment horizontal="center" vertical="center" wrapText="1"/>
      <protection hidden="1"/>
    </xf>
    <xf numFmtId="8" fontId="2" fillId="2" borderId="6" xfId="0" applyNumberFormat="1" applyFont="1" applyFill="1" applyBorder="1" applyAlignment="1" applyProtection="1">
      <alignment horizontal="center"/>
      <protection hidden="1"/>
    </xf>
    <xf numFmtId="1" fontId="2" fillId="2" borderId="6" xfId="0" applyNumberFormat="1" applyFont="1" applyFill="1" applyBorder="1" applyAlignment="1" applyProtection="1">
      <alignment horizontal="center"/>
      <protection hidden="1"/>
    </xf>
    <xf numFmtId="164" fontId="2" fillId="2" borderId="6" xfId="0" applyNumberFormat="1" applyFont="1" applyFill="1" applyBorder="1" applyAlignment="1" applyProtection="1">
      <alignment horizontal="center"/>
      <protection hidden="1"/>
    </xf>
    <xf numFmtId="164" fontId="2" fillId="2" borderId="6" xfId="0" applyNumberFormat="1" applyFont="1" applyFill="1" applyBorder="1" applyAlignment="1" applyProtection="1">
      <alignment horizontal="center" vertical="center"/>
      <protection hidden="1"/>
    </xf>
    <xf numFmtId="164" fontId="2" fillId="2" borderId="9" xfId="0" applyNumberFormat="1" applyFont="1" applyFill="1" applyBorder="1" applyAlignment="1" applyProtection="1">
      <alignment horizontal="center" vertical="center"/>
      <protection hidden="1"/>
    </xf>
    <xf numFmtId="164" fontId="2" fillId="2" borderId="6" xfId="0" applyNumberFormat="1" applyFont="1" applyFill="1" applyBorder="1" applyAlignment="1" applyProtection="1">
      <alignment vertical="center"/>
      <protection hidden="1"/>
    </xf>
    <xf numFmtId="0" fontId="2" fillId="2" borderId="6" xfId="5" applyNumberFormat="1" applyFont="1" applyFill="1" applyBorder="1" applyAlignment="1" applyProtection="1">
      <alignment horizontal="center" vertical="center"/>
      <protection hidden="1"/>
    </xf>
    <xf numFmtId="0" fontId="15" fillId="2" borderId="6" xfId="0" applyFont="1" applyFill="1" applyBorder="1" applyAlignment="1" applyProtection="1">
      <alignment horizontal="center" vertical="center"/>
      <protection hidden="1"/>
    </xf>
    <xf numFmtId="0" fontId="2" fillId="5" borderId="6" xfId="0" applyFont="1" applyFill="1" applyBorder="1" applyProtection="1">
      <protection hidden="1"/>
    </xf>
    <xf numFmtId="0" fontId="16" fillId="5" borderId="9" xfId="0" applyFont="1" applyFill="1" applyBorder="1" applyAlignment="1" applyProtection="1">
      <alignment vertical="center"/>
      <protection hidden="1"/>
    </xf>
    <xf numFmtId="0" fontId="16" fillId="5" borderId="10" xfId="0" applyFont="1" applyFill="1" applyBorder="1" applyAlignment="1" applyProtection="1">
      <alignment vertical="center"/>
      <protection hidden="1"/>
    </xf>
    <xf numFmtId="0" fontId="16" fillId="5" borderId="11" xfId="0" applyFont="1" applyFill="1" applyBorder="1" applyAlignment="1" applyProtection="1">
      <alignment vertical="center"/>
      <protection hidden="1"/>
    </xf>
    <xf numFmtId="0" fontId="2" fillId="5" borderId="10" xfId="0" applyFont="1" applyFill="1" applyBorder="1" applyProtection="1">
      <protection hidden="1"/>
    </xf>
    <xf numFmtId="0" fontId="2" fillId="5" borderId="0" xfId="0" applyFont="1" applyFill="1" applyProtection="1">
      <protection hidden="1"/>
    </xf>
    <xf numFmtId="0" fontId="2" fillId="2" borderId="6" xfId="0" applyFont="1" applyFill="1" applyBorder="1" applyProtection="1">
      <protection hidden="1"/>
    </xf>
    <xf numFmtId="8" fontId="2" fillId="2" borderId="17" xfId="0" applyNumberFormat="1" applyFont="1" applyFill="1" applyBorder="1" applyProtection="1">
      <protection hidden="1"/>
    </xf>
    <xf numFmtId="0" fontId="2" fillId="2" borderId="17" xfId="0" applyFont="1" applyFill="1" applyBorder="1" applyProtection="1">
      <protection hidden="1"/>
    </xf>
    <xf numFmtId="9" fontId="2" fillId="2" borderId="17" xfId="0" applyNumberFormat="1" applyFont="1" applyFill="1" applyBorder="1" applyProtection="1">
      <protection hidden="1"/>
    </xf>
    <xf numFmtId="8" fontId="2" fillId="2" borderId="6" xfId="0" applyNumberFormat="1" applyFont="1" applyFill="1" applyBorder="1" applyProtection="1">
      <protection hidden="1"/>
    </xf>
    <xf numFmtId="44" fontId="2" fillId="2" borderId="0" xfId="1" applyFont="1" applyFill="1" applyBorder="1" applyAlignment="1">
      <alignment horizontal="center"/>
    </xf>
    <xf numFmtId="3" fontId="2" fillId="2" borderId="4" xfId="0" applyNumberFormat="1" applyFont="1" applyFill="1" applyBorder="1" applyAlignment="1">
      <alignment horizontal="center"/>
    </xf>
    <xf numFmtId="0" fontId="0" fillId="2" borderId="15" xfId="0" applyFill="1" applyBorder="1"/>
    <xf numFmtId="17" fontId="2" fillId="2" borderId="0" xfId="0" applyNumberFormat="1" applyFont="1" applyFill="1" applyAlignment="1">
      <alignment horizontal="center"/>
    </xf>
    <xf numFmtId="0" fontId="2" fillId="2" borderId="0" xfId="0" applyFont="1" applyFill="1"/>
    <xf numFmtId="1" fontId="2" fillId="2" borderId="0" xfId="0" applyNumberFormat="1" applyFont="1" applyFill="1" applyAlignment="1">
      <alignment horizontal="center"/>
    </xf>
    <xf numFmtId="44" fontId="2" fillId="2" borderId="0" xfId="0" applyNumberFormat="1" applyFont="1" applyFill="1"/>
    <xf numFmtId="44" fontId="2" fillId="2" borderId="0" xfId="0" applyNumberFormat="1" applyFont="1" applyFill="1" applyAlignment="1">
      <alignment horizontal="center"/>
    </xf>
    <xf numFmtId="44" fontId="2" fillId="2" borderId="0" xfId="1" applyFont="1" applyFill="1" applyBorder="1"/>
    <xf numFmtId="0" fontId="5" fillId="2" borderId="6" xfId="0" applyFont="1" applyFill="1" applyBorder="1" applyAlignment="1" applyProtection="1">
      <alignment horizontal="center" vertical="center" textRotation="60"/>
      <protection hidden="1"/>
    </xf>
    <xf numFmtId="0" fontId="9" fillId="2" borderId="6" xfId="0" applyFont="1" applyFill="1" applyBorder="1" applyAlignment="1" applyProtection="1">
      <alignment horizontal="center" vertical="center" textRotation="60"/>
      <protection hidden="1"/>
    </xf>
    <xf numFmtId="0" fontId="5" fillId="2" borderId="13" xfId="0" applyFont="1" applyFill="1" applyBorder="1" applyAlignment="1" applyProtection="1">
      <alignment horizontal="center" vertical="center" textRotation="60"/>
      <protection hidden="1"/>
    </xf>
    <xf numFmtId="0" fontId="9" fillId="2" borderId="13" xfId="0" applyFont="1" applyFill="1" applyBorder="1" applyAlignment="1" applyProtection="1">
      <alignment horizontal="center" vertical="center" textRotation="60"/>
      <protection hidden="1"/>
    </xf>
    <xf numFmtId="164" fontId="2" fillId="2" borderId="6" xfId="9" applyNumberFormat="1" applyFont="1" applyFill="1" applyBorder="1" applyAlignment="1" applyProtection="1">
      <alignment horizontal="center"/>
      <protection hidden="1"/>
    </xf>
    <xf numFmtId="0" fontId="0" fillId="2" borderId="0" xfId="0" applyFill="1" applyProtection="1">
      <protection hidden="1"/>
    </xf>
    <xf numFmtId="0" fontId="9" fillId="2" borderId="37" xfId="0" applyFont="1" applyFill="1" applyBorder="1" applyAlignment="1" applyProtection="1">
      <alignment horizontal="center" vertical="center"/>
      <protection hidden="1"/>
    </xf>
    <xf numFmtId="0" fontId="2" fillId="2" borderId="37" xfId="0" applyFont="1" applyFill="1" applyBorder="1" applyAlignment="1" applyProtection="1">
      <alignment horizontal="center" vertical="center" wrapText="1"/>
      <protection hidden="1"/>
    </xf>
    <xf numFmtId="0" fontId="16" fillId="2" borderId="37" xfId="0" applyFont="1" applyFill="1" applyBorder="1" applyAlignment="1" applyProtection="1">
      <alignment horizontal="center" vertical="center"/>
      <protection hidden="1"/>
    </xf>
    <xf numFmtId="164" fontId="2" fillId="2" borderId="37" xfId="0" applyNumberFormat="1" applyFont="1" applyFill="1" applyBorder="1" applyAlignment="1" applyProtection="1">
      <alignment horizontal="center" vertical="center" wrapText="1"/>
      <protection hidden="1"/>
    </xf>
    <xf numFmtId="0" fontId="16" fillId="2" borderId="37" xfId="0" applyFont="1" applyFill="1" applyBorder="1" applyAlignment="1" applyProtection="1">
      <alignment horizontal="center" vertical="center" wrapText="1"/>
      <protection hidden="1"/>
    </xf>
    <xf numFmtId="164" fontId="2" fillId="2" borderId="37" xfId="0" applyNumberFormat="1" applyFont="1" applyFill="1" applyBorder="1" applyAlignment="1" applyProtection="1">
      <alignment horizontal="center" vertical="center"/>
      <protection hidden="1"/>
    </xf>
    <xf numFmtId="0" fontId="11" fillId="2" borderId="0" xfId="6" applyFont="1" applyFill="1" applyBorder="1" applyAlignment="1" applyProtection="1">
      <alignment vertical="center"/>
      <protection hidden="1"/>
    </xf>
    <xf numFmtId="0" fontId="31" fillId="2" borderId="39" xfId="0" applyFont="1" applyFill="1" applyBorder="1" applyAlignment="1" applyProtection="1">
      <alignment horizontal="center" vertical="center"/>
      <protection hidden="1"/>
    </xf>
    <xf numFmtId="0" fontId="31" fillId="2" borderId="40" xfId="0" applyFont="1" applyFill="1" applyBorder="1" applyAlignment="1" applyProtection="1">
      <alignment horizontal="center" vertical="center"/>
      <protection hidden="1"/>
    </xf>
    <xf numFmtId="164" fontId="2" fillId="2" borderId="42" xfId="9" applyNumberFormat="1" applyFont="1" applyFill="1" applyBorder="1" applyAlignment="1" applyProtection="1">
      <alignment horizontal="center"/>
      <protection hidden="1"/>
    </xf>
    <xf numFmtId="0" fontId="26" fillId="3" borderId="6" xfId="0" applyFont="1" applyFill="1" applyBorder="1" applyAlignment="1" applyProtection="1">
      <alignment horizontal="center" textRotation="62"/>
      <protection hidden="1"/>
    </xf>
    <xf numFmtId="0" fontId="9" fillId="3" borderId="6" xfId="0" applyFont="1" applyFill="1" applyBorder="1" applyAlignment="1" applyProtection="1">
      <alignment horizontal="center" textRotation="59"/>
      <protection hidden="1"/>
    </xf>
    <xf numFmtId="0" fontId="9" fillId="3" borderId="6" xfId="0" applyFont="1" applyFill="1" applyBorder="1" applyAlignment="1" applyProtection="1">
      <alignment horizontal="center" textRotation="61"/>
      <protection hidden="1"/>
    </xf>
    <xf numFmtId="0" fontId="9" fillId="3" borderId="6" xfId="0" applyFont="1" applyFill="1" applyBorder="1" applyAlignment="1" applyProtection="1">
      <alignment horizontal="center" textRotation="60"/>
      <protection hidden="1"/>
    </xf>
    <xf numFmtId="0" fontId="9" fillId="3" borderId="6" xfId="9" applyFont="1" applyFill="1" applyBorder="1" applyAlignment="1" applyProtection="1">
      <alignment horizontal="center" textRotation="61"/>
      <protection hidden="1"/>
    </xf>
    <xf numFmtId="0" fontId="26" fillId="3" borderId="6" xfId="9" applyFont="1" applyFill="1" applyBorder="1" applyAlignment="1" applyProtection="1">
      <alignment horizontal="center" textRotation="61"/>
      <protection hidden="1"/>
    </xf>
    <xf numFmtId="0" fontId="27" fillId="2" borderId="33" xfId="0" applyFont="1" applyFill="1" applyBorder="1" applyAlignment="1" applyProtection="1">
      <alignment horizontal="center"/>
      <protection hidden="1"/>
    </xf>
    <xf numFmtId="164" fontId="28" fillId="2" borderId="33" xfId="0" applyNumberFormat="1" applyFont="1" applyFill="1" applyBorder="1" applyAlignment="1" applyProtection="1">
      <alignment horizontal="center"/>
      <protection hidden="1"/>
    </xf>
    <xf numFmtId="164" fontId="28" fillId="2" borderId="27" xfId="0" applyNumberFormat="1" applyFont="1" applyFill="1" applyBorder="1" applyAlignment="1" applyProtection="1">
      <alignment horizontal="center"/>
      <protection hidden="1"/>
    </xf>
    <xf numFmtId="0" fontId="27" fillId="2" borderId="27" xfId="0" applyFont="1" applyFill="1" applyBorder="1" applyAlignment="1" applyProtection="1">
      <alignment horizontal="center"/>
      <protection hidden="1"/>
    </xf>
    <xf numFmtId="164" fontId="2" fillId="2" borderId="27" xfId="0" applyNumberFormat="1" applyFont="1" applyFill="1" applyBorder="1" applyAlignment="1" applyProtection="1">
      <alignment horizontal="center"/>
      <protection hidden="1"/>
    </xf>
    <xf numFmtId="164" fontId="28" fillId="2" borderId="29" xfId="0" applyNumberFormat="1" applyFont="1" applyFill="1" applyBorder="1" applyAlignment="1" applyProtection="1">
      <alignment horizontal="center"/>
      <protection hidden="1"/>
    </xf>
    <xf numFmtId="0" fontId="26" fillId="2" borderId="0" xfId="9" applyFont="1" applyFill="1" applyBorder="1" applyAlignment="1" applyProtection="1">
      <alignment horizontal="center" vertical="center" wrapText="1" shrinkToFit="1"/>
      <protection hidden="1"/>
    </xf>
    <xf numFmtId="164" fontId="26" fillId="2" borderId="31" xfId="9" applyNumberFormat="1" applyFont="1" applyFill="1" applyBorder="1" applyAlignment="1" applyProtection="1">
      <alignment horizontal="center" vertical="center" wrapText="1" shrinkToFit="1"/>
      <protection hidden="1"/>
    </xf>
    <xf numFmtId="164" fontId="26" fillId="2" borderId="31" xfId="9" applyNumberFormat="1" applyFont="1" applyFill="1" applyBorder="1" applyAlignment="1" applyProtection="1">
      <alignment horizontal="center" vertical="center" wrapText="1"/>
      <protection hidden="1"/>
    </xf>
    <xf numFmtId="0" fontId="29" fillId="2" borderId="0" xfId="9" applyFont="1" applyFill="1" applyBorder="1" applyAlignment="1" applyProtection="1">
      <alignment horizontal="center" vertical="center" wrapText="1" shrinkToFit="1"/>
      <protection hidden="1"/>
    </xf>
    <xf numFmtId="10" fontId="29" fillId="2" borderId="34" xfId="2" applyNumberFormat="1" applyFont="1" applyFill="1" applyBorder="1" applyAlignment="1" applyProtection="1">
      <alignment horizontal="center" vertical="center" wrapText="1" shrinkToFit="1"/>
      <protection hidden="1"/>
    </xf>
    <xf numFmtId="10" fontId="29" fillId="2" borderId="34" xfId="9" applyNumberFormat="1" applyFont="1" applyFill="1" applyBorder="1" applyAlignment="1" applyProtection="1">
      <alignment horizontal="center" vertical="center" wrapText="1"/>
      <protection hidden="1"/>
    </xf>
    <xf numFmtId="0" fontId="26" fillId="2" borderId="0" xfId="9" applyFont="1" applyFill="1" applyBorder="1" applyProtection="1">
      <protection hidden="1"/>
    </xf>
    <xf numFmtId="4" fontId="26" fillId="2" borderId="0" xfId="9" applyNumberFormat="1" applyFont="1" applyFill="1" applyBorder="1" applyAlignment="1" applyProtection="1">
      <alignment horizontal="center"/>
      <protection hidden="1"/>
    </xf>
    <xf numFmtId="0" fontId="2" fillId="2" borderId="9" xfId="0" applyFont="1" applyFill="1" applyBorder="1" applyAlignment="1">
      <alignment horizontal="center"/>
    </xf>
    <xf numFmtId="0" fontId="0" fillId="2" borderId="0" xfId="0" applyFill="1" applyAlignment="1">
      <alignment horizontal="center"/>
    </xf>
    <xf numFmtId="0" fontId="2" fillId="3" borderId="6" xfId="0" applyFont="1" applyFill="1" applyBorder="1" applyAlignment="1">
      <alignment horizontal="center"/>
    </xf>
    <xf numFmtId="0" fontId="16" fillId="2" borderId="61" xfId="0" applyFont="1" applyFill="1" applyBorder="1" applyAlignment="1" applyProtection="1">
      <alignment horizontal="center" vertical="center"/>
      <protection hidden="1"/>
    </xf>
    <xf numFmtId="167" fontId="2" fillId="2" borderId="61" xfId="0" applyNumberFormat="1" applyFont="1" applyFill="1" applyBorder="1" applyAlignment="1" applyProtection="1">
      <alignment horizontal="center" vertical="center"/>
      <protection hidden="1"/>
    </xf>
    <xf numFmtId="164" fontId="2" fillId="7" borderId="1" xfId="9" applyNumberFormat="1" applyFont="1" applyFill="1" applyBorder="1" applyAlignment="1" applyProtection="1">
      <alignment horizontal="center"/>
      <protection hidden="1"/>
    </xf>
    <xf numFmtId="164" fontId="2" fillId="7" borderId="66" xfId="9" applyNumberFormat="1" applyFont="1" applyFill="1" applyBorder="1" applyAlignment="1" applyProtection="1">
      <alignment horizontal="center"/>
      <protection hidden="1"/>
    </xf>
    <xf numFmtId="164" fontId="2" fillId="2" borderId="67" xfId="9" applyNumberFormat="1" applyFont="1" applyFill="1" applyBorder="1" applyAlignment="1" applyProtection="1">
      <alignment horizontal="center"/>
      <protection hidden="1"/>
    </xf>
    <xf numFmtId="14" fontId="0" fillId="2" borderId="0" xfId="0" applyNumberFormat="1" applyFill="1" applyProtection="1">
      <protection hidden="1"/>
    </xf>
    <xf numFmtId="0" fontId="32" fillId="2" borderId="12" xfId="0" applyFont="1" applyFill="1" applyBorder="1" applyProtection="1">
      <protection hidden="1"/>
    </xf>
    <xf numFmtId="0" fontId="32" fillId="2" borderId="0" xfId="0" applyFont="1" applyFill="1"/>
    <xf numFmtId="0" fontId="9" fillId="5" borderId="73" xfId="0" applyFont="1" applyFill="1" applyBorder="1" applyAlignment="1" applyProtection="1">
      <alignment horizontal="center"/>
      <protection hidden="1"/>
    </xf>
    <xf numFmtId="168" fontId="34" fillId="8" borderId="73" xfId="0" applyNumberFormat="1" applyFont="1" applyFill="1" applyBorder="1" applyAlignment="1" applyProtection="1">
      <alignment horizontal="center"/>
      <protection hidden="1"/>
    </xf>
    <xf numFmtId="170" fontId="34" fillId="8" borderId="73" xfId="0" applyNumberFormat="1" applyFont="1" applyFill="1" applyBorder="1" applyAlignment="1" applyProtection="1">
      <alignment horizontal="center"/>
      <protection hidden="1"/>
    </xf>
    <xf numFmtId="164" fontId="34" fillId="8" borderId="73" xfId="0" applyNumberFormat="1" applyFont="1" applyFill="1" applyBorder="1" applyAlignment="1" applyProtection="1">
      <alignment horizontal="center"/>
      <protection hidden="1"/>
    </xf>
    <xf numFmtId="164" fontId="9" fillId="5" borderId="73" xfId="0" applyNumberFormat="1" applyFont="1" applyFill="1" applyBorder="1" applyAlignment="1" applyProtection="1">
      <alignment horizontal="center"/>
      <protection hidden="1"/>
    </xf>
    <xf numFmtId="0" fontId="34" fillId="8" borderId="73" xfId="0" applyFont="1" applyFill="1" applyBorder="1" applyProtection="1">
      <protection hidden="1"/>
    </xf>
    <xf numFmtId="164" fontId="2" fillId="5" borderId="76" xfId="0" applyNumberFormat="1" applyFont="1" applyFill="1" applyBorder="1" applyAlignment="1" applyProtection="1">
      <alignment horizontal="center" vertical="center"/>
      <protection hidden="1"/>
    </xf>
    <xf numFmtId="0" fontId="2" fillId="5" borderId="77" xfId="0" applyFont="1" applyFill="1" applyBorder="1" applyAlignment="1" applyProtection="1">
      <alignment horizontal="center"/>
      <protection hidden="1"/>
    </xf>
    <xf numFmtId="164" fontId="2" fillId="5" borderId="78" xfId="0" applyNumberFormat="1" applyFont="1" applyFill="1" applyBorder="1" applyAlignment="1" applyProtection="1">
      <alignment horizontal="center" vertical="center"/>
      <protection hidden="1"/>
    </xf>
    <xf numFmtId="0" fontId="2" fillId="5" borderId="79" xfId="0" applyFont="1" applyFill="1" applyBorder="1" applyAlignment="1" applyProtection="1">
      <alignment horizontal="center"/>
      <protection hidden="1"/>
    </xf>
    <xf numFmtId="0" fontId="9" fillId="5" borderId="79" xfId="0" applyFont="1" applyFill="1" applyBorder="1" applyAlignment="1" applyProtection="1">
      <alignment horizontal="center"/>
      <protection hidden="1"/>
    </xf>
    <xf numFmtId="164" fontId="2" fillId="5" borderId="80" xfId="0" applyNumberFormat="1" applyFont="1" applyFill="1" applyBorder="1" applyAlignment="1" applyProtection="1">
      <alignment horizontal="center" vertical="center"/>
      <protection hidden="1"/>
    </xf>
    <xf numFmtId="0" fontId="0" fillId="5" borderId="81" xfId="0" applyFill="1" applyBorder="1" applyProtection="1">
      <protection hidden="1"/>
    </xf>
    <xf numFmtId="164" fontId="2" fillId="5" borderId="82" xfId="0" applyNumberFormat="1" applyFont="1" applyFill="1" applyBorder="1" applyAlignment="1" applyProtection="1">
      <alignment horizontal="center" vertical="center"/>
      <protection hidden="1"/>
    </xf>
    <xf numFmtId="0" fontId="9" fillId="5" borderId="78" xfId="0" applyFont="1" applyFill="1" applyBorder="1" applyAlignment="1" applyProtection="1">
      <alignment horizontal="center"/>
      <protection hidden="1"/>
    </xf>
    <xf numFmtId="0" fontId="9" fillId="5" borderId="80" xfId="0" applyFont="1" applyFill="1" applyBorder="1" applyAlignment="1" applyProtection="1">
      <alignment horizontal="center"/>
      <protection hidden="1"/>
    </xf>
    <xf numFmtId="0" fontId="9" fillId="5" borderId="83" xfId="0" applyFont="1" applyFill="1" applyBorder="1" applyAlignment="1" applyProtection="1">
      <alignment horizontal="center"/>
      <protection hidden="1"/>
    </xf>
    <xf numFmtId="0" fontId="9" fillId="5" borderId="82" xfId="0" applyFont="1" applyFill="1" applyBorder="1" applyAlignment="1" applyProtection="1">
      <alignment horizontal="center"/>
      <protection hidden="1"/>
    </xf>
    <xf numFmtId="0" fontId="36" fillId="2" borderId="0" xfId="0" applyFont="1" applyFill="1"/>
    <xf numFmtId="0" fontId="3" fillId="2" borderId="0" xfId="0" applyFont="1" applyFill="1" applyAlignment="1">
      <alignment vertical="center"/>
    </xf>
    <xf numFmtId="0" fontId="3" fillId="2" borderId="8" xfId="0" applyFont="1" applyFill="1" applyBorder="1" applyAlignment="1">
      <alignment vertical="center"/>
    </xf>
    <xf numFmtId="0" fontId="9" fillId="5" borderId="76" xfId="0" applyFont="1" applyFill="1" applyBorder="1" applyAlignment="1" applyProtection="1">
      <alignment horizontal="center"/>
      <protection hidden="1"/>
    </xf>
    <xf numFmtId="164" fontId="9" fillId="5" borderId="78" xfId="0" applyNumberFormat="1" applyFont="1" applyFill="1" applyBorder="1" applyAlignment="1" applyProtection="1">
      <alignment horizontal="center"/>
      <protection hidden="1"/>
    </xf>
    <xf numFmtId="0" fontId="9" fillId="2" borderId="87" xfId="0" applyFont="1" applyFill="1" applyBorder="1" applyAlignment="1">
      <alignment horizontal="center"/>
    </xf>
    <xf numFmtId="0" fontId="2" fillId="2" borderId="26" xfId="0" applyFont="1" applyFill="1" applyBorder="1" applyAlignment="1">
      <alignment horizontal="center"/>
    </xf>
    <xf numFmtId="0" fontId="2" fillId="2" borderId="88" xfId="0" applyFont="1" applyFill="1" applyBorder="1" applyAlignment="1">
      <alignment horizontal="center" vertical="center"/>
    </xf>
    <xf numFmtId="1" fontId="2" fillId="2" borderId="6" xfId="0" applyNumberFormat="1" applyFont="1" applyFill="1" applyBorder="1" applyAlignment="1">
      <alignment horizontal="center" vertical="center"/>
    </xf>
    <xf numFmtId="0" fontId="3" fillId="2" borderId="0" xfId="0" applyFont="1" applyFill="1" applyAlignment="1">
      <alignment vertical="center" wrapText="1"/>
    </xf>
    <xf numFmtId="0" fontId="3" fillId="2" borderId="16" xfId="0" applyFont="1" applyFill="1" applyBorder="1" applyAlignment="1">
      <alignment vertical="center" wrapText="1"/>
    </xf>
    <xf numFmtId="0" fontId="3" fillId="2" borderId="0" xfId="0" applyFont="1" applyFill="1" applyAlignment="1">
      <alignment horizontal="center" vertical="center"/>
    </xf>
    <xf numFmtId="0" fontId="0" fillId="2" borderId="85" xfId="0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5" fillId="2" borderId="0" xfId="3" applyFont="1" applyFill="1" applyBorder="1" applyAlignment="1">
      <alignment horizontal="center" vertical="center"/>
    </xf>
    <xf numFmtId="164" fontId="2" fillId="2" borderId="9" xfId="0" applyNumberFormat="1" applyFont="1" applyFill="1" applyBorder="1" applyAlignment="1" applyProtection="1">
      <alignment vertical="center"/>
      <protection hidden="1"/>
    </xf>
    <xf numFmtId="44" fontId="38" fillId="3" borderId="2" xfId="1" applyFont="1" applyFill="1" applyBorder="1" applyAlignment="1">
      <alignment horizontal="center"/>
    </xf>
    <xf numFmtId="0" fontId="0" fillId="3" borderId="0" xfId="0" applyFill="1"/>
    <xf numFmtId="44" fontId="38" fillId="3" borderId="6" xfId="1" applyFont="1" applyFill="1" applyBorder="1" applyAlignment="1">
      <alignment horizontal="center"/>
    </xf>
    <xf numFmtId="0" fontId="0" fillId="2" borderId="90" xfId="0" applyFill="1" applyBorder="1"/>
    <xf numFmtId="0" fontId="9" fillId="2" borderId="9" xfId="0" applyFont="1" applyFill="1" applyBorder="1"/>
    <xf numFmtId="0" fontId="2" fillId="2" borderId="9" xfId="0" applyFont="1" applyFill="1" applyBorder="1"/>
    <xf numFmtId="164" fontId="9" fillId="3" borderId="37" xfId="0" applyNumberFormat="1" applyFont="1" applyFill="1" applyBorder="1" applyAlignment="1" applyProtection="1">
      <alignment horizontal="center" vertical="center"/>
      <protection hidden="1"/>
    </xf>
    <xf numFmtId="164" fontId="2" fillId="3" borderId="37" xfId="0" applyNumberFormat="1" applyFont="1" applyFill="1" applyBorder="1" applyAlignment="1" applyProtection="1">
      <alignment horizontal="center" vertical="center"/>
      <protection hidden="1"/>
    </xf>
    <xf numFmtId="0" fontId="16" fillId="3" borderId="37" xfId="0" applyFont="1" applyFill="1" applyBorder="1" applyAlignment="1" applyProtection="1">
      <alignment horizontal="center" vertical="center"/>
      <protection hidden="1"/>
    </xf>
    <xf numFmtId="0" fontId="2" fillId="6" borderId="9" xfId="0" applyFont="1" applyFill="1" applyBorder="1" applyProtection="1">
      <protection hidden="1"/>
    </xf>
    <xf numFmtId="44" fontId="42" fillId="3" borderId="2" xfId="1" applyFont="1" applyFill="1" applyBorder="1" applyAlignment="1">
      <alignment horizontal="center"/>
    </xf>
    <xf numFmtId="0" fontId="9" fillId="3" borderId="6" xfId="0" applyFont="1" applyFill="1" applyBorder="1" applyAlignment="1">
      <alignment horizontal="center"/>
    </xf>
    <xf numFmtId="0" fontId="13" fillId="3" borderId="6" xfId="0" applyFont="1" applyFill="1" applyBorder="1" applyAlignment="1">
      <alignment horizontal="center"/>
    </xf>
    <xf numFmtId="44" fontId="42" fillId="3" borderId="6" xfId="0" applyNumberFormat="1" applyFont="1" applyFill="1" applyBorder="1"/>
    <xf numFmtId="0" fontId="13" fillId="3" borderId="7" xfId="0" applyFont="1" applyFill="1" applyBorder="1" applyAlignment="1">
      <alignment horizontal="center"/>
    </xf>
    <xf numFmtId="0" fontId="43" fillId="3" borderId="6" xfId="0" applyFont="1" applyFill="1" applyBorder="1" applyAlignment="1">
      <alignment horizontal="center"/>
    </xf>
    <xf numFmtId="0" fontId="13" fillId="3" borderId="15" xfId="0" applyFont="1" applyFill="1" applyBorder="1" applyAlignment="1">
      <alignment horizontal="center"/>
    </xf>
    <xf numFmtId="0" fontId="25" fillId="2" borderId="16" xfId="0" applyFont="1" applyFill="1" applyBorder="1" applyProtection="1">
      <protection hidden="1"/>
    </xf>
    <xf numFmtId="0" fontId="13" fillId="3" borderId="59" xfId="0" applyFont="1" applyFill="1" applyBorder="1" applyAlignment="1" applyProtection="1">
      <alignment horizontal="center"/>
      <protection hidden="1"/>
    </xf>
    <xf numFmtId="167" fontId="2" fillId="3" borderId="61" xfId="0" applyNumberFormat="1" applyFont="1" applyFill="1" applyBorder="1" applyAlignment="1" applyProtection="1">
      <alignment horizontal="center" vertical="center"/>
      <protection hidden="1"/>
    </xf>
    <xf numFmtId="0" fontId="2" fillId="2" borderId="85" xfId="0" applyFont="1" applyFill="1" applyBorder="1" applyAlignment="1">
      <alignment horizontal="center"/>
    </xf>
    <xf numFmtId="0" fontId="33" fillId="2" borderId="0" xfId="0" applyFont="1" applyFill="1" applyAlignment="1" applyProtection="1">
      <alignment horizontal="center"/>
      <protection hidden="1"/>
    </xf>
    <xf numFmtId="0" fontId="13" fillId="2" borderId="0" xfId="3" applyFont="1" applyFill="1" applyBorder="1" applyAlignment="1" applyProtection="1">
      <alignment horizontal="center" vertical="center"/>
      <protection hidden="1"/>
    </xf>
    <xf numFmtId="0" fontId="9" fillId="2" borderId="0" xfId="0" applyFont="1" applyFill="1" applyAlignment="1" applyProtection="1">
      <alignment horizontal="center"/>
      <protection hidden="1"/>
    </xf>
    <xf numFmtId="168" fontId="34" fillId="2" borderId="0" xfId="0" applyNumberFormat="1" applyFont="1" applyFill="1" applyAlignment="1" applyProtection="1">
      <alignment horizontal="center"/>
      <protection hidden="1"/>
    </xf>
    <xf numFmtId="0" fontId="17" fillId="2" borderId="0" xfId="0" applyFont="1" applyFill="1" applyAlignment="1" applyProtection="1">
      <alignment horizontal="center" vertical="center"/>
      <protection hidden="1"/>
    </xf>
    <xf numFmtId="168" fontId="34" fillId="2" borderId="0" xfId="0" applyNumberFormat="1" applyFont="1" applyFill="1" applyAlignment="1" applyProtection="1">
      <alignment horizontal="center" vertical="center"/>
      <protection hidden="1"/>
    </xf>
    <xf numFmtId="0" fontId="17" fillId="2" borderId="0" xfId="0" applyFont="1" applyFill="1" applyAlignment="1" applyProtection="1">
      <alignment horizontal="center" vertical="center" wrapText="1"/>
      <protection hidden="1"/>
    </xf>
    <xf numFmtId="0" fontId="9" fillId="2" borderId="0" xfId="3" applyFont="1" applyFill="1" applyBorder="1" applyAlignment="1" applyProtection="1">
      <alignment horizontal="center" vertical="center" wrapText="1"/>
      <protection hidden="1"/>
    </xf>
    <xf numFmtId="164" fontId="9" fillId="2" borderId="0" xfId="0" applyNumberFormat="1" applyFont="1" applyFill="1" applyAlignment="1" applyProtection="1">
      <alignment horizontal="center"/>
      <protection hidden="1"/>
    </xf>
    <xf numFmtId="170" fontId="34" fillId="2" borderId="0" xfId="0" applyNumberFormat="1" applyFont="1" applyFill="1" applyAlignment="1" applyProtection="1">
      <alignment horizontal="center"/>
      <protection hidden="1"/>
    </xf>
    <xf numFmtId="164" fontId="34" fillId="2" borderId="0" xfId="0" applyNumberFormat="1" applyFont="1" applyFill="1" applyAlignment="1" applyProtection="1">
      <alignment horizontal="center"/>
      <protection hidden="1"/>
    </xf>
    <xf numFmtId="0" fontId="34" fillId="2" borderId="0" xfId="0" applyFont="1" applyFill="1" applyProtection="1">
      <protection hidden="1"/>
    </xf>
    <xf numFmtId="164" fontId="9" fillId="5" borderId="80" xfId="0" applyNumberFormat="1" applyFont="1" applyFill="1" applyBorder="1" applyAlignment="1" applyProtection="1">
      <alignment horizontal="center"/>
      <protection hidden="1"/>
    </xf>
    <xf numFmtId="0" fontId="9" fillId="5" borderId="93" xfId="0" applyFont="1" applyFill="1" applyBorder="1" applyAlignment="1" applyProtection="1">
      <alignment horizontal="center"/>
      <protection hidden="1"/>
    </xf>
    <xf numFmtId="0" fontId="6" fillId="2" borderId="0" xfId="3" applyFont="1" applyFill="1" applyBorder="1" applyAlignment="1">
      <alignment horizontal="center"/>
    </xf>
    <xf numFmtId="0" fontId="41" fillId="9" borderId="73" xfId="0" applyFont="1" applyFill="1" applyBorder="1" applyAlignment="1" applyProtection="1">
      <alignment horizontal="center"/>
      <protection hidden="1"/>
    </xf>
    <xf numFmtId="0" fontId="41" fillId="9" borderId="82" xfId="0" applyFont="1" applyFill="1" applyBorder="1" applyAlignment="1" applyProtection="1">
      <alignment horizontal="center"/>
      <protection hidden="1"/>
    </xf>
    <xf numFmtId="0" fontId="44" fillId="2" borderId="0" xfId="0" applyFont="1" applyFill="1" applyAlignment="1">
      <alignment horizontal="center"/>
    </xf>
    <xf numFmtId="0" fontId="45" fillId="2" borderId="0" xfId="0" applyFont="1" applyFill="1" applyAlignment="1" applyProtection="1">
      <alignment horizontal="center" vertical="center"/>
      <protection hidden="1"/>
    </xf>
    <xf numFmtId="171" fontId="45" fillId="2" borderId="0" xfId="0" applyNumberFormat="1" applyFont="1" applyFill="1" applyAlignment="1" applyProtection="1">
      <alignment horizontal="center" vertical="center"/>
      <protection hidden="1"/>
    </xf>
    <xf numFmtId="165" fontId="34" fillId="8" borderId="73" xfId="0" applyNumberFormat="1" applyFont="1" applyFill="1" applyBorder="1" applyAlignment="1" applyProtection="1">
      <alignment horizontal="center"/>
      <protection hidden="1"/>
    </xf>
    <xf numFmtId="164" fontId="0" fillId="8" borderId="73" xfId="0" applyNumberFormat="1" applyFill="1" applyBorder="1" applyAlignment="1" applyProtection="1">
      <alignment horizontal="center"/>
      <protection hidden="1"/>
    </xf>
    <xf numFmtId="164" fontId="34" fillId="8" borderId="73" xfId="0" applyNumberFormat="1" applyFont="1" applyFill="1" applyBorder="1" applyProtection="1">
      <protection hidden="1"/>
    </xf>
    <xf numFmtId="7" fontId="2" fillId="2" borderId="2" xfId="1" applyNumberFormat="1" applyFont="1" applyFill="1" applyBorder="1" applyAlignment="1">
      <alignment horizontal="center"/>
    </xf>
    <xf numFmtId="7" fontId="2" fillId="2" borderId="4" xfId="1" applyNumberFormat="1" applyFont="1" applyFill="1" applyBorder="1" applyAlignment="1">
      <alignment horizontal="center"/>
    </xf>
    <xf numFmtId="7" fontId="2" fillId="2" borderId="3" xfId="0" applyNumberFormat="1" applyFont="1" applyFill="1" applyBorder="1"/>
    <xf numFmtId="7" fontId="2" fillId="2" borderId="3" xfId="1" applyNumberFormat="1" applyFont="1" applyFill="1" applyBorder="1"/>
    <xf numFmtId="7" fontId="2" fillId="2" borderId="19" xfId="1" applyNumberFormat="1" applyFont="1" applyFill="1" applyBorder="1"/>
    <xf numFmtId="7" fontId="2" fillId="2" borderId="3" xfId="0" applyNumberFormat="1" applyFont="1" applyFill="1" applyBorder="1" applyAlignment="1">
      <alignment horizontal="right"/>
    </xf>
    <xf numFmtId="7" fontId="2" fillId="2" borderId="2" xfId="0" applyNumberFormat="1" applyFont="1" applyFill="1" applyBorder="1"/>
    <xf numFmtId="7" fontId="2" fillId="2" borderId="2" xfId="1" applyNumberFormat="1" applyFont="1" applyFill="1" applyBorder="1"/>
    <xf numFmtId="164" fontId="2" fillId="2" borderId="6" xfId="1" applyNumberFormat="1" applyFont="1" applyFill="1" applyBorder="1" applyAlignment="1">
      <alignment horizontal="center"/>
    </xf>
    <xf numFmtId="164" fontId="2" fillId="2" borderId="6" xfId="0" applyNumberFormat="1" applyFont="1" applyFill="1" applyBorder="1" applyAlignment="1">
      <alignment horizontal="center"/>
    </xf>
    <xf numFmtId="7" fontId="2" fillId="2" borderId="6" xfId="0" applyNumberFormat="1" applyFont="1" applyFill="1" applyBorder="1"/>
    <xf numFmtId="7" fontId="2" fillId="2" borderId="6" xfId="0" applyNumberFormat="1" applyFont="1" applyFill="1" applyBorder="1" applyAlignment="1">
      <alignment horizontal="center"/>
    </xf>
    <xf numFmtId="7" fontId="2" fillId="2" borderId="6" xfId="1" applyNumberFormat="1" applyFont="1" applyFill="1" applyBorder="1"/>
    <xf numFmtId="7" fontId="2" fillId="2" borderId="6" xfId="0" applyNumberFormat="1" applyFont="1" applyFill="1" applyBorder="1" applyAlignment="1">
      <alignment horizontal="right"/>
    </xf>
    <xf numFmtId="164" fontId="2" fillId="2" borderId="2" xfId="1" applyNumberFormat="1" applyFont="1" applyFill="1" applyBorder="1" applyAlignment="1">
      <alignment horizontal="center"/>
    </xf>
    <xf numFmtId="7" fontId="42" fillId="3" borderId="6" xfId="0" applyNumberFormat="1" applyFont="1" applyFill="1" applyBorder="1"/>
    <xf numFmtId="7" fontId="42" fillId="3" borderId="2" xfId="1" applyNumberFormat="1" applyFont="1" applyFill="1" applyBorder="1"/>
    <xf numFmtId="7" fontId="42" fillId="3" borderId="3" xfId="1" applyNumberFormat="1" applyFont="1" applyFill="1" applyBorder="1"/>
    <xf numFmtId="3" fontId="2" fillId="2" borderId="20" xfId="0" applyNumberFormat="1" applyFont="1" applyFill="1" applyBorder="1" applyAlignment="1">
      <alignment horizontal="center"/>
    </xf>
    <xf numFmtId="3" fontId="2" fillId="2" borderId="21" xfId="0" applyNumberFormat="1" applyFont="1" applyFill="1" applyBorder="1" applyAlignment="1">
      <alignment horizontal="center"/>
    </xf>
    <xf numFmtId="164" fontId="2" fillId="2" borderId="4" xfId="1" applyNumberFormat="1" applyFont="1" applyFill="1" applyBorder="1" applyAlignment="1">
      <alignment horizontal="center"/>
    </xf>
    <xf numFmtId="0" fontId="5" fillId="2" borderId="0" xfId="0" applyFont="1" applyFill="1" applyAlignment="1">
      <alignment horizontal="center" vertical="center" wrapText="1"/>
    </xf>
    <xf numFmtId="0" fontId="2" fillId="2" borderId="87" xfId="0" applyFont="1" applyFill="1" applyBorder="1" applyAlignment="1">
      <alignment horizontal="center" vertical="center"/>
    </xf>
    <xf numFmtId="0" fontId="5" fillId="2" borderId="0" xfId="0" applyFont="1" applyFill="1" applyAlignment="1">
      <alignment vertical="center"/>
    </xf>
    <xf numFmtId="0" fontId="5" fillId="2" borderId="8" xfId="0" applyFont="1" applyFill="1" applyBorder="1" applyAlignment="1">
      <alignment vertical="center"/>
    </xf>
    <xf numFmtId="0" fontId="5" fillId="2" borderId="91" xfId="0" applyFont="1" applyFill="1" applyBorder="1" applyAlignment="1">
      <alignment vertical="center"/>
    </xf>
    <xf numFmtId="0" fontId="5" fillId="2" borderId="97" xfId="0" applyFont="1" applyFill="1" applyBorder="1" applyAlignment="1">
      <alignment vertical="center"/>
    </xf>
    <xf numFmtId="0" fontId="3" fillId="2" borderId="8" xfId="0" applyFont="1" applyFill="1" applyBorder="1" applyAlignment="1">
      <alignment vertical="top"/>
    </xf>
    <xf numFmtId="164" fontId="2" fillId="2" borderId="1" xfId="0" applyNumberFormat="1" applyFont="1" applyFill="1" applyBorder="1" applyAlignment="1">
      <alignment horizontal="center"/>
    </xf>
    <xf numFmtId="7" fontId="2" fillId="2" borderId="2" xfId="0" applyNumberFormat="1" applyFont="1" applyFill="1" applyBorder="1" applyAlignment="1">
      <alignment horizontal="right"/>
    </xf>
    <xf numFmtId="7" fontId="42" fillId="3" borderId="7" xfId="0" applyNumberFormat="1" applyFont="1" applyFill="1" applyBorder="1" applyAlignment="1">
      <alignment horizontal="right"/>
    </xf>
    <xf numFmtId="0" fontId="12" fillId="2" borderId="0" xfId="0" applyFont="1" applyFill="1" applyAlignment="1">
      <alignment vertical="center"/>
    </xf>
    <xf numFmtId="7" fontId="2" fillId="2" borderId="6" xfId="1" applyNumberFormat="1" applyFont="1" applyFill="1" applyBorder="1" applyAlignment="1">
      <alignment horizontal="center"/>
    </xf>
    <xf numFmtId="0" fontId="46" fillId="2" borderId="86" xfId="0" applyFont="1" applyFill="1" applyBorder="1" applyAlignment="1">
      <alignment horizontal="center" vertical="center"/>
    </xf>
    <xf numFmtId="0" fontId="46" fillId="2" borderId="37" xfId="0" applyFont="1" applyFill="1" applyBorder="1" applyAlignment="1">
      <alignment horizontal="center" vertical="center"/>
    </xf>
    <xf numFmtId="0" fontId="46" fillId="2" borderId="96" xfId="0" applyFont="1" applyFill="1" applyBorder="1" applyAlignment="1">
      <alignment horizontal="center" vertical="center"/>
    </xf>
    <xf numFmtId="0" fontId="46" fillId="2" borderId="53" xfId="0" applyFont="1" applyFill="1" applyBorder="1" applyAlignment="1">
      <alignment horizontal="center" vertical="center"/>
    </xf>
    <xf numFmtId="7" fontId="2" fillId="2" borderId="26" xfId="0" applyNumberFormat="1" applyFont="1" applyFill="1" applyBorder="1"/>
    <xf numFmtId="7" fontId="42" fillId="3" borderId="2" xfId="0" applyNumberFormat="1" applyFont="1" applyFill="1" applyBorder="1"/>
    <xf numFmtId="0" fontId="46" fillId="2" borderId="37" xfId="3" applyFont="1" applyFill="1" applyBorder="1" applyAlignment="1">
      <alignment horizontal="center" vertical="center"/>
    </xf>
    <xf numFmtId="0" fontId="47" fillId="2" borderId="37" xfId="3" applyFont="1" applyFill="1" applyBorder="1" applyAlignment="1">
      <alignment horizontal="center" vertical="center"/>
    </xf>
    <xf numFmtId="0" fontId="46" fillId="2" borderId="61" xfId="3" applyFont="1" applyFill="1" applyBorder="1" applyAlignment="1">
      <alignment horizontal="center" vertical="center"/>
    </xf>
    <xf numFmtId="0" fontId="46" fillId="2" borderId="89" xfId="0" applyFont="1" applyFill="1" applyBorder="1" applyAlignment="1">
      <alignment horizontal="center" vertical="center"/>
    </xf>
    <xf numFmtId="164" fontId="2" fillId="2" borderId="2" xfId="0" applyNumberFormat="1" applyFont="1" applyFill="1" applyBorder="1"/>
    <xf numFmtId="7" fontId="42" fillId="3" borderId="2" xfId="0" applyNumberFormat="1" applyFont="1" applyFill="1" applyBorder="1" applyAlignment="1">
      <alignment horizontal="right"/>
    </xf>
    <xf numFmtId="7" fontId="2" fillId="2" borderId="6" xfId="1" applyNumberFormat="1" applyFont="1" applyFill="1" applyBorder="1" applyAlignment="1">
      <alignment horizontal="right"/>
    </xf>
    <xf numFmtId="7" fontId="42" fillId="3" borderId="6" xfId="0" applyNumberFormat="1" applyFont="1" applyFill="1" applyBorder="1" applyAlignment="1">
      <alignment horizontal="right"/>
    </xf>
    <xf numFmtId="0" fontId="7" fillId="2" borderId="0" xfId="3" applyFont="1" applyFill="1" applyBorder="1" applyAlignment="1"/>
    <xf numFmtId="0" fontId="7" fillId="2" borderId="8" xfId="3" applyFont="1" applyFill="1" applyBorder="1" applyAlignment="1"/>
    <xf numFmtId="7" fontId="42" fillId="3" borderId="6" xfId="1" applyNumberFormat="1" applyFont="1" applyFill="1" applyBorder="1"/>
    <xf numFmtId="7" fontId="2" fillId="2" borderId="0" xfId="1" applyNumberFormat="1" applyFont="1" applyFill="1" applyBorder="1" applyAlignment="1">
      <alignment horizontal="center"/>
    </xf>
    <xf numFmtId="7" fontId="9" fillId="3" borderId="6" xfId="0" applyNumberFormat="1" applyFont="1" applyFill="1" applyBorder="1"/>
    <xf numFmtId="0" fontId="46" fillId="2" borderId="61" xfId="0" applyFont="1" applyFill="1" applyBorder="1" applyAlignment="1">
      <alignment vertical="center"/>
    </xf>
    <xf numFmtId="0" fontId="46" fillId="2" borderId="98" xfId="0" applyFont="1" applyFill="1" applyBorder="1" applyAlignment="1">
      <alignment vertical="center"/>
    </xf>
    <xf numFmtId="44" fontId="2" fillId="3" borderId="2" xfId="1" applyFont="1" applyFill="1" applyBorder="1" applyAlignment="1">
      <alignment horizontal="center"/>
    </xf>
    <xf numFmtId="7" fontId="2" fillId="3" borderId="2" xfId="1" applyNumberFormat="1" applyFont="1" applyFill="1" applyBorder="1"/>
    <xf numFmtId="7" fontId="2" fillId="3" borderId="6" xfId="0" applyNumberFormat="1" applyFont="1" applyFill="1" applyBorder="1"/>
    <xf numFmtId="7" fontId="2" fillId="2" borderId="2" xfId="1" applyNumberFormat="1" applyFont="1" applyFill="1" applyBorder="1" applyAlignment="1">
      <alignment horizontal="right"/>
    </xf>
    <xf numFmtId="7" fontId="42" fillId="3" borderId="15" xfId="0" applyNumberFormat="1" applyFont="1" applyFill="1" applyBorder="1" applyAlignment="1">
      <alignment horizontal="right"/>
    </xf>
    <xf numFmtId="0" fontId="46" fillId="2" borderId="0" xfId="0" applyFont="1" applyFill="1" applyProtection="1">
      <protection hidden="1"/>
    </xf>
    <xf numFmtId="0" fontId="16" fillId="2" borderId="42" xfId="0" applyFont="1" applyFill="1" applyBorder="1" applyAlignment="1" applyProtection="1">
      <alignment horizontal="center" vertical="center"/>
      <protection hidden="1"/>
    </xf>
    <xf numFmtId="0" fontId="13" fillId="2" borderId="42" xfId="0" applyFont="1" applyFill="1" applyBorder="1" applyAlignment="1" applyProtection="1">
      <alignment horizontal="center"/>
      <protection hidden="1"/>
    </xf>
    <xf numFmtId="0" fontId="2" fillId="2" borderId="61" xfId="0" applyFont="1" applyFill="1" applyBorder="1" applyAlignment="1" applyProtection="1">
      <alignment horizontal="center" vertical="center" wrapText="1"/>
      <protection hidden="1"/>
    </xf>
    <xf numFmtId="167" fontId="2" fillId="2" borderId="6" xfId="0" applyNumberFormat="1" applyFont="1" applyFill="1" applyBorder="1" applyAlignment="1" applyProtection="1">
      <alignment horizontal="center" vertical="center"/>
      <protection hidden="1"/>
    </xf>
    <xf numFmtId="164" fontId="2" fillId="2" borderId="39" xfId="0" applyNumberFormat="1" applyFont="1" applyFill="1" applyBorder="1" applyAlignment="1" applyProtection="1">
      <alignment horizontal="center" vertical="center" wrapText="1"/>
      <protection hidden="1"/>
    </xf>
    <xf numFmtId="0" fontId="2" fillId="2" borderId="14" xfId="0" applyFont="1" applyFill="1" applyBorder="1" applyAlignment="1">
      <alignment horizontal="center"/>
    </xf>
    <xf numFmtId="0" fontId="16" fillId="2" borderId="9" xfId="0" applyFont="1" applyFill="1" applyBorder="1" applyAlignment="1" applyProtection="1">
      <alignment horizontal="center" vertical="center"/>
      <protection hidden="1"/>
    </xf>
    <xf numFmtId="0" fontId="13" fillId="2" borderId="9" xfId="0" applyFont="1" applyFill="1" applyBorder="1" applyAlignment="1" applyProtection="1">
      <alignment horizontal="center"/>
      <protection hidden="1"/>
    </xf>
    <xf numFmtId="0" fontId="9" fillId="2" borderId="61" xfId="0" applyFont="1" applyFill="1" applyBorder="1" applyAlignment="1" applyProtection="1">
      <alignment horizontal="center" vertical="center"/>
      <protection hidden="1"/>
    </xf>
    <xf numFmtId="0" fontId="9" fillId="2" borderId="100" xfId="0" applyFont="1" applyFill="1" applyBorder="1" applyAlignment="1" applyProtection="1">
      <alignment horizontal="center" vertical="center"/>
      <protection hidden="1"/>
    </xf>
    <xf numFmtId="0" fontId="2" fillId="2" borderId="41" xfId="0" applyFont="1" applyFill="1" applyBorder="1" applyAlignment="1">
      <alignment horizontal="center"/>
    </xf>
    <xf numFmtId="0" fontId="16" fillId="2" borderId="41" xfId="0" applyFont="1" applyFill="1" applyBorder="1" applyAlignment="1" applyProtection="1">
      <alignment horizontal="center" vertical="center"/>
      <protection hidden="1"/>
    </xf>
    <xf numFmtId="0" fontId="13" fillId="2" borderId="41" xfId="0" applyFont="1" applyFill="1" applyBorder="1" applyAlignment="1" applyProtection="1">
      <alignment horizontal="center"/>
      <protection hidden="1"/>
    </xf>
    <xf numFmtId="164" fontId="2" fillId="2" borderId="39" xfId="0" applyNumberFormat="1" applyFont="1" applyFill="1" applyBorder="1" applyAlignment="1" applyProtection="1">
      <alignment horizontal="center" vertical="center"/>
      <protection hidden="1"/>
    </xf>
    <xf numFmtId="0" fontId="46" fillId="2" borderId="37" xfId="0" applyFont="1" applyFill="1" applyBorder="1" applyProtection="1">
      <protection hidden="1"/>
    </xf>
    <xf numFmtId="7" fontId="2" fillId="3" borderId="6" xfId="1" applyNumberFormat="1" applyFont="1" applyFill="1" applyBorder="1" applyAlignment="1" applyProtection="1">
      <alignment horizontal="center"/>
      <protection hidden="1"/>
    </xf>
    <xf numFmtId="0" fontId="46" fillId="2" borderId="0" xfId="3" applyFont="1" applyFill="1" applyProtection="1">
      <protection hidden="1"/>
    </xf>
    <xf numFmtId="1" fontId="2" fillId="2" borderId="10" xfId="0" applyNumberFormat="1" applyFont="1" applyFill="1" applyBorder="1" applyAlignment="1" applyProtection="1">
      <alignment horizontal="center"/>
      <protection hidden="1"/>
    </xf>
    <xf numFmtId="0" fontId="2" fillId="3" borderId="18" xfId="0" applyFont="1" applyFill="1" applyBorder="1" applyAlignment="1" applyProtection="1">
      <alignment horizontal="center" vertical="center" textRotation="60"/>
      <protection hidden="1"/>
    </xf>
    <xf numFmtId="9" fontId="2" fillId="3" borderId="17" xfId="0" applyNumberFormat="1" applyFont="1" applyFill="1" applyBorder="1" applyAlignment="1" applyProtection="1">
      <alignment horizontal="center" vertical="center"/>
      <protection hidden="1"/>
    </xf>
    <xf numFmtId="8" fontId="2" fillId="3" borderId="17" xfId="0" applyNumberFormat="1" applyFont="1" applyFill="1" applyBorder="1" applyAlignment="1" applyProtection="1">
      <alignment horizontal="center" vertical="center"/>
      <protection hidden="1"/>
    </xf>
    <xf numFmtId="8" fontId="40" fillId="3" borderId="17" xfId="0" applyNumberFormat="1" applyFont="1" applyFill="1" applyBorder="1" applyAlignment="1" applyProtection="1">
      <alignment horizontal="center" vertical="center"/>
      <protection hidden="1"/>
    </xf>
    <xf numFmtId="8" fontId="14" fillId="3" borderId="17" xfId="0" applyNumberFormat="1" applyFont="1" applyFill="1" applyBorder="1" applyAlignment="1" applyProtection="1">
      <alignment horizontal="center" vertical="center"/>
      <protection hidden="1"/>
    </xf>
    <xf numFmtId="164" fontId="14" fillId="3" borderId="6" xfId="0" applyNumberFormat="1" applyFont="1" applyFill="1" applyBorder="1" applyAlignment="1" applyProtection="1">
      <alignment horizontal="center" vertical="center"/>
      <protection hidden="1"/>
    </xf>
    <xf numFmtId="164" fontId="13" fillId="3" borderId="9" xfId="0" applyNumberFormat="1" applyFont="1" applyFill="1" applyBorder="1" applyAlignment="1" applyProtection="1">
      <alignment horizontal="center" vertical="center"/>
      <protection hidden="1"/>
    </xf>
    <xf numFmtId="0" fontId="2" fillId="3" borderId="17" xfId="0" applyFont="1" applyFill="1" applyBorder="1" applyAlignment="1" applyProtection="1">
      <alignment horizontal="center" vertical="center" textRotation="60"/>
      <protection hidden="1"/>
    </xf>
    <xf numFmtId="0" fontId="9" fillId="3" borderId="17" xfId="0" applyFont="1" applyFill="1" applyBorder="1" applyAlignment="1" applyProtection="1">
      <alignment horizontal="center" vertical="center" textRotation="60"/>
      <protection hidden="1"/>
    </xf>
    <xf numFmtId="8" fontId="2" fillId="2" borderId="9" xfId="0" applyNumberFormat="1" applyFont="1" applyFill="1" applyBorder="1" applyAlignment="1" applyProtection="1">
      <alignment horizontal="center" vertical="center" wrapText="1"/>
      <protection hidden="1"/>
    </xf>
    <xf numFmtId="164" fontId="32" fillId="2" borderId="12" xfId="0" applyNumberFormat="1" applyFont="1" applyFill="1" applyBorder="1" applyProtection="1">
      <protection hidden="1"/>
    </xf>
    <xf numFmtId="0" fontId="2" fillId="2" borderId="102" xfId="0" applyFont="1" applyFill="1" applyBorder="1" applyProtection="1">
      <protection hidden="1"/>
    </xf>
    <xf numFmtId="164" fontId="9" fillId="2" borderId="37" xfId="0" applyNumberFormat="1" applyFont="1" applyFill="1" applyBorder="1" applyAlignment="1" applyProtection="1">
      <alignment horizontal="center" vertical="center"/>
      <protection hidden="1"/>
    </xf>
    <xf numFmtId="0" fontId="9" fillId="3" borderId="11" xfId="0" applyFont="1" applyFill="1" applyBorder="1" applyAlignment="1" applyProtection="1">
      <alignment horizontal="center" textRotation="60"/>
      <protection hidden="1"/>
    </xf>
    <xf numFmtId="0" fontId="24" fillId="2" borderId="16" xfId="0" applyFont="1" applyFill="1" applyBorder="1" applyAlignment="1" applyProtection="1">
      <alignment vertical="center"/>
      <protection hidden="1"/>
    </xf>
    <xf numFmtId="164" fontId="26" fillId="3" borderId="0" xfId="9" applyNumberFormat="1" applyFont="1" applyFill="1" applyBorder="1" applyProtection="1">
      <protection hidden="1"/>
    </xf>
    <xf numFmtId="164" fontId="26" fillId="3" borderId="28" xfId="9" applyNumberFormat="1" applyFont="1" applyFill="1" applyBorder="1" applyProtection="1">
      <protection hidden="1"/>
    </xf>
    <xf numFmtId="164" fontId="26" fillId="3" borderId="30" xfId="9" applyNumberFormat="1" applyFont="1" applyFill="1" applyBorder="1" applyProtection="1">
      <protection hidden="1"/>
    </xf>
    <xf numFmtId="164" fontId="26" fillId="3" borderId="31" xfId="9" applyNumberFormat="1" applyFont="1" applyFill="1" applyBorder="1" applyAlignment="1" applyProtection="1">
      <alignment horizontal="center" vertical="center" wrapText="1" shrinkToFit="1"/>
      <protection hidden="1"/>
    </xf>
    <xf numFmtId="9" fontId="29" fillId="3" borderId="34" xfId="9" applyNumberFormat="1" applyFont="1" applyFill="1" applyBorder="1" applyAlignment="1" applyProtection="1">
      <alignment horizontal="center" vertical="center" wrapText="1" shrinkToFit="1"/>
      <protection hidden="1"/>
    </xf>
    <xf numFmtId="4" fontId="27" fillId="3" borderId="32" xfId="9" applyNumberFormat="1" applyFont="1" applyFill="1" applyBorder="1" applyAlignment="1" applyProtection="1">
      <alignment horizontal="center"/>
      <protection hidden="1"/>
    </xf>
    <xf numFmtId="164" fontId="26" fillId="3" borderId="68" xfId="9" applyNumberFormat="1" applyFont="1" applyFill="1" applyBorder="1" applyProtection="1">
      <protection hidden="1"/>
    </xf>
    <xf numFmtId="164" fontId="26" fillId="3" borderId="69" xfId="9" applyNumberFormat="1" applyFont="1" applyFill="1" applyBorder="1" applyProtection="1">
      <protection hidden="1"/>
    </xf>
    <xf numFmtId="164" fontId="26" fillId="3" borderId="70" xfId="9" applyNumberFormat="1" applyFont="1" applyFill="1" applyBorder="1" applyProtection="1">
      <protection hidden="1"/>
    </xf>
    <xf numFmtId="164" fontId="26" fillId="3" borderId="31" xfId="9" applyNumberFormat="1" applyFont="1" applyFill="1" applyBorder="1" applyAlignment="1" applyProtection="1">
      <alignment horizontal="center" vertical="center"/>
      <protection hidden="1"/>
    </xf>
    <xf numFmtId="9" fontId="28" fillId="3" borderId="34" xfId="9" applyNumberFormat="1" applyFont="1" applyFill="1" applyBorder="1" applyAlignment="1" applyProtection="1">
      <alignment horizontal="center" vertical="center"/>
      <protection hidden="1"/>
    </xf>
    <xf numFmtId="10" fontId="29" fillId="3" borderId="34" xfId="9" applyNumberFormat="1" applyFont="1" applyFill="1" applyBorder="1" applyAlignment="1" applyProtection="1">
      <alignment horizontal="center" vertical="center" wrapText="1"/>
      <protection hidden="1"/>
    </xf>
    <xf numFmtId="0" fontId="25" fillId="2" borderId="0" xfId="0" applyFont="1" applyFill="1" applyProtection="1">
      <protection hidden="1"/>
    </xf>
    <xf numFmtId="164" fontId="26" fillId="3" borderId="68" xfId="9" applyNumberFormat="1" applyFont="1" applyFill="1" applyBorder="1" applyAlignment="1" applyProtection="1">
      <alignment vertical="center"/>
      <protection hidden="1"/>
    </xf>
    <xf numFmtId="0" fontId="24" fillId="2" borderId="16" xfId="0" applyFont="1" applyFill="1" applyBorder="1" applyAlignment="1" applyProtection="1">
      <alignment horizontal="left" vertical="center"/>
      <protection hidden="1"/>
    </xf>
    <xf numFmtId="0" fontId="48" fillId="2" borderId="16" xfId="0" applyFont="1" applyFill="1" applyBorder="1" applyProtection="1">
      <protection hidden="1"/>
    </xf>
    <xf numFmtId="0" fontId="24" fillId="2" borderId="16" xfId="0" applyFont="1" applyFill="1" applyBorder="1" applyProtection="1">
      <protection hidden="1"/>
    </xf>
    <xf numFmtId="164" fontId="2" fillId="2" borderId="92" xfId="0" applyNumberFormat="1" applyFont="1" applyFill="1" applyBorder="1" applyAlignment="1" applyProtection="1">
      <alignment horizontal="center" vertical="center"/>
      <protection hidden="1"/>
    </xf>
    <xf numFmtId="164" fontId="2" fillId="3" borderId="61" xfId="0" applyNumberFormat="1" applyFont="1" applyFill="1" applyBorder="1" applyAlignment="1" applyProtection="1">
      <alignment horizontal="center" vertical="center"/>
      <protection hidden="1"/>
    </xf>
    <xf numFmtId="7" fontId="2" fillId="3" borderId="43" xfId="1" applyNumberFormat="1" applyFont="1" applyFill="1" applyBorder="1" applyAlignment="1" applyProtection="1">
      <alignment horizontal="center"/>
      <protection hidden="1"/>
    </xf>
    <xf numFmtId="0" fontId="2" fillId="2" borderId="1" xfId="0" applyFont="1" applyFill="1" applyBorder="1" applyAlignment="1" applyProtection="1">
      <alignment horizontal="center" vertical="center"/>
      <protection hidden="1"/>
    </xf>
    <xf numFmtId="164" fontId="2" fillId="2" borderId="1" xfId="0" applyNumberFormat="1" applyFont="1" applyFill="1" applyBorder="1" applyAlignment="1" applyProtection="1">
      <alignment horizontal="center" vertical="center" wrapText="1"/>
      <protection hidden="1"/>
    </xf>
    <xf numFmtId="164" fontId="2" fillId="2" borderId="1" xfId="0" applyNumberFormat="1" applyFont="1" applyFill="1" applyBorder="1" applyAlignment="1" applyProtection="1">
      <alignment horizontal="center"/>
      <protection hidden="1"/>
    </xf>
    <xf numFmtId="8" fontId="2" fillId="2" borderId="1" xfId="0" applyNumberFormat="1" applyFont="1" applyFill="1" applyBorder="1" applyAlignment="1" applyProtection="1">
      <alignment horizontal="center"/>
      <protection hidden="1"/>
    </xf>
    <xf numFmtId="1" fontId="2" fillId="2" borderId="1" xfId="0" applyNumberFormat="1" applyFont="1" applyFill="1" applyBorder="1" applyAlignment="1" applyProtection="1">
      <alignment horizontal="center"/>
      <protection hidden="1"/>
    </xf>
    <xf numFmtId="164" fontId="2" fillId="2" borderId="1" xfId="0" applyNumberFormat="1" applyFont="1" applyFill="1" applyBorder="1" applyAlignment="1" applyProtection="1">
      <alignment horizontal="center" vertical="center"/>
      <protection hidden="1"/>
    </xf>
    <xf numFmtId="164" fontId="2" fillId="2" borderId="14" xfId="0" applyNumberFormat="1" applyFont="1" applyFill="1" applyBorder="1" applyAlignment="1" applyProtection="1">
      <alignment horizontal="center" vertical="center"/>
      <protection hidden="1"/>
    </xf>
    <xf numFmtId="8" fontId="2" fillId="3" borderId="103" xfId="0" applyNumberFormat="1" applyFont="1" applyFill="1" applyBorder="1" applyAlignment="1" applyProtection="1">
      <alignment horizontal="center" vertical="center"/>
      <protection hidden="1"/>
    </xf>
    <xf numFmtId="164" fontId="13" fillId="3" borderId="106" xfId="0" applyNumberFormat="1" applyFont="1" applyFill="1" applyBorder="1" applyAlignment="1" applyProtection="1">
      <alignment horizontal="center" vertical="center"/>
      <protection hidden="1"/>
    </xf>
    <xf numFmtId="8" fontId="40" fillId="3" borderId="107" xfId="0" applyNumberFormat="1" applyFont="1" applyFill="1" applyBorder="1" applyAlignment="1" applyProtection="1">
      <alignment horizontal="center" vertical="center"/>
      <protection hidden="1"/>
    </xf>
    <xf numFmtId="0" fontId="0" fillId="2" borderId="46" xfId="0" applyFill="1" applyBorder="1"/>
    <xf numFmtId="0" fontId="50" fillId="8" borderId="111" xfId="0" applyFont="1" applyFill="1" applyBorder="1" applyAlignment="1">
      <alignment horizontal="center" vertical="center"/>
    </xf>
    <xf numFmtId="0" fontId="51" fillId="8" borderId="113" xfId="0" applyFont="1" applyFill="1" applyBorder="1" applyAlignment="1">
      <alignment horizontal="center" vertical="center"/>
    </xf>
    <xf numFmtId="0" fontId="52" fillId="8" borderId="115" xfId="0" quotePrefix="1" applyFont="1" applyFill="1" applyBorder="1" applyAlignment="1">
      <alignment horizontal="center" vertical="center"/>
    </xf>
    <xf numFmtId="2" fontId="52" fillId="8" borderId="117" xfId="0" applyNumberFormat="1" applyFont="1" applyFill="1" applyBorder="1" applyAlignment="1">
      <alignment horizontal="center" vertical="center"/>
    </xf>
    <xf numFmtId="3" fontId="52" fillId="8" borderId="117" xfId="0" applyNumberFormat="1" applyFont="1" applyFill="1" applyBorder="1" applyAlignment="1">
      <alignment horizontal="center" vertical="center"/>
    </xf>
    <xf numFmtId="3" fontId="52" fillId="8" borderId="71" xfId="0" applyNumberFormat="1" applyFont="1" applyFill="1" applyBorder="1" applyAlignment="1">
      <alignment horizontal="center" vertical="center"/>
    </xf>
    <xf numFmtId="172" fontId="52" fillId="11" borderId="119" xfId="0" applyNumberFormat="1" applyFont="1" applyFill="1" applyBorder="1" applyAlignment="1">
      <alignment horizontal="center" vertical="center"/>
    </xf>
    <xf numFmtId="0" fontId="51" fillId="8" borderId="118" xfId="0" applyFont="1" applyFill="1" applyBorder="1" applyAlignment="1">
      <alignment horizontal="center" vertical="center"/>
    </xf>
    <xf numFmtId="0" fontId="51" fillId="8" borderId="119" xfId="0" applyFont="1" applyFill="1" applyBorder="1" applyAlignment="1">
      <alignment horizontal="center" vertical="center"/>
    </xf>
    <xf numFmtId="3" fontId="52" fillId="11" borderId="119" xfId="0" applyNumberFormat="1" applyFont="1" applyFill="1" applyBorder="1" applyAlignment="1">
      <alignment horizontal="center" vertical="center"/>
    </xf>
    <xf numFmtId="0" fontId="51" fillId="8" borderId="120" xfId="0" applyFont="1" applyFill="1" applyBorder="1" applyAlignment="1">
      <alignment horizontal="center" vertical="center"/>
    </xf>
    <xf numFmtId="3" fontId="53" fillId="2" borderId="100" xfId="0" applyNumberFormat="1" applyFont="1" applyFill="1" applyBorder="1" applyAlignment="1">
      <alignment horizontal="center" vertical="center"/>
    </xf>
    <xf numFmtId="0" fontId="53" fillId="2" borderId="126" xfId="0" applyFont="1" applyFill="1" applyBorder="1" applyAlignment="1">
      <alignment horizontal="center" vertical="center"/>
    </xf>
    <xf numFmtId="172" fontId="53" fillId="2" borderId="126" xfId="0" applyNumberFormat="1" applyFont="1" applyFill="1" applyBorder="1" applyAlignment="1">
      <alignment horizontal="center" vertical="center"/>
    </xf>
    <xf numFmtId="3" fontId="36" fillId="11" borderId="123" xfId="0" applyNumberFormat="1" applyFont="1" applyFill="1" applyBorder="1" applyAlignment="1" applyProtection="1">
      <alignment horizontal="center" vertical="center"/>
      <protection hidden="1"/>
    </xf>
    <xf numFmtId="3" fontId="36" fillId="2" borderId="100" xfId="0" applyNumberFormat="1" applyFont="1" applyFill="1" applyBorder="1" applyAlignment="1" applyProtection="1">
      <alignment horizontal="center" vertical="center"/>
      <protection hidden="1"/>
    </xf>
    <xf numFmtId="3" fontId="36" fillId="2" borderId="126" xfId="0" applyNumberFormat="1" applyFont="1" applyFill="1" applyBorder="1" applyAlignment="1" applyProtection="1">
      <alignment horizontal="center" vertical="center"/>
      <protection hidden="1"/>
    </xf>
    <xf numFmtId="2" fontId="36" fillId="2" borderId="126" xfId="0" applyNumberFormat="1" applyFont="1" applyFill="1" applyBorder="1" applyAlignment="1" applyProtection="1">
      <alignment horizontal="center" vertical="center"/>
      <protection hidden="1"/>
    </xf>
    <xf numFmtId="0" fontId="0" fillId="2" borderId="126" xfId="0" applyFill="1" applyBorder="1"/>
    <xf numFmtId="3" fontId="36" fillId="2" borderId="62" xfId="0" applyNumberFormat="1" applyFont="1" applyFill="1" applyBorder="1" applyAlignment="1" applyProtection="1">
      <alignment horizontal="center" vertical="center"/>
      <protection hidden="1"/>
    </xf>
    <xf numFmtId="2" fontId="36" fillId="2" borderId="62" xfId="0" applyNumberFormat="1" applyFont="1" applyFill="1" applyBorder="1" applyAlignment="1" applyProtection="1">
      <alignment horizontal="center" vertical="center"/>
      <protection hidden="1"/>
    </xf>
    <xf numFmtId="0" fontId="50" fillId="2" borderId="0" xfId="0" applyFont="1" applyFill="1" applyAlignment="1">
      <alignment horizontal="center" vertical="center"/>
    </xf>
    <xf numFmtId="0" fontId="52" fillId="2" borderId="0" xfId="0" quotePrefix="1" applyFont="1" applyFill="1" applyAlignment="1">
      <alignment horizontal="center" vertical="center"/>
    </xf>
    <xf numFmtId="2" fontId="52" fillId="2" borderId="0" xfId="0" applyNumberFormat="1" applyFont="1" applyFill="1" applyAlignment="1">
      <alignment horizontal="center" vertical="center"/>
    </xf>
    <xf numFmtId="3" fontId="52" fillId="2" borderId="0" xfId="0" applyNumberFormat="1" applyFont="1" applyFill="1" applyAlignment="1">
      <alignment horizontal="center" vertical="center"/>
    </xf>
    <xf numFmtId="0" fontId="36" fillId="2" borderId="0" xfId="0" applyFont="1" applyFill="1" applyAlignment="1">
      <alignment horizontal="center" vertical="center"/>
    </xf>
    <xf numFmtId="2" fontId="36" fillId="2" borderId="0" xfId="0" applyNumberFormat="1" applyFont="1" applyFill="1" applyAlignment="1" applyProtection="1">
      <alignment horizontal="center" vertical="center"/>
      <protection hidden="1"/>
    </xf>
    <xf numFmtId="0" fontId="51" fillId="8" borderId="128" xfId="0" applyFont="1" applyFill="1" applyBorder="1" applyAlignment="1">
      <alignment horizontal="center" vertical="center"/>
    </xf>
    <xf numFmtId="3" fontId="53" fillId="11" borderId="129" xfId="0" applyNumberFormat="1" applyFont="1" applyFill="1" applyBorder="1" applyAlignment="1" applyProtection="1">
      <alignment horizontal="center" vertical="center"/>
      <protection hidden="1"/>
    </xf>
    <xf numFmtId="172" fontId="53" fillId="2" borderId="86" xfId="0" applyNumberFormat="1" applyFont="1" applyFill="1" applyBorder="1" applyAlignment="1">
      <alignment horizontal="center" vertical="center"/>
    </xf>
    <xf numFmtId="3" fontId="36" fillId="11" borderId="129" xfId="0" applyNumberFormat="1" applyFont="1" applyFill="1" applyBorder="1" applyAlignment="1" applyProtection="1">
      <alignment horizontal="center" vertical="center"/>
      <protection hidden="1"/>
    </xf>
    <xf numFmtId="0" fontId="52" fillId="8" borderId="131" xfId="0" applyFont="1" applyFill="1" applyBorder="1" applyAlignment="1">
      <alignment horizontal="center" vertical="center"/>
    </xf>
    <xf numFmtId="0" fontId="51" fillId="8" borderId="131" xfId="0" applyFont="1" applyFill="1" applyBorder="1" applyAlignment="1">
      <alignment horizontal="center" vertical="center"/>
    </xf>
    <xf numFmtId="4" fontId="36" fillId="2" borderId="86" xfId="0" applyNumberFormat="1" applyFont="1" applyFill="1" applyBorder="1" applyAlignment="1" applyProtection="1">
      <alignment horizontal="center" vertical="center"/>
      <protection hidden="1"/>
    </xf>
    <xf numFmtId="2" fontId="36" fillId="2" borderId="86" xfId="0" applyNumberFormat="1" applyFont="1" applyFill="1" applyBorder="1" applyAlignment="1" applyProtection="1">
      <alignment horizontal="center" vertical="center"/>
      <protection hidden="1"/>
    </xf>
    <xf numFmtId="3" fontId="36" fillId="11" borderId="133" xfId="0" applyNumberFormat="1" applyFont="1" applyFill="1" applyBorder="1" applyAlignment="1" applyProtection="1">
      <alignment horizontal="center" vertical="center"/>
      <protection hidden="1"/>
    </xf>
    <xf numFmtId="0" fontId="51" fillId="8" borderId="111" xfId="0" applyFont="1" applyFill="1" applyBorder="1" applyAlignment="1">
      <alignment horizontal="center" vertical="center"/>
    </xf>
    <xf numFmtId="0" fontId="51" fillId="8" borderId="112" xfId="0" applyFont="1" applyFill="1" applyBorder="1" applyAlignment="1">
      <alignment horizontal="center" vertical="center"/>
    </xf>
    <xf numFmtId="0" fontId="52" fillId="8" borderId="71" xfId="0" applyFont="1" applyFill="1" applyBorder="1" applyAlignment="1">
      <alignment horizontal="center" vertical="center"/>
    </xf>
    <xf numFmtId="173" fontId="51" fillId="8" borderId="113" xfId="0" applyNumberFormat="1" applyFont="1" applyFill="1" applyBorder="1" applyAlignment="1">
      <alignment horizontal="center" vertical="center"/>
    </xf>
    <xf numFmtId="0" fontId="52" fillId="2" borderId="0" xfId="0" applyFont="1" applyFill="1" applyAlignment="1">
      <alignment horizontal="center" vertical="center"/>
    </xf>
    <xf numFmtId="0" fontId="51" fillId="2" borderId="0" xfId="0" applyFont="1" applyFill="1" applyAlignment="1">
      <alignment horizontal="center" vertical="center"/>
    </xf>
    <xf numFmtId="3" fontId="36" fillId="2" borderId="0" xfId="0" applyNumberFormat="1" applyFont="1" applyFill="1" applyAlignment="1" applyProtection="1">
      <alignment horizontal="center" vertical="center"/>
      <protection hidden="1"/>
    </xf>
    <xf numFmtId="3" fontId="53" fillId="2" borderId="0" xfId="0" applyNumberFormat="1" applyFont="1" applyFill="1" applyAlignment="1">
      <alignment horizontal="center" vertical="center"/>
    </xf>
    <xf numFmtId="3" fontId="36" fillId="11" borderId="132" xfId="0" applyNumberFormat="1" applyFont="1" applyFill="1" applyBorder="1" applyAlignment="1" applyProtection="1">
      <alignment horizontal="center" vertical="center"/>
      <protection hidden="1"/>
    </xf>
    <xf numFmtId="1" fontId="36" fillId="11" borderId="132" xfId="0" applyNumberFormat="1" applyFont="1" applyFill="1" applyBorder="1" applyAlignment="1" applyProtection="1">
      <alignment horizontal="center" vertical="center"/>
      <protection hidden="1"/>
    </xf>
    <xf numFmtId="1" fontId="36" fillId="11" borderId="137" xfId="0" applyNumberFormat="1" applyFont="1" applyFill="1" applyBorder="1" applyAlignment="1" applyProtection="1">
      <alignment horizontal="center" vertical="center"/>
      <protection hidden="1"/>
    </xf>
    <xf numFmtId="3" fontId="53" fillId="11" borderId="138" xfId="0" applyNumberFormat="1" applyFont="1" applyFill="1" applyBorder="1" applyAlignment="1">
      <alignment horizontal="center" vertical="center"/>
    </xf>
    <xf numFmtId="3" fontId="36" fillId="2" borderId="86" xfId="0" applyNumberFormat="1" applyFont="1" applyFill="1" applyBorder="1" applyAlignment="1" applyProtection="1">
      <alignment horizontal="center" vertical="center"/>
      <protection hidden="1"/>
    </xf>
    <xf numFmtId="0" fontId="52" fillId="8" borderId="73" xfId="0" applyFont="1" applyFill="1" applyBorder="1" applyAlignment="1">
      <alignment horizontal="center" vertical="center"/>
    </xf>
    <xf numFmtId="173" fontId="51" fillId="8" borderId="120" xfId="0" applyNumberFormat="1" applyFont="1" applyFill="1" applyBorder="1" applyAlignment="1">
      <alignment horizontal="center" vertical="center"/>
    </xf>
    <xf numFmtId="3" fontId="53" fillId="11" borderId="117" xfId="0" applyNumberFormat="1" applyFont="1" applyFill="1" applyBorder="1" applyAlignment="1">
      <alignment horizontal="center" vertical="center"/>
    </xf>
    <xf numFmtId="3" fontId="53" fillId="11" borderId="138" xfId="0" applyNumberFormat="1" applyFont="1" applyFill="1" applyBorder="1" applyAlignment="1" applyProtection="1">
      <alignment horizontal="center" vertical="center"/>
      <protection hidden="1"/>
    </xf>
    <xf numFmtId="0" fontId="0" fillId="2" borderId="0" xfId="0" applyFill="1" applyAlignment="1">
      <alignment vertical="center"/>
    </xf>
    <xf numFmtId="0" fontId="0" fillId="2" borderId="60" xfId="0" applyFill="1" applyBorder="1" applyProtection="1">
      <protection hidden="1"/>
    </xf>
    <xf numFmtId="0" fontId="46" fillId="2" borderId="0" xfId="3" applyFont="1" applyFill="1" applyAlignment="1" applyProtection="1">
      <alignment horizontal="center"/>
      <protection hidden="1"/>
    </xf>
    <xf numFmtId="0" fontId="32" fillId="2" borderId="0" xfId="0" applyFont="1" applyFill="1" applyProtection="1">
      <protection hidden="1"/>
    </xf>
    <xf numFmtId="0" fontId="2" fillId="2" borderId="9" xfId="0" applyFont="1" applyFill="1" applyBorder="1" applyAlignment="1" applyProtection="1">
      <alignment horizontal="center"/>
      <protection hidden="1"/>
    </xf>
    <xf numFmtId="0" fontId="0" fillId="2" borderId="60" xfId="0" applyFill="1" applyBorder="1" applyAlignment="1" applyProtection="1">
      <alignment horizontal="center"/>
      <protection hidden="1"/>
    </xf>
    <xf numFmtId="0" fontId="0" fillId="2" borderId="0" xfId="0" applyFill="1" applyAlignment="1" applyProtection="1">
      <alignment horizontal="center"/>
      <protection hidden="1"/>
    </xf>
    <xf numFmtId="0" fontId="2" fillId="2" borderId="1" xfId="0" applyFont="1" applyFill="1" applyBorder="1" applyAlignment="1" applyProtection="1">
      <alignment horizontal="center"/>
      <protection hidden="1"/>
    </xf>
    <xf numFmtId="0" fontId="0" fillId="2" borderId="6" xfId="0" applyFill="1" applyBorder="1" applyAlignment="1" applyProtection="1">
      <alignment horizontal="center"/>
      <protection hidden="1"/>
    </xf>
    <xf numFmtId="0" fontId="2" fillId="2" borderId="6" xfId="0" applyFont="1" applyFill="1" applyBorder="1" applyAlignment="1" applyProtection="1">
      <alignment horizontal="center"/>
      <protection hidden="1"/>
    </xf>
    <xf numFmtId="0" fontId="2" fillId="3" borderId="6" xfId="0" applyFont="1" applyFill="1" applyBorder="1" applyAlignment="1" applyProtection="1">
      <alignment horizontal="center"/>
      <protection hidden="1"/>
    </xf>
    <xf numFmtId="7" fontId="2" fillId="2" borderId="6" xfId="0" applyNumberFormat="1" applyFont="1" applyFill="1" applyBorder="1" applyAlignment="1" applyProtection="1">
      <alignment horizontal="center"/>
      <protection hidden="1"/>
    </xf>
    <xf numFmtId="7" fontId="2" fillId="2" borderId="6" xfId="1" applyNumberFormat="1" applyFont="1" applyFill="1" applyBorder="1" applyAlignment="1" applyProtection="1">
      <alignment horizontal="center"/>
      <protection hidden="1"/>
    </xf>
    <xf numFmtId="164" fontId="2" fillId="2" borderId="6" xfId="1" applyNumberFormat="1" applyFont="1" applyFill="1" applyBorder="1" applyAlignment="1" applyProtection="1">
      <alignment horizontal="center"/>
      <protection hidden="1"/>
    </xf>
    <xf numFmtId="7" fontId="2" fillId="3" borderId="6" xfId="0" applyNumberFormat="1" applyFont="1" applyFill="1" applyBorder="1" applyAlignment="1" applyProtection="1">
      <alignment horizontal="center"/>
      <protection hidden="1"/>
    </xf>
    <xf numFmtId="7" fontId="2" fillId="2" borderId="15" xfId="0" applyNumberFormat="1" applyFont="1" applyFill="1" applyBorder="1" applyAlignment="1" applyProtection="1">
      <alignment horizontal="center"/>
      <protection hidden="1"/>
    </xf>
    <xf numFmtId="0" fontId="13" fillId="2" borderId="9" xfId="3" applyFont="1" applyFill="1" applyBorder="1" applyAlignment="1" applyProtection="1">
      <alignment horizontal="center"/>
      <protection hidden="1"/>
    </xf>
    <xf numFmtId="0" fontId="13" fillId="2" borderId="9" xfId="3" applyFont="1" applyFill="1" applyBorder="1" applyAlignment="1" applyProtection="1">
      <protection hidden="1"/>
    </xf>
    <xf numFmtId="0" fontId="13" fillId="2" borderId="87" xfId="3" applyFont="1" applyFill="1" applyBorder="1" applyAlignment="1" applyProtection="1">
      <alignment horizontal="center"/>
      <protection hidden="1"/>
    </xf>
    <xf numFmtId="0" fontId="9" fillId="2" borderId="87" xfId="0" applyFont="1" applyFill="1" applyBorder="1" applyAlignment="1" applyProtection="1">
      <alignment horizontal="center"/>
      <protection hidden="1"/>
    </xf>
    <xf numFmtId="0" fontId="13" fillId="2" borderId="99" xfId="3" applyFont="1" applyFill="1" applyBorder="1" applyAlignment="1" applyProtection="1">
      <alignment horizontal="center"/>
      <protection hidden="1"/>
    </xf>
    <xf numFmtId="0" fontId="13" fillId="2" borderId="0" xfId="3" applyFont="1" applyFill="1" applyAlignment="1" applyProtection="1">
      <alignment horizontal="center"/>
      <protection hidden="1"/>
    </xf>
    <xf numFmtId="44" fontId="2" fillId="2" borderId="6" xfId="0" applyNumberFormat="1" applyFont="1" applyFill="1" applyBorder="1" applyAlignment="1" applyProtection="1">
      <alignment horizontal="center"/>
      <protection hidden="1"/>
    </xf>
    <xf numFmtId="0" fontId="14" fillId="3" borderId="9" xfId="0" applyFont="1" applyFill="1" applyBorder="1" applyAlignment="1" applyProtection="1">
      <alignment horizontal="center" vertical="center"/>
      <protection hidden="1"/>
    </xf>
    <xf numFmtId="0" fontId="9" fillId="2" borderId="6" xfId="0" applyFont="1" applyFill="1" applyBorder="1" applyAlignment="1" applyProtection="1">
      <alignment horizontal="center"/>
      <protection hidden="1"/>
    </xf>
    <xf numFmtId="0" fontId="12" fillId="2" borderId="0" xfId="0" applyFont="1" applyFill="1" applyProtection="1">
      <protection hidden="1"/>
    </xf>
    <xf numFmtId="0" fontId="12" fillId="2" borderId="46" xfId="0" applyFont="1" applyFill="1" applyBorder="1" applyProtection="1">
      <protection hidden="1"/>
    </xf>
    <xf numFmtId="0" fontId="12" fillId="2" borderId="16" xfId="0" applyFont="1" applyFill="1" applyBorder="1" applyProtection="1">
      <protection hidden="1"/>
    </xf>
    <xf numFmtId="0" fontId="12" fillId="2" borderId="47" xfId="0" applyFont="1" applyFill="1" applyBorder="1" applyProtection="1">
      <protection hidden="1"/>
    </xf>
    <xf numFmtId="0" fontId="0" fillId="2" borderId="12" xfId="0" applyFill="1" applyBorder="1" applyProtection="1">
      <protection hidden="1"/>
    </xf>
    <xf numFmtId="0" fontId="0" fillId="2" borderId="48" xfId="0" applyFill="1" applyBorder="1" applyProtection="1">
      <protection hidden="1"/>
    </xf>
    <xf numFmtId="0" fontId="0" fillId="2" borderId="52" xfId="0" applyFill="1" applyBorder="1" applyProtection="1">
      <protection hidden="1"/>
    </xf>
    <xf numFmtId="0" fontId="0" fillId="2" borderId="145" xfId="0" applyFill="1" applyBorder="1" applyProtection="1">
      <protection hidden="1"/>
    </xf>
    <xf numFmtId="0" fontId="0" fillId="2" borderId="49" xfId="0" applyFill="1" applyBorder="1" applyProtection="1">
      <protection hidden="1"/>
    </xf>
    <xf numFmtId="0" fontId="0" fillId="2" borderId="55" xfId="0" applyFill="1" applyBorder="1" applyProtection="1">
      <protection hidden="1"/>
    </xf>
    <xf numFmtId="14" fontId="2" fillId="2" borderId="60" xfId="0" applyNumberFormat="1" applyFont="1" applyFill="1" applyBorder="1" applyProtection="1">
      <protection hidden="1"/>
    </xf>
    <xf numFmtId="0" fontId="2" fillId="2" borderId="55" xfId="0" applyFont="1" applyFill="1" applyBorder="1" applyProtection="1">
      <protection hidden="1"/>
    </xf>
    <xf numFmtId="14" fontId="2" fillId="2" borderId="6" xfId="0" applyNumberFormat="1" applyFont="1" applyFill="1" applyBorder="1" applyAlignment="1" applyProtection="1">
      <alignment horizontal="center"/>
      <protection hidden="1"/>
    </xf>
    <xf numFmtId="14" fontId="2" fillId="2" borderId="9" xfId="0" applyNumberFormat="1" applyFont="1" applyFill="1" applyBorder="1" applyAlignment="1" applyProtection="1">
      <alignment horizontal="center"/>
      <protection hidden="1"/>
    </xf>
    <xf numFmtId="7" fontId="2" fillId="2" borderId="9" xfId="1" applyNumberFormat="1" applyFont="1" applyFill="1" applyBorder="1" applyProtection="1">
      <protection hidden="1"/>
    </xf>
    <xf numFmtId="7" fontId="2" fillId="2" borderId="9" xfId="0" applyNumberFormat="1" applyFont="1" applyFill="1" applyBorder="1" applyProtection="1">
      <protection hidden="1"/>
    </xf>
    <xf numFmtId="1" fontId="32" fillId="2" borderId="60" xfId="0" applyNumberFormat="1" applyFont="1" applyFill="1" applyBorder="1" applyAlignment="1" applyProtection="1">
      <alignment horizontal="center"/>
      <protection hidden="1"/>
    </xf>
    <xf numFmtId="14" fontId="2" fillId="2" borderId="6" xfId="0" applyNumberFormat="1" applyFont="1" applyFill="1" applyBorder="1" applyProtection="1">
      <protection hidden="1"/>
    </xf>
    <xf numFmtId="7" fontId="2" fillId="2" borderId="9" xfId="1" applyNumberFormat="1" applyFont="1" applyFill="1" applyBorder="1" applyAlignment="1" applyProtection="1">
      <alignment horizontal="center"/>
      <protection hidden="1"/>
    </xf>
    <xf numFmtId="1" fontId="32" fillId="2" borderId="55" xfId="0" applyNumberFormat="1" applyFont="1" applyFill="1" applyBorder="1" applyAlignment="1" applyProtection="1">
      <alignment horizontal="center"/>
      <protection hidden="1"/>
    </xf>
    <xf numFmtId="14" fontId="2" fillId="2" borderId="14" xfId="0" applyNumberFormat="1" applyFont="1" applyFill="1" applyBorder="1" applyAlignment="1" applyProtection="1">
      <alignment horizontal="center"/>
      <protection hidden="1"/>
    </xf>
    <xf numFmtId="0" fontId="2" fillId="2" borderId="14" xfId="0" applyFont="1" applyFill="1" applyBorder="1" applyAlignment="1" applyProtection="1">
      <alignment horizontal="center"/>
      <protection hidden="1"/>
    </xf>
    <xf numFmtId="7" fontId="2" fillId="2" borderId="14" xfId="1" applyNumberFormat="1" applyFont="1" applyFill="1" applyBorder="1" applyProtection="1">
      <protection hidden="1"/>
    </xf>
    <xf numFmtId="14" fontId="2" fillId="2" borderId="1" xfId="0" applyNumberFormat="1" applyFont="1" applyFill="1" applyBorder="1" applyAlignment="1" applyProtection="1">
      <alignment horizontal="center"/>
      <protection hidden="1"/>
    </xf>
    <xf numFmtId="7" fontId="2" fillId="2" borderId="14" xfId="0" applyNumberFormat="1" applyFont="1" applyFill="1" applyBorder="1" applyProtection="1">
      <protection hidden="1"/>
    </xf>
    <xf numFmtId="7" fontId="9" fillId="2" borderId="59" xfId="1" applyNumberFormat="1" applyFont="1" applyFill="1" applyBorder="1" applyAlignment="1" applyProtection="1">
      <alignment horizontal="right"/>
      <protection hidden="1"/>
    </xf>
    <xf numFmtId="7" fontId="9" fillId="2" borderId="44" xfId="0" applyNumberFormat="1" applyFont="1" applyFill="1" applyBorder="1" applyProtection="1">
      <protection hidden="1"/>
    </xf>
    <xf numFmtId="1" fontId="32" fillId="2" borderId="142" xfId="0" applyNumberFormat="1" applyFont="1" applyFill="1" applyBorder="1" applyAlignment="1" applyProtection="1">
      <alignment horizontal="center"/>
      <protection hidden="1"/>
    </xf>
    <xf numFmtId="7" fontId="9" fillId="2" borderId="59" xfId="0" applyNumberFormat="1" applyFont="1" applyFill="1" applyBorder="1" applyProtection="1">
      <protection hidden="1"/>
    </xf>
    <xf numFmtId="1" fontId="32" fillId="2" borderId="146" xfId="0" applyNumberFormat="1" applyFont="1" applyFill="1" applyBorder="1" applyAlignment="1" applyProtection="1">
      <alignment horizontal="center"/>
      <protection hidden="1"/>
    </xf>
    <xf numFmtId="14" fontId="2" fillId="2" borderId="15" xfId="0" applyNumberFormat="1" applyFont="1" applyFill="1" applyBorder="1" applyAlignment="1" applyProtection="1">
      <alignment horizontal="center"/>
      <protection hidden="1"/>
    </xf>
    <xf numFmtId="14" fontId="2" fillId="2" borderId="57" xfId="0" applyNumberFormat="1" applyFont="1" applyFill="1" applyBorder="1" applyAlignment="1" applyProtection="1">
      <alignment horizontal="center"/>
      <protection hidden="1"/>
    </xf>
    <xf numFmtId="0" fontId="2" fillId="2" borderId="57" xfId="0" applyFont="1" applyFill="1" applyBorder="1" applyAlignment="1" applyProtection="1">
      <alignment horizontal="center"/>
      <protection hidden="1"/>
    </xf>
    <xf numFmtId="7" fontId="2" fillId="2" borderId="57" xfId="1" applyNumberFormat="1" applyFont="1" applyFill="1" applyBorder="1" applyProtection="1">
      <protection hidden="1"/>
    </xf>
    <xf numFmtId="7" fontId="2" fillId="2" borderId="57" xfId="0" applyNumberFormat="1" applyFont="1" applyFill="1" applyBorder="1" applyProtection="1">
      <protection hidden="1"/>
    </xf>
    <xf numFmtId="14" fontId="2" fillId="2" borderId="15" xfId="0" applyNumberFormat="1" applyFont="1" applyFill="1" applyBorder="1" applyProtection="1">
      <protection hidden="1"/>
    </xf>
    <xf numFmtId="0" fontId="2" fillId="2" borderId="54" xfId="0" applyFont="1" applyFill="1" applyBorder="1" applyAlignment="1" applyProtection="1">
      <alignment horizontal="center"/>
      <protection hidden="1"/>
    </xf>
    <xf numFmtId="0" fontId="2" fillId="2" borderId="60" xfId="0" applyFont="1" applyFill="1" applyBorder="1" applyAlignment="1" applyProtection="1">
      <alignment horizontal="center"/>
      <protection hidden="1"/>
    </xf>
    <xf numFmtId="14" fontId="2" fillId="2" borderId="39" xfId="0" applyNumberFormat="1" applyFont="1" applyFill="1" applyBorder="1" applyAlignment="1" applyProtection="1">
      <alignment horizontal="center"/>
      <protection hidden="1"/>
    </xf>
    <xf numFmtId="7" fontId="2" fillId="2" borderId="60" xfId="1" applyNumberFormat="1" applyFont="1" applyFill="1" applyBorder="1" applyAlignment="1" applyProtection="1">
      <alignment horizontal="center"/>
      <protection hidden="1"/>
    </xf>
    <xf numFmtId="14" fontId="2" fillId="2" borderId="60" xfId="0" applyNumberFormat="1" applyFont="1" applyFill="1" applyBorder="1" applyAlignment="1" applyProtection="1">
      <alignment horizontal="center"/>
      <protection hidden="1"/>
    </xf>
    <xf numFmtId="7" fontId="2" fillId="2" borderId="60" xfId="1" applyNumberFormat="1" applyFont="1" applyFill="1" applyBorder="1" applyProtection="1">
      <protection hidden="1"/>
    </xf>
    <xf numFmtId="14" fontId="2" fillId="2" borderId="59" xfId="0" applyNumberFormat="1" applyFont="1" applyFill="1" applyBorder="1" applyProtection="1">
      <protection hidden="1"/>
    </xf>
    <xf numFmtId="14" fontId="2" fillId="2" borderId="58" xfId="0" applyNumberFormat="1" applyFont="1" applyFill="1" applyBorder="1" applyProtection="1">
      <protection hidden="1"/>
    </xf>
    <xf numFmtId="14" fontId="9" fillId="2" borderId="44" xfId="0" applyNumberFormat="1" applyFont="1" applyFill="1" applyBorder="1" applyAlignment="1" applyProtection="1">
      <alignment horizontal="right"/>
      <protection hidden="1"/>
    </xf>
    <xf numFmtId="7" fontId="9" fillId="2" borderId="60" xfId="1" applyNumberFormat="1" applyFont="1" applyFill="1" applyBorder="1" applyAlignment="1" applyProtection="1">
      <alignment horizontal="right"/>
      <protection hidden="1"/>
    </xf>
    <xf numFmtId="7" fontId="9" fillId="2" borderId="142" xfId="0" applyNumberFormat="1" applyFont="1" applyFill="1" applyBorder="1" applyProtection="1">
      <protection hidden="1"/>
    </xf>
    <xf numFmtId="7" fontId="2" fillId="2" borderId="15" xfId="0" applyNumberFormat="1" applyFont="1" applyFill="1" applyBorder="1" applyProtection="1">
      <protection hidden="1"/>
    </xf>
    <xf numFmtId="14" fontId="2" fillId="2" borderId="52" xfId="0" applyNumberFormat="1" applyFont="1" applyFill="1" applyBorder="1" applyProtection="1">
      <protection hidden="1"/>
    </xf>
    <xf numFmtId="0" fontId="2" fillId="2" borderId="52" xfId="0" applyFont="1" applyFill="1" applyBorder="1" applyAlignment="1" applyProtection="1">
      <alignment horizontal="center"/>
      <protection hidden="1"/>
    </xf>
    <xf numFmtId="0" fontId="2" fillId="2" borderId="144" xfId="0" applyFont="1" applyFill="1" applyBorder="1" applyAlignment="1" applyProtection="1">
      <alignment horizontal="center"/>
      <protection hidden="1"/>
    </xf>
    <xf numFmtId="14" fontId="2" fillId="2" borderId="144" xfId="0" applyNumberFormat="1" applyFont="1" applyFill="1" applyBorder="1" applyAlignment="1" applyProtection="1">
      <alignment horizontal="center"/>
      <protection hidden="1"/>
    </xf>
    <xf numFmtId="7" fontId="2" fillId="2" borderId="39" xfId="1" applyNumberFormat="1" applyFont="1" applyFill="1" applyBorder="1" applyAlignment="1" applyProtection="1">
      <alignment horizontal="center"/>
      <protection hidden="1"/>
    </xf>
    <xf numFmtId="7" fontId="2" fillId="2" borderId="39" xfId="0" applyNumberFormat="1" applyFont="1" applyFill="1" applyBorder="1" applyProtection="1">
      <protection hidden="1"/>
    </xf>
    <xf numFmtId="1" fontId="32" fillId="2" borderId="145" xfId="0" applyNumberFormat="1" applyFont="1" applyFill="1" applyBorder="1" applyAlignment="1" applyProtection="1">
      <alignment horizontal="center"/>
      <protection hidden="1"/>
    </xf>
    <xf numFmtId="7" fontId="2" fillId="2" borderId="6" xfId="0" applyNumberFormat="1" applyFont="1" applyFill="1" applyBorder="1" applyProtection="1">
      <protection hidden="1"/>
    </xf>
    <xf numFmtId="0" fontId="0" fillId="2" borderId="58" xfId="0" applyFill="1" applyBorder="1" applyProtection="1">
      <protection hidden="1"/>
    </xf>
    <xf numFmtId="0" fontId="0" fillId="2" borderId="56" xfId="0" applyFill="1" applyBorder="1" applyProtection="1">
      <protection hidden="1"/>
    </xf>
    <xf numFmtId="0" fontId="9" fillId="2" borderId="44" xfId="0" applyFont="1" applyFill="1" applyBorder="1" applyAlignment="1" applyProtection="1">
      <alignment horizontal="right"/>
      <protection hidden="1"/>
    </xf>
    <xf numFmtId="0" fontId="32" fillId="2" borderId="60" xfId="0" applyFont="1" applyFill="1" applyBorder="1" applyProtection="1">
      <protection hidden="1"/>
    </xf>
    <xf numFmtId="14" fontId="2" fillId="2" borderId="44" xfId="0" applyNumberFormat="1" applyFont="1" applyFill="1" applyBorder="1" applyProtection="1">
      <protection hidden="1"/>
    </xf>
    <xf numFmtId="0" fontId="2" fillId="2" borderId="44" xfId="0" applyFont="1" applyFill="1" applyBorder="1" applyAlignment="1" applyProtection="1">
      <alignment horizontal="center"/>
      <protection hidden="1"/>
    </xf>
    <xf numFmtId="0" fontId="2" fillId="2" borderId="59" xfId="0" applyFont="1" applyFill="1" applyBorder="1" applyAlignment="1" applyProtection="1">
      <alignment horizontal="center"/>
      <protection hidden="1"/>
    </xf>
    <xf numFmtId="14" fontId="2" fillId="2" borderId="44" xfId="0" applyNumberFormat="1" applyFont="1" applyFill="1" applyBorder="1" applyAlignment="1" applyProtection="1">
      <alignment horizontal="center"/>
      <protection hidden="1"/>
    </xf>
    <xf numFmtId="44" fontId="9" fillId="2" borderId="142" xfId="1" applyFont="1" applyFill="1" applyBorder="1" applyAlignment="1" applyProtection="1">
      <alignment horizontal="right"/>
      <protection hidden="1"/>
    </xf>
    <xf numFmtId="7" fontId="9" fillId="2" borderId="140" xfId="0" applyNumberFormat="1" applyFont="1" applyFill="1" applyBorder="1" applyProtection="1">
      <protection hidden="1"/>
    </xf>
    <xf numFmtId="0" fontId="32" fillId="2" borderId="144" xfId="0" applyFont="1" applyFill="1" applyBorder="1" applyProtection="1">
      <protection hidden="1"/>
    </xf>
    <xf numFmtId="0" fontId="2" fillId="2" borderId="15" xfId="0" applyFont="1" applyFill="1" applyBorder="1" applyAlignment="1" applyProtection="1">
      <alignment horizontal="center"/>
      <protection hidden="1"/>
    </xf>
    <xf numFmtId="7" fontId="2" fillId="2" borderId="57" xfId="1" applyNumberFormat="1" applyFont="1" applyFill="1" applyBorder="1" applyAlignment="1" applyProtection="1">
      <alignment horizontal="center"/>
      <protection hidden="1"/>
    </xf>
    <xf numFmtId="7" fontId="9" fillId="2" borderId="142" xfId="1" applyNumberFormat="1" applyFont="1" applyFill="1" applyBorder="1" applyAlignment="1" applyProtection="1">
      <alignment horizontal="right"/>
      <protection hidden="1"/>
    </xf>
    <xf numFmtId="7" fontId="9" fillId="2" borderId="44" xfId="1" applyNumberFormat="1" applyFont="1" applyFill="1" applyBorder="1" applyAlignment="1" applyProtection="1">
      <alignment horizontal="right"/>
      <protection hidden="1"/>
    </xf>
    <xf numFmtId="7" fontId="2" fillId="2" borderId="15" xfId="1" applyNumberFormat="1" applyFont="1" applyFill="1" applyBorder="1" applyAlignment="1" applyProtection="1">
      <alignment horizontal="center"/>
      <protection hidden="1"/>
    </xf>
    <xf numFmtId="14" fontId="2" fillId="2" borderId="140" xfId="0" applyNumberFormat="1" applyFont="1" applyFill="1" applyBorder="1" applyProtection="1">
      <protection hidden="1"/>
    </xf>
    <xf numFmtId="0" fontId="2" fillId="2" borderId="142" xfId="0" applyFont="1" applyFill="1" applyBorder="1" applyAlignment="1" applyProtection="1">
      <alignment horizontal="center"/>
      <protection hidden="1"/>
    </xf>
    <xf numFmtId="14" fontId="2" fillId="2" borderId="142" xfId="0" applyNumberFormat="1" applyFont="1" applyFill="1" applyBorder="1" applyAlignment="1" applyProtection="1">
      <alignment horizontal="center"/>
      <protection hidden="1"/>
    </xf>
    <xf numFmtId="14" fontId="2" fillId="2" borderId="54" xfId="0" applyNumberFormat="1" applyFont="1" applyFill="1" applyBorder="1" applyProtection="1">
      <protection hidden="1"/>
    </xf>
    <xf numFmtId="0" fontId="2" fillId="2" borderId="141" xfId="0" applyFont="1" applyFill="1" applyBorder="1" applyAlignment="1" applyProtection="1">
      <alignment horizontal="center"/>
      <protection hidden="1"/>
    </xf>
    <xf numFmtId="7" fontId="2" fillId="2" borderId="60" xfId="0" applyNumberFormat="1" applyFont="1" applyFill="1" applyBorder="1" applyProtection="1">
      <protection hidden="1"/>
    </xf>
    <xf numFmtId="0" fontId="9" fillId="2" borderId="58" xfId="0" applyFont="1" applyFill="1" applyBorder="1" applyAlignment="1" applyProtection="1">
      <alignment horizontal="center"/>
      <protection hidden="1"/>
    </xf>
    <xf numFmtId="0" fontId="0" fillId="2" borderId="146" xfId="0" applyFill="1" applyBorder="1" applyProtection="1">
      <protection hidden="1"/>
    </xf>
    <xf numFmtId="1" fontId="32" fillId="2" borderId="54" xfId="0" applyNumberFormat="1" applyFont="1" applyFill="1" applyBorder="1" applyAlignment="1" applyProtection="1">
      <alignment horizontal="center"/>
      <protection hidden="1"/>
    </xf>
    <xf numFmtId="14" fontId="2" fillId="2" borderId="0" xfId="0" applyNumberFormat="1" applyFont="1" applyFill="1" applyAlignment="1" applyProtection="1">
      <alignment horizontal="center"/>
      <protection hidden="1"/>
    </xf>
    <xf numFmtId="7" fontId="2" fillId="2" borderId="0" xfId="1" applyNumberFormat="1" applyFont="1" applyFill="1" applyBorder="1" applyAlignment="1" applyProtection="1">
      <alignment horizontal="center"/>
      <protection hidden="1"/>
    </xf>
    <xf numFmtId="7" fontId="2" fillId="2" borderId="0" xfId="0" applyNumberFormat="1" applyFont="1" applyFill="1" applyProtection="1">
      <protection hidden="1"/>
    </xf>
    <xf numFmtId="1" fontId="32" fillId="2" borderId="0" xfId="0" applyNumberFormat="1" applyFont="1" applyFill="1" applyAlignment="1" applyProtection="1">
      <alignment horizontal="center"/>
      <protection hidden="1"/>
    </xf>
    <xf numFmtId="0" fontId="2" fillId="2" borderId="59" xfId="3" applyFont="1" applyFill="1" applyBorder="1" applyAlignment="1" applyProtection="1">
      <alignment horizontal="center"/>
      <protection hidden="1"/>
    </xf>
    <xf numFmtId="0" fontId="9" fillId="2" borderId="59" xfId="0" applyFont="1" applyFill="1" applyBorder="1" applyAlignment="1" applyProtection="1">
      <alignment horizontal="right"/>
      <protection hidden="1"/>
    </xf>
    <xf numFmtId="0" fontId="2" fillId="2" borderId="140" xfId="0" applyFont="1" applyFill="1" applyBorder="1" applyProtection="1">
      <protection hidden="1"/>
    </xf>
    <xf numFmtId="44" fontId="2" fillId="2" borderId="0" xfId="1" applyFont="1" applyFill="1" applyBorder="1" applyAlignment="1" applyProtection="1">
      <alignment horizontal="center"/>
      <protection hidden="1"/>
    </xf>
    <xf numFmtId="44" fontId="2" fillId="2" borderId="0" xfId="0" applyNumberFormat="1" applyFont="1" applyFill="1" applyProtection="1">
      <protection hidden="1"/>
    </xf>
    <xf numFmtId="1" fontId="2" fillId="2" borderId="0" xfId="0" applyNumberFormat="1" applyFont="1" applyFill="1" applyAlignment="1" applyProtection="1">
      <alignment horizontal="center"/>
      <protection hidden="1"/>
    </xf>
    <xf numFmtId="44" fontId="2" fillId="2" borderId="0" xfId="0" applyNumberFormat="1" applyFont="1" applyFill="1" applyAlignment="1" applyProtection="1">
      <alignment horizontal="center"/>
      <protection hidden="1"/>
    </xf>
    <xf numFmtId="0" fontId="56" fillId="2" borderId="0" xfId="0" applyFont="1" applyFill="1" applyProtection="1">
      <protection hidden="1"/>
    </xf>
    <xf numFmtId="0" fontId="56" fillId="2" borderId="0" xfId="0" applyFont="1" applyFill="1" applyAlignment="1" applyProtection="1">
      <alignment horizontal="center"/>
      <protection hidden="1"/>
    </xf>
    <xf numFmtId="14" fontId="56" fillId="2" borderId="0" xfId="0" applyNumberFormat="1" applyFont="1" applyFill="1" applyProtection="1">
      <protection hidden="1"/>
    </xf>
    <xf numFmtId="14" fontId="56" fillId="2" borderId="0" xfId="0" applyNumberFormat="1" applyFont="1" applyFill="1" applyAlignment="1" applyProtection="1">
      <alignment horizontal="center"/>
      <protection hidden="1"/>
    </xf>
    <xf numFmtId="7" fontId="56" fillId="2" borderId="0" xfId="1" applyNumberFormat="1" applyFont="1" applyFill="1" applyBorder="1" applyAlignment="1" applyProtection="1">
      <alignment horizontal="center"/>
      <protection hidden="1"/>
    </xf>
    <xf numFmtId="7" fontId="56" fillId="2" borderId="0" xfId="0" applyNumberFormat="1" applyFont="1" applyFill="1" applyProtection="1">
      <protection hidden="1"/>
    </xf>
    <xf numFmtId="1" fontId="56" fillId="2" borderId="0" xfId="0" applyNumberFormat="1" applyFont="1" applyFill="1" applyAlignment="1" applyProtection="1">
      <alignment horizontal="center"/>
      <protection hidden="1"/>
    </xf>
    <xf numFmtId="0" fontId="46" fillId="2" borderId="40" xfId="0" applyFont="1" applyFill="1" applyBorder="1" applyAlignment="1" applyProtection="1">
      <alignment vertical="center"/>
      <protection hidden="1"/>
    </xf>
    <xf numFmtId="0" fontId="46" fillId="2" borderId="0" xfId="0" applyFont="1" applyFill="1" applyAlignment="1" applyProtection="1">
      <alignment vertical="center"/>
      <protection hidden="1"/>
    </xf>
    <xf numFmtId="0" fontId="39" fillId="2" borderId="9" xfId="0" applyFont="1" applyFill="1" applyBorder="1" applyAlignment="1" applyProtection="1">
      <alignment vertical="center"/>
      <protection hidden="1"/>
    </xf>
    <xf numFmtId="0" fontId="39" fillId="2" borderId="11" xfId="0" applyFont="1" applyFill="1" applyBorder="1" applyAlignment="1" applyProtection="1">
      <alignment vertical="center"/>
      <protection hidden="1"/>
    </xf>
    <xf numFmtId="0" fontId="21" fillId="2" borderId="6" xfId="0" applyFont="1" applyFill="1" applyBorder="1" applyAlignment="1" applyProtection="1">
      <alignment horizontal="center" vertical="center"/>
      <protection hidden="1"/>
    </xf>
    <xf numFmtId="0" fontId="21" fillId="2" borderId="6" xfId="0" applyFont="1" applyFill="1" applyBorder="1" applyAlignment="1" applyProtection="1">
      <alignment horizontal="center" vertical="center" wrapText="1"/>
      <protection hidden="1"/>
    </xf>
    <xf numFmtId="164" fontId="22" fillId="2" borderId="6" xfId="0" applyNumberFormat="1" applyFont="1" applyFill="1" applyBorder="1" applyAlignment="1" applyProtection="1">
      <alignment horizontal="center" vertical="center"/>
      <protection hidden="1"/>
    </xf>
    <xf numFmtId="0" fontId="2" fillId="2" borderId="6" xfId="8" applyFont="1" applyFill="1" applyBorder="1" applyAlignment="1" applyProtection="1">
      <alignment horizontal="center"/>
      <protection hidden="1"/>
    </xf>
    <xf numFmtId="1" fontId="2" fillId="2" borderId="6" xfId="8" applyNumberFormat="1" applyFont="1" applyFill="1" applyBorder="1" applyAlignment="1" applyProtection="1">
      <alignment horizontal="center"/>
      <protection hidden="1"/>
    </xf>
    <xf numFmtId="0" fontId="21" fillId="2" borderId="6" xfId="0" applyFont="1" applyFill="1" applyBorder="1" applyAlignment="1" applyProtection="1">
      <alignment horizontal="center"/>
      <protection hidden="1"/>
    </xf>
    <xf numFmtId="164" fontId="17" fillId="3" borderId="6" xfId="0" applyNumberFormat="1" applyFont="1" applyFill="1" applyBorder="1" applyAlignment="1" applyProtection="1">
      <alignment horizontal="right" vertical="center"/>
      <protection hidden="1"/>
    </xf>
    <xf numFmtId="167" fontId="9" fillId="3" borderId="6" xfId="0" applyNumberFormat="1" applyFont="1" applyFill="1" applyBorder="1" applyAlignment="1" applyProtection="1">
      <alignment horizontal="right" vertical="center"/>
      <protection hidden="1"/>
    </xf>
    <xf numFmtId="164" fontId="9" fillId="3" borderId="6" xfId="0" applyNumberFormat="1" applyFont="1" applyFill="1" applyBorder="1" applyAlignment="1" applyProtection="1">
      <alignment horizontal="right" vertical="center"/>
      <protection hidden="1"/>
    </xf>
    <xf numFmtId="0" fontId="2" fillId="3" borderId="10" xfId="0" applyFont="1" applyFill="1" applyBorder="1" applyProtection="1">
      <protection hidden="1"/>
    </xf>
    <xf numFmtId="0" fontId="2" fillId="3" borderId="11" xfId="0" applyFont="1" applyFill="1" applyBorder="1" applyProtection="1">
      <protection hidden="1"/>
    </xf>
    <xf numFmtId="0" fontId="2" fillId="3" borderId="104" xfId="0" applyFont="1" applyFill="1" applyBorder="1" applyProtection="1">
      <protection hidden="1"/>
    </xf>
    <xf numFmtId="0" fontId="2" fillId="3" borderId="105" xfId="0" applyFont="1" applyFill="1" applyBorder="1" applyProtection="1">
      <protection hidden="1"/>
    </xf>
    <xf numFmtId="0" fontId="2" fillId="3" borderId="147" xfId="0" applyFont="1" applyFill="1" applyBorder="1" applyProtection="1">
      <protection hidden="1"/>
    </xf>
    <xf numFmtId="0" fontId="2" fillId="3" borderId="148" xfId="0" applyFont="1" applyFill="1" applyBorder="1" applyProtection="1">
      <protection hidden="1"/>
    </xf>
    <xf numFmtId="0" fontId="14" fillId="2" borderId="147" xfId="0" applyFont="1" applyFill="1" applyBorder="1" applyAlignment="1" applyProtection="1">
      <alignment vertical="center"/>
      <protection hidden="1"/>
    </xf>
    <xf numFmtId="0" fontId="14" fillId="2" borderId="10" xfId="0" applyFont="1" applyFill="1" applyBorder="1" applyAlignment="1" applyProtection="1">
      <alignment vertical="center"/>
      <protection hidden="1"/>
    </xf>
    <xf numFmtId="0" fontId="14" fillId="2" borderId="101" xfId="0" applyFont="1" applyFill="1" applyBorder="1" applyAlignment="1" applyProtection="1">
      <alignment vertical="center"/>
      <protection hidden="1"/>
    </xf>
    <xf numFmtId="0" fontId="14" fillId="2" borderId="147" xfId="0" applyFont="1" applyFill="1" applyBorder="1" applyProtection="1">
      <protection hidden="1"/>
    </xf>
    <xf numFmtId="0" fontId="14" fillId="2" borderId="10" xfId="0" applyFont="1" applyFill="1" applyBorder="1" applyProtection="1">
      <protection hidden="1"/>
    </xf>
    <xf numFmtId="0" fontId="14" fillId="2" borderId="101" xfId="0" applyFont="1" applyFill="1" applyBorder="1" applyProtection="1">
      <protection hidden="1"/>
    </xf>
    <xf numFmtId="0" fontId="14" fillId="2" borderId="149" xfId="0" applyFont="1" applyFill="1" applyBorder="1" applyAlignment="1" applyProtection="1">
      <alignment vertical="center"/>
      <protection hidden="1"/>
    </xf>
    <xf numFmtId="0" fontId="14" fillId="2" borderId="150" xfId="0" applyFont="1" applyFill="1" applyBorder="1" applyAlignment="1" applyProtection="1">
      <alignment vertical="center"/>
      <protection hidden="1"/>
    </xf>
    <xf numFmtId="0" fontId="14" fillId="2" borderId="151" xfId="0" applyFont="1" applyFill="1" applyBorder="1" applyAlignment="1" applyProtection="1">
      <alignment vertical="center"/>
      <protection hidden="1"/>
    </xf>
    <xf numFmtId="164" fontId="14" fillId="2" borderId="147" xfId="0" applyNumberFormat="1" applyFont="1" applyFill="1" applyBorder="1" applyAlignment="1" applyProtection="1">
      <alignment vertical="center"/>
      <protection hidden="1"/>
    </xf>
    <xf numFmtId="164" fontId="14" fillId="2" borderId="10" xfId="0" applyNumberFormat="1" applyFont="1" applyFill="1" applyBorder="1" applyAlignment="1" applyProtection="1">
      <alignment vertical="center"/>
      <protection hidden="1"/>
    </xf>
    <xf numFmtId="164" fontId="14" fillId="2" borderId="101" xfId="0" applyNumberFormat="1" applyFont="1" applyFill="1" applyBorder="1" applyAlignment="1" applyProtection="1">
      <alignment vertical="center"/>
      <protection hidden="1"/>
    </xf>
    <xf numFmtId="0" fontId="2" fillId="2" borderId="101" xfId="0" applyFont="1" applyFill="1" applyBorder="1" applyProtection="1">
      <protection hidden="1"/>
    </xf>
    <xf numFmtId="14" fontId="32" fillId="2" borderId="0" xfId="0" applyNumberFormat="1" applyFont="1" applyFill="1" applyProtection="1">
      <protection hidden="1"/>
    </xf>
    <xf numFmtId="44" fontId="2" fillId="2" borderId="2" xfId="1" applyFont="1" applyFill="1" applyBorder="1" applyAlignment="1">
      <alignment horizontal="center"/>
    </xf>
    <xf numFmtId="44" fontId="2" fillId="2" borderId="4" xfId="1" applyFont="1" applyFill="1" applyBorder="1" applyAlignment="1">
      <alignment horizontal="center"/>
    </xf>
    <xf numFmtId="44" fontId="2" fillId="2" borderId="6" xfId="1" applyFont="1" applyFill="1" applyBorder="1" applyAlignment="1">
      <alignment horizontal="center"/>
    </xf>
    <xf numFmtId="174" fontId="0" fillId="8" borderId="73" xfId="1" applyNumberFormat="1" applyFont="1" applyFill="1" applyBorder="1" applyAlignment="1" applyProtection="1">
      <alignment horizontal="center"/>
      <protection hidden="1"/>
    </xf>
    <xf numFmtId="0" fontId="46" fillId="2" borderId="37" xfId="3" applyFont="1" applyFill="1" applyBorder="1" applyAlignment="1" applyProtection="1">
      <alignment horizontal="center" vertical="center"/>
      <protection hidden="1"/>
    </xf>
    <xf numFmtId="0" fontId="46" fillId="2" borderId="0" xfId="0" applyFont="1" applyFill="1" applyAlignment="1" applyProtection="1">
      <alignment horizontal="center"/>
      <protection hidden="1"/>
    </xf>
    <xf numFmtId="0" fontId="37" fillId="2" borderId="0" xfId="0" applyFont="1" applyFill="1" applyAlignment="1" applyProtection="1">
      <alignment horizontal="center"/>
      <protection hidden="1"/>
    </xf>
    <xf numFmtId="0" fontId="41" fillId="9" borderId="73" xfId="0" applyFont="1" applyFill="1" applyBorder="1" applyProtection="1">
      <protection hidden="1"/>
    </xf>
    <xf numFmtId="165" fontId="0" fillId="8" borderId="75" xfId="0" applyNumberFormat="1" applyFill="1" applyBorder="1" applyAlignment="1" applyProtection="1">
      <alignment horizontal="center"/>
      <protection hidden="1"/>
    </xf>
    <xf numFmtId="168" fontId="34" fillId="8" borderId="75" xfId="0" applyNumberFormat="1" applyFont="1" applyFill="1" applyBorder="1" applyAlignment="1" applyProtection="1">
      <alignment horizontal="center"/>
      <protection hidden="1"/>
    </xf>
    <xf numFmtId="164" fontId="2" fillId="5" borderId="76" xfId="0" applyNumberFormat="1" applyFont="1" applyFill="1" applyBorder="1" applyAlignment="1" applyProtection="1">
      <alignment horizontal="center"/>
      <protection hidden="1"/>
    </xf>
    <xf numFmtId="165" fontId="34" fillId="8" borderId="75" xfId="0" applyNumberFormat="1" applyFont="1" applyFill="1" applyBorder="1" applyAlignment="1" applyProtection="1">
      <alignment horizontal="center"/>
      <protection hidden="1"/>
    </xf>
    <xf numFmtId="164" fontId="2" fillId="5" borderId="78" xfId="0" applyNumberFormat="1" applyFont="1" applyFill="1" applyBorder="1" applyAlignment="1" applyProtection="1">
      <alignment horizontal="center"/>
      <protection hidden="1"/>
    </xf>
    <xf numFmtId="168" fontId="0" fillId="8" borderId="75" xfId="0" applyNumberFormat="1" applyFill="1" applyBorder="1" applyAlignment="1" applyProtection="1">
      <alignment horizontal="center"/>
      <protection hidden="1"/>
    </xf>
    <xf numFmtId="0" fontId="0" fillId="8" borderId="75" xfId="0" applyFill="1" applyBorder="1" applyProtection="1">
      <protection hidden="1"/>
    </xf>
    <xf numFmtId="2" fontId="2" fillId="5" borderId="78" xfId="0" applyNumberFormat="1" applyFont="1" applyFill="1" applyBorder="1" applyAlignment="1" applyProtection="1">
      <alignment horizontal="center"/>
      <protection hidden="1"/>
    </xf>
    <xf numFmtId="164" fontId="2" fillId="5" borderId="82" xfId="0" applyNumberFormat="1" applyFont="1" applyFill="1" applyBorder="1" applyAlignment="1" applyProtection="1">
      <alignment horizontal="center"/>
      <protection hidden="1"/>
    </xf>
    <xf numFmtId="165" fontId="0" fillId="8" borderId="75" xfId="1" applyNumberFormat="1" applyFont="1" applyFill="1" applyBorder="1" applyAlignment="1" applyProtection="1">
      <alignment horizontal="center" vertical="center"/>
      <protection hidden="1"/>
    </xf>
    <xf numFmtId="170" fontId="34" fillId="8" borderId="75" xfId="0" applyNumberFormat="1" applyFont="1" applyFill="1" applyBorder="1" applyAlignment="1" applyProtection="1">
      <alignment horizontal="center"/>
      <protection hidden="1"/>
    </xf>
    <xf numFmtId="169" fontId="34" fillId="8" borderId="75" xfId="0" applyNumberFormat="1" applyFont="1" applyFill="1" applyBorder="1" applyAlignment="1" applyProtection="1">
      <alignment horizontal="center"/>
      <protection hidden="1"/>
    </xf>
    <xf numFmtId="0" fontId="2" fillId="5" borderId="78" xfId="0" applyFont="1" applyFill="1" applyBorder="1" applyAlignment="1" applyProtection="1">
      <alignment horizontal="center"/>
      <protection hidden="1"/>
    </xf>
    <xf numFmtId="0" fontId="2" fillId="5" borderId="80" xfId="0" applyFont="1" applyFill="1" applyBorder="1" applyAlignment="1" applyProtection="1">
      <alignment horizontal="center"/>
      <protection hidden="1"/>
    </xf>
    <xf numFmtId="168" fontId="0" fillId="8" borderId="75" xfId="1" applyNumberFormat="1" applyFont="1" applyFill="1" applyBorder="1" applyAlignment="1" applyProtection="1">
      <alignment horizontal="center" vertical="center"/>
      <protection hidden="1"/>
    </xf>
    <xf numFmtId="168" fontId="34" fillId="8" borderId="74" xfId="0" applyNumberFormat="1" applyFont="1" applyFill="1" applyBorder="1" applyAlignment="1" applyProtection="1">
      <alignment horizontal="center"/>
      <protection hidden="1"/>
    </xf>
    <xf numFmtId="164" fontId="0" fillId="8" borderId="75" xfId="0" applyNumberFormat="1" applyFill="1" applyBorder="1" applyProtection="1">
      <protection hidden="1"/>
    </xf>
    <xf numFmtId="4" fontId="0" fillId="8" borderId="75" xfId="0" applyNumberFormat="1" applyFill="1" applyBorder="1" applyProtection="1">
      <protection hidden="1"/>
    </xf>
    <xf numFmtId="169" fontId="34" fillId="2" borderId="0" xfId="0" applyNumberFormat="1" applyFont="1" applyFill="1" applyAlignment="1" applyProtection="1">
      <alignment horizontal="center"/>
      <protection hidden="1"/>
    </xf>
    <xf numFmtId="164" fontId="34" fillId="8" borderId="75" xfId="0" applyNumberFormat="1" applyFont="1" applyFill="1" applyBorder="1" applyAlignment="1" applyProtection="1">
      <alignment horizontal="center"/>
      <protection hidden="1"/>
    </xf>
    <xf numFmtId="164" fontId="2" fillId="2" borderId="0" xfId="0" applyNumberFormat="1" applyFont="1" applyFill="1" applyProtection="1">
      <protection hidden="1"/>
    </xf>
    <xf numFmtId="0" fontId="36" fillId="11" borderId="118" xfId="0" applyFont="1" applyFill="1" applyBorder="1" applyAlignment="1">
      <alignment horizontal="center" vertical="center"/>
    </xf>
    <xf numFmtId="2" fontId="36" fillId="11" borderId="124" xfId="0" applyNumberFormat="1" applyFont="1" applyFill="1" applyBorder="1" applyAlignment="1" applyProtection="1">
      <alignment horizontal="center" vertical="center"/>
      <protection hidden="1"/>
    </xf>
    <xf numFmtId="3" fontId="36" fillId="8" borderId="132" xfId="0" applyNumberFormat="1" applyFont="1" applyFill="1" applyBorder="1" applyAlignment="1" applyProtection="1">
      <alignment horizontal="center" vertical="center"/>
      <protection hidden="1"/>
    </xf>
    <xf numFmtId="0" fontId="36" fillId="9" borderId="118" xfId="0" applyFont="1" applyFill="1" applyBorder="1" applyAlignment="1">
      <alignment horizontal="center" vertical="center"/>
    </xf>
    <xf numFmtId="172" fontId="52" fillId="9" borderId="119" xfId="0" applyNumberFormat="1" applyFont="1" applyFill="1" applyBorder="1" applyAlignment="1">
      <alignment horizontal="center" vertical="center"/>
    </xf>
    <xf numFmtId="2" fontId="36" fillId="9" borderId="124" xfId="0" applyNumberFormat="1" applyFont="1" applyFill="1" applyBorder="1" applyAlignment="1" applyProtection="1">
      <alignment horizontal="center" vertical="center"/>
      <protection hidden="1"/>
    </xf>
    <xf numFmtId="1" fontId="36" fillId="8" borderId="132" xfId="0" applyNumberFormat="1" applyFont="1" applyFill="1" applyBorder="1" applyAlignment="1" applyProtection="1">
      <alignment horizontal="center" vertical="center"/>
      <protection hidden="1"/>
    </xf>
    <xf numFmtId="2" fontId="36" fillId="9" borderId="136" xfId="0" applyNumberFormat="1" applyFont="1" applyFill="1" applyBorder="1" applyAlignment="1" applyProtection="1">
      <alignment horizontal="center" vertical="center"/>
      <protection hidden="1"/>
    </xf>
    <xf numFmtId="1" fontId="36" fillId="8" borderId="137" xfId="0" applyNumberFormat="1" applyFont="1" applyFill="1" applyBorder="1" applyAlignment="1" applyProtection="1">
      <alignment horizontal="center" vertical="center"/>
      <protection hidden="1"/>
    </xf>
    <xf numFmtId="2" fontId="36" fillId="11" borderId="136" xfId="0" applyNumberFormat="1" applyFont="1" applyFill="1" applyBorder="1" applyAlignment="1" applyProtection="1">
      <alignment horizontal="center" vertical="center"/>
      <protection hidden="1"/>
    </xf>
    <xf numFmtId="0" fontId="41" fillId="9" borderId="82" xfId="0" applyFont="1" applyFill="1" applyBorder="1" applyProtection="1">
      <protection hidden="1"/>
    </xf>
    <xf numFmtId="164" fontId="0" fillId="8" borderId="75" xfId="0" applyNumberFormat="1" applyFill="1" applyBorder="1" applyAlignment="1" applyProtection="1">
      <alignment horizontal="center"/>
      <protection hidden="1"/>
    </xf>
    <xf numFmtId="170" fontId="0" fillId="8" borderId="75" xfId="0" applyNumberFormat="1" applyFill="1" applyBorder="1" applyAlignment="1" applyProtection="1">
      <alignment horizontal="center"/>
      <protection hidden="1"/>
    </xf>
    <xf numFmtId="164" fontId="2" fillId="5" borderId="80" xfId="0" applyNumberFormat="1" applyFont="1" applyFill="1" applyBorder="1" applyAlignment="1" applyProtection="1">
      <alignment horizontal="center"/>
      <protection hidden="1"/>
    </xf>
    <xf numFmtId="164" fontId="0" fillId="8" borderId="75" xfId="1" applyNumberFormat="1" applyFont="1" applyFill="1" applyBorder="1" applyAlignment="1" applyProtection="1">
      <alignment horizontal="center" vertical="center"/>
      <protection hidden="1"/>
    </xf>
    <xf numFmtId="164" fontId="34" fillId="8" borderId="74" xfId="0" applyNumberFormat="1" applyFont="1" applyFill="1" applyBorder="1" applyAlignment="1" applyProtection="1">
      <alignment horizontal="center"/>
      <protection hidden="1"/>
    </xf>
    <xf numFmtId="0" fontId="33" fillId="2" borderId="0" xfId="0" applyFont="1" applyFill="1" applyProtection="1">
      <protection hidden="1"/>
    </xf>
    <xf numFmtId="2" fontId="2" fillId="2" borderId="0" xfId="0" applyNumberFormat="1" applyFont="1" applyFill="1" applyAlignment="1" applyProtection="1">
      <alignment horizontal="center"/>
      <protection hidden="1"/>
    </xf>
    <xf numFmtId="168" fontId="0" fillId="2" borderId="0" xfId="1" applyNumberFormat="1" applyFont="1" applyFill="1" applyBorder="1" applyAlignment="1" applyProtection="1">
      <alignment horizontal="center" vertical="center"/>
      <protection hidden="1"/>
    </xf>
    <xf numFmtId="0" fontId="7" fillId="2" borderId="37" xfId="3" applyFont="1" applyFill="1" applyBorder="1" applyAlignment="1" applyProtection="1">
      <alignment horizontal="center" vertical="center"/>
      <protection hidden="1"/>
    </xf>
    <xf numFmtId="0" fontId="50" fillId="8" borderId="111" xfId="0" applyFont="1" applyFill="1" applyBorder="1" applyAlignment="1" applyProtection="1">
      <alignment horizontal="center" vertical="center"/>
      <protection hidden="1"/>
    </xf>
    <xf numFmtId="0" fontId="51" fillId="8" borderId="113" xfId="0" applyFont="1" applyFill="1" applyBorder="1" applyAlignment="1" applyProtection="1">
      <alignment horizontal="center" vertical="center"/>
      <protection hidden="1"/>
    </xf>
    <xf numFmtId="0" fontId="51" fillId="8" borderId="120" xfId="0" applyFont="1" applyFill="1" applyBorder="1" applyAlignment="1" applyProtection="1">
      <alignment horizontal="center" vertical="center"/>
      <protection hidden="1"/>
    </xf>
    <xf numFmtId="0" fontId="51" fillId="8" borderId="112" xfId="0" applyFont="1" applyFill="1" applyBorder="1" applyAlignment="1" applyProtection="1">
      <alignment horizontal="center" vertical="center"/>
      <protection hidden="1"/>
    </xf>
    <xf numFmtId="0" fontId="51" fillId="8" borderId="128" xfId="0" applyFont="1" applyFill="1" applyBorder="1" applyAlignment="1" applyProtection="1">
      <alignment horizontal="center" vertical="center"/>
      <protection hidden="1"/>
    </xf>
    <xf numFmtId="0" fontId="52" fillId="8" borderId="115" xfId="0" quotePrefix="1" applyFont="1" applyFill="1" applyBorder="1" applyAlignment="1" applyProtection="1">
      <alignment horizontal="center" vertical="center"/>
      <protection hidden="1"/>
    </xf>
    <xf numFmtId="2" fontId="52" fillId="8" borderId="117" xfId="0" applyNumberFormat="1" applyFont="1" applyFill="1" applyBorder="1" applyAlignment="1" applyProtection="1">
      <alignment horizontal="center" vertical="center"/>
      <protection hidden="1"/>
    </xf>
    <xf numFmtId="3" fontId="52" fillId="8" borderId="117" xfId="0" applyNumberFormat="1" applyFont="1" applyFill="1" applyBorder="1" applyAlignment="1" applyProtection="1">
      <alignment horizontal="center" vertical="center"/>
      <protection hidden="1"/>
    </xf>
    <xf numFmtId="3" fontId="53" fillId="2" borderId="100" xfId="0" applyNumberFormat="1" applyFont="1" applyFill="1" applyBorder="1" applyAlignment="1" applyProtection="1">
      <alignment horizontal="center" vertical="center"/>
      <protection hidden="1"/>
    </xf>
    <xf numFmtId="0" fontId="53" fillId="2" borderId="126" xfId="0" applyFont="1" applyFill="1" applyBorder="1" applyAlignment="1" applyProtection="1">
      <alignment horizontal="center" vertical="center"/>
      <protection hidden="1"/>
    </xf>
    <xf numFmtId="172" fontId="53" fillId="2" borderId="126" xfId="0" applyNumberFormat="1" applyFont="1" applyFill="1" applyBorder="1" applyAlignment="1" applyProtection="1">
      <alignment horizontal="center" vertical="center"/>
      <protection hidden="1"/>
    </xf>
    <xf numFmtId="172" fontId="53" fillId="2" borderId="86" xfId="0" applyNumberFormat="1" applyFont="1" applyFill="1" applyBorder="1" applyAlignment="1" applyProtection="1">
      <alignment horizontal="center" vertical="center"/>
      <protection hidden="1"/>
    </xf>
    <xf numFmtId="0" fontId="32" fillId="2" borderId="0" xfId="0" applyFont="1" applyFill="1" applyAlignment="1" applyProtection="1">
      <alignment horizontal="center"/>
      <protection hidden="1"/>
    </xf>
    <xf numFmtId="3" fontId="52" fillId="8" borderId="71" xfId="0" applyNumberFormat="1" applyFont="1" applyFill="1" applyBorder="1" applyAlignment="1" applyProtection="1">
      <alignment horizontal="center" vertical="center"/>
      <protection hidden="1"/>
    </xf>
    <xf numFmtId="0" fontId="51" fillId="8" borderId="111" xfId="0" applyFont="1" applyFill="1" applyBorder="1" applyAlignment="1" applyProtection="1">
      <alignment horizontal="center" vertical="center"/>
      <protection hidden="1"/>
    </xf>
    <xf numFmtId="0" fontId="36" fillId="8" borderId="118" xfId="0" applyFont="1" applyFill="1" applyBorder="1" applyAlignment="1" applyProtection="1">
      <alignment horizontal="center" vertical="center"/>
      <protection hidden="1"/>
    </xf>
    <xf numFmtId="172" fontId="52" fillId="8" borderId="119" xfId="0" applyNumberFormat="1" applyFont="1" applyFill="1" applyBorder="1" applyAlignment="1" applyProtection="1">
      <alignment horizontal="center" vertical="center"/>
      <protection hidden="1"/>
    </xf>
    <xf numFmtId="0" fontId="52" fillId="8" borderId="131" xfId="0" applyFont="1" applyFill="1" applyBorder="1" applyAlignment="1" applyProtection="1">
      <alignment horizontal="center" vertical="center"/>
      <protection hidden="1"/>
    </xf>
    <xf numFmtId="0" fontId="51" fillId="8" borderId="118" xfId="0" applyFont="1" applyFill="1" applyBorder="1" applyAlignment="1" applyProtection="1">
      <alignment horizontal="center" vertical="center"/>
      <protection hidden="1"/>
    </xf>
    <xf numFmtId="0" fontId="51" fillId="8" borderId="119" xfId="0" applyFont="1" applyFill="1" applyBorder="1" applyAlignment="1" applyProtection="1">
      <alignment horizontal="center" vertical="center"/>
      <protection hidden="1"/>
    </xf>
    <xf numFmtId="0" fontId="51" fillId="8" borderId="131" xfId="0" applyFont="1" applyFill="1" applyBorder="1" applyAlignment="1" applyProtection="1">
      <alignment horizontal="center" vertical="center"/>
      <protection hidden="1"/>
    </xf>
    <xf numFmtId="3" fontId="52" fillId="8" borderId="119" xfId="0" applyNumberFormat="1" applyFont="1" applyFill="1" applyBorder="1" applyAlignment="1" applyProtection="1">
      <alignment horizontal="center" vertical="center"/>
      <protection hidden="1"/>
    </xf>
    <xf numFmtId="3" fontId="53" fillId="11" borderId="116" xfId="0" applyNumberFormat="1" applyFont="1" applyFill="1" applyBorder="1" applyAlignment="1" applyProtection="1">
      <alignment horizontal="center" vertical="center"/>
      <protection hidden="1"/>
    </xf>
    <xf numFmtId="3" fontId="52" fillId="11" borderId="138" xfId="0" applyNumberFormat="1" applyFont="1" applyFill="1" applyBorder="1" applyAlignment="1" applyProtection="1">
      <alignment horizontal="center" vertical="center"/>
      <protection hidden="1"/>
    </xf>
    <xf numFmtId="0" fontId="0" fillId="2" borderId="46" xfId="0" applyFill="1" applyBorder="1" applyProtection="1">
      <protection hidden="1"/>
    </xf>
    <xf numFmtId="0" fontId="0" fillId="2" borderId="126" xfId="0" applyFill="1" applyBorder="1" applyProtection="1">
      <protection hidden="1"/>
    </xf>
    <xf numFmtId="0" fontId="50" fillId="2" borderId="0" xfId="0" applyFont="1" applyFill="1" applyAlignment="1" applyProtection="1">
      <alignment horizontal="center" vertical="center"/>
      <protection hidden="1"/>
    </xf>
    <xf numFmtId="0" fontId="51" fillId="2" borderId="0" xfId="0" applyFont="1" applyFill="1" applyAlignment="1" applyProtection="1">
      <alignment horizontal="center" vertical="center"/>
      <protection hidden="1"/>
    </xf>
    <xf numFmtId="0" fontId="52" fillId="2" borderId="0" xfId="0" quotePrefix="1" applyFont="1" applyFill="1" applyAlignment="1" applyProtection="1">
      <alignment horizontal="center" vertical="center"/>
      <protection hidden="1"/>
    </xf>
    <xf numFmtId="2" fontId="52" fillId="2" borderId="0" xfId="0" applyNumberFormat="1" applyFont="1" applyFill="1" applyAlignment="1" applyProtection="1">
      <alignment horizontal="center" vertical="center"/>
      <protection hidden="1"/>
    </xf>
    <xf numFmtId="3" fontId="52" fillId="2" borderId="0" xfId="0" applyNumberFormat="1" applyFont="1" applyFill="1" applyAlignment="1" applyProtection="1">
      <alignment horizontal="center" vertical="center"/>
      <protection hidden="1"/>
    </xf>
    <xf numFmtId="0" fontId="36" fillId="2" borderId="0" xfId="0" applyFont="1" applyFill="1" applyAlignment="1" applyProtection="1">
      <alignment horizontal="center" vertical="center"/>
      <protection hidden="1"/>
    </xf>
    <xf numFmtId="0" fontId="52" fillId="2" borderId="0" xfId="0" applyFont="1" applyFill="1" applyAlignment="1" applyProtection="1">
      <alignment horizontal="center" vertical="center"/>
      <protection hidden="1"/>
    </xf>
    <xf numFmtId="3" fontId="53" fillId="2" borderId="0" xfId="0" applyNumberFormat="1" applyFont="1" applyFill="1" applyAlignment="1" applyProtection="1">
      <alignment horizontal="center" vertical="center"/>
      <protection hidden="1"/>
    </xf>
    <xf numFmtId="0" fontId="36" fillId="11" borderId="118" xfId="0" applyFont="1" applyFill="1" applyBorder="1" applyAlignment="1" applyProtection="1">
      <alignment horizontal="center" vertical="center"/>
      <protection hidden="1"/>
    </xf>
    <xf numFmtId="172" fontId="52" fillId="11" borderId="119" xfId="0" applyNumberFormat="1" applyFont="1" applyFill="1" applyBorder="1" applyAlignment="1" applyProtection="1">
      <alignment horizontal="center" vertical="center"/>
      <protection hidden="1"/>
    </xf>
    <xf numFmtId="3" fontId="52" fillId="11" borderId="119" xfId="0" applyNumberFormat="1" applyFont="1" applyFill="1" applyBorder="1" applyAlignment="1" applyProtection="1">
      <alignment horizontal="center" vertical="center"/>
      <protection hidden="1"/>
    </xf>
    <xf numFmtId="0" fontId="24" fillId="2" borderId="0" xfId="3" applyFont="1" applyFill="1" applyBorder="1" applyAlignment="1">
      <alignment vertical="center"/>
    </xf>
    <xf numFmtId="0" fontId="35" fillId="2" borderId="0" xfId="0" applyFont="1" applyFill="1" applyAlignment="1">
      <alignment vertical="center"/>
    </xf>
    <xf numFmtId="0" fontId="46" fillId="2" borderId="86" xfId="3" applyFont="1" applyFill="1" applyBorder="1" applyAlignment="1" applyProtection="1">
      <alignment horizontal="center"/>
      <protection hidden="1"/>
    </xf>
    <xf numFmtId="0" fontId="46" fillId="2" borderId="37" xfId="3" applyFont="1" applyFill="1" applyBorder="1" applyAlignment="1" applyProtection="1">
      <alignment horizontal="center"/>
      <protection hidden="1"/>
    </xf>
    <xf numFmtId="44" fontId="38" fillId="3" borderId="4" xfId="1" applyFont="1" applyFill="1" applyBorder="1" applyAlignment="1">
      <alignment horizontal="center"/>
    </xf>
    <xf numFmtId="7" fontId="42" fillId="3" borderId="4" xfId="0" applyNumberFormat="1" applyFont="1" applyFill="1" applyBorder="1"/>
    <xf numFmtId="7" fontId="42" fillId="3" borderId="1" xfId="0" applyNumberFormat="1" applyFont="1" applyFill="1" applyBorder="1"/>
    <xf numFmtId="44" fontId="38" fillId="3" borderId="1" xfId="1" applyFont="1" applyFill="1" applyBorder="1" applyAlignment="1">
      <alignment horizontal="center"/>
    </xf>
    <xf numFmtId="44" fontId="38" fillId="3" borderId="152" xfId="1" applyFont="1" applyFill="1" applyBorder="1" applyAlignment="1">
      <alignment horizontal="center"/>
    </xf>
    <xf numFmtId="7" fontId="42" fillId="3" borderId="153" xfId="0" applyNumberFormat="1" applyFont="1" applyFill="1" applyBorder="1"/>
    <xf numFmtId="0" fontId="46" fillId="2" borderId="0" xfId="3" applyFont="1" applyFill="1" applyBorder="1" applyAlignment="1">
      <alignment horizontal="center" vertical="center"/>
    </xf>
    <xf numFmtId="0" fontId="46" fillId="2" borderId="0" xfId="0" applyFont="1" applyFill="1" applyAlignment="1">
      <alignment horizontal="center" vertical="center"/>
    </xf>
    <xf numFmtId="17" fontId="2" fillId="2" borderId="9" xfId="0" applyNumberFormat="1" applyFont="1" applyFill="1" applyBorder="1" applyAlignment="1">
      <alignment horizontal="center"/>
    </xf>
    <xf numFmtId="1" fontId="2" fillId="2" borderId="9" xfId="0" applyNumberFormat="1" applyFont="1" applyFill="1" applyBorder="1" applyAlignment="1">
      <alignment horizontal="center"/>
    </xf>
    <xf numFmtId="0" fontId="0" fillId="2" borderId="9" xfId="0" applyFill="1" applyBorder="1"/>
    <xf numFmtId="0" fontId="34" fillId="8" borderId="78" xfId="0" applyFont="1" applyFill="1" applyBorder="1" applyAlignment="1" applyProtection="1">
      <alignment horizontal="center"/>
      <protection hidden="1"/>
    </xf>
    <xf numFmtId="0" fontId="34" fillId="2" borderId="0" xfId="0" applyFont="1" applyFill="1" applyAlignment="1" applyProtection="1">
      <alignment horizontal="center"/>
      <protection hidden="1"/>
    </xf>
    <xf numFmtId="3" fontId="36" fillId="2" borderId="98" xfId="0" applyNumberFormat="1" applyFont="1" applyFill="1" applyBorder="1" applyAlignment="1" applyProtection="1">
      <alignment horizontal="center" vertical="center"/>
      <protection hidden="1"/>
    </xf>
    <xf numFmtId="3" fontId="36" fillId="2" borderId="46" xfId="0" applyNumberFormat="1" applyFont="1" applyFill="1" applyBorder="1" applyAlignment="1" applyProtection="1">
      <alignment horizontal="center" vertical="center"/>
      <protection hidden="1"/>
    </xf>
    <xf numFmtId="166" fontId="2" fillId="2" borderId="6" xfId="0" applyNumberFormat="1" applyFont="1" applyFill="1" applyBorder="1" applyAlignment="1">
      <alignment horizontal="center" vertical="center"/>
    </xf>
    <xf numFmtId="166" fontId="2" fillId="2" borderId="6" xfId="0" applyNumberFormat="1" applyFont="1" applyFill="1" applyBorder="1" applyAlignment="1">
      <alignment horizontal="center"/>
    </xf>
    <xf numFmtId="0" fontId="57" fillId="2" borderId="0" xfId="0" applyFont="1" applyFill="1" applyAlignment="1" applyProtection="1">
      <alignment horizontal="center" vertical="center"/>
      <protection hidden="1"/>
    </xf>
    <xf numFmtId="171" fontId="57" fillId="2" borderId="0" xfId="0" applyNumberFormat="1" applyFont="1" applyFill="1" applyAlignment="1" applyProtection="1">
      <alignment horizontal="center" vertical="center"/>
      <protection hidden="1"/>
    </xf>
    <xf numFmtId="0" fontId="46" fillId="2" borderId="0" xfId="0" applyFont="1" applyFill="1" applyAlignment="1" applyProtection="1">
      <alignment horizontal="center"/>
      <protection hidden="1"/>
    </xf>
    <xf numFmtId="0" fontId="2" fillId="2" borderId="6" xfId="0" applyFont="1" applyFill="1" applyBorder="1" applyAlignment="1" applyProtection="1">
      <alignment horizontal="center"/>
      <protection hidden="1"/>
    </xf>
    <xf numFmtId="0" fontId="24" fillId="2" borderId="0" xfId="3" applyFont="1" applyFill="1" applyBorder="1" applyAlignment="1">
      <alignment horizontal="center" vertical="center"/>
    </xf>
    <xf numFmtId="0" fontId="24" fillId="2" borderId="0" xfId="3" applyFont="1" applyFill="1" applyBorder="1" applyAlignment="1">
      <alignment horizontal="center" vertical="center" wrapText="1"/>
    </xf>
    <xf numFmtId="0" fontId="7" fillId="2" borderId="0" xfId="0" applyFont="1" applyFill="1" applyAlignment="1" applyProtection="1">
      <alignment horizontal="center"/>
      <protection hidden="1"/>
    </xf>
    <xf numFmtId="0" fontId="0" fillId="10" borderId="63" xfId="0" applyFill="1" applyBorder="1" applyAlignment="1" applyProtection="1">
      <alignment horizontal="center"/>
      <protection hidden="1"/>
    </xf>
    <xf numFmtId="0" fontId="0" fillId="10" borderId="62" xfId="0" applyFill="1" applyBorder="1" applyAlignment="1" applyProtection="1">
      <alignment horizontal="center"/>
      <protection hidden="1"/>
    </xf>
    <xf numFmtId="0" fontId="0" fillId="10" borderId="53" xfId="0" applyFill="1" applyBorder="1" applyAlignment="1" applyProtection="1">
      <alignment horizontal="center"/>
      <protection hidden="1"/>
    </xf>
    <xf numFmtId="0" fontId="49" fillId="5" borderId="108" xfId="0" applyFont="1" applyFill="1" applyBorder="1" applyAlignment="1" applyProtection="1">
      <alignment horizontal="center" vertical="center"/>
      <protection hidden="1"/>
    </xf>
    <xf numFmtId="0" fontId="49" fillId="5" borderId="109" xfId="0" applyFont="1" applyFill="1" applyBorder="1" applyAlignment="1" applyProtection="1">
      <alignment horizontal="center" vertical="center"/>
      <protection hidden="1"/>
    </xf>
    <xf numFmtId="0" fontId="49" fillId="5" borderId="110" xfId="0" applyFont="1" applyFill="1" applyBorder="1" applyAlignment="1" applyProtection="1">
      <alignment horizontal="center" vertical="center"/>
      <protection hidden="1"/>
    </xf>
    <xf numFmtId="173" fontId="51" fillId="8" borderId="113" xfId="0" applyNumberFormat="1" applyFont="1" applyFill="1" applyBorder="1" applyAlignment="1" applyProtection="1">
      <alignment horizontal="center" vertical="center"/>
      <protection hidden="1"/>
    </xf>
    <xf numFmtId="173" fontId="51" fillId="8" borderId="114" xfId="0" applyNumberFormat="1" applyFont="1" applyFill="1" applyBorder="1" applyAlignment="1" applyProtection="1">
      <alignment horizontal="center" vertical="center"/>
      <protection hidden="1"/>
    </xf>
    <xf numFmtId="0" fontId="52" fillId="8" borderId="71" xfId="0" applyFont="1" applyFill="1" applyBorder="1" applyAlignment="1" applyProtection="1">
      <alignment horizontal="center" vertical="center"/>
      <protection hidden="1"/>
    </xf>
    <xf numFmtId="0" fontId="52" fillId="8" borderId="72" xfId="0" applyFont="1" applyFill="1" applyBorder="1" applyAlignment="1" applyProtection="1">
      <alignment horizontal="center" vertical="center"/>
      <protection hidden="1"/>
    </xf>
    <xf numFmtId="0" fontId="51" fillId="8" borderId="71" xfId="0" applyFont="1" applyFill="1" applyBorder="1" applyAlignment="1" applyProtection="1">
      <alignment horizontal="center" vertical="center"/>
      <protection hidden="1"/>
    </xf>
    <xf numFmtId="0" fontId="51" fillId="8" borderId="72" xfId="0" applyFont="1" applyFill="1" applyBorder="1" applyAlignment="1" applyProtection="1">
      <alignment horizontal="center" vertical="center"/>
      <protection hidden="1"/>
    </xf>
    <xf numFmtId="3" fontId="36" fillId="11" borderId="127" xfId="0" applyNumberFormat="1" applyFont="1" applyFill="1" applyBorder="1" applyAlignment="1" applyProtection="1">
      <alignment horizontal="center" vertical="center"/>
      <protection hidden="1"/>
    </xf>
    <xf numFmtId="3" fontId="36" fillId="11" borderId="125" xfId="0" applyNumberFormat="1" applyFont="1" applyFill="1" applyBorder="1" applyAlignment="1" applyProtection="1">
      <alignment horizontal="center" vertical="center"/>
      <protection hidden="1"/>
    </xf>
    <xf numFmtId="0" fontId="49" fillId="5" borderId="121" xfId="0" applyFont="1" applyFill="1" applyBorder="1" applyAlignment="1" applyProtection="1">
      <alignment horizontal="center" vertical="center"/>
      <protection hidden="1"/>
    </xf>
    <xf numFmtId="0" fontId="49" fillId="5" borderId="122" xfId="0" applyFont="1" applyFill="1" applyBorder="1" applyAlignment="1" applyProtection="1">
      <alignment horizontal="center" vertical="center"/>
      <protection hidden="1"/>
    </xf>
    <xf numFmtId="0" fontId="49" fillId="5" borderId="130" xfId="0" applyFont="1" applyFill="1" applyBorder="1" applyAlignment="1" applyProtection="1">
      <alignment horizontal="center" vertical="center"/>
      <protection hidden="1"/>
    </xf>
    <xf numFmtId="0" fontId="52" fillId="2" borderId="0" xfId="0" applyFont="1" applyFill="1" applyAlignment="1" applyProtection="1">
      <alignment horizontal="center" vertical="center"/>
      <protection hidden="1"/>
    </xf>
    <xf numFmtId="0" fontId="49" fillId="5" borderId="63" xfId="0" applyFont="1" applyFill="1" applyBorder="1" applyAlignment="1" applyProtection="1">
      <alignment horizontal="center" vertical="center"/>
      <protection hidden="1"/>
    </xf>
    <xf numFmtId="0" fontId="49" fillId="5" borderId="62" xfId="0" applyFont="1" applyFill="1" applyBorder="1" applyAlignment="1" applyProtection="1">
      <alignment horizontal="center" vertical="center"/>
      <protection hidden="1"/>
    </xf>
    <xf numFmtId="0" fontId="49" fillId="5" borderId="53" xfId="0" applyFont="1" applyFill="1" applyBorder="1" applyAlignment="1" applyProtection="1">
      <alignment horizontal="center" vertical="center"/>
      <protection hidden="1"/>
    </xf>
    <xf numFmtId="3" fontId="36" fillId="11" borderId="134" xfId="0" applyNumberFormat="1" applyFont="1" applyFill="1" applyBorder="1" applyAlignment="1" applyProtection="1">
      <alignment horizontal="center" vertical="center"/>
      <protection hidden="1"/>
    </xf>
    <xf numFmtId="3" fontId="36" fillId="11" borderId="135" xfId="0" applyNumberFormat="1" applyFont="1" applyFill="1" applyBorder="1" applyAlignment="1" applyProtection="1">
      <alignment horizontal="center" vertical="center"/>
      <protection hidden="1"/>
    </xf>
    <xf numFmtId="0" fontId="49" fillId="2" borderId="0" xfId="0" applyFont="1" applyFill="1" applyAlignment="1" applyProtection="1">
      <alignment horizontal="center" vertical="center"/>
      <protection hidden="1"/>
    </xf>
    <xf numFmtId="173" fontId="51" fillId="2" borderId="0" xfId="0" applyNumberFormat="1" applyFont="1" applyFill="1" applyAlignment="1" applyProtection="1">
      <alignment horizontal="center" vertical="center"/>
      <protection hidden="1"/>
    </xf>
    <xf numFmtId="3" fontId="36" fillId="2" borderId="0" xfId="0" applyNumberFormat="1" applyFont="1" applyFill="1" applyAlignment="1" applyProtection="1">
      <alignment horizontal="center" vertical="center"/>
      <protection hidden="1"/>
    </xf>
    <xf numFmtId="0" fontId="51" fillId="2" borderId="0" xfId="0" applyFont="1" applyFill="1" applyAlignment="1" applyProtection="1">
      <alignment horizontal="center" vertical="center"/>
      <protection hidden="1"/>
    </xf>
    <xf numFmtId="3" fontId="53" fillId="2" borderId="0" xfId="0" applyNumberFormat="1" applyFont="1" applyFill="1" applyAlignment="1" applyProtection="1">
      <alignment horizontal="center" vertical="center"/>
      <protection hidden="1"/>
    </xf>
    <xf numFmtId="0" fontId="53" fillId="2" borderId="0" xfId="0" applyFont="1" applyFill="1" applyAlignment="1" applyProtection="1">
      <alignment horizontal="center" vertical="center"/>
      <protection hidden="1"/>
    </xf>
    <xf numFmtId="172" fontId="53" fillId="2" borderId="0" xfId="0" applyNumberFormat="1" applyFont="1" applyFill="1" applyAlignment="1" applyProtection="1">
      <alignment horizontal="center" vertical="center"/>
      <protection hidden="1"/>
    </xf>
    <xf numFmtId="0" fontId="41" fillId="9" borderId="94" xfId="0" applyFont="1" applyFill="1" applyBorder="1" applyAlignment="1" applyProtection="1">
      <alignment horizontal="center" vertical="center"/>
      <protection hidden="1"/>
    </xf>
    <xf numFmtId="0" fontId="41" fillId="9" borderId="95" xfId="0" applyFont="1" applyFill="1" applyBorder="1" applyAlignment="1" applyProtection="1">
      <alignment horizontal="center" vertical="center"/>
      <protection hidden="1"/>
    </xf>
    <xf numFmtId="0" fontId="41" fillId="9" borderId="94" xfId="0" applyFont="1" applyFill="1" applyBorder="1" applyAlignment="1" applyProtection="1">
      <alignment horizontal="center"/>
      <protection hidden="1"/>
    </xf>
    <xf numFmtId="0" fontId="41" fillId="9" borderId="95" xfId="0" applyFont="1" applyFill="1" applyBorder="1" applyAlignment="1" applyProtection="1">
      <alignment horizontal="center"/>
      <protection hidden="1"/>
    </xf>
    <xf numFmtId="0" fontId="49" fillId="5" borderId="121" xfId="0" applyFont="1" applyFill="1" applyBorder="1" applyAlignment="1">
      <alignment horizontal="center" vertical="center"/>
    </xf>
    <xf numFmtId="0" fontId="49" fillId="5" borderId="122" xfId="0" applyFont="1" applyFill="1" applyBorder="1" applyAlignment="1">
      <alignment horizontal="center" vertical="center"/>
    </xf>
    <xf numFmtId="0" fontId="49" fillId="5" borderId="130" xfId="0" applyFont="1" applyFill="1" applyBorder="1" applyAlignment="1">
      <alignment horizontal="center" vertical="center"/>
    </xf>
    <xf numFmtId="0" fontId="46" fillId="2" borderId="0" xfId="0" applyFont="1" applyFill="1" applyAlignment="1">
      <alignment horizontal="center"/>
    </xf>
    <xf numFmtId="0" fontId="0" fillId="10" borderId="63" xfId="0" applyFill="1" applyBorder="1" applyAlignment="1">
      <alignment horizontal="center"/>
    </xf>
    <xf numFmtId="0" fontId="0" fillId="10" borderId="62" xfId="0" applyFill="1" applyBorder="1" applyAlignment="1">
      <alignment horizontal="center"/>
    </xf>
    <xf numFmtId="0" fontId="0" fillId="10" borderId="53" xfId="0" applyFill="1" applyBorder="1" applyAlignment="1">
      <alignment horizontal="center"/>
    </xf>
    <xf numFmtId="0" fontId="49" fillId="5" borderId="108" xfId="0" applyFont="1" applyFill="1" applyBorder="1" applyAlignment="1">
      <alignment horizontal="center" vertical="center"/>
    </xf>
    <xf numFmtId="0" fontId="49" fillId="5" borderId="109" xfId="0" applyFont="1" applyFill="1" applyBorder="1" applyAlignment="1">
      <alignment horizontal="center" vertical="center"/>
    </xf>
    <xf numFmtId="0" fontId="49" fillId="5" borderId="110" xfId="0" applyFont="1" applyFill="1" applyBorder="1" applyAlignment="1">
      <alignment horizontal="center" vertical="center"/>
    </xf>
    <xf numFmtId="173" fontId="51" fillId="8" borderId="113" xfId="0" applyNumberFormat="1" applyFont="1" applyFill="1" applyBorder="1" applyAlignment="1">
      <alignment horizontal="center" vertical="center"/>
    </xf>
    <xf numFmtId="173" fontId="51" fillId="8" borderId="114" xfId="0" applyNumberFormat="1" applyFont="1" applyFill="1" applyBorder="1" applyAlignment="1">
      <alignment horizontal="center" vertical="center"/>
    </xf>
    <xf numFmtId="0" fontId="52" fillId="8" borderId="71" xfId="0" applyFont="1" applyFill="1" applyBorder="1" applyAlignment="1">
      <alignment horizontal="center" vertical="center"/>
    </xf>
    <xf numFmtId="0" fontId="52" fillId="8" borderId="72" xfId="0" applyFont="1" applyFill="1" applyBorder="1" applyAlignment="1">
      <alignment horizontal="center" vertical="center"/>
    </xf>
    <xf numFmtId="0" fontId="51" fillId="8" borderId="71" xfId="0" applyFont="1" applyFill="1" applyBorder="1" applyAlignment="1">
      <alignment horizontal="center" vertical="center"/>
    </xf>
    <xf numFmtId="0" fontId="51" fillId="8" borderId="72" xfId="0" applyFont="1" applyFill="1" applyBorder="1" applyAlignment="1">
      <alignment horizontal="center" vertical="center"/>
    </xf>
    <xf numFmtId="0" fontId="49" fillId="5" borderId="63" xfId="0" applyFont="1" applyFill="1" applyBorder="1" applyAlignment="1">
      <alignment horizontal="center" vertical="center"/>
    </xf>
    <xf numFmtId="0" fontId="49" fillId="5" borderId="62" xfId="0" applyFont="1" applyFill="1" applyBorder="1" applyAlignment="1">
      <alignment horizontal="center" vertical="center"/>
    </xf>
    <xf numFmtId="0" fontId="49" fillId="5" borderId="53" xfId="0" applyFont="1" applyFill="1" applyBorder="1" applyAlignment="1">
      <alignment horizontal="center" vertical="center"/>
    </xf>
    <xf numFmtId="0" fontId="51" fillId="2" borderId="0" xfId="0" applyFont="1" applyFill="1" applyAlignment="1">
      <alignment horizontal="center" vertical="center"/>
    </xf>
    <xf numFmtId="0" fontId="49" fillId="2" borderId="0" xfId="0" applyFont="1" applyFill="1" applyAlignment="1">
      <alignment horizontal="center" vertical="center"/>
    </xf>
    <xf numFmtId="173" fontId="51" fillId="2" borderId="0" xfId="0" applyNumberFormat="1" applyFont="1" applyFill="1" applyAlignment="1">
      <alignment horizontal="center" vertical="center"/>
    </xf>
    <xf numFmtId="0" fontId="52" fillId="2" borderId="0" xfId="0" applyFont="1" applyFill="1" applyAlignment="1">
      <alignment horizontal="center" vertical="center"/>
    </xf>
    <xf numFmtId="3" fontId="53" fillId="2" borderId="0" xfId="0" applyNumberFormat="1" applyFont="1" applyFill="1" applyAlignment="1">
      <alignment horizontal="center" vertical="center"/>
    </xf>
    <xf numFmtId="0" fontId="53" fillId="2" borderId="0" xfId="0" applyFont="1" applyFill="1" applyAlignment="1">
      <alignment horizontal="center" vertical="center"/>
    </xf>
    <xf numFmtId="172" fontId="53" fillId="2" borderId="0" xfId="0" applyNumberFormat="1" applyFont="1" applyFill="1" applyAlignment="1">
      <alignment horizontal="center" vertical="center"/>
    </xf>
    <xf numFmtId="0" fontId="7" fillId="2" borderId="0" xfId="3" applyFont="1" applyFill="1" applyBorder="1" applyAlignment="1">
      <alignment horizontal="center"/>
    </xf>
    <xf numFmtId="0" fontId="6" fillId="2" borderId="0" xfId="3" applyFont="1" applyFill="1" applyBorder="1" applyAlignment="1">
      <alignment horizontal="center"/>
    </xf>
    <xf numFmtId="0" fontId="6" fillId="2" borderId="8" xfId="3" applyFont="1" applyFill="1" applyBorder="1" applyAlignment="1">
      <alignment horizontal="center"/>
    </xf>
    <xf numFmtId="0" fontId="5" fillId="2" borderId="0" xfId="3" applyFont="1" applyFill="1" applyBorder="1" applyAlignment="1">
      <alignment horizontal="center" vertical="top"/>
    </xf>
    <xf numFmtId="0" fontId="5" fillId="2" borderId="8" xfId="3" applyFont="1" applyFill="1" applyBorder="1" applyAlignment="1">
      <alignment horizontal="center" vertical="top"/>
    </xf>
    <xf numFmtId="0" fontId="5" fillId="2" borderId="0" xfId="3" applyFont="1" applyFill="1" applyBorder="1" applyAlignment="1">
      <alignment horizontal="center"/>
    </xf>
    <xf numFmtId="0" fontId="20" fillId="2" borderId="6" xfId="0" applyFont="1" applyFill="1" applyBorder="1" applyAlignment="1" applyProtection="1">
      <alignment horizontal="center" vertical="center" wrapText="1"/>
      <protection hidden="1"/>
    </xf>
    <xf numFmtId="0" fontId="17" fillId="2" borderId="6" xfId="0" applyFont="1" applyFill="1" applyBorder="1" applyAlignment="1" applyProtection="1">
      <alignment horizontal="right" vertical="center"/>
      <protection hidden="1"/>
    </xf>
    <xf numFmtId="0" fontId="20" fillId="2" borderId="6" xfId="0" applyFont="1" applyFill="1" applyBorder="1" applyAlignment="1">
      <alignment horizontal="center" vertical="center" wrapText="1"/>
    </xf>
    <xf numFmtId="0" fontId="24" fillId="2" borderId="9" xfId="0" applyFont="1" applyFill="1" applyBorder="1" applyAlignment="1" applyProtection="1">
      <alignment horizontal="right"/>
      <protection hidden="1"/>
    </xf>
    <xf numFmtId="0" fontId="24" fillId="2" borderId="11" xfId="0" applyFont="1" applyFill="1" applyBorder="1" applyAlignment="1" applyProtection="1">
      <alignment horizontal="right"/>
      <protection hidden="1"/>
    </xf>
    <xf numFmtId="0" fontId="14" fillId="2" borderId="10" xfId="0" applyFont="1" applyFill="1" applyBorder="1" applyAlignment="1" applyProtection="1">
      <alignment horizontal="center"/>
      <protection hidden="1"/>
    </xf>
    <xf numFmtId="0" fontId="14" fillId="2" borderId="10" xfId="0" applyFont="1" applyFill="1" applyBorder="1" applyAlignment="1" applyProtection="1">
      <alignment horizontal="center" vertical="center"/>
      <protection hidden="1"/>
    </xf>
    <xf numFmtId="0" fontId="9" fillId="2" borderId="6" xfId="0" applyFont="1" applyFill="1" applyBorder="1" applyAlignment="1" applyProtection="1">
      <alignment horizontal="center"/>
      <protection hidden="1"/>
    </xf>
    <xf numFmtId="0" fontId="9" fillId="2" borderId="9" xfId="0" applyFont="1" applyFill="1" applyBorder="1" applyAlignment="1" applyProtection="1">
      <alignment horizontal="center"/>
      <protection hidden="1"/>
    </xf>
    <xf numFmtId="0" fontId="14" fillId="3" borderId="6" xfId="0" applyFont="1" applyFill="1" applyBorder="1" applyAlignment="1" applyProtection="1">
      <alignment horizontal="center" vertical="center"/>
      <protection hidden="1"/>
    </xf>
    <xf numFmtId="0" fontId="14" fillId="3" borderId="9" xfId="0" applyFont="1" applyFill="1" applyBorder="1" applyAlignment="1" applyProtection="1">
      <alignment horizontal="center" vertical="center"/>
      <protection hidden="1"/>
    </xf>
    <xf numFmtId="0" fontId="31" fillId="2" borderId="41" xfId="0" applyFont="1" applyFill="1" applyBorder="1" applyAlignment="1" applyProtection="1">
      <alignment horizontal="center"/>
      <protection hidden="1"/>
    </xf>
    <xf numFmtId="0" fontId="31" fillId="2" borderId="6" xfId="0" applyFont="1" applyFill="1" applyBorder="1" applyAlignment="1" applyProtection="1">
      <alignment horizontal="center"/>
      <protection hidden="1"/>
    </xf>
    <xf numFmtId="0" fontId="31" fillId="2" borderId="45" xfId="0" applyFont="1" applyFill="1" applyBorder="1" applyAlignment="1" applyProtection="1">
      <alignment horizontal="center"/>
      <protection hidden="1"/>
    </xf>
    <xf numFmtId="0" fontId="31" fillId="2" borderId="10" xfId="0" applyFont="1" applyFill="1" applyBorder="1" applyAlignment="1" applyProtection="1">
      <alignment horizontal="center"/>
      <protection hidden="1"/>
    </xf>
    <xf numFmtId="0" fontId="31" fillId="2" borderId="11" xfId="0" applyFont="1" applyFill="1" applyBorder="1" applyAlignment="1" applyProtection="1">
      <alignment horizontal="center"/>
      <protection hidden="1"/>
    </xf>
    <xf numFmtId="0" fontId="30" fillId="2" borderId="38" xfId="0" applyFont="1" applyFill="1" applyBorder="1" applyAlignment="1" applyProtection="1">
      <alignment horizontal="center"/>
      <protection hidden="1"/>
    </xf>
    <xf numFmtId="0" fontId="30" fillId="2" borderId="39" xfId="0" applyFont="1" applyFill="1" applyBorder="1" applyAlignment="1" applyProtection="1">
      <alignment horizontal="center"/>
      <protection hidden="1"/>
    </xf>
    <xf numFmtId="0" fontId="31" fillId="2" borderId="43" xfId="0" applyFont="1" applyFill="1" applyBorder="1" applyAlignment="1" applyProtection="1">
      <alignment horizontal="center"/>
      <protection hidden="1"/>
    </xf>
    <xf numFmtId="0" fontId="31" fillId="2" borderId="44" xfId="0" applyFont="1" applyFill="1" applyBorder="1" applyAlignment="1" applyProtection="1">
      <alignment horizontal="center"/>
      <protection hidden="1"/>
    </xf>
    <xf numFmtId="0" fontId="31" fillId="2" borderId="63" xfId="0" applyFont="1" applyFill="1" applyBorder="1" applyAlignment="1" applyProtection="1">
      <alignment horizontal="center" wrapText="1"/>
      <protection hidden="1"/>
    </xf>
    <xf numFmtId="0" fontId="31" fillId="2" borderId="62" xfId="0" applyFont="1" applyFill="1" applyBorder="1" applyAlignment="1" applyProtection="1">
      <alignment horizontal="center" wrapText="1"/>
      <protection hidden="1"/>
    </xf>
    <xf numFmtId="0" fontId="31" fillId="2" borderId="53" xfId="0" applyFont="1" applyFill="1" applyBorder="1" applyAlignment="1" applyProtection="1">
      <alignment horizontal="center" wrapText="1"/>
      <protection hidden="1"/>
    </xf>
    <xf numFmtId="0" fontId="31" fillId="2" borderId="64" xfId="0" applyFont="1" applyFill="1" applyBorder="1" applyAlignment="1" applyProtection="1">
      <alignment horizontal="center" wrapText="1"/>
      <protection hidden="1"/>
    </xf>
    <xf numFmtId="0" fontId="31" fillId="2" borderId="5" xfId="0" applyFont="1" applyFill="1" applyBorder="1" applyAlignment="1" applyProtection="1">
      <alignment horizontal="center" wrapText="1"/>
      <protection hidden="1"/>
    </xf>
    <xf numFmtId="0" fontId="31" fillId="2" borderId="65" xfId="0" applyFont="1" applyFill="1" applyBorder="1" applyAlignment="1" applyProtection="1">
      <alignment horizontal="center" wrapText="1"/>
      <protection hidden="1"/>
    </xf>
    <xf numFmtId="0" fontId="24" fillId="2" borderId="16" xfId="0" applyFont="1" applyFill="1" applyBorder="1" applyAlignment="1" applyProtection="1">
      <alignment horizontal="center"/>
      <protection hidden="1"/>
    </xf>
    <xf numFmtId="4" fontId="27" fillId="2" borderId="35" xfId="9" applyNumberFormat="1" applyFont="1" applyFill="1" applyBorder="1" applyAlignment="1" applyProtection="1">
      <alignment horizontal="center" vertical="center" wrapText="1"/>
      <protection hidden="1"/>
    </xf>
    <xf numFmtId="4" fontId="27" fillId="2" borderId="36" xfId="9" applyNumberFormat="1" applyFont="1" applyFill="1" applyBorder="1" applyAlignment="1" applyProtection="1">
      <alignment horizontal="center" vertical="center" wrapText="1"/>
      <protection hidden="1"/>
    </xf>
    <xf numFmtId="0" fontId="24" fillId="2" borderId="16" xfId="0" applyFont="1" applyFill="1" applyBorder="1" applyAlignment="1" applyProtection="1">
      <alignment horizontal="center" vertical="center"/>
      <protection hidden="1"/>
    </xf>
    <xf numFmtId="0" fontId="25" fillId="2" borderId="16" xfId="0" applyFont="1" applyFill="1" applyBorder="1" applyAlignment="1" applyProtection="1">
      <alignment horizontal="left"/>
      <protection hidden="1"/>
    </xf>
    <xf numFmtId="0" fontId="48" fillId="2" borderId="16" xfId="0" applyFont="1" applyFill="1" applyBorder="1" applyAlignment="1" applyProtection="1">
      <alignment horizontal="left"/>
      <protection hidden="1"/>
    </xf>
    <xf numFmtId="0" fontId="48" fillId="2" borderId="16" xfId="0" applyFont="1" applyFill="1" applyBorder="1" applyAlignment="1" applyProtection="1">
      <alignment horizontal="center"/>
      <protection hidden="1"/>
    </xf>
    <xf numFmtId="0" fontId="24" fillId="2" borderId="16" xfId="0" applyFont="1" applyFill="1" applyBorder="1" applyAlignment="1" applyProtection="1">
      <alignment horizontal="left"/>
      <protection hidden="1"/>
    </xf>
    <xf numFmtId="0" fontId="15" fillId="2" borderId="0" xfId="0" applyFont="1" applyFill="1" applyAlignment="1" applyProtection="1">
      <alignment horizontal="center"/>
      <protection hidden="1"/>
    </xf>
    <xf numFmtId="0" fontId="55" fillId="2" borderId="0" xfId="0" applyFont="1" applyFill="1" applyAlignment="1" applyProtection="1">
      <alignment horizontal="center"/>
      <protection hidden="1"/>
    </xf>
    <xf numFmtId="0" fontId="12" fillId="2" borderId="0" xfId="0" applyFont="1" applyFill="1" applyAlignment="1" applyProtection="1">
      <alignment horizontal="center"/>
      <protection hidden="1"/>
    </xf>
    <xf numFmtId="0" fontId="12" fillId="2" borderId="16" xfId="0" applyFont="1" applyFill="1" applyBorder="1" applyAlignment="1" applyProtection="1">
      <alignment horizontal="center"/>
      <protection hidden="1"/>
    </xf>
    <xf numFmtId="0" fontId="5" fillId="2" borderId="0" xfId="3" applyFont="1" applyFill="1" applyBorder="1" applyAlignment="1" applyProtection="1">
      <alignment horizontal="center" vertical="center"/>
      <protection hidden="1"/>
    </xf>
    <xf numFmtId="0" fontId="5" fillId="2" borderId="16" xfId="3" applyFont="1" applyFill="1" applyBorder="1" applyAlignment="1" applyProtection="1">
      <alignment horizontal="center" vertical="center"/>
      <protection hidden="1"/>
    </xf>
    <xf numFmtId="0" fontId="15" fillId="2" borderId="49" xfId="0" applyFont="1" applyFill="1" applyBorder="1" applyAlignment="1" applyProtection="1">
      <alignment horizontal="center"/>
      <protection hidden="1"/>
    </xf>
    <xf numFmtId="0" fontId="15" fillId="2" borderId="50" xfId="0" applyFont="1" applyFill="1" applyBorder="1" applyAlignment="1" applyProtection="1">
      <alignment horizontal="center"/>
      <protection hidden="1"/>
    </xf>
    <xf numFmtId="0" fontId="15" fillId="2" borderId="51" xfId="0" applyFont="1" applyFill="1" applyBorder="1" applyAlignment="1" applyProtection="1">
      <alignment horizontal="center"/>
      <protection hidden="1"/>
    </xf>
    <xf numFmtId="0" fontId="2" fillId="2" borderId="0" xfId="0" applyFont="1" applyFill="1" applyAlignment="1" applyProtection="1">
      <alignment horizontal="center"/>
      <protection hidden="1"/>
    </xf>
    <xf numFmtId="14" fontId="2" fillId="2" borderId="59" xfId="0" applyNumberFormat="1" applyFont="1" applyFill="1" applyBorder="1" applyAlignment="1" applyProtection="1">
      <alignment horizontal="center"/>
      <protection hidden="1"/>
    </xf>
    <xf numFmtId="14" fontId="2" fillId="2" borderId="58" xfId="0" applyNumberFormat="1" applyFont="1" applyFill="1" applyBorder="1" applyAlignment="1" applyProtection="1">
      <alignment horizontal="center"/>
      <protection hidden="1"/>
    </xf>
    <xf numFmtId="14" fontId="2" fillId="2" borderId="56" xfId="0" applyNumberFormat="1" applyFont="1" applyFill="1" applyBorder="1" applyAlignment="1" applyProtection="1">
      <alignment horizontal="center"/>
      <protection hidden="1"/>
    </xf>
    <xf numFmtId="0" fontId="0" fillId="2" borderId="59" xfId="0" applyFill="1" applyBorder="1" applyAlignment="1" applyProtection="1">
      <alignment horizontal="center"/>
      <protection hidden="1"/>
    </xf>
    <xf numFmtId="0" fontId="0" fillId="2" borderId="58" xfId="0" applyFill="1" applyBorder="1" applyAlignment="1" applyProtection="1">
      <alignment horizontal="center"/>
      <protection hidden="1"/>
    </xf>
    <xf numFmtId="14" fontId="2" fillId="2" borderId="84" xfId="0" applyNumberFormat="1" applyFont="1" applyFill="1" applyBorder="1" applyAlignment="1" applyProtection="1">
      <alignment horizontal="center"/>
      <protection hidden="1"/>
    </xf>
    <xf numFmtId="14" fontId="2" fillId="2" borderId="143" xfId="0" applyNumberFormat="1" applyFont="1" applyFill="1" applyBorder="1" applyAlignment="1" applyProtection="1">
      <alignment horizontal="center"/>
      <protection hidden="1"/>
    </xf>
    <xf numFmtId="0" fontId="15" fillId="2" borderId="102" xfId="0" applyFont="1" applyFill="1" applyBorder="1" applyAlignment="1" applyProtection="1">
      <alignment horizontal="center"/>
      <protection hidden="1"/>
    </xf>
    <xf numFmtId="0" fontId="15" fillId="2" borderId="126" xfId="0" applyFont="1" applyFill="1" applyBorder="1" applyAlignment="1" applyProtection="1">
      <alignment horizontal="center"/>
      <protection hidden="1"/>
    </xf>
    <xf numFmtId="0" fontId="15" fillId="2" borderId="139" xfId="0" applyFont="1" applyFill="1" applyBorder="1" applyAlignment="1" applyProtection="1">
      <alignment horizontal="center"/>
      <protection hidden="1"/>
    </xf>
  </cellXfs>
  <cellStyles count="10">
    <cellStyle name="Célula Ligada" xfId="9" builtinId="24"/>
    <cellStyle name="Cor6" xfId="6" builtinId="49"/>
    <cellStyle name="Hiperligação" xfId="3" builtinId="8"/>
    <cellStyle name="Moeda" xfId="1" builtinId="4"/>
    <cellStyle name="Moeda 4" xfId="5" xr:uid="{00000000-0005-0000-0000-000004000000}"/>
    <cellStyle name="Normal" xfId="0" builtinId="0"/>
    <cellStyle name="Normal 2" xfId="8" xr:uid="{00000000-0005-0000-0000-000006000000}"/>
    <cellStyle name="Normal 2 2" xfId="7" xr:uid="{00000000-0005-0000-0000-000007000000}"/>
    <cellStyle name="Percentagem" xfId="2" builtinId="5"/>
    <cellStyle name="Porcentagem 3" xfId="4" xr:uid="{00000000-0005-0000-0000-000009000000}"/>
  </cellStyles>
  <dxfs count="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indexed="64"/>
          <bgColor theme="4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/>
        <horizontal/>
      </border>
    </dxf>
    <dxf>
      <border outline="0">
        <right style="thin">
          <color theme="0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22" formatCode="mmm/yy"/>
      <fill>
        <patternFill patternType="solid">
          <fgColor indexed="64"/>
          <bgColor theme="4" tint="-0.249977111117893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/>
        <bottom/>
      </border>
    </dxf>
  </dxfs>
  <tableStyles count="0" defaultTableStyle="TableStyleMedium2" defaultPivotStyle="PivotStyleLight16"/>
  <colors>
    <mruColors>
      <color rgb="FF87C4E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sharedStrings" Target="sharedStrings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theme" Target="theme/theme1.xml"/><Relationship Id="rId40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hyperlink" Target="#'Desengraxante Qu&#237;'!A1"/><Relationship Id="rId13" Type="http://schemas.openxmlformats.org/officeDocument/2006/relationships/hyperlink" Target="#'Desplacante  '!A1"/><Relationship Id="rId18" Type="http://schemas.openxmlformats.org/officeDocument/2006/relationships/hyperlink" Target="#'Desplacante de gancheira '!A1"/><Relationship Id="rId26" Type="http://schemas.openxmlformats.org/officeDocument/2006/relationships/image" Target="../media/image1.png"/><Relationship Id="rId3" Type="http://schemas.openxmlformats.org/officeDocument/2006/relationships/hyperlink" Target="#'Custo Galvanoplastia (2)'!A1"/><Relationship Id="rId21" Type="http://schemas.openxmlformats.org/officeDocument/2006/relationships/hyperlink" Target="#Manuten&#231;&#227;o!A1"/><Relationship Id="rId7" Type="http://schemas.openxmlformats.org/officeDocument/2006/relationships/hyperlink" Target="#'Pe&#231;as por Hora Verniz'!A1"/><Relationship Id="rId12" Type="http://schemas.openxmlformats.org/officeDocument/2006/relationships/hyperlink" Target="#'N&#237;quel Strik'!A1"/><Relationship Id="rId17" Type="http://schemas.openxmlformats.org/officeDocument/2006/relationships/hyperlink" Target="#'Verniz Imers&#227;o'!A1"/><Relationship Id="rId25" Type="http://schemas.openxmlformats.org/officeDocument/2006/relationships/hyperlink" Target="#Investimentos!A1"/><Relationship Id="rId2" Type="http://schemas.openxmlformats.org/officeDocument/2006/relationships/hyperlink" Target="#'N&#237;quel Strik (2)'!A1"/><Relationship Id="rId16" Type="http://schemas.openxmlformats.org/officeDocument/2006/relationships/hyperlink" Target="#'Pr&#233; Tratamento Verniz'!A1"/><Relationship Id="rId20" Type="http://schemas.openxmlformats.org/officeDocument/2006/relationships/hyperlink" Target="#Transporte!A1"/><Relationship Id="rId1" Type="http://schemas.openxmlformats.org/officeDocument/2006/relationships/hyperlink" Target="#'Resumo de Custo'!A1"/><Relationship Id="rId6" Type="http://schemas.openxmlformats.org/officeDocument/2006/relationships/hyperlink" Target="#'Cobre &#193;cido'!A1"/><Relationship Id="rId11" Type="http://schemas.openxmlformats.org/officeDocument/2006/relationships/hyperlink" Target="#'Cobre Alcalino'!A1"/><Relationship Id="rId24" Type="http://schemas.openxmlformats.org/officeDocument/2006/relationships/hyperlink" Target="#'Custos Vari&#225;veis'!A1"/><Relationship Id="rId5" Type="http://schemas.openxmlformats.org/officeDocument/2006/relationships/hyperlink" Target="#'Custo Verniz'!A1"/><Relationship Id="rId15" Type="http://schemas.openxmlformats.org/officeDocument/2006/relationships/hyperlink" Target="#'N&#237;quel Brilhante'!A1"/><Relationship Id="rId23" Type="http://schemas.openxmlformats.org/officeDocument/2006/relationships/hyperlink" Target="#M.O!A1"/><Relationship Id="rId28" Type="http://schemas.microsoft.com/office/2007/relationships/hdphoto" Target="../media/hdphoto1.wdp"/><Relationship Id="rId10" Type="http://schemas.openxmlformats.org/officeDocument/2006/relationships/hyperlink" Target="#'Pr&#233; Tratamento'!A1"/><Relationship Id="rId19" Type="http://schemas.openxmlformats.org/officeDocument/2006/relationships/hyperlink" Target="#E.T.E!A1"/><Relationship Id="rId4" Type="http://schemas.openxmlformats.org/officeDocument/2006/relationships/hyperlink" Target="#'Pe&#231;as por Hora Galvanoplast (2'!A1"/><Relationship Id="rId9" Type="http://schemas.openxmlformats.org/officeDocument/2006/relationships/hyperlink" Target="#Cromo!A1"/><Relationship Id="rId14" Type="http://schemas.openxmlformats.org/officeDocument/2006/relationships/hyperlink" Target="#'Verniz Catafor&#233;tico'!A1"/><Relationship Id="rId22" Type="http://schemas.openxmlformats.org/officeDocument/2006/relationships/hyperlink" Target="#'Outros Custos'!A1"/><Relationship Id="rId27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9523</xdr:colOff>
      <xdr:row>0</xdr:row>
      <xdr:rowOff>9525</xdr:rowOff>
    </xdr:from>
    <xdr:to>
      <xdr:col>1</xdr:col>
      <xdr:colOff>323323</xdr:colOff>
      <xdr:row>3</xdr:row>
      <xdr:rowOff>66675</xdr:rowOff>
    </xdr:to>
    <xdr:sp macro="" textlink="">
      <xdr:nvSpPr>
        <xdr:cNvPr id="4" name="Retângulo de cantos arredondados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>
          <a:off x="9523" y="9525"/>
          <a:ext cx="1152000" cy="628650"/>
        </a:xfrm>
        <a:prstGeom prst="roundRect">
          <a:avLst/>
        </a:prstGeom>
        <a:ln>
          <a:noFill/>
        </a:ln>
        <a:effectLst>
          <a:outerShdw blurRad="44450" dist="27940" dir="5400000" algn="ctr">
            <a:srgbClr val="000000">
              <a:alpha val="32000"/>
            </a:srgbClr>
          </a:outerShdw>
        </a:effectLst>
        <a:scene3d>
          <a:camera prst="orthographicFront">
            <a:rot lat="0" lon="0" rev="0"/>
          </a:camera>
          <a:lightRig rig="balanced" dir="t">
            <a:rot lat="0" lon="0" rev="8700000"/>
          </a:lightRig>
        </a:scene3d>
        <a:sp3d>
          <a:bevelT w="190500" h="38100"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300" b="1" u="sng"/>
            <a:t>Resumo</a:t>
          </a:r>
          <a:r>
            <a:rPr lang="pt-BR" sz="1300" b="1" u="sng" baseline="0"/>
            <a:t> de Custo</a:t>
          </a:r>
          <a:endParaRPr lang="pt-BR" sz="1300" b="1" u="sng"/>
        </a:p>
      </xdr:txBody>
    </xdr:sp>
    <xdr:clientData/>
  </xdr:twoCellAnchor>
  <xdr:twoCellAnchor>
    <xdr:from>
      <xdr:col>0</xdr:col>
      <xdr:colOff>0</xdr:colOff>
      <xdr:row>3</xdr:row>
      <xdr:rowOff>76200</xdr:rowOff>
    </xdr:from>
    <xdr:to>
      <xdr:col>1</xdr:col>
      <xdr:colOff>313800</xdr:colOff>
      <xdr:row>6</xdr:row>
      <xdr:rowOff>134700</xdr:rowOff>
    </xdr:to>
    <xdr:sp macro="" textlink="">
      <xdr:nvSpPr>
        <xdr:cNvPr id="5" name="Retângulo de cantos arredondados 4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/>
      </xdr:nvSpPr>
      <xdr:spPr>
        <a:xfrm>
          <a:off x="0" y="647700"/>
          <a:ext cx="1152000" cy="630000"/>
        </a:xfrm>
        <a:prstGeom prst="roundRect">
          <a:avLst/>
        </a:prstGeom>
        <a:ln>
          <a:noFill/>
        </a:ln>
        <a:effectLst>
          <a:outerShdw blurRad="44450" dist="27940" dir="5400000" algn="ctr">
            <a:srgbClr val="000000">
              <a:alpha val="32000"/>
            </a:srgbClr>
          </a:outerShdw>
        </a:effectLst>
        <a:scene3d>
          <a:camera prst="orthographicFront">
            <a:rot lat="0" lon="0" rev="0"/>
          </a:camera>
          <a:lightRig rig="balanced" dir="t">
            <a:rot lat="0" lon="0" rev="8700000"/>
          </a:lightRig>
        </a:scene3d>
        <a:sp3d>
          <a:bevelT w="190500" h="38100"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300" b="1" u="sng"/>
            <a:t>Níquel</a:t>
          </a:r>
          <a:r>
            <a:rPr lang="pt-BR" sz="1300" b="1" u="sng" baseline="0"/>
            <a:t> Strik (2)</a:t>
          </a:r>
        </a:p>
      </xdr:txBody>
    </xdr:sp>
    <xdr:clientData/>
  </xdr:twoCellAnchor>
  <xdr:twoCellAnchor>
    <xdr:from>
      <xdr:col>1</xdr:col>
      <xdr:colOff>333375</xdr:colOff>
      <xdr:row>0</xdr:row>
      <xdr:rowOff>0</xdr:rowOff>
    </xdr:from>
    <xdr:to>
      <xdr:col>3</xdr:col>
      <xdr:colOff>161400</xdr:colOff>
      <xdr:row>3</xdr:row>
      <xdr:rowOff>58500</xdr:rowOff>
    </xdr:to>
    <xdr:sp macro="" textlink="">
      <xdr:nvSpPr>
        <xdr:cNvPr id="6" name="Retângulo de cantos arredondados 5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/>
      </xdr:nvSpPr>
      <xdr:spPr>
        <a:xfrm>
          <a:off x="1171575" y="0"/>
          <a:ext cx="1152000" cy="630000"/>
        </a:xfrm>
        <a:prstGeom prst="roundRect">
          <a:avLst/>
        </a:prstGeom>
        <a:ln>
          <a:noFill/>
        </a:ln>
        <a:effectLst>
          <a:outerShdw blurRad="44450" dist="27940" dir="5400000" algn="ctr">
            <a:srgbClr val="000000">
              <a:alpha val="32000"/>
            </a:srgbClr>
          </a:outerShdw>
        </a:effectLst>
        <a:scene3d>
          <a:camera prst="orthographicFront">
            <a:rot lat="0" lon="0" rev="0"/>
          </a:camera>
          <a:lightRig rig="balanced" dir="t">
            <a:rot lat="0" lon="0" rev="8700000"/>
          </a:lightRig>
        </a:scene3d>
        <a:sp3d>
          <a:bevelT w="190500" h="38100"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300" b="1" u="sng"/>
            <a:t>Custo Galvano</a:t>
          </a:r>
        </a:p>
      </xdr:txBody>
    </xdr:sp>
    <xdr:clientData/>
  </xdr:twoCellAnchor>
  <xdr:twoCellAnchor>
    <xdr:from>
      <xdr:col>3</xdr:col>
      <xdr:colOff>171450</xdr:colOff>
      <xdr:row>0</xdr:row>
      <xdr:rowOff>9525</xdr:rowOff>
    </xdr:from>
    <xdr:to>
      <xdr:col>5</xdr:col>
      <xdr:colOff>37575</xdr:colOff>
      <xdr:row>3</xdr:row>
      <xdr:rowOff>68025</xdr:rowOff>
    </xdr:to>
    <xdr:sp macro="" textlink="">
      <xdr:nvSpPr>
        <xdr:cNvPr id="7" name="Retângulo de cantos arredondados 6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/>
      </xdr:nvSpPr>
      <xdr:spPr>
        <a:xfrm>
          <a:off x="2333625" y="9525"/>
          <a:ext cx="1152000" cy="630000"/>
        </a:xfrm>
        <a:prstGeom prst="roundRect">
          <a:avLst/>
        </a:prstGeom>
        <a:ln>
          <a:noFill/>
        </a:ln>
        <a:effectLst>
          <a:outerShdw blurRad="44450" dist="27940" dir="5400000" algn="ctr">
            <a:srgbClr val="000000">
              <a:alpha val="32000"/>
            </a:srgbClr>
          </a:outerShdw>
        </a:effectLst>
        <a:scene3d>
          <a:camera prst="orthographicFront">
            <a:rot lat="0" lon="0" rev="0"/>
          </a:camera>
          <a:lightRig rig="balanced" dir="t">
            <a:rot lat="0" lon="0" rev="8700000"/>
          </a:lightRig>
        </a:scene3d>
        <a:sp3d>
          <a:bevelT w="190500" h="38100"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300" b="1" u="sng"/>
            <a:t>Peças</a:t>
          </a:r>
          <a:r>
            <a:rPr lang="pt-BR" sz="1300" b="1" u="sng" baseline="0"/>
            <a:t> H/Galvano</a:t>
          </a:r>
          <a:endParaRPr lang="pt-BR" sz="1300" b="1" u="sng"/>
        </a:p>
      </xdr:txBody>
    </xdr:sp>
    <xdr:clientData/>
  </xdr:twoCellAnchor>
  <xdr:twoCellAnchor>
    <xdr:from>
      <xdr:col>5</xdr:col>
      <xdr:colOff>47625</xdr:colOff>
      <xdr:row>0</xdr:row>
      <xdr:rowOff>9525</xdr:rowOff>
    </xdr:from>
    <xdr:to>
      <xdr:col>6</xdr:col>
      <xdr:colOff>551925</xdr:colOff>
      <xdr:row>3</xdr:row>
      <xdr:rowOff>68025</xdr:rowOff>
    </xdr:to>
    <xdr:sp macro="" textlink="">
      <xdr:nvSpPr>
        <xdr:cNvPr id="8" name="Retângulo de cantos arredondados 7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3495675" y="9525"/>
          <a:ext cx="1152000" cy="630000"/>
        </a:xfrm>
        <a:prstGeom prst="roundRect">
          <a:avLst/>
        </a:prstGeom>
        <a:ln>
          <a:noFill/>
        </a:ln>
        <a:effectLst>
          <a:outerShdw blurRad="44450" dist="27940" dir="5400000" algn="ctr">
            <a:srgbClr val="000000">
              <a:alpha val="32000"/>
            </a:srgbClr>
          </a:outerShdw>
        </a:effectLst>
        <a:scene3d>
          <a:camera prst="orthographicFront">
            <a:rot lat="0" lon="0" rev="0"/>
          </a:camera>
          <a:lightRig rig="balanced" dir="t">
            <a:rot lat="0" lon="0" rev="8700000"/>
          </a:lightRig>
        </a:scene3d>
        <a:sp3d>
          <a:bevelT w="190500" h="38100"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ctr"/>
          <a:r>
            <a:rPr lang="pt-BR" sz="1300" b="1" u="sng"/>
            <a:t>Custo Verniz</a:t>
          </a:r>
        </a:p>
        <a:p>
          <a:pPr algn="ctr"/>
          <a:endParaRPr lang="pt-BR" sz="1300" b="1" u="sng"/>
        </a:p>
      </xdr:txBody>
    </xdr:sp>
    <xdr:clientData/>
  </xdr:twoCellAnchor>
  <xdr:twoCellAnchor>
    <xdr:from>
      <xdr:col>13</xdr:col>
      <xdr:colOff>523875</xdr:colOff>
      <xdr:row>0</xdr:row>
      <xdr:rowOff>0</xdr:rowOff>
    </xdr:from>
    <xdr:to>
      <xdr:col>15</xdr:col>
      <xdr:colOff>384675</xdr:colOff>
      <xdr:row>3</xdr:row>
      <xdr:rowOff>58500</xdr:rowOff>
    </xdr:to>
    <xdr:sp macro="" textlink="">
      <xdr:nvSpPr>
        <xdr:cNvPr id="10" name="Retângulo de cantos arredondados 9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/>
      </xdr:nvSpPr>
      <xdr:spPr>
        <a:xfrm>
          <a:off x="9144000" y="0"/>
          <a:ext cx="1080000" cy="630000"/>
        </a:xfrm>
        <a:prstGeom prst="roundRect">
          <a:avLst/>
        </a:prstGeom>
        <a:ln>
          <a:noFill/>
        </a:ln>
        <a:effectLst>
          <a:outerShdw blurRad="44450" dist="27940" dir="5400000" algn="ctr">
            <a:srgbClr val="000000">
              <a:alpha val="32000"/>
            </a:srgbClr>
          </a:outerShdw>
        </a:effectLst>
        <a:scene3d>
          <a:camera prst="orthographicFront">
            <a:rot lat="0" lon="0" rev="0"/>
          </a:camera>
          <a:lightRig rig="balanced" dir="t">
            <a:rot lat="0" lon="0" rev="8700000"/>
          </a:lightRig>
        </a:scene3d>
        <a:sp3d>
          <a:bevelT w="190500" h="38100"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300" b="1" u="sng"/>
            <a:t>Cobre</a:t>
          </a:r>
          <a:r>
            <a:rPr lang="pt-BR" sz="1300" b="1" u="sng" baseline="0"/>
            <a:t> Ácido</a:t>
          </a:r>
          <a:endParaRPr lang="pt-BR" sz="1300" b="1" u="sng"/>
        </a:p>
      </xdr:txBody>
    </xdr:sp>
    <xdr:clientData/>
  </xdr:twoCellAnchor>
  <xdr:twoCellAnchor>
    <xdr:from>
      <xdr:col>6</xdr:col>
      <xdr:colOff>561975</xdr:colOff>
      <xdr:row>0</xdr:row>
      <xdr:rowOff>9525</xdr:rowOff>
    </xdr:from>
    <xdr:to>
      <xdr:col>8</xdr:col>
      <xdr:colOff>428100</xdr:colOff>
      <xdr:row>3</xdr:row>
      <xdr:rowOff>68025</xdr:rowOff>
    </xdr:to>
    <xdr:sp macro="" textlink="">
      <xdr:nvSpPr>
        <xdr:cNvPr id="11" name="Retângulo de cantos arredondados 10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/>
      </xdr:nvSpPr>
      <xdr:spPr>
        <a:xfrm>
          <a:off x="4657725" y="9525"/>
          <a:ext cx="1152000" cy="630000"/>
        </a:xfrm>
        <a:prstGeom prst="roundRect">
          <a:avLst/>
        </a:prstGeom>
        <a:ln>
          <a:noFill/>
        </a:ln>
        <a:effectLst>
          <a:outerShdw blurRad="44450" dist="27940" dir="5400000" algn="ctr">
            <a:srgbClr val="000000">
              <a:alpha val="32000"/>
            </a:srgbClr>
          </a:outerShdw>
        </a:effectLst>
        <a:scene3d>
          <a:camera prst="orthographicFront">
            <a:rot lat="0" lon="0" rev="0"/>
          </a:camera>
          <a:lightRig rig="balanced" dir="t">
            <a:rot lat="0" lon="0" rev="8700000"/>
          </a:lightRig>
        </a:scene3d>
        <a:sp3d>
          <a:bevelT w="190500" h="38100"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300" b="1" u="sng"/>
            <a:t>Peças</a:t>
          </a:r>
          <a:r>
            <a:rPr lang="pt-BR" sz="1300" b="1" u="sng" baseline="0"/>
            <a:t> H/ Verniz</a:t>
          </a:r>
          <a:endParaRPr lang="pt-BR" sz="1300" b="1" u="sng"/>
        </a:p>
      </xdr:txBody>
    </xdr:sp>
    <xdr:clientData/>
  </xdr:twoCellAnchor>
  <xdr:twoCellAnchor>
    <xdr:from>
      <xdr:col>17</xdr:col>
      <xdr:colOff>247650</xdr:colOff>
      <xdr:row>0</xdr:row>
      <xdr:rowOff>9525</xdr:rowOff>
    </xdr:from>
    <xdr:to>
      <xdr:col>19</xdr:col>
      <xdr:colOff>389250</xdr:colOff>
      <xdr:row>3</xdr:row>
      <xdr:rowOff>68025</xdr:rowOff>
    </xdr:to>
    <xdr:sp macro="" textlink="">
      <xdr:nvSpPr>
        <xdr:cNvPr id="12" name="Retângulo de cantos arredondados 11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/>
      </xdr:nvSpPr>
      <xdr:spPr>
        <a:xfrm>
          <a:off x="11334750" y="9525"/>
          <a:ext cx="1360800" cy="630000"/>
        </a:xfrm>
        <a:prstGeom prst="roundRect">
          <a:avLst/>
        </a:prstGeom>
        <a:ln>
          <a:noFill/>
        </a:ln>
        <a:effectLst>
          <a:outerShdw blurRad="44450" dist="27940" dir="5400000" algn="ctr">
            <a:srgbClr val="000000">
              <a:alpha val="32000"/>
            </a:srgbClr>
          </a:outerShdw>
        </a:effectLst>
        <a:scene3d>
          <a:camera prst="orthographicFront">
            <a:rot lat="0" lon="0" rev="0"/>
          </a:camera>
          <a:lightRig rig="balanced" dir="t">
            <a:rot lat="0" lon="0" rev="8700000"/>
          </a:lightRig>
        </a:scene3d>
        <a:sp3d>
          <a:bevelT w="190500" h="38100"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300" b="1" u="sng"/>
            <a:t>Desengraxante</a:t>
          </a:r>
          <a:r>
            <a:rPr lang="pt-BR" sz="1300" b="1" u="sng" baseline="0"/>
            <a:t> Quí</a:t>
          </a:r>
          <a:endParaRPr lang="pt-BR" sz="1300" b="1" u="sng"/>
        </a:p>
      </xdr:txBody>
    </xdr:sp>
    <xdr:clientData/>
  </xdr:twoCellAnchor>
  <xdr:twoCellAnchor>
    <xdr:from>
      <xdr:col>1</xdr:col>
      <xdr:colOff>314325</xdr:colOff>
      <xdr:row>3</xdr:row>
      <xdr:rowOff>76200</xdr:rowOff>
    </xdr:from>
    <xdr:to>
      <xdr:col>3</xdr:col>
      <xdr:colOff>142350</xdr:colOff>
      <xdr:row>6</xdr:row>
      <xdr:rowOff>134700</xdr:rowOff>
    </xdr:to>
    <xdr:sp macro="" textlink="">
      <xdr:nvSpPr>
        <xdr:cNvPr id="13" name="Retângulo de cantos arredondados 12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SpPr/>
      </xdr:nvSpPr>
      <xdr:spPr>
        <a:xfrm>
          <a:off x="1152525" y="647700"/>
          <a:ext cx="1152000" cy="630000"/>
        </a:xfrm>
        <a:prstGeom prst="roundRect">
          <a:avLst/>
        </a:prstGeom>
        <a:ln>
          <a:noFill/>
        </a:ln>
        <a:effectLst>
          <a:outerShdw blurRad="44450" dist="27940" dir="5400000" algn="ctr">
            <a:srgbClr val="000000">
              <a:alpha val="32000"/>
            </a:srgbClr>
          </a:outerShdw>
        </a:effectLst>
        <a:scene3d>
          <a:camera prst="orthographicFront">
            <a:rot lat="0" lon="0" rev="0"/>
          </a:camera>
          <a:lightRig rig="balanced" dir="t">
            <a:rot lat="0" lon="0" rev="8700000"/>
          </a:lightRig>
        </a:scene3d>
        <a:sp3d>
          <a:bevelT w="190500" h="38100"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300" b="1" u="sng"/>
            <a:t>Cromo</a:t>
          </a:r>
        </a:p>
      </xdr:txBody>
    </xdr:sp>
    <xdr:clientData/>
  </xdr:twoCellAnchor>
  <xdr:twoCellAnchor>
    <xdr:from>
      <xdr:col>8</xdr:col>
      <xdr:colOff>428625</xdr:colOff>
      <xdr:row>0</xdr:row>
      <xdr:rowOff>9525</xdr:rowOff>
    </xdr:from>
    <xdr:to>
      <xdr:col>10</xdr:col>
      <xdr:colOff>256650</xdr:colOff>
      <xdr:row>3</xdr:row>
      <xdr:rowOff>68025</xdr:rowOff>
    </xdr:to>
    <xdr:sp macro="" textlink="">
      <xdr:nvSpPr>
        <xdr:cNvPr id="17" name="Retângulo de cantos arredondados 16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SpPr/>
      </xdr:nvSpPr>
      <xdr:spPr>
        <a:xfrm>
          <a:off x="5810250" y="9525"/>
          <a:ext cx="1152000" cy="630000"/>
        </a:xfrm>
        <a:prstGeom prst="roundRect">
          <a:avLst/>
        </a:prstGeom>
        <a:ln>
          <a:noFill/>
        </a:ln>
        <a:effectLst>
          <a:outerShdw blurRad="44450" dist="27940" dir="5400000" algn="ctr">
            <a:srgbClr val="000000">
              <a:alpha val="32000"/>
            </a:srgbClr>
          </a:outerShdw>
        </a:effectLst>
        <a:scene3d>
          <a:camera prst="orthographicFront">
            <a:rot lat="0" lon="0" rev="0"/>
          </a:camera>
          <a:lightRig rig="balanced" dir="t">
            <a:rot lat="0" lon="0" rev="8700000"/>
          </a:lightRig>
        </a:scene3d>
        <a:sp3d>
          <a:bevelT w="190500" h="38100"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300" b="1" u="sng"/>
            <a:t>Pré</a:t>
          </a:r>
          <a:r>
            <a:rPr lang="pt-BR" sz="1300" b="1" u="sng" baseline="0"/>
            <a:t> Tratamento</a:t>
          </a:r>
          <a:endParaRPr lang="pt-BR" sz="1300" b="1" u="sng"/>
        </a:p>
      </xdr:txBody>
    </xdr:sp>
    <xdr:clientData/>
  </xdr:twoCellAnchor>
  <xdr:twoCellAnchor>
    <xdr:from>
      <xdr:col>10</xdr:col>
      <xdr:colOff>257175</xdr:colOff>
      <xdr:row>0</xdr:row>
      <xdr:rowOff>0</xdr:rowOff>
    </xdr:from>
    <xdr:to>
      <xdr:col>12</xdr:col>
      <xdr:colOff>32250</xdr:colOff>
      <xdr:row>3</xdr:row>
      <xdr:rowOff>58500</xdr:rowOff>
    </xdr:to>
    <xdr:sp macro="" textlink="">
      <xdr:nvSpPr>
        <xdr:cNvPr id="19" name="Retângulo de cantos arredondados 18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/>
      </xdr:nvSpPr>
      <xdr:spPr>
        <a:xfrm>
          <a:off x="6962775" y="0"/>
          <a:ext cx="1080000" cy="630000"/>
        </a:xfrm>
        <a:prstGeom prst="roundRect">
          <a:avLst/>
        </a:prstGeom>
        <a:ln>
          <a:noFill/>
        </a:ln>
        <a:effectLst>
          <a:outerShdw blurRad="44450" dist="27940" dir="5400000" algn="ctr">
            <a:srgbClr val="000000">
              <a:alpha val="32000"/>
            </a:srgbClr>
          </a:outerShdw>
        </a:effectLst>
        <a:scene3d>
          <a:camera prst="orthographicFront">
            <a:rot lat="0" lon="0" rev="0"/>
          </a:camera>
          <a:lightRig rig="balanced" dir="t">
            <a:rot lat="0" lon="0" rev="8700000"/>
          </a:lightRig>
        </a:scene3d>
        <a:sp3d>
          <a:bevelT w="190500" h="38100"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300" b="1" u="sng"/>
            <a:t>Cobre</a:t>
          </a:r>
          <a:r>
            <a:rPr lang="pt-BR" sz="1300" b="1" u="sng" baseline="0"/>
            <a:t> Alcalino</a:t>
          </a:r>
          <a:endParaRPr lang="pt-BR" sz="1300" b="1" u="sng"/>
        </a:p>
      </xdr:txBody>
    </xdr:sp>
    <xdr:clientData/>
  </xdr:twoCellAnchor>
  <xdr:twoCellAnchor>
    <xdr:from>
      <xdr:col>12</xdr:col>
      <xdr:colOff>38100</xdr:colOff>
      <xdr:row>0</xdr:row>
      <xdr:rowOff>0</xdr:rowOff>
    </xdr:from>
    <xdr:to>
      <xdr:col>13</xdr:col>
      <xdr:colOff>508500</xdr:colOff>
      <xdr:row>3</xdr:row>
      <xdr:rowOff>58500</xdr:rowOff>
    </xdr:to>
    <xdr:sp macro="" textlink="">
      <xdr:nvSpPr>
        <xdr:cNvPr id="20" name="Retângulo de cantos arredondados 19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/>
      </xdr:nvSpPr>
      <xdr:spPr>
        <a:xfrm>
          <a:off x="8048625" y="0"/>
          <a:ext cx="1080000" cy="630000"/>
        </a:xfrm>
        <a:prstGeom prst="roundRect">
          <a:avLst/>
        </a:prstGeom>
        <a:ln>
          <a:noFill/>
        </a:ln>
        <a:effectLst>
          <a:outerShdw blurRad="44450" dist="27940" dir="5400000" algn="ctr">
            <a:srgbClr val="000000">
              <a:alpha val="32000"/>
            </a:srgbClr>
          </a:outerShdw>
        </a:effectLst>
        <a:scene3d>
          <a:camera prst="orthographicFront">
            <a:rot lat="0" lon="0" rev="0"/>
          </a:camera>
          <a:lightRig rig="balanced" dir="t">
            <a:rot lat="0" lon="0" rev="8700000"/>
          </a:lightRig>
        </a:scene3d>
        <a:sp3d>
          <a:bevelT w="190500" h="38100"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300" b="1" u="sng"/>
            <a:t>Níquel</a:t>
          </a:r>
          <a:r>
            <a:rPr lang="pt-BR" sz="1300" b="1" u="sng" baseline="0"/>
            <a:t> Strik</a:t>
          </a:r>
          <a:endParaRPr lang="pt-BR" sz="1300" b="1" u="sng"/>
        </a:p>
      </xdr:txBody>
    </xdr:sp>
    <xdr:clientData/>
  </xdr:twoCellAnchor>
  <xdr:twoCellAnchor>
    <xdr:from>
      <xdr:col>3</xdr:col>
      <xdr:colOff>152400</xdr:colOff>
      <xdr:row>3</xdr:row>
      <xdr:rowOff>85725</xdr:rowOff>
    </xdr:from>
    <xdr:to>
      <xdr:col>5</xdr:col>
      <xdr:colOff>18525</xdr:colOff>
      <xdr:row>6</xdr:row>
      <xdr:rowOff>144225</xdr:rowOff>
    </xdr:to>
    <xdr:sp macro="" textlink="">
      <xdr:nvSpPr>
        <xdr:cNvPr id="21" name="Retângulo de cantos arredondados 20">
          <a:hlinkClick xmlns:r="http://schemas.openxmlformats.org/officeDocument/2006/relationships" r:id="rId13"/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SpPr/>
      </xdr:nvSpPr>
      <xdr:spPr>
        <a:xfrm>
          <a:off x="2314575" y="657225"/>
          <a:ext cx="1152000" cy="630000"/>
        </a:xfrm>
        <a:prstGeom prst="roundRect">
          <a:avLst/>
        </a:prstGeom>
        <a:ln>
          <a:noFill/>
        </a:ln>
        <a:effectLst>
          <a:outerShdw blurRad="44450" dist="27940" dir="5400000" algn="ctr">
            <a:srgbClr val="000000">
              <a:alpha val="32000"/>
            </a:srgbClr>
          </a:outerShdw>
        </a:effectLst>
        <a:scene3d>
          <a:camera prst="orthographicFront">
            <a:rot lat="0" lon="0" rev="0"/>
          </a:camera>
          <a:lightRig rig="balanced" dir="t">
            <a:rot lat="0" lon="0" rev="8700000"/>
          </a:lightRig>
        </a:scene3d>
        <a:sp3d>
          <a:bevelT w="190500" h="38100"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300" b="1" u="sng"/>
            <a:t>Desplacante</a:t>
          </a:r>
        </a:p>
      </xdr:txBody>
    </xdr:sp>
    <xdr:clientData/>
  </xdr:twoCellAnchor>
  <xdr:twoCellAnchor>
    <xdr:from>
      <xdr:col>7</xdr:col>
      <xdr:colOff>133350</xdr:colOff>
      <xdr:row>3</xdr:row>
      <xdr:rowOff>85725</xdr:rowOff>
    </xdr:from>
    <xdr:to>
      <xdr:col>8</xdr:col>
      <xdr:colOff>609075</xdr:colOff>
      <xdr:row>6</xdr:row>
      <xdr:rowOff>144225</xdr:rowOff>
    </xdr:to>
    <xdr:sp macro="" textlink="">
      <xdr:nvSpPr>
        <xdr:cNvPr id="25" name="Retângulo de cantos arredondados 24">
          <a:hlinkClick xmlns:r="http://schemas.openxmlformats.org/officeDocument/2006/relationships" r:id="rId14"/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SpPr/>
      </xdr:nvSpPr>
      <xdr:spPr>
        <a:xfrm>
          <a:off x="4838700" y="657225"/>
          <a:ext cx="1152000" cy="630000"/>
        </a:xfrm>
        <a:prstGeom prst="roundRect">
          <a:avLst/>
        </a:prstGeom>
        <a:ln>
          <a:noFill/>
        </a:ln>
        <a:effectLst>
          <a:outerShdw blurRad="44450" dist="27940" dir="5400000" algn="ctr">
            <a:srgbClr val="000000">
              <a:alpha val="32000"/>
            </a:srgbClr>
          </a:outerShdw>
        </a:effectLst>
        <a:scene3d>
          <a:camera prst="orthographicFront">
            <a:rot lat="0" lon="0" rev="0"/>
          </a:camera>
          <a:lightRig rig="balanced" dir="t">
            <a:rot lat="0" lon="0" rev="8700000"/>
          </a:lightRig>
        </a:scene3d>
        <a:sp3d>
          <a:bevelT w="190500" h="38100"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300" b="1" u="sng"/>
            <a:t>Verniz</a:t>
          </a:r>
          <a:r>
            <a:rPr lang="pt-BR" sz="1300" b="1" u="sng" baseline="0"/>
            <a:t> Cataforético</a:t>
          </a:r>
        </a:p>
      </xdr:txBody>
    </xdr:sp>
    <xdr:clientData/>
  </xdr:twoCellAnchor>
  <xdr:twoCellAnchor>
    <xdr:from>
      <xdr:col>15</xdr:col>
      <xdr:colOff>400050</xdr:colOff>
      <xdr:row>0</xdr:row>
      <xdr:rowOff>9525</xdr:rowOff>
    </xdr:from>
    <xdr:to>
      <xdr:col>17</xdr:col>
      <xdr:colOff>232275</xdr:colOff>
      <xdr:row>3</xdr:row>
      <xdr:rowOff>68025</xdr:rowOff>
    </xdr:to>
    <xdr:sp macro="" textlink="">
      <xdr:nvSpPr>
        <xdr:cNvPr id="29" name="Retângulo de cantos arredondados 28">
          <a:hlinkClick xmlns:r="http://schemas.openxmlformats.org/officeDocument/2006/relationships" r:id="rId15"/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SpPr/>
      </xdr:nvSpPr>
      <xdr:spPr>
        <a:xfrm>
          <a:off x="10239375" y="9525"/>
          <a:ext cx="1080000" cy="630000"/>
        </a:xfrm>
        <a:prstGeom prst="roundRect">
          <a:avLst/>
        </a:prstGeom>
        <a:ln>
          <a:noFill/>
        </a:ln>
        <a:effectLst>
          <a:outerShdw blurRad="44450" dist="27940" dir="5400000" algn="ctr">
            <a:srgbClr val="000000">
              <a:alpha val="32000"/>
            </a:srgbClr>
          </a:outerShdw>
        </a:effectLst>
        <a:scene3d>
          <a:camera prst="orthographicFront">
            <a:rot lat="0" lon="0" rev="0"/>
          </a:camera>
          <a:lightRig rig="balanced" dir="t">
            <a:rot lat="0" lon="0" rev="8700000"/>
          </a:lightRig>
        </a:scene3d>
        <a:sp3d>
          <a:bevelT w="190500" h="38100"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300" b="1" u="sng"/>
            <a:t>Níquel</a:t>
          </a:r>
          <a:r>
            <a:rPr lang="pt-BR" sz="1300" b="1" u="sng" baseline="0"/>
            <a:t> Brilhante</a:t>
          </a:r>
          <a:endParaRPr lang="pt-BR" sz="1300" b="1" u="sng"/>
        </a:p>
      </xdr:txBody>
    </xdr:sp>
    <xdr:clientData/>
  </xdr:twoCellAnchor>
  <xdr:twoCellAnchor>
    <xdr:from>
      <xdr:col>5</xdr:col>
      <xdr:colOff>28575</xdr:colOff>
      <xdr:row>3</xdr:row>
      <xdr:rowOff>85725</xdr:rowOff>
    </xdr:from>
    <xdr:to>
      <xdr:col>7</xdr:col>
      <xdr:colOff>132075</xdr:colOff>
      <xdr:row>6</xdr:row>
      <xdr:rowOff>144225</xdr:rowOff>
    </xdr:to>
    <xdr:sp macro="" textlink="">
      <xdr:nvSpPr>
        <xdr:cNvPr id="31" name="Retângulo de cantos arredondados 30">
          <a:hlinkClick xmlns:r="http://schemas.openxmlformats.org/officeDocument/2006/relationships" r:id="rId16"/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SpPr/>
      </xdr:nvSpPr>
      <xdr:spPr>
        <a:xfrm>
          <a:off x="3476625" y="657225"/>
          <a:ext cx="1360800" cy="630000"/>
        </a:xfrm>
        <a:prstGeom prst="roundRect">
          <a:avLst/>
        </a:prstGeom>
        <a:ln>
          <a:noFill/>
        </a:ln>
        <a:effectLst>
          <a:outerShdw blurRad="44450" dist="27940" dir="5400000" algn="ctr">
            <a:srgbClr val="000000">
              <a:alpha val="32000"/>
            </a:srgbClr>
          </a:outerShdw>
        </a:effectLst>
        <a:scene3d>
          <a:camera prst="orthographicFront">
            <a:rot lat="0" lon="0" rev="0"/>
          </a:camera>
          <a:lightRig rig="balanced" dir="t">
            <a:rot lat="0" lon="0" rev="8700000"/>
          </a:lightRig>
        </a:scene3d>
        <a:sp3d>
          <a:bevelT w="190500" h="38100"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300" b="1" u="sng"/>
            <a:t>Pré</a:t>
          </a:r>
          <a:r>
            <a:rPr lang="pt-BR" sz="1300" b="1" u="sng" baseline="0"/>
            <a:t> Tratamento Verniz</a:t>
          </a:r>
        </a:p>
      </xdr:txBody>
    </xdr:sp>
    <xdr:clientData/>
  </xdr:twoCellAnchor>
  <xdr:twoCellAnchor>
    <xdr:from>
      <xdr:col>8</xdr:col>
      <xdr:colOff>619125</xdr:colOff>
      <xdr:row>3</xdr:row>
      <xdr:rowOff>66675</xdr:rowOff>
    </xdr:from>
    <xdr:to>
      <xdr:col>10</xdr:col>
      <xdr:colOff>447150</xdr:colOff>
      <xdr:row>6</xdr:row>
      <xdr:rowOff>125175</xdr:rowOff>
    </xdr:to>
    <xdr:sp macro="" textlink="">
      <xdr:nvSpPr>
        <xdr:cNvPr id="33" name="Retângulo de cantos arredondados 32">
          <a:hlinkClick xmlns:r="http://schemas.openxmlformats.org/officeDocument/2006/relationships" r:id="rId17"/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SpPr/>
      </xdr:nvSpPr>
      <xdr:spPr>
        <a:xfrm>
          <a:off x="6000750" y="638175"/>
          <a:ext cx="1152000" cy="630000"/>
        </a:xfrm>
        <a:prstGeom prst="roundRect">
          <a:avLst/>
        </a:prstGeom>
        <a:ln>
          <a:noFill/>
        </a:ln>
        <a:effectLst>
          <a:outerShdw blurRad="44450" dist="27940" dir="5400000" algn="ctr">
            <a:srgbClr val="000000">
              <a:alpha val="32000"/>
            </a:srgbClr>
          </a:outerShdw>
        </a:effectLst>
        <a:scene3d>
          <a:camera prst="orthographicFront">
            <a:rot lat="0" lon="0" rev="0"/>
          </a:camera>
          <a:lightRig rig="balanced" dir="t">
            <a:rot lat="0" lon="0" rev="8700000"/>
          </a:lightRig>
        </a:scene3d>
        <a:sp3d>
          <a:bevelT w="190500" h="38100"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300" b="1" u="sng"/>
            <a:t>Verniz</a:t>
          </a:r>
          <a:r>
            <a:rPr lang="pt-BR" sz="1300" b="1" u="sng" baseline="0"/>
            <a:t> Imersão</a:t>
          </a:r>
        </a:p>
      </xdr:txBody>
    </xdr:sp>
    <xdr:clientData/>
  </xdr:twoCellAnchor>
  <xdr:twoCellAnchor>
    <xdr:from>
      <xdr:col>10</xdr:col>
      <xdr:colOff>457200</xdr:colOff>
      <xdr:row>3</xdr:row>
      <xdr:rowOff>76200</xdr:rowOff>
    </xdr:from>
    <xdr:to>
      <xdr:col>12</xdr:col>
      <xdr:colOff>304275</xdr:colOff>
      <xdr:row>6</xdr:row>
      <xdr:rowOff>134700</xdr:rowOff>
    </xdr:to>
    <xdr:sp macro="" textlink="">
      <xdr:nvSpPr>
        <xdr:cNvPr id="34" name="Retângulo de cantos arredondados 33">
          <a:hlinkClick xmlns:r="http://schemas.openxmlformats.org/officeDocument/2006/relationships" r:id="rId18"/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SpPr/>
      </xdr:nvSpPr>
      <xdr:spPr>
        <a:xfrm>
          <a:off x="7162800" y="647700"/>
          <a:ext cx="1152000" cy="630000"/>
        </a:xfrm>
        <a:prstGeom prst="roundRect">
          <a:avLst/>
        </a:prstGeom>
        <a:ln>
          <a:noFill/>
        </a:ln>
        <a:effectLst>
          <a:outerShdw blurRad="44450" dist="27940" dir="5400000" algn="ctr">
            <a:srgbClr val="000000">
              <a:alpha val="32000"/>
            </a:srgbClr>
          </a:outerShdw>
        </a:effectLst>
        <a:scene3d>
          <a:camera prst="orthographicFront">
            <a:rot lat="0" lon="0" rev="0"/>
          </a:camera>
          <a:lightRig rig="balanced" dir="t">
            <a:rot lat="0" lon="0" rev="8700000"/>
          </a:lightRig>
        </a:scene3d>
        <a:sp3d>
          <a:bevelT w="190500" h="38100"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300" b="1" u="sng"/>
            <a:t>Desplacante Gancheira</a:t>
          </a:r>
        </a:p>
      </xdr:txBody>
    </xdr:sp>
    <xdr:clientData/>
  </xdr:twoCellAnchor>
  <xdr:twoCellAnchor>
    <xdr:from>
      <xdr:col>12</xdr:col>
      <xdr:colOff>314325</xdr:colOff>
      <xdr:row>3</xdr:row>
      <xdr:rowOff>76200</xdr:rowOff>
    </xdr:from>
    <xdr:to>
      <xdr:col>14</xdr:col>
      <xdr:colOff>247125</xdr:colOff>
      <xdr:row>6</xdr:row>
      <xdr:rowOff>134700</xdr:rowOff>
    </xdr:to>
    <xdr:sp macro="" textlink="">
      <xdr:nvSpPr>
        <xdr:cNvPr id="35" name="Retângulo de cantos arredondados 34">
          <a:hlinkClick xmlns:r="http://schemas.openxmlformats.org/officeDocument/2006/relationships" r:id="rId19"/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SpPr/>
      </xdr:nvSpPr>
      <xdr:spPr>
        <a:xfrm>
          <a:off x="8324850" y="647700"/>
          <a:ext cx="1152000" cy="630000"/>
        </a:xfrm>
        <a:prstGeom prst="roundRect">
          <a:avLst/>
        </a:prstGeom>
        <a:ln>
          <a:noFill/>
        </a:ln>
        <a:effectLst>
          <a:outerShdw blurRad="44450" dist="27940" dir="5400000" algn="ctr">
            <a:srgbClr val="000000">
              <a:alpha val="32000"/>
            </a:srgbClr>
          </a:outerShdw>
        </a:effectLst>
        <a:scene3d>
          <a:camera prst="orthographicFront">
            <a:rot lat="0" lon="0" rev="0"/>
          </a:camera>
          <a:lightRig rig="balanced" dir="t">
            <a:rot lat="0" lon="0" rev="8700000"/>
          </a:lightRig>
        </a:scene3d>
        <a:sp3d>
          <a:bevelT w="190500" h="38100"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300" b="1" u="sng"/>
            <a:t>E.T.E</a:t>
          </a:r>
        </a:p>
      </xdr:txBody>
    </xdr:sp>
    <xdr:clientData/>
  </xdr:twoCellAnchor>
  <xdr:twoCellAnchor>
    <xdr:from>
      <xdr:col>14</xdr:col>
      <xdr:colOff>257175</xdr:colOff>
      <xdr:row>3</xdr:row>
      <xdr:rowOff>85725</xdr:rowOff>
    </xdr:from>
    <xdr:to>
      <xdr:col>16</xdr:col>
      <xdr:colOff>189975</xdr:colOff>
      <xdr:row>6</xdr:row>
      <xdr:rowOff>144225</xdr:rowOff>
    </xdr:to>
    <xdr:sp macro="" textlink="">
      <xdr:nvSpPr>
        <xdr:cNvPr id="36" name="Retângulo de cantos arredondados 35">
          <a:hlinkClick xmlns:r="http://schemas.openxmlformats.org/officeDocument/2006/relationships" r:id="rId20"/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SpPr/>
      </xdr:nvSpPr>
      <xdr:spPr>
        <a:xfrm>
          <a:off x="9486900" y="657225"/>
          <a:ext cx="1152000" cy="630000"/>
        </a:xfrm>
        <a:prstGeom prst="roundRect">
          <a:avLst/>
        </a:prstGeom>
        <a:ln>
          <a:noFill/>
        </a:ln>
        <a:effectLst>
          <a:outerShdw blurRad="44450" dist="27940" dir="5400000" algn="ctr">
            <a:srgbClr val="000000">
              <a:alpha val="32000"/>
            </a:srgbClr>
          </a:outerShdw>
        </a:effectLst>
        <a:scene3d>
          <a:camera prst="orthographicFront">
            <a:rot lat="0" lon="0" rev="0"/>
          </a:camera>
          <a:lightRig rig="balanced" dir="t">
            <a:rot lat="0" lon="0" rev="8700000"/>
          </a:lightRig>
        </a:scene3d>
        <a:sp3d>
          <a:bevelT w="190500" h="38100"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300" b="1" u="sng"/>
            <a:t>Transporte</a:t>
          </a:r>
        </a:p>
      </xdr:txBody>
    </xdr:sp>
    <xdr:clientData/>
  </xdr:twoCellAnchor>
  <xdr:twoCellAnchor>
    <xdr:from>
      <xdr:col>16</xdr:col>
      <xdr:colOff>200025</xdr:colOff>
      <xdr:row>3</xdr:row>
      <xdr:rowOff>85725</xdr:rowOff>
    </xdr:from>
    <xdr:to>
      <xdr:col>18</xdr:col>
      <xdr:colOff>104250</xdr:colOff>
      <xdr:row>6</xdr:row>
      <xdr:rowOff>144225</xdr:rowOff>
    </xdr:to>
    <xdr:sp macro="" textlink="">
      <xdr:nvSpPr>
        <xdr:cNvPr id="37" name="Retângulo de cantos arredondados 36">
          <a:hlinkClick xmlns:r="http://schemas.openxmlformats.org/officeDocument/2006/relationships" r:id="rId21"/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SpPr/>
      </xdr:nvSpPr>
      <xdr:spPr>
        <a:xfrm>
          <a:off x="10648950" y="657225"/>
          <a:ext cx="1152000" cy="630000"/>
        </a:xfrm>
        <a:prstGeom prst="roundRect">
          <a:avLst/>
        </a:prstGeom>
        <a:ln>
          <a:noFill/>
        </a:ln>
        <a:effectLst>
          <a:outerShdw blurRad="44450" dist="27940" dir="5400000" algn="ctr">
            <a:srgbClr val="000000">
              <a:alpha val="32000"/>
            </a:srgbClr>
          </a:outerShdw>
        </a:effectLst>
        <a:scene3d>
          <a:camera prst="orthographicFront">
            <a:rot lat="0" lon="0" rev="0"/>
          </a:camera>
          <a:lightRig rig="balanced" dir="t">
            <a:rot lat="0" lon="0" rev="8700000"/>
          </a:lightRig>
        </a:scene3d>
        <a:sp3d>
          <a:bevelT w="190500" h="38100"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300" b="1" u="sng" baseline="0"/>
            <a:t>Manutenção</a:t>
          </a:r>
        </a:p>
      </xdr:txBody>
    </xdr:sp>
    <xdr:clientData/>
  </xdr:twoCellAnchor>
  <xdr:twoCellAnchor>
    <xdr:from>
      <xdr:col>0</xdr:col>
      <xdr:colOff>9525</xdr:colOff>
      <xdr:row>6</xdr:row>
      <xdr:rowOff>152400</xdr:rowOff>
    </xdr:from>
    <xdr:to>
      <xdr:col>1</xdr:col>
      <xdr:colOff>323325</xdr:colOff>
      <xdr:row>10</xdr:row>
      <xdr:rowOff>20400</xdr:rowOff>
    </xdr:to>
    <xdr:sp macro="" textlink="">
      <xdr:nvSpPr>
        <xdr:cNvPr id="38" name="Retângulo de cantos arredondados 37">
          <a:hlinkClick xmlns:r="http://schemas.openxmlformats.org/officeDocument/2006/relationships" r:id="rId22"/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SpPr/>
      </xdr:nvSpPr>
      <xdr:spPr>
        <a:xfrm>
          <a:off x="9525" y="1295400"/>
          <a:ext cx="1152000" cy="630000"/>
        </a:xfrm>
        <a:prstGeom prst="roundRect">
          <a:avLst/>
        </a:prstGeom>
        <a:ln>
          <a:noFill/>
        </a:ln>
        <a:effectLst>
          <a:outerShdw blurRad="44450" dist="27940" dir="5400000" algn="ctr">
            <a:srgbClr val="000000">
              <a:alpha val="32000"/>
            </a:srgbClr>
          </a:outerShdw>
        </a:effectLst>
        <a:scene3d>
          <a:camera prst="orthographicFront">
            <a:rot lat="0" lon="0" rev="0"/>
          </a:camera>
          <a:lightRig rig="balanced" dir="t">
            <a:rot lat="0" lon="0" rev="8700000"/>
          </a:lightRig>
        </a:scene3d>
        <a:sp3d>
          <a:bevelT w="190500" h="38100"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300" b="1" u="sng" baseline="0"/>
            <a:t>Outros Custos</a:t>
          </a:r>
        </a:p>
      </xdr:txBody>
    </xdr:sp>
    <xdr:clientData/>
  </xdr:twoCellAnchor>
  <xdr:twoCellAnchor>
    <xdr:from>
      <xdr:col>1</xdr:col>
      <xdr:colOff>333375</xdr:colOff>
      <xdr:row>6</xdr:row>
      <xdr:rowOff>152400</xdr:rowOff>
    </xdr:from>
    <xdr:to>
      <xdr:col>3</xdr:col>
      <xdr:colOff>161400</xdr:colOff>
      <xdr:row>10</xdr:row>
      <xdr:rowOff>20400</xdr:rowOff>
    </xdr:to>
    <xdr:sp macro="" textlink="">
      <xdr:nvSpPr>
        <xdr:cNvPr id="39" name="Retângulo de cantos arredondados 38">
          <a:hlinkClick xmlns:r="http://schemas.openxmlformats.org/officeDocument/2006/relationships" r:id="rId23"/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SpPr/>
      </xdr:nvSpPr>
      <xdr:spPr>
        <a:xfrm>
          <a:off x="1171575" y="1295400"/>
          <a:ext cx="1152000" cy="630000"/>
        </a:xfrm>
        <a:prstGeom prst="roundRect">
          <a:avLst/>
        </a:prstGeom>
        <a:ln>
          <a:noFill/>
        </a:ln>
        <a:effectLst>
          <a:outerShdw blurRad="44450" dist="27940" dir="5400000" algn="ctr">
            <a:srgbClr val="000000">
              <a:alpha val="32000"/>
            </a:srgbClr>
          </a:outerShdw>
        </a:effectLst>
        <a:scene3d>
          <a:camera prst="orthographicFront">
            <a:rot lat="0" lon="0" rev="0"/>
          </a:camera>
          <a:lightRig rig="balanced" dir="t">
            <a:rot lat="0" lon="0" rev="8700000"/>
          </a:lightRig>
        </a:scene3d>
        <a:sp3d>
          <a:bevelT w="190500" h="38100"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300" b="1" u="sng" baseline="0"/>
            <a:t>M.O</a:t>
          </a:r>
        </a:p>
      </xdr:txBody>
    </xdr:sp>
    <xdr:clientData/>
  </xdr:twoCellAnchor>
  <xdr:twoCellAnchor>
    <xdr:from>
      <xdr:col>3</xdr:col>
      <xdr:colOff>161925</xdr:colOff>
      <xdr:row>6</xdr:row>
      <xdr:rowOff>161925</xdr:rowOff>
    </xdr:from>
    <xdr:to>
      <xdr:col>5</xdr:col>
      <xdr:colOff>28050</xdr:colOff>
      <xdr:row>10</xdr:row>
      <xdr:rowOff>29925</xdr:rowOff>
    </xdr:to>
    <xdr:sp macro="" textlink="">
      <xdr:nvSpPr>
        <xdr:cNvPr id="40" name="Retângulo de cantos arredondados 39">
          <a:hlinkClick xmlns:r="http://schemas.openxmlformats.org/officeDocument/2006/relationships" r:id="rId24"/>
          <a:extLs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SpPr/>
      </xdr:nvSpPr>
      <xdr:spPr>
        <a:xfrm>
          <a:off x="2324100" y="1304925"/>
          <a:ext cx="1152000" cy="630000"/>
        </a:xfrm>
        <a:prstGeom prst="roundRect">
          <a:avLst/>
        </a:prstGeom>
        <a:ln>
          <a:noFill/>
        </a:ln>
        <a:effectLst>
          <a:outerShdw blurRad="44450" dist="27940" dir="5400000" algn="ctr">
            <a:srgbClr val="000000">
              <a:alpha val="32000"/>
            </a:srgbClr>
          </a:outerShdw>
        </a:effectLst>
        <a:scene3d>
          <a:camera prst="orthographicFront">
            <a:rot lat="0" lon="0" rev="0"/>
          </a:camera>
          <a:lightRig rig="balanced" dir="t">
            <a:rot lat="0" lon="0" rev="8700000"/>
          </a:lightRig>
        </a:scene3d>
        <a:sp3d>
          <a:bevelT w="190500" h="38100"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300" b="1" u="sng" baseline="0"/>
            <a:t>Custos Variáveis</a:t>
          </a:r>
        </a:p>
      </xdr:txBody>
    </xdr:sp>
    <xdr:clientData/>
  </xdr:twoCellAnchor>
  <xdr:twoCellAnchor>
    <xdr:from>
      <xdr:col>5</xdr:col>
      <xdr:colOff>38100</xdr:colOff>
      <xdr:row>6</xdr:row>
      <xdr:rowOff>161925</xdr:rowOff>
    </xdr:from>
    <xdr:to>
      <xdr:col>7</xdr:col>
      <xdr:colOff>4800</xdr:colOff>
      <xdr:row>10</xdr:row>
      <xdr:rowOff>29925</xdr:rowOff>
    </xdr:to>
    <xdr:sp macro="" textlink="">
      <xdr:nvSpPr>
        <xdr:cNvPr id="41" name="Retângulo de cantos arredondados 40">
          <a:hlinkClick xmlns:r="http://schemas.openxmlformats.org/officeDocument/2006/relationships" r:id="rId25"/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SpPr/>
      </xdr:nvSpPr>
      <xdr:spPr>
        <a:xfrm>
          <a:off x="3486150" y="1304925"/>
          <a:ext cx="1224000" cy="630000"/>
        </a:xfrm>
        <a:prstGeom prst="roundRect">
          <a:avLst/>
        </a:prstGeom>
        <a:ln>
          <a:noFill/>
        </a:ln>
        <a:effectLst>
          <a:outerShdw blurRad="44450" dist="27940" dir="5400000" algn="ctr">
            <a:srgbClr val="000000">
              <a:alpha val="32000"/>
            </a:srgbClr>
          </a:outerShdw>
        </a:effectLst>
        <a:scene3d>
          <a:camera prst="orthographicFront">
            <a:rot lat="0" lon="0" rev="0"/>
          </a:camera>
          <a:lightRig rig="balanced" dir="t">
            <a:rot lat="0" lon="0" rev="8700000"/>
          </a:lightRig>
        </a:scene3d>
        <a:sp3d>
          <a:bevelT w="190500" h="38100"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300" b="1" u="sng" baseline="0"/>
            <a:t>Investimentos</a:t>
          </a:r>
        </a:p>
      </xdr:txBody>
    </xdr:sp>
    <xdr:clientData/>
  </xdr:twoCellAnchor>
  <xdr:twoCellAnchor editAs="oneCell">
    <xdr:from>
      <xdr:col>14</xdr:col>
      <xdr:colOff>561975</xdr:colOff>
      <xdr:row>9</xdr:row>
      <xdr:rowOff>180975</xdr:rowOff>
    </xdr:from>
    <xdr:to>
      <xdr:col>19</xdr:col>
      <xdr:colOff>124200</xdr:colOff>
      <xdr:row>23</xdr:row>
      <xdr:rowOff>105150</xdr:rowOff>
    </xdr:to>
    <xdr:pic>
      <xdr:nvPicPr>
        <xdr:cNvPr id="30" name="Imagem 29" descr="lookaside.fbsbx.com/lookaside/crawler/media/?media...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91700" y="1895475"/>
          <a:ext cx="2638800" cy="2638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</xdr:row>
      <xdr:rowOff>123825</xdr:rowOff>
    </xdr:from>
    <xdr:to>
      <xdr:col>4</xdr:col>
      <xdr:colOff>324569</xdr:colOff>
      <xdr:row>26</xdr:row>
      <xdr:rowOff>84611</xdr:rowOff>
    </xdr:to>
    <xdr:pic>
      <xdr:nvPicPr>
        <xdr:cNvPr id="32" name="Imagem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>
          <a:extLst>
            <a:ext uri="{BEBA8EAE-BF5A-486C-A8C5-ECC9F3942E4B}">
              <a14:imgProps xmlns:a14="http://schemas.microsoft.com/office/drawing/2010/main">
                <a14:imgLayer r:embed="rId28">
                  <a14:imgEffect>
                    <a14:backgroundRemoval t="11364" b="84470" l="15867" r="89668"/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0" y="2028825"/>
          <a:ext cx="3096344" cy="3056411"/>
        </a:xfrm>
        <a:prstGeom prst="rect">
          <a:avLst/>
        </a:prstGeom>
        <a:noFill/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ela1" displayName="Tabela1" ref="A5:M15" totalsRowShown="0" headerRowDxfId="2" tableBorderDxfId="1">
  <autoFilter ref="A5:M15" xr:uid="{00000000-0009-0000-0100-000001000000}"/>
  <tableColumns count="13">
    <tableColumn id="1" xr3:uid="{00000000-0010-0000-0000-000001000000}" name="Colunas1"/>
    <tableColumn id="2" xr3:uid="{00000000-0010-0000-0000-000002000000}" name="jan/24" dataDxfId="0"/>
    <tableColumn id="3" xr3:uid="{00000000-0010-0000-0000-000003000000}" name="fev/24"/>
    <tableColumn id="4" xr3:uid="{00000000-0010-0000-0000-000004000000}" name="mar/24"/>
    <tableColumn id="5" xr3:uid="{00000000-0010-0000-0000-000005000000}" name="abr/24"/>
    <tableColumn id="6" xr3:uid="{00000000-0010-0000-0000-000006000000}" name="mai/24"/>
    <tableColumn id="7" xr3:uid="{00000000-0010-0000-0000-000007000000}" name="jun/24"/>
    <tableColumn id="8" xr3:uid="{00000000-0010-0000-0000-000008000000}" name="jul/24"/>
    <tableColumn id="9" xr3:uid="{00000000-0010-0000-0000-000009000000}" name="ago/24"/>
    <tableColumn id="10" xr3:uid="{00000000-0010-0000-0000-00000A000000}" name="set/24"/>
    <tableColumn id="11" xr3:uid="{00000000-0010-0000-0000-00000B000000}" name="out/24"/>
    <tableColumn id="12" xr3:uid="{00000000-0010-0000-0000-00000C000000}" name="nov/24"/>
    <tableColumn id="13" xr3:uid="{00000000-0010-0000-0000-00000D000000}" name="dez/24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6:T22"/>
  <sheetViews>
    <sheetView showGridLines="0" showRowColHeaders="0" zoomScaleNormal="100" workbookViewId="0"/>
  </sheetViews>
  <sheetFormatPr defaultColWidth="9.109375" defaultRowHeight="14.4" x14ac:dyDescent="0.3"/>
  <cols>
    <col min="1" max="1" width="12.5546875" style="1" customWidth="1"/>
    <col min="2" max="2" width="10.6640625" style="1" customWidth="1"/>
    <col min="3" max="3" width="9.109375" style="1" customWidth="1"/>
    <col min="4" max="4" width="9.109375" style="1"/>
    <col min="5" max="5" width="10.109375" style="1" customWidth="1"/>
    <col min="6" max="6" width="9.6640625" style="1" customWidth="1"/>
    <col min="7" max="7" width="9.109375" style="1"/>
    <col min="8" max="8" width="10.109375" style="1" customWidth="1"/>
    <col min="9" max="9" width="9.5546875" style="1" customWidth="1"/>
    <col min="10" max="10" width="10.33203125" style="1" customWidth="1"/>
    <col min="11" max="11" width="9.109375" style="1"/>
    <col min="12" max="12" width="10.44140625" style="1" customWidth="1"/>
    <col min="13" max="15" width="9.109375" style="1"/>
    <col min="16" max="16" width="9.109375" style="1" customWidth="1"/>
    <col min="17" max="17" width="9.5546875" style="1" customWidth="1"/>
    <col min="18" max="16384" width="9.109375" style="1"/>
  </cols>
  <sheetData>
    <row r="6" spans="1:20" x14ac:dyDescent="0.3">
      <c r="F6" s="400"/>
    </row>
    <row r="10" spans="1:20" ht="15" customHeight="1" x14ac:dyDescent="0.3">
      <c r="A10" s="668"/>
      <c r="B10" s="669"/>
      <c r="C10" s="669"/>
      <c r="D10" s="669"/>
      <c r="E10" s="669"/>
      <c r="F10" s="669"/>
      <c r="G10" s="643"/>
      <c r="H10" s="643"/>
      <c r="I10" s="643"/>
      <c r="J10" s="643"/>
      <c r="K10" s="643"/>
      <c r="L10" s="643"/>
      <c r="M10" s="643"/>
      <c r="N10" s="643"/>
      <c r="O10" s="643"/>
      <c r="P10" s="643"/>
      <c r="Q10" s="643"/>
      <c r="R10" s="643"/>
      <c r="S10" s="643"/>
      <c r="T10" s="643"/>
    </row>
    <row r="11" spans="1:20" ht="15" customHeight="1" x14ac:dyDescent="0.3">
      <c r="A11" s="668"/>
      <c r="B11" s="669"/>
      <c r="C11" s="669"/>
      <c r="D11" s="669"/>
      <c r="E11" s="669"/>
      <c r="F11" s="669"/>
      <c r="G11" s="643"/>
      <c r="H11" s="643"/>
      <c r="I11" s="643"/>
      <c r="J11" s="643"/>
      <c r="K11" s="643"/>
      <c r="L11" s="643"/>
      <c r="M11" s="643"/>
      <c r="N11" s="643"/>
      <c r="O11" s="643"/>
      <c r="P11" s="643"/>
      <c r="Q11" s="643"/>
      <c r="R11" s="643"/>
      <c r="S11" s="643"/>
      <c r="T11" s="643"/>
    </row>
    <row r="12" spans="1:20" ht="15" customHeight="1" x14ac:dyDescent="0.3">
      <c r="A12" s="668"/>
      <c r="B12" s="669"/>
      <c r="C12" s="669"/>
      <c r="D12" s="669"/>
      <c r="E12" s="669"/>
      <c r="F12" s="669"/>
      <c r="G12" s="643"/>
      <c r="H12" s="643"/>
      <c r="I12" s="643"/>
      <c r="J12" s="643"/>
      <c r="K12" s="643"/>
      <c r="L12" s="643"/>
      <c r="M12" s="643"/>
      <c r="N12" s="643"/>
      <c r="O12" s="643"/>
      <c r="P12" s="643"/>
      <c r="Q12" s="643"/>
      <c r="R12" s="643"/>
      <c r="S12" s="643"/>
      <c r="T12" s="643"/>
    </row>
    <row r="13" spans="1:20" ht="15" customHeight="1" x14ac:dyDescent="0.3">
      <c r="A13" s="669"/>
      <c r="B13" s="669"/>
      <c r="C13" s="669"/>
      <c r="D13" s="669"/>
      <c r="E13" s="643"/>
      <c r="F13" s="643"/>
      <c r="G13" s="643"/>
      <c r="H13" s="643"/>
      <c r="I13" s="643"/>
      <c r="J13" s="643"/>
      <c r="K13" s="643"/>
      <c r="L13" s="643"/>
      <c r="M13" s="643"/>
      <c r="N13" s="643"/>
      <c r="O13" s="643"/>
      <c r="P13" s="643"/>
      <c r="Q13" s="643"/>
      <c r="R13" s="643"/>
      <c r="S13" s="643"/>
      <c r="T13" s="643"/>
    </row>
    <row r="14" spans="1:20" ht="15" customHeight="1" x14ac:dyDescent="0.3">
      <c r="A14" s="669"/>
      <c r="B14" s="669"/>
      <c r="C14" s="669"/>
      <c r="D14" s="669"/>
      <c r="E14" s="643"/>
      <c r="F14" s="643"/>
      <c r="G14" s="643"/>
      <c r="H14" s="643"/>
      <c r="I14" s="643"/>
      <c r="J14" s="643"/>
      <c r="K14" s="643"/>
      <c r="L14" s="643"/>
      <c r="M14" s="643"/>
      <c r="N14" s="643"/>
      <c r="O14" s="643"/>
      <c r="P14" s="643"/>
      <c r="Q14" s="643"/>
      <c r="R14" s="643"/>
      <c r="S14" s="643"/>
      <c r="T14" s="643"/>
    </row>
    <row r="15" spans="1:20" ht="15" customHeight="1" x14ac:dyDescent="0.3">
      <c r="A15" s="669"/>
      <c r="B15" s="669"/>
      <c r="C15" s="669"/>
      <c r="D15" s="669"/>
      <c r="E15" s="643"/>
      <c r="F15" s="643"/>
      <c r="G15" s="643"/>
      <c r="H15" s="643"/>
      <c r="I15" s="643"/>
      <c r="J15" s="643"/>
      <c r="K15" s="643"/>
      <c r="L15" s="643"/>
      <c r="M15" s="643"/>
      <c r="N15" s="643"/>
      <c r="O15" s="643"/>
      <c r="P15" s="643"/>
      <c r="Q15" s="643"/>
      <c r="R15" s="643"/>
      <c r="S15" s="643"/>
      <c r="T15" s="643"/>
    </row>
    <row r="16" spans="1:20" ht="15" customHeight="1" x14ac:dyDescent="0.3">
      <c r="A16" s="669"/>
      <c r="B16" s="669"/>
      <c r="C16" s="669"/>
      <c r="D16" s="669"/>
      <c r="E16" s="643"/>
      <c r="F16" s="643"/>
      <c r="G16" s="643"/>
      <c r="H16" s="643"/>
      <c r="I16" s="643"/>
      <c r="J16" s="643"/>
      <c r="K16" s="644"/>
      <c r="L16" s="644"/>
    </row>
    <row r="17" spans="1:12" ht="15" customHeight="1" x14ac:dyDescent="0.3">
      <c r="A17" s="669"/>
      <c r="B17" s="669"/>
      <c r="C17" s="669"/>
      <c r="D17" s="669"/>
      <c r="E17" s="643"/>
      <c r="F17" s="643"/>
      <c r="G17" s="643"/>
      <c r="H17" s="643"/>
      <c r="I17" s="643"/>
      <c r="J17" s="643"/>
      <c r="K17" s="644"/>
      <c r="L17" s="644"/>
    </row>
    <row r="18" spans="1:12" ht="15" customHeight="1" x14ac:dyDescent="0.3">
      <c r="A18" s="669"/>
      <c r="B18" s="669"/>
      <c r="C18" s="669"/>
      <c r="D18" s="669"/>
      <c r="E18" s="643"/>
      <c r="F18" s="643"/>
      <c r="G18" s="643"/>
      <c r="H18" s="643"/>
      <c r="I18" s="643"/>
      <c r="J18" s="643"/>
      <c r="K18" s="644"/>
      <c r="L18" s="644"/>
    </row>
    <row r="21" spans="1:12" ht="18" x14ac:dyDescent="0.35">
      <c r="C21" s="163"/>
    </row>
    <row r="22" spans="1:12" x14ac:dyDescent="0.3">
      <c r="K22" s="144"/>
    </row>
  </sheetData>
  <mergeCells count="8">
    <mergeCell ref="A10:A12"/>
    <mergeCell ref="B10:B12"/>
    <mergeCell ref="C10:D12"/>
    <mergeCell ref="E10:F12"/>
    <mergeCell ref="A16:B18"/>
    <mergeCell ref="C16:D18"/>
    <mergeCell ref="A13:B15"/>
    <mergeCell ref="C13:D15"/>
  </mergeCells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Q29"/>
  <sheetViews>
    <sheetView topLeftCell="A6" workbookViewId="0">
      <pane xSplit="1" topLeftCell="V1" activePane="topRight" state="frozen"/>
      <selection pane="topRight"/>
    </sheetView>
  </sheetViews>
  <sheetFormatPr defaultColWidth="9.109375" defaultRowHeight="14.4" x14ac:dyDescent="0.3"/>
  <cols>
    <col min="1" max="1" width="26" style="103" bestFit="1" customWidth="1"/>
    <col min="2" max="2" width="16" style="103" bestFit="1" customWidth="1"/>
    <col min="3" max="4" width="10.6640625" style="103" bestFit="1" customWidth="1"/>
    <col min="5" max="5" width="14.6640625" style="103" bestFit="1" customWidth="1"/>
    <col min="6" max="6" width="13.88671875" style="103" bestFit="1" customWidth="1"/>
    <col min="7" max="7" width="10.5546875" style="103" bestFit="1" customWidth="1"/>
    <col min="8" max="8" width="12" style="103" bestFit="1" customWidth="1"/>
    <col min="9" max="9" width="13.44140625" style="103" bestFit="1" customWidth="1"/>
    <col min="10" max="11" width="10.6640625" style="103" bestFit="1" customWidth="1"/>
    <col min="12" max="12" width="16" style="103" bestFit="1" customWidth="1"/>
    <col min="13" max="14" width="10.6640625" style="103" bestFit="1" customWidth="1"/>
    <col min="15" max="15" width="14.6640625" style="103" bestFit="1" customWidth="1"/>
    <col min="16" max="16" width="13.44140625" style="103" bestFit="1" customWidth="1"/>
    <col min="17" max="17" width="10.5546875" style="103" bestFit="1" customWidth="1"/>
    <col min="18" max="18" width="12" style="103" bestFit="1" customWidth="1"/>
    <col min="19" max="19" width="13.44140625" style="103" bestFit="1" customWidth="1"/>
    <col min="20" max="20" width="10.6640625" style="103" bestFit="1" customWidth="1"/>
    <col min="21" max="21" width="10.5546875" style="103" customWidth="1"/>
    <col min="22" max="22" width="16" style="103" customWidth="1"/>
    <col min="23" max="24" width="10.6640625" style="103" bestFit="1" customWidth="1"/>
    <col min="25" max="25" width="14.6640625" style="103" bestFit="1" customWidth="1"/>
    <col min="26" max="26" width="13.44140625" style="103" bestFit="1" customWidth="1"/>
    <col min="27" max="27" width="10.5546875" style="103" bestFit="1" customWidth="1"/>
    <col min="28" max="28" width="12" style="103" bestFit="1" customWidth="1"/>
    <col min="29" max="29" width="13.44140625" style="103" bestFit="1" customWidth="1"/>
    <col min="30" max="30" width="11.6640625" style="103" bestFit="1" customWidth="1"/>
    <col min="31" max="31" width="10.5546875" style="103" customWidth="1"/>
    <col min="32" max="32" width="16" style="103" bestFit="1" customWidth="1"/>
    <col min="33" max="34" width="10.6640625" style="103" bestFit="1" customWidth="1"/>
    <col min="35" max="35" width="14.6640625" style="103" bestFit="1" customWidth="1"/>
    <col min="36" max="36" width="13.44140625" style="103" bestFit="1" customWidth="1"/>
    <col min="37" max="37" width="9.88671875" style="103" bestFit="1" customWidth="1"/>
    <col min="38" max="38" width="12" style="103" bestFit="1" customWidth="1"/>
    <col min="39" max="39" width="13.44140625" style="103" bestFit="1" customWidth="1"/>
    <col min="40" max="40" width="11.6640625" style="103" bestFit="1" customWidth="1"/>
    <col min="41" max="41" width="10.5546875" style="103" customWidth="1"/>
    <col min="42" max="42" width="16" style="103" customWidth="1"/>
    <col min="43" max="44" width="10.6640625" style="103" bestFit="1" customWidth="1"/>
    <col min="45" max="45" width="14.6640625" style="103" bestFit="1" customWidth="1"/>
    <col min="46" max="46" width="13.44140625" style="103" bestFit="1" customWidth="1"/>
    <col min="47" max="47" width="10.5546875" style="103" bestFit="1" customWidth="1"/>
    <col min="48" max="48" width="12" style="103" bestFit="1" customWidth="1"/>
    <col min="49" max="49" width="13.88671875" style="103" bestFit="1" customWidth="1"/>
    <col min="50" max="50" width="11.6640625" style="103" bestFit="1" customWidth="1"/>
    <col min="51" max="51" width="10.5546875" style="103" bestFit="1" customWidth="1"/>
    <col min="52" max="52" width="16" style="103" customWidth="1"/>
    <col min="53" max="54" width="10.6640625" style="103" bestFit="1" customWidth="1"/>
    <col min="55" max="55" width="14.6640625" style="103" bestFit="1" customWidth="1"/>
    <col min="56" max="56" width="13.44140625" style="103" bestFit="1" customWidth="1"/>
    <col min="57" max="57" width="10.5546875" style="103" bestFit="1" customWidth="1"/>
    <col min="58" max="58" width="12" style="103" bestFit="1" customWidth="1"/>
    <col min="59" max="59" width="13.88671875" style="103" bestFit="1" customWidth="1"/>
    <col min="60" max="60" width="11.6640625" style="103" bestFit="1" customWidth="1"/>
    <col min="61" max="61" width="10.5546875" style="103" bestFit="1" customWidth="1"/>
    <col min="62" max="62" width="16" style="103" customWidth="1"/>
    <col min="63" max="64" width="10.6640625" style="103" bestFit="1" customWidth="1"/>
    <col min="65" max="65" width="14.6640625" style="103" bestFit="1" customWidth="1"/>
    <col min="66" max="66" width="13.44140625" style="103" bestFit="1" customWidth="1"/>
    <col min="67" max="67" width="10.5546875" style="103" bestFit="1" customWidth="1"/>
    <col min="68" max="68" width="12" style="103" bestFit="1" customWidth="1"/>
    <col min="69" max="69" width="13.88671875" style="103" bestFit="1" customWidth="1"/>
    <col min="70" max="70" width="10.6640625" style="103" bestFit="1" customWidth="1"/>
    <col min="71" max="71" width="10.5546875" style="103" bestFit="1" customWidth="1"/>
    <col min="72" max="72" width="16" style="103" customWidth="1"/>
    <col min="73" max="74" width="10.6640625" style="103" bestFit="1" customWidth="1"/>
    <col min="75" max="75" width="14.6640625" style="103" bestFit="1" customWidth="1"/>
    <col min="76" max="76" width="13.44140625" style="103" bestFit="1" customWidth="1"/>
    <col min="77" max="77" width="10.5546875" style="103" bestFit="1" customWidth="1"/>
    <col min="78" max="78" width="12" style="103" bestFit="1" customWidth="1"/>
    <col min="79" max="79" width="13.88671875" style="103" bestFit="1" customWidth="1"/>
    <col min="80" max="80" width="10.6640625" style="103" bestFit="1" customWidth="1"/>
    <col min="81" max="81" width="10.5546875" style="103" bestFit="1" customWidth="1"/>
    <col min="82" max="82" width="16" style="103" customWidth="1"/>
    <col min="83" max="84" width="10.6640625" style="103" bestFit="1" customWidth="1"/>
    <col min="85" max="85" width="14.6640625" style="103" bestFit="1" customWidth="1"/>
    <col min="86" max="86" width="13.44140625" style="103" bestFit="1" customWidth="1"/>
    <col min="87" max="87" width="10.5546875" style="103" bestFit="1" customWidth="1"/>
    <col min="88" max="88" width="12" style="103" bestFit="1" customWidth="1"/>
    <col min="89" max="89" width="13.88671875" style="103" bestFit="1" customWidth="1"/>
    <col min="90" max="90" width="10.6640625" style="103" bestFit="1" customWidth="1"/>
    <col min="91" max="91" width="10.5546875" style="103" bestFit="1" customWidth="1"/>
    <col min="92" max="92" width="16" style="103" customWidth="1"/>
    <col min="93" max="94" width="10.6640625" style="103" bestFit="1" customWidth="1"/>
    <col min="95" max="95" width="14.6640625" style="103" bestFit="1" customWidth="1"/>
    <col min="96" max="96" width="13.44140625" style="103" bestFit="1" customWidth="1"/>
    <col min="97" max="97" width="10.5546875" style="103" bestFit="1" customWidth="1"/>
    <col min="98" max="98" width="12" style="103" bestFit="1" customWidth="1"/>
    <col min="99" max="99" width="13.88671875" style="103" bestFit="1" customWidth="1"/>
    <col min="100" max="100" width="10.6640625" style="103" bestFit="1" customWidth="1"/>
    <col min="101" max="101" width="10.5546875" style="103" bestFit="1" customWidth="1"/>
    <col min="102" max="102" width="16" style="103" customWidth="1"/>
    <col min="103" max="104" width="10.6640625" style="103" bestFit="1" customWidth="1"/>
    <col min="105" max="105" width="14.6640625" style="103" bestFit="1" customWidth="1"/>
    <col min="106" max="106" width="13.44140625" style="103" bestFit="1" customWidth="1"/>
    <col min="107" max="107" width="10.5546875" style="103" bestFit="1" customWidth="1"/>
    <col min="108" max="108" width="12" style="103" bestFit="1" customWidth="1"/>
    <col min="109" max="109" width="13.88671875" style="103" bestFit="1" customWidth="1"/>
    <col min="110" max="110" width="10.6640625" style="103" bestFit="1" customWidth="1"/>
    <col min="111" max="111" width="10.5546875" style="103" bestFit="1" customWidth="1"/>
    <col min="112" max="112" width="16" style="103" customWidth="1"/>
    <col min="113" max="114" width="10.6640625" style="103" bestFit="1" customWidth="1"/>
    <col min="115" max="115" width="14.6640625" style="103" bestFit="1" customWidth="1"/>
    <col min="116" max="116" width="13.44140625" style="103" bestFit="1" customWidth="1"/>
    <col min="117" max="117" width="10.5546875" style="103" bestFit="1" customWidth="1"/>
    <col min="118" max="118" width="12" style="103" bestFit="1" customWidth="1"/>
    <col min="119" max="119" width="13.88671875" style="103" bestFit="1" customWidth="1"/>
    <col min="120" max="120" width="10.6640625" style="103" bestFit="1" customWidth="1"/>
    <col min="121" max="121" width="10.5546875" style="103" bestFit="1" customWidth="1"/>
    <col min="122" max="147" width="16" style="103" customWidth="1"/>
    <col min="148" max="16384" width="9.109375" style="103"/>
  </cols>
  <sheetData>
    <row r="1" spans="1:147" x14ac:dyDescent="0.3">
      <c r="B1" s="401"/>
      <c r="J1" s="37"/>
      <c r="K1" s="211"/>
      <c r="L1" s="211"/>
    </row>
    <row r="2" spans="1:147" ht="28.8" x14ac:dyDescent="0.55000000000000004">
      <c r="A2" s="402" t="s">
        <v>110</v>
      </c>
      <c r="B2" s="401"/>
      <c r="E2" s="666" t="s">
        <v>271</v>
      </c>
      <c r="F2" s="666"/>
      <c r="G2" s="666"/>
      <c r="H2" s="666"/>
      <c r="J2" s="403"/>
      <c r="K2" s="556">
        <f ca="1">TODAY()</f>
        <v>46101</v>
      </c>
      <c r="L2" s="403">
        <f ca="1">K3-K2</f>
        <v>-95</v>
      </c>
    </row>
    <row r="3" spans="1:147" x14ac:dyDescent="0.3">
      <c r="B3" s="401"/>
      <c r="J3" s="403"/>
      <c r="K3" s="556">
        <v>46006</v>
      </c>
      <c r="L3" s="403"/>
    </row>
    <row r="4" spans="1:147" x14ac:dyDescent="0.3">
      <c r="A4" s="404" t="s">
        <v>97</v>
      </c>
      <c r="B4" s="405"/>
      <c r="C4" s="406"/>
      <c r="D4" s="406"/>
      <c r="E4" s="406"/>
      <c r="F4" s="406"/>
      <c r="G4" s="406"/>
      <c r="H4" s="406"/>
      <c r="I4" s="406"/>
      <c r="J4" s="406"/>
      <c r="K4" s="659"/>
      <c r="L4" s="659"/>
      <c r="M4" s="406"/>
      <c r="N4" s="406"/>
      <c r="O4" s="406"/>
      <c r="P4" s="406"/>
      <c r="Q4" s="406"/>
      <c r="R4" s="406"/>
      <c r="S4" s="406"/>
      <c r="T4" s="406"/>
      <c r="U4" s="406"/>
      <c r="V4" s="406"/>
      <c r="W4" s="406"/>
      <c r="X4" s="406"/>
      <c r="Y4" s="406"/>
      <c r="Z4" s="406"/>
      <c r="AA4" s="406"/>
      <c r="AB4" s="406"/>
      <c r="AC4" s="406"/>
      <c r="AD4" s="406"/>
      <c r="AE4" s="406"/>
      <c r="AF4" s="406"/>
      <c r="AG4" s="406"/>
      <c r="AH4" s="406"/>
      <c r="AI4" s="406"/>
      <c r="AJ4" s="406"/>
      <c r="AK4" s="406"/>
      <c r="AL4" s="406"/>
      <c r="AM4" s="406"/>
      <c r="AN4" s="406"/>
      <c r="AO4" s="406"/>
      <c r="AP4" s="406"/>
      <c r="AQ4" s="406"/>
      <c r="AR4" s="406"/>
      <c r="AS4" s="406"/>
      <c r="AT4" s="406"/>
      <c r="AU4" s="406"/>
      <c r="AV4" s="406"/>
      <c r="AW4" s="406"/>
      <c r="AX4" s="406"/>
      <c r="AY4" s="406"/>
      <c r="AZ4" s="406"/>
      <c r="BA4" s="406"/>
      <c r="BB4" s="406"/>
      <c r="BC4" s="406"/>
      <c r="BD4" s="406"/>
      <c r="BE4" s="406"/>
      <c r="BF4" s="406"/>
      <c r="BG4" s="406"/>
      <c r="BH4" s="406"/>
      <c r="BI4" s="406"/>
      <c r="BJ4" s="406"/>
      <c r="BK4" s="406"/>
      <c r="BL4" s="406"/>
      <c r="BM4" s="406"/>
      <c r="BN4" s="406"/>
      <c r="BO4" s="406"/>
      <c r="BP4" s="406"/>
      <c r="BQ4" s="406"/>
      <c r="BR4" s="406"/>
      <c r="BS4" s="406"/>
      <c r="BT4" s="406"/>
      <c r="BU4" s="406"/>
      <c r="BV4" s="406"/>
      <c r="BW4" s="406"/>
      <c r="BX4" s="406"/>
      <c r="BY4" s="406"/>
      <c r="BZ4" s="406"/>
      <c r="CA4" s="406"/>
      <c r="CB4" s="406"/>
      <c r="CC4" s="406"/>
      <c r="CD4" s="406"/>
      <c r="CE4" s="406"/>
      <c r="CF4" s="406"/>
      <c r="CG4" s="406"/>
      <c r="CH4" s="406"/>
      <c r="CI4" s="406"/>
      <c r="CJ4" s="406"/>
      <c r="CK4" s="406"/>
      <c r="CL4" s="406"/>
      <c r="CM4" s="406"/>
      <c r="CN4" s="406"/>
      <c r="CO4" s="406"/>
      <c r="CP4" s="406"/>
      <c r="CQ4" s="406"/>
      <c r="CR4" s="406"/>
      <c r="CS4" s="406"/>
      <c r="CT4" s="406"/>
      <c r="CU4" s="406"/>
      <c r="CV4" s="406"/>
      <c r="CW4" s="406"/>
      <c r="CX4" s="406"/>
      <c r="CY4" s="406"/>
      <c r="CZ4" s="406"/>
      <c r="DA4" s="406"/>
      <c r="DB4" s="406"/>
      <c r="DC4" s="406"/>
      <c r="DD4" s="406"/>
      <c r="DE4" s="406"/>
      <c r="DF4" s="406"/>
      <c r="DG4" s="406"/>
      <c r="DH4" s="406"/>
      <c r="DI4" s="406"/>
      <c r="DJ4" s="406"/>
      <c r="DK4" s="406"/>
      <c r="DL4" s="406"/>
      <c r="DM4" s="406"/>
      <c r="DN4" s="406"/>
      <c r="DO4" s="406"/>
      <c r="DP4" s="406"/>
      <c r="DQ4" s="406"/>
    </row>
    <row r="5" spans="1:147" x14ac:dyDescent="0.3">
      <c r="A5" s="404">
        <v>220</v>
      </c>
      <c r="B5" s="405"/>
      <c r="C5" s="406"/>
      <c r="D5" s="406"/>
      <c r="E5" s="406"/>
      <c r="F5" s="406"/>
      <c r="G5" s="406"/>
      <c r="H5" s="406"/>
      <c r="I5" s="406"/>
      <c r="J5" s="406"/>
      <c r="K5" s="659"/>
      <c r="L5" s="406"/>
      <c r="M5" s="406"/>
      <c r="N5" s="406"/>
      <c r="O5" s="406"/>
      <c r="P5" s="406"/>
      <c r="Q5" s="406"/>
      <c r="R5" s="406"/>
      <c r="S5" s="406"/>
      <c r="T5" s="406"/>
      <c r="U5" s="406"/>
      <c r="V5" s="406"/>
      <c r="W5" s="406"/>
      <c r="X5" s="406"/>
      <c r="Y5" s="406"/>
      <c r="Z5" s="406"/>
      <c r="AA5" s="406"/>
      <c r="AB5" s="406"/>
      <c r="AC5" s="406"/>
      <c r="AD5" s="406"/>
      <c r="AE5" s="406"/>
      <c r="AF5" s="406"/>
      <c r="AG5" s="406"/>
      <c r="AH5" s="406"/>
      <c r="AI5" s="406"/>
      <c r="AJ5" s="406"/>
      <c r="AK5" s="406"/>
      <c r="AL5" s="406"/>
      <c r="AM5" s="406"/>
      <c r="AN5" s="406"/>
      <c r="AO5" s="406"/>
      <c r="AP5" s="406"/>
      <c r="AQ5" s="406"/>
      <c r="AR5" s="406"/>
      <c r="AS5" s="406"/>
      <c r="AT5" s="406"/>
      <c r="AU5" s="406"/>
      <c r="AV5" s="406"/>
      <c r="AW5" s="406"/>
      <c r="AX5" s="406"/>
      <c r="AY5" s="406"/>
      <c r="AZ5" s="406"/>
      <c r="BA5" s="406"/>
      <c r="BB5" s="406"/>
      <c r="BC5" s="406"/>
      <c r="BD5" s="406"/>
      <c r="BE5" s="406"/>
      <c r="BF5" s="406"/>
      <c r="BG5" s="406"/>
      <c r="BH5" s="406"/>
      <c r="BI5" s="406"/>
      <c r="BJ5" s="406"/>
      <c r="BK5" s="406"/>
      <c r="BL5" s="406"/>
      <c r="BM5" s="406"/>
      <c r="BN5" s="406"/>
      <c r="BO5" s="406"/>
      <c r="BP5" s="406"/>
      <c r="BQ5" s="406"/>
      <c r="BR5" s="406"/>
      <c r="BS5" s="406"/>
      <c r="BT5" s="406"/>
      <c r="BU5" s="406"/>
      <c r="BV5" s="406"/>
      <c r="BW5" s="406"/>
      <c r="BX5" s="406"/>
      <c r="BY5" s="406"/>
      <c r="BZ5" s="406"/>
      <c r="CA5" s="406"/>
      <c r="CB5" s="406"/>
      <c r="CC5" s="406"/>
      <c r="CD5" s="406"/>
      <c r="CE5" s="406"/>
      <c r="CF5" s="406"/>
      <c r="CG5" s="406"/>
      <c r="CH5" s="406"/>
      <c r="CI5" s="406"/>
      <c r="CJ5" s="406"/>
      <c r="CK5" s="406"/>
      <c r="CL5" s="406"/>
      <c r="CM5" s="406"/>
      <c r="CN5" s="406"/>
      <c r="CO5" s="406"/>
      <c r="CP5" s="406"/>
      <c r="CQ5" s="406"/>
      <c r="CR5" s="406"/>
      <c r="CS5" s="406"/>
      <c r="CT5" s="406"/>
      <c r="CU5" s="406"/>
      <c r="CV5" s="406"/>
      <c r="CW5" s="406"/>
      <c r="CX5" s="406"/>
      <c r="CY5" s="406"/>
      <c r="CZ5" s="406"/>
      <c r="DA5" s="406"/>
      <c r="DB5" s="406"/>
      <c r="DC5" s="406"/>
      <c r="DD5" s="406"/>
      <c r="DE5" s="406"/>
      <c r="DF5" s="406"/>
      <c r="DG5" s="406"/>
      <c r="DH5" s="406"/>
      <c r="DI5" s="406"/>
      <c r="DJ5" s="406"/>
      <c r="DK5" s="406"/>
      <c r="DL5" s="406"/>
      <c r="DM5" s="406"/>
      <c r="DN5" s="406"/>
      <c r="DO5" s="406"/>
      <c r="DP5" s="406"/>
      <c r="DQ5" s="406"/>
    </row>
    <row r="6" spans="1:147" x14ac:dyDescent="0.3">
      <c r="A6" s="406"/>
      <c r="B6" s="667" t="s">
        <v>20</v>
      </c>
      <c r="C6" s="667"/>
      <c r="D6" s="667"/>
      <c r="E6" s="667"/>
      <c r="F6" s="667"/>
      <c r="G6" s="667"/>
      <c r="H6" s="667"/>
      <c r="I6" s="667"/>
      <c r="J6" s="667"/>
      <c r="K6" s="667"/>
      <c r="L6" s="667" t="s">
        <v>32</v>
      </c>
      <c r="M6" s="667"/>
      <c r="N6" s="667"/>
      <c r="O6" s="667"/>
      <c r="P6" s="667"/>
      <c r="Q6" s="667"/>
      <c r="R6" s="667"/>
      <c r="S6" s="667"/>
      <c r="T6" s="667"/>
      <c r="U6" s="667"/>
      <c r="V6" s="667" t="s">
        <v>33</v>
      </c>
      <c r="W6" s="667"/>
      <c r="X6" s="667"/>
      <c r="Y6" s="667"/>
      <c r="Z6" s="667"/>
      <c r="AA6" s="667"/>
      <c r="AB6" s="667"/>
      <c r="AC6" s="667"/>
      <c r="AD6" s="667"/>
      <c r="AE6" s="667"/>
      <c r="AF6" s="667" t="s">
        <v>34</v>
      </c>
      <c r="AG6" s="667"/>
      <c r="AH6" s="667"/>
      <c r="AI6" s="667"/>
      <c r="AJ6" s="667"/>
      <c r="AK6" s="667"/>
      <c r="AL6" s="667"/>
      <c r="AM6" s="667"/>
      <c r="AN6" s="667"/>
      <c r="AO6" s="667"/>
      <c r="AP6" s="667" t="s">
        <v>35</v>
      </c>
      <c r="AQ6" s="667"/>
      <c r="AR6" s="667"/>
      <c r="AS6" s="667"/>
      <c r="AT6" s="667"/>
      <c r="AU6" s="667"/>
      <c r="AV6" s="667"/>
      <c r="AW6" s="667"/>
      <c r="AX6" s="667"/>
      <c r="AY6" s="667"/>
      <c r="AZ6" s="667" t="s">
        <v>36</v>
      </c>
      <c r="BA6" s="667"/>
      <c r="BB6" s="667"/>
      <c r="BC6" s="667"/>
      <c r="BD6" s="667"/>
      <c r="BE6" s="667"/>
      <c r="BF6" s="667"/>
      <c r="BG6" s="667"/>
      <c r="BH6" s="667"/>
      <c r="BI6" s="667"/>
      <c r="BJ6" s="667" t="s">
        <v>73</v>
      </c>
      <c r="BK6" s="667"/>
      <c r="BL6" s="667"/>
      <c r="BM6" s="667"/>
      <c r="BN6" s="667"/>
      <c r="BO6" s="667"/>
      <c r="BP6" s="667"/>
      <c r="BQ6" s="667"/>
      <c r="BR6" s="667"/>
      <c r="BS6" s="667"/>
      <c r="BT6" s="667" t="s">
        <v>38</v>
      </c>
      <c r="BU6" s="667"/>
      <c r="BV6" s="667"/>
      <c r="BW6" s="667"/>
      <c r="BX6" s="667"/>
      <c r="BY6" s="667"/>
      <c r="BZ6" s="667"/>
      <c r="CA6" s="667"/>
      <c r="CB6" s="667"/>
      <c r="CC6" s="667"/>
      <c r="CD6" s="667" t="s">
        <v>39</v>
      </c>
      <c r="CE6" s="667"/>
      <c r="CF6" s="667"/>
      <c r="CG6" s="667"/>
      <c r="CH6" s="667"/>
      <c r="CI6" s="667"/>
      <c r="CJ6" s="667"/>
      <c r="CK6" s="667"/>
      <c r="CL6" s="667"/>
      <c r="CM6" s="667"/>
      <c r="CN6" s="667" t="s">
        <v>40</v>
      </c>
      <c r="CO6" s="667"/>
      <c r="CP6" s="667"/>
      <c r="CQ6" s="667"/>
      <c r="CR6" s="667"/>
      <c r="CS6" s="667"/>
      <c r="CT6" s="667"/>
      <c r="CU6" s="667"/>
      <c r="CV6" s="667"/>
      <c r="CW6" s="667"/>
      <c r="CX6" s="667" t="s">
        <v>41</v>
      </c>
      <c r="CY6" s="667"/>
      <c r="CZ6" s="667"/>
      <c r="DA6" s="667"/>
      <c r="DB6" s="667"/>
      <c r="DC6" s="667"/>
      <c r="DD6" s="667"/>
      <c r="DE6" s="667"/>
      <c r="DF6" s="667"/>
      <c r="DG6" s="667"/>
      <c r="DH6" s="667" t="s">
        <v>42</v>
      </c>
      <c r="DI6" s="667"/>
      <c r="DJ6" s="667"/>
      <c r="DK6" s="667"/>
      <c r="DL6" s="667"/>
      <c r="DM6" s="667"/>
      <c r="DN6" s="667"/>
      <c r="DO6" s="667"/>
      <c r="DP6" s="667"/>
      <c r="DQ6" s="667"/>
      <c r="DS6" s="407"/>
      <c r="DT6" s="407"/>
      <c r="DU6" s="407"/>
      <c r="DV6" s="407"/>
      <c r="DW6" s="407"/>
      <c r="DX6" s="407"/>
      <c r="DY6" s="407"/>
      <c r="DZ6" s="407"/>
      <c r="EA6" s="407"/>
      <c r="EB6" s="407"/>
      <c r="EC6" s="407"/>
      <c r="ED6" s="407"/>
      <c r="EF6" s="408"/>
      <c r="EG6" s="408"/>
      <c r="EH6" s="408"/>
      <c r="EI6" s="408"/>
      <c r="EJ6" s="408"/>
      <c r="EK6" s="408"/>
      <c r="EL6" s="408"/>
      <c r="EM6" s="408"/>
      <c r="EN6" s="408"/>
      <c r="EO6" s="408"/>
      <c r="EP6" s="408"/>
      <c r="EQ6" s="408"/>
    </row>
    <row r="7" spans="1:147" x14ac:dyDescent="0.3">
      <c r="A7" s="404" t="s">
        <v>89</v>
      </c>
      <c r="B7" s="409" t="s">
        <v>98</v>
      </c>
      <c r="C7" s="409" t="s">
        <v>99</v>
      </c>
      <c r="D7" s="409" t="s">
        <v>100</v>
      </c>
      <c r="E7" s="409" t="s">
        <v>105</v>
      </c>
      <c r="F7" s="409" t="s">
        <v>102</v>
      </c>
      <c r="G7" s="409" t="s">
        <v>48</v>
      </c>
      <c r="H7" s="409" t="s">
        <v>174</v>
      </c>
      <c r="I7" s="409" t="s">
        <v>101</v>
      </c>
      <c r="J7" s="409" t="s">
        <v>8</v>
      </c>
      <c r="K7" s="410" t="s">
        <v>103</v>
      </c>
      <c r="L7" s="409" t="s">
        <v>98</v>
      </c>
      <c r="M7" s="409" t="s">
        <v>99</v>
      </c>
      <c r="N7" s="409" t="s">
        <v>100</v>
      </c>
      <c r="O7" s="409" t="s">
        <v>105</v>
      </c>
      <c r="P7" s="409" t="s">
        <v>102</v>
      </c>
      <c r="Q7" s="409" t="s">
        <v>48</v>
      </c>
      <c r="R7" s="409" t="s">
        <v>174</v>
      </c>
      <c r="S7" s="409" t="s">
        <v>101</v>
      </c>
      <c r="T7" s="409" t="s">
        <v>8</v>
      </c>
      <c r="U7" s="410" t="s">
        <v>103</v>
      </c>
      <c r="V7" s="409" t="s">
        <v>98</v>
      </c>
      <c r="W7" s="409" t="s">
        <v>99</v>
      </c>
      <c r="X7" s="409" t="s">
        <v>100</v>
      </c>
      <c r="Y7" s="409" t="s">
        <v>105</v>
      </c>
      <c r="Z7" s="409" t="s">
        <v>102</v>
      </c>
      <c r="AA7" s="409" t="s">
        <v>48</v>
      </c>
      <c r="AB7" s="409" t="s">
        <v>174</v>
      </c>
      <c r="AC7" s="409" t="s">
        <v>101</v>
      </c>
      <c r="AD7" s="409" t="s">
        <v>8</v>
      </c>
      <c r="AE7" s="410" t="s">
        <v>103</v>
      </c>
      <c r="AF7" s="409" t="s">
        <v>98</v>
      </c>
      <c r="AG7" s="409" t="s">
        <v>99</v>
      </c>
      <c r="AH7" s="409" t="s">
        <v>100</v>
      </c>
      <c r="AI7" s="409" t="s">
        <v>105</v>
      </c>
      <c r="AJ7" s="409" t="s">
        <v>102</v>
      </c>
      <c r="AK7" s="409" t="s">
        <v>48</v>
      </c>
      <c r="AL7" s="409" t="s">
        <v>174</v>
      </c>
      <c r="AM7" s="409" t="s">
        <v>101</v>
      </c>
      <c r="AN7" s="409" t="s">
        <v>8</v>
      </c>
      <c r="AO7" s="410" t="s">
        <v>103</v>
      </c>
      <c r="AP7" s="409" t="s">
        <v>98</v>
      </c>
      <c r="AQ7" s="409" t="s">
        <v>99</v>
      </c>
      <c r="AR7" s="409" t="s">
        <v>100</v>
      </c>
      <c r="AS7" s="409" t="s">
        <v>105</v>
      </c>
      <c r="AT7" s="409" t="s">
        <v>102</v>
      </c>
      <c r="AU7" s="409" t="s">
        <v>48</v>
      </c>
      <c r="AV7" s="409" t="s">
        <v>174</v>
      </c>
      <c r="AW7" s="409" t="s">
        <v>101</v>
      </c>
      <c r="AX7" s="409" t="s">
        <v>8</v>
      </c>
      <c r="AY7" s="410" t="s">
        <v>103</v>
      </c>
      <c r="AZ7" s="409" t="s">
        <v>98</v>
      </c>
      <c r="BA7" s="409" t="s">
        <v>99</v>
      </c>
      <c r="BB7" s="409" t="s">
        <v>100</v>
      </c>
      <c r="BC7" s="409" t="s">
        <v>105</v>
      </c>
      <c r="BD7" s="409" t="s">
        <v>102</v>
      </c>
      <c r="BE7" s="409" t="s">
        <v>48</v>
      </c>
      <c r="BF7" s="409" t="s">
        <v>174</v>
      </c>
      <c r="BG7" s="409" t="s">
        <v>101</v>
      </c>
      <c r="BH7" s="409" t="s">
        <v>8</v>
      </c>
      <c r="BI7" s="410" t="s">
        <v>103</v>
      </c>
      <c r="BJ7" s="409" t="s">
        <v>98</v>
      </c>
      <c r="BK7" s="409" t="s">
        <v>99</v>
      </c>
      <c r="BL7" s="409" t="s">
        <v>100</v>
      </c>
      <c r="BM7" s="409" t="s">
        <v>105</v>
      </c>
      <c r="BN7" s="409" t="s">
        <v>102</v>
      </c>
      <c r="BO7" s="409" t="s">
        <v>48</v>
      </c>
      <c r="BP7" s="409" t="s">
        <v>174</v>
      </c>
      <c r="BQ7" s="409" t="s">
        <v>101</v>
      </c>
      <c r="BR7" s="409" t="s">
        <v>8</v>
      </c>
      <c r="BS7" s="410" t="s">
        <v>103</v>
      </c>
      <c r="BT7" s="409" t="s">
        <v>98</v>
      </c>
      <c r="BU7" s="409" t="s">
        <v>99</v>
      </c>
      <c r="BV7" s="409" t="s">
        <v>100</v>
      </c>
      <c r="BW7" s="409" t="s">
        <v>105</v>
      </c>
      <c r="BX7" s="409" t="s">
        <v>102</v>
      </c>
      <c r="BY7" s="409" t="s">
        <v>48</v>
      </c>
      <c r="BZ7" s="409" t="s">
        <v>174</v>
      </c>
      <c r="CA7" s="409" t="s">
        <v>101</v>
      </c>
      <c r="CB7" s="409" t="s">
        <v>8</v>
      </c>
      <c r="CC7" s="410" t="s">
        <v>103</v>
      </c>
      <c r="CD7" s="409" t="s">
        <v>98</v>
      </c>
      <c r="CE7" s="409" t="s">
        <v>99</v>
      </c>
      <c r="CF7" s="409" t="s">
        <v>100</v>
      </c>
      <c r="CG7" s="409" t="s">
        <v>105</v>
      </c>
      <c r="CH7" s="409" t="s">
        <v>102</v>
      </c>
      <c r="CI7" s="409" t="s">
        <v>48</v>
      </c>
      <c r="CJ7" s="409" t="s">
        <v>174</v>
      </c>
      <c r="CK7" s="409" t="s">
        <v>101</v>
      </c>
      <c r="CL7" s="409" t="s">
        <v>8</v>
      </c>
      <c r="CM7" s="410" t="s">
        <v>103</v>
      </c>
      <c r="CN7" s="409" t="s">
        <v>98</v>
      </c>
      <c r="CO7" s="409" t="s">
        <v>99</v>
      </c>
      <c r="CP7" s="409" t="s">
        <v>100</v>
      </c>
      <c r="CQ7" s="409" t="s">
        <v>105</v>
      </c>
      <c r="CR7" s="409" t="s">
        <v>102</v>
      </c>
      <c r="CS7" s="409" t="s">
        <v>48</v>
      </c>
      <c r="CT7" s="409" t="s">
        <v>174</v>
      </c>
      <c r="CU7" s="409" t="s">
        <v>101</v>
      </c>
      <c r="CV7" s="409" t="s">
        <v>8</v>
      </c>
      <c r="CW7" s="410" t="s">
        <v>103</v>
      </c>
      <c r="CX7" s="409" t="s">
        <v>98</v>
      </c>
      <c r="CY7" s="409" t="s">
        <v>99</v>
      </c>
      <c r="CZ7" s="409" t="s">
        <v>100</v>
      </c>
      <c r="DA7" s="409" t="s">
        <v>105</v>
      </c>
      <c r="DB7" s="409" t="s">
        <v>102</v>
      </c>
      <c r="DC7" s="409" t="s">
        <v>48</v>
      </c>
      <c r="DD7" s="409" t="s">
        <v>174</v>
      </c>
      <c r="DE7" s="409" t="s">
        <v>101</v>
      </c>
      <c r="DF7" s="409" t="s">
        <v>8</v>
      </c>
      <c r="DG7" s="410" t="s">
        <v>103</v>
      </c>
      <c r="DH7" s="409" t="s">
        <v>98</v>
      </c>
      <c r="DI7" s="409" t="s">
        <v>99</v>
      </c>
      <c r="DJ7" s="409" t="s">
        <v>100</v>
      </c>
      <c r="DK7" s="409" t="s">
        <v>105</v>
      </c>
      <c r="DL7" s="409" t="s">
        <v>102</v>
      </c>
      <c r="DM7" s="409" t="s">
        <v>48</v>
      </c>
      <c r="DN7" s="409" t="s">
        <v>174</v>
      </c>
      <c r="DO7" s="409" t="s">
        <v>101</v>
      </c>
      <c r="DP7" s="409" t="s">
        <v>8</v>
      </c>
      <c r="DQ7" s="410" t="s">
        <v>103</v>
      </c>
      <c r="DS7" s="409" t="s">
        <v>74</v>
      </c>
      <c r="DT7" s="409" t="s">
        <v>75</v>
      </c>
      <c r="DU7" s="409" t="s">
        <v>76</v>
      </c>
      <c r="DV7" s="409" t="s">
        <v>77</v>
      </c>
      <c r="DW7" s="409" t="s">
        <v>78</v>
      </c>
      <c r="DX7" s="409" t="s">
        <v>79</v>
      </c>
      <c r="DY7" s="409" t="s">
        <v>80</v>
      </c>
      <c r="DZ7" s="409" t="s">
        <v>81</v>
      </c>
      <c r="EA7" s="409" t="s">
        <v>82</v>
      </c>
      <c r="EB7" s="409" t="s">
        <v>83</v>
      </c>
      <c r="EC7" s="409" t="s">
        <v>84</v>
      </c>
      <c r="ED7" s="409" t="s">
        <v>85</v>
      </c>
      <c r="EF7" s="409" t="s">
        <v>74</v>
      </c>
      <c r="EG7" s="409" t="s">
        <v>75</v>
      </c>
      <c r="EH7" s="409" t="s">
        <v>76</v>
      </c>
      <c r="EI7" s="409" t="s">
        <v>77</v>
      </c>
      <c r="EJ7" s="409" t="s">
        <v>78</v>
      </c>
      <c r="EK7" s="409" t="s">
        <v>79</v>
      </c>
      <c r="EL7" s="409" t="s">
        <v>80</v>
      </c>
      <c r="EM7" s="409" t="s">
        <v>81</v>
      </c>
      <c r="EN7" s="409" t="s">
        <v>82</v>
      </c>
      <c r="EO7" s="409" t="s">
        <v>83</v>
      </c>
      <c r="EP7" s="409" t="s">
        <v>84</v>
      </c>
      <c r="EQ7" s="409" t="s">
        <v>85</v>
      </c>
    </row>
    <row r="8" spans="1:147" x14ac:dyDescent="0.3">
      <c r="A8" s="290" t="s">
        <v>267</v>
      </c>
      <c r="B8" s="411">
        <f>'Pré Tratamento'!G15</f>
        <v>0</v>
      </c>
      <c r="C8" s="411">
        <f>'Resumo M.O'!$C$14</f>
        <v>1490.6152574074074</v>
      </c>
      <c r="D8" s="412">
        <f>'Resumo M.O'!$C$29</f>
        <v>2265.2114111111109</v>
      </c>
      <c r="E8" s="413">
        <f>'Resumo Custos Variáveis'!$E$21</f>
        <v>0</v>
      </c>
      <c r="F8" s="411">
        <f>'Outros Custos'!$C$31</f>
        <v>0</v>
      </c>
      <c r="G8" s="411">
        <f>Transporte!$C$20</f>
        <v>0</v>
      </c>
      <c r="H8" s="411">
        <f>Manutenção!$C$21</f>
        <v>0</v>
      </c>
      <c r="I8" s="412">
        <f ca="1">Investimentos!G10</f>
        <v>0</v>
      </c>
      <c r="J8" s="411">
        <f ca="1">SUM(B8:I8)</f>
        <v>3755.8266685185181</v>
      </c>
      <c r="K8" s="414">
        <f ca="1">IF($L$2&gt;=1,J8/$A$5,0)</f>
        <v>0</v>
      </c>
      <c r="L8" s="411">
        <f>'Pré Tratamento'!J15</f>
        <v>0</v>
      </c>
      <c r="M8" s="412">
        <f>'Resumo M.O'!$D$14</f>
        <v>1490.6152574074074</v>
      </c>
      <c r="N8" s="412">
        <f>'Resumo M.O'!$D$29</f>
        <v>2265.2114111111109</v>
      </c>
      <c r="O8" s="412">
        <f>'Resumo Custos Variáveis'!$F$21</f>
        <v>0</v>
      </c>
      <c r="P8" s="411">
        <f>'Outros Custos'!$D$31</f>
        <v>0</v>
      </c>
      <c r="Q8" s="411">
        <f>Transporte!$D$20</f>
        <v>0</v>
      </c>
      <c r="R8" s="411">
        <f>Manutenção!$D$21</f>
        <v>0</v>
      </c>
      <c r="S8" s="412">
        <f t="shared" ref="S8:S15" ca="1" si="0">I8</f>
        <v>0</v>
      </c>
      <c r="T8" s="411">
        <f ca="1">SUM(L8:S8)</f>
        <v>3755.8266685185181</v>
      </c>
      <c r="U8" s="414">
        <f ca="1">IF($L$2&gt;=1,T8/$A$5,0)</f>
        <v>0</v>
      </c>
      <c r="V8" s="411">
        <f>'Pré Tratamento'!M15</f>
        <v>4019.75</v>
      </c>
      <c r="W8" s="413">
        <f>'Resumo M.O'!$E$14</f>
        <v>1490.6152574074074</v>
      </c>
      <c r="X8" s="413">
        <f>'Resumo M.O'!$E$29</f>
        <v>2265.2114111111109</v>
      </c>
      <c r="Y8" s="413">
        <f>'Resumo Custos Variáveis'!$G$21</f>
        <v>2404.5263157894738</v>
      </c>
      <c r="Z8" s="72">
        <f>'Outros Custos'!$E$31</f>
        <v>0</v>
      </c>
      <c r="AA8" s="72">
        <f>Transporte!$E$20</f>
        <v>0</v>
      </c>
      <c r="AB8" s="72">
        <f>Manutenção!$E$21</f>
        <v>0</v>
      </c>
      <c r="AC8" s="413">
        <f t="shared" ref="AC8:AC15" ca="1" si="1">S8</f>
        <v>0</v>
      </c>
      <c r="AD8" s="72">
        <f ca="1">SUM(V8:AC8)</f>
        <v>10180.102984307992</v>
      </c>
      <c r="AE8" s="414">
        <f ca="1">IF($L$2&gt;=1,AD8/$A$5,0)</f>
        <v>0</v>
      </c>
      <c r="AF8" s="411">
        <f>'Pré Tratamento'!P15</f>
        <v>2903.5</v>
      </c>
      <c r="AG8" s="412">
        <f>'Resumo M.O'!$F$14</f>
        <v>1490.6152574074074</v>
      </c>
      <c r="AH8" s="412">
        <f>'Resumo M.O'!$F$29</f>
        <v>2265.2114111111109</v>
      </c>
      <c r="AI8" s="412">
        <f>'Resumo Custos Variáveis'!$H$21</f>
        <v>1573.8421052631579</v>
      </c>
      <c r="AJ8" s="411">
        <f>'Outros Custos'!$F$31</f>
        <v>0</v>
      </c>
      <c r="AK8" s="411">
        <f>Transporte!$F$20</f>
        <v>0</v>
      </c>
      <c r="AL8" s="411">
        <f>Manutenção!$F$21</f>
        <v>0</v>
      </c>
      <c r="AM8" s="412">
        <f t="shared" ref="AM8:AM15" ca="1" si="2">AC8</f>
        <v>0</v>
      </c>
      <c r="AN8" s="411">
        <f ca="1">SUM(AF8:AM8)</f>
        <v>8233.1687737816774</v>
      </c>
      <c r="AO8" s="414">
        <f ca="1">IF(L2&gt;=1,AN8/$A$5,0)</f>
        <v>0</v>
      </c>
      <c r="AP8" s="411">
        <f>'Pré Tratamento'!S15</f>
        <v>129</v>
      </c>
      <c r="AQ8" s="412">
        <f>'Resumo M.O'!$G$14</f>
        <v>1490.6152574074074</v>
      </c>
      <c r="AR8" s="412">
        <f>'Resumo M.O'!$G$29</f>
        <v>2265.2114111111109</v>
      </c>
      <c r="AS8" s="412">
        <f>'Resumo Custos Variáveis'!$I$21</f>
        <v>0</v>
      </c>
      <c r="AT8" s="411">
        <f>'Outros Custos'!$G$31</f>
        <v>0</v>
      </c>
      <c r="AU8" s="411">
        <f>Transporte!$G$20</f>
        <v>0</v>
      </c>
      <c r="AV8" s="411">
        <f>Manutenção!$G$21</f>
        <v>0</v>
      </c>
      <c r="AW8" s="412">
        <f t="shared" ref="AW8:AW15" ca="1" si="3">AM8</f>
        <v>0</v>
      </c>
      <c r="AX8" s="411">
        <f ca="1">SUM(AP8:AW8)</f>
        <v>3884.8266685185181</v>
      </c>
      <c r="AY8" s="414">
        <f ca="1">IF(L2&gt;=1,AX8/$A$5,0)</f>
        <v>0</v>
      </c>
      <c r="AZ8" s="411">
        <f>'Pré Tratamento'!V15</f>
        <v>258</v>
      </c>
      <c r="BA8" s="412">
        <f>'Resumo M.O'!$H$14</f>
        <v>1490.6152574074074</v>
      </c>
      <c r="BB8" s="412">
        <f>'Resumo M.O'!$H$29</f>
        <v>2265.2114111111109</v>
      </c>
      <c r="BC8" s="412">
        <f>'Resumo Custos Variáveis'!$J$21</f>
        <v>0</v>
      </c>
      <c r="BD8" s="411">
        <f>'Outros Custos'!$H$31</f>
        <v>0</v>
      </c>
      <c r="BE8" s="411">
        <f>Transporte!$H$20</f>
        <v>0</v>
      </c>
      <c r="BF8" s="411">
        <f>Manutenção!$H$21</f>
        <v>3061.5384615384614</v>
      </c>
      <c r="BG8" s="412">
        <f t="shared" ref="BG8:BG15" ca="1" si="4">AW8</f>
        <v>0</v>
      </c>
      <c r="BH8" s="411">
        <f ca="1">SUM(AZ8:BG8)</f>
        <v>7075.36513005698</v>
      </c>
      <c r="BI8" s="414">
        <f ca="1">IF(L2&gt;=1,BH8/$A$5,0)</f>
        <v>0</v>
      </c>
      <c r="BJ8" s="411">
        <f>'Pré Tratamento'!Y15</f>
        <v>0</v>
      </c>
      <c r="BK8" s="412">
        <f>'Resumo M.O'!$I$14</f>
        <v>1490.6152574074074</v>
      </c>
      <c r="BL8" s="412">
        <f>'Resumo M.O'!$I$29</f>
        <v>2265.2114111111109</v>
      </c>
      <c r="BM8" s="412">
        <f>'Resumo Custos Variáveis'!$K$21</f>
        <v>0</v>
      </c>
      <c r="BN8" s="411">
        <f>'Outros Custos'!$I$31</f>
        <v>0</v>
      </c>
      <c r="BO8" s="411">
        <f>Transporte!$I$20</f>
        <v>0</v>
      </c>
      <c r="BP8" s="411">
        <f>Manutenção!$I$21</f>
        <v>3030.7692307692309</v>
      </c>
      <c r="BQ8" s="412">
        <f t="shared" ref="BQ8:BQ15" ca="1" si="5">BG8</f>
        <v>0</v>
      </c>
      <c r="BR8" s="411">
        <f ca="1">SUM(BJ8:BQ8)</f>
        <v>6786.5958992877495</v>
      </c>
      <c r="BS8" s="414">
        <f ca="1">IF(L2&gt;=1,BR8/$A$5,0)</f>
        <v>0</v>
      </c>
      <c r="BT8" s="411">
        <f>'Pré Tratamento'!AB15</f>
        <v>0</v>
      </c>
      <c r="BU8" s="412">
        <f>'Resumo M.O'!$J$14</f>
        <v>1490.6152574074074</v>
      </c>
      <c r="BV8" s="412">
        <f>'Resumo M.O'!$J$29</f>
        <v>2265.2114111111109</v>
      </c>
      <c r="BW8" s="412">
        <f>'Resumo Custos Variáveis'!$L$21</f>
        <v>0</v>
      </c>
      <c r="BX8" s="411">
        <f>'Outros Custos'!$J$31</f>
        <v>0</v>
      </c>
      <c r="BY8" s="411">
        <f>Transporte!$J$20</f>
        <v>0</v>
      </c>
      <c r="BZ8" s="411">
        <f>Manutenção!$J$21</f>
        <v>0</v>
      </c>
      <c r="CA8" s="412">
        <f t="shared" ref="CA8:CA15" ca="1" si="6">BQ8</f>
        <v>0</v>
      </c>
      <c r="CB8" s="411">
        <f ca="1">SUM(BT8:CA8)</f>
        <v>3755.8266685185181</v>
      </c>
      <c r="CC8" s="414">
        <f ca="1">IF(L2&gt;=1,CB8/$A$5,0)</f>
        <v>0</v>
      </c>
      <c r="CD8" s="411">
        <f>'Pré Tratamento'!AE15</f>
        <v>0</v>
      </c>
      <c r="CE8" s="412">
        <f>'Resumo M.O'!$K$14</f>
        <v>1490.6152574074074</v>
      </c>
      <c r="CF8" s="412">
        <f>'Resumo M.O'!$K$29</f>
        <v>2265.2114111111109</v>
      </c>
      <c r="CG8" s="412">
        <f>'Resumo Custos Variáveis'!$M$21</f>
        <v>0</v>
      </c>
      <c r="CH8" s="411">
        <f>'Outros Custos'!$K$31</f>
        <v>0</v>
      </c>
      <c r="CI8" s="411">
        <f>Transporte!$K$20</f>
        <v>0</v>
      </c>
      <c r="CJ8" s="411">
        <f>Manutenção!$K$21</f>
        <v>0</v>
      </c>
      <c r="CK8" s="412">
        <f t="shared" ref="CK8:CK15" ca="1" si="7">CA8</f>
        <v>0</v>
      </c>
      <c r="CL8" s="411">
        <f ca="1">SUM(CD8:CK8)</f>
        <v>3755.8266685185181</v>
      </c>
      <c r="CM8" s="414">
        <f ca="1">IF(L2&gt;=1,CL8/$A$5,0)</f>
        <v>0</v>
      </c>
      <c r="CN8" s="411">
        <f>'Pré Tratamento'!AH15</f>
        <v>0</v>
      </c>
      <c r="CO8" s="412">
        <f>'Resumo M.O'!$L$14</f>
        <v>1490.6152574074074</v>
      </c>
      <c r="CP8" s="412">
        <f>'Resumo M.O'!$L$29</f>
        <v>2265.2114111111109</v>
      </c>
      <c r="CQ8" s="412">
        <f>'Resumo Custos Variáveis'!$N$21</f>
        <v>0</v>
      </c>
      <c r="CR8" s="411">
        <f>'Outros Custos'!$L$31</f>
        <v>0</v>
      </c>
      <c r="CS8" s="411">
        <f>Transporte!$L$20</f>
        <v>0</v>
      </c>
      <c r="CT8" s="411">
        <f>Manutenção!$L$21</f>
        <v>0</v>
      </c>
      <c r="CU8" s="412">
        <f t="shared" ref="CU8:CU15" ca="1" si="8">CK8</f>
        <v>0</v>
      </c>
      <c r="CV8" s="411">
        <f ca="1">SUM(CN8:CU8)</f>
        <v>3755.8266685185181</v>
      </c>
      <c r="CW8" s="414">
        <f ca="1">IF(L2&gt;=1,CV8/$A$5,0)</f>
        <v>0</v>
      </c>
      <c r="CX8" s="411">
        <f>'Pré Tratamento'!AK15</f>
        <v>0</v>
      </c>
      <c r="CY8" s="412">
        <f>'Resumo M.O'!$M$14</f>
        <v>1490.6152574074074</v>
      </c>
      <c r="CZ8" s="412">
        <f>'Resumo M.O'!$M$29</f>
        <v>2265.2114111111109</v>
      </c>
      <c r="DA8" s="412">
        <f>'Resumo Custos Variáveis'!$O$21</f>
        <v>0</v>
      </c>
      <c r="DB8" s="411">
        <f>'Outros Custos'!$M$31</f>
        <v>0</v>
      </c>
      <c r="DC8" s="411">
        <f>Transporte!$M$20</f>
        <v>0</v>
      </c>
      <c r="DD8" s="411">
        <f>Manutenção!$M$21</f>
        <v>0</v>
      </c>
      <c r="DE8" s="412">
        <f t="shared" ref="DE8:DE15" ca="1" si="9">CU8</f>
        <v>0</v>
      </c>
      <c r="DF8" s="411">
        <f ca="1">SUM(CX8:DE8)</f>
        <v>3755.8266685185181</v>
      </c>
      <c r="DG8" s="414">
        <f ca="1">IF(L2&gt;=1,DF8/$A$5,0)</f>
        <v>0</v>
      </c>
      <c r="DH8" s="411">
        <f>'Pré Tratamento'!AN15</f>
        <v>0</v>
      </c>
      <c r="DI8" s="413">
        <f>'Resumo M.O'!$N$14</f>
        <v>1490.6152574074074</v>
      </c>
      <c r="DJ8" s="413">
        <f>'Resumo M.O'!$N$29</f>
        <v>2265.2114111111109</v>
      </c>
      <c r="DK8" s="413">
        <f>'Resumo Custos Variáveis'!$P$21</f>
        <v>0</v>
      </c>
      <c r="DL8" s="72">
        <f>'Outros Custos'!$N$31</f>
        <v>0</v>
      </c>
      <c r="DM8" s="72">
        <f>Transporte!$N$20</f>
        <v>0</v>
      </c>
      <c r="DN8" s="72">
        <f>Manutenção!$N$21</f>
        <v>0</v>
      </c>
      <c r="DO8" s="413">
        <f t="shared" ref="DO8:DO15" ca="1" si="10">DE8</f>
        <v>0</v>
      </c>
      <c r="DP8" s="72">
        <f ca="1">SUM(DH8:DO8)</f>
        <v>3755.8266685185181</v>
      </c>
      <c r="DQ8" s="414">
        <f ca="1">IF(L2&gt;=1,DP8/$A$5,0)</f>
        <v>0</v>
      </c>
      <c r="DS8" s="415">
        <f t="shared" ref="DS8:DS26" ca="1" si="11">K8</f>
        <v>0</v>
      </c>
      <c r="DT8" s="415">
        <f t="shared" ref="DT8:DT26" ca="1" si="12">U8</f>
        <v>0</v>
      </c>
      <c r="DU8" s="415">
        <f t="shared" ref="DU8:DU25" ca="1" si="13">AE8</f>
        <v>0</v>
      </c>
      <c r="DV8" s="415">
        <f t="shared" ref="DV8:DV25" ca="1" si="14">AO8</f>
        <v>0</v>
      </c>
      <c r="DW8" s="415">
        <f t="shared" ref="DW8:DW26" ca="1" si="15">AY8</f>
        <v>0</v>
      </c>
      <c r="DX8" s="415">
        <f t="shared" ref="DX8:DX26" ca="1" si="16">BI8</f>
        <v>0</v>
      </c>
      <c r="DY8" s="415">
        <f t="shared" ref="DY8:DY26" ca="1" si="17">BS8</f>
        <v>0</v>
      </c>
      <c r="DZ8" s="415">
        <f t="shared" ref="DZ8:DZ26" ca="1" si="18">CC8</f>
        <v>0</v>
      </c>
      <c r="EA8" s="415">
        <f t="shared" ref="EA8:EA26" ca="1" si="19">CM8</f>
        <v>0</v>
      </c>
      <c r="EB8" s="415">
        <f t="shared" ref="EB8:EB26" ca="1" si="20">CW8</f>
        <v>0</v>
      </c>
      <c r="EC8" s="415">
        <f t="shared" ref="EC8:EC26" ca="1" si="21">DG8</f>
        <v>0</v>
      </c>
      <c r="ED8" s="415">
        <f t="shared" ref="ED8:ED26" ca="1" si="22">DQ8</f>
        <v>0</v>
      </c>
      <c r="EF8" s="412">
        <f>B8/$A$5</f>
        <v>0</v>
      </c>
      <c r="EG8" s="412">
        <f>L8/$A$5</f>
        <v>0</v>
      </c>
      <c r="EH8" s="412">
        <f>V8/$A$5</f>
        <v>18.271590909090911</v>
      </c>
      <c r="EI8" s="412">
        <f>AF8/$A$5</f>
        <v>13.197727272727272</v>
      </c>
      <c r="EJ8" s="412">
        <f>AP8/$A$5</f>
        <v>0.58636363636363631</v>
      </c>
      <c r="EK8" s="412">
        <f>AZ8/$A$5</f>
        <v>1.1727272727272726</v>
      </c>
      <c r="EL8" s="412">
        <f>BJ8/$A$5</f>
        <v>0</v>
      </c>
      <c r="EM8" s="412">
        <f>BT8/$A$5</f>
        <v>0</v>
      </c>
      <c r="EN8" s="412">
        <f>CD8/$A$5</f>
        <v>0</v>
      </c>
      <c r="EO8" s="412">
        <f>CN8/$A$5</f>
        <v>0</v>
      </c>
      <c r="EP8" s="412">
        <f>CX8/$A$5</f>
        <v>0</v>
      </c>
      <c r="EQ8" s="412">
        <f>DH8/$A$5</f>
        <v>0</v>
      </c>
    </row>
    <row r="9" spans="1:147" x14ac:dyDescent="0.3">
      <c r="A9" s="290" t="s">
        <v>111</v>
      </c>
      <c r="B9" s="411">
        <f>'Cobre Alcalino'!G16</f>
        <v>0</v>
      </c>
      <c r="C9" s="411">
        <f>'Resumo M.O'!$C$14</f>
        <v>1490.6152574074074</v>
      </c>
      <c r="D9" s="412">
        <f>'Resumo M.O'!$C$29</f>
        <v>2265.2114111111109</v>
      </c>
      <c r="E9" s="413">
        <f>'Resumo Custos Variáveis'!$E$21</f>
        <v>0</v>
      </c>
      <c r="F9" s="411">
        <f>'Outros Custos'!$C$31</f>
        <v>0</v>
      </c>
      <c r="G9" s="411">
        <f>Transporte!$C$20</f>
        <v>0</v>
      </c>
      <c r="H9" s="411">
        <f>Manutenção!$C$21</f>
        <v>0</v>
      </c>
      <c r="I9" s="412">
        <f ca="1">Investimentos!G14</f>
        <v>0</v>
      </c>
      <c r="J9" s="411">
        <f t="shared" ref="J9:J26" ca="1" si="23">SUM(B9:I9)</f>
        <v>3755.8266685185181</v>
      </c>
      <c r="K9" s="414">
        <f t="shared" ref="K9:K26" ca="1" si="24">IF($L$2&gt;=1,J9/$A$5,0)</f>
        <v>0</v>
      </c>
      <c r="L9" s="411">
        <f>'Cobre Alcalino'!J16</f>
        <v>0</v>
      </c>
      <c r="M9" s="412">
        <f>'Resumo M.O'!$D$14</f>
        <v>1490.6152574074074</v>
      </c>
      <c r="N9" s="412">
        <f>'Resumo M.O'!$D$29</f>
        <v>2265.2114111111109</v>
      </c>
      <c r="O9" s="412">
        <f>'Resumo Custos Variáveis'!$F$21</f>
        <v>0</v>
      </c>
      <c r="P9" s="411">
        <f>'Outros Custos'!$D$31</f>
        <v>0</v>
      </c>
      <c r="Q9" s="411">
        <f>Transporte!$D$20</f>
        <v>0</v>
      </c>
      <c r="R9" s="411">
        <f>Manutenção!$D$21</f>
        <v>0</v>
      </c>
      <c r="S9" s="412">
        <f t="shared" ca="1" si="0"/>
        <v>0</v>
      </c>
      <c r="T9" s="412">
        <f ca="1">SUM(L9:S9)</f>
        <v>3755.8266685185181</v>
      </c>
      <c r="U9" s="414">
        <f t="shared" ref="U9:U26" ca="1" si="25">IF($L$2&gt;=1,T9/$A$5,0)</f>
        <v>0</v>
      </c>
      <c r="V9" s="412">
        <f>'Cobre Alcalino'!M16</f>
        <v>13969.47</v>
      </c>
      <c r="W9" s="413">
        <f>'Resumo M.O'!$E$14</f>
        <v>1490.6152574074074</v>
      </c>
      <c r="X9" s="413">
        <f>'Resumo M.O'!$E$29</f>
        <v>2265.2114111111109</v>
      </c>
      <c r="Y9" s="413">
        <f>'Resumo Custos Variáveis'!$G$21</f>
        <v>2404.5263157894738</v>
      </c>
      <c r="Z9" s="72">
        <f>'Outros Custos'!$E$31</f>
        <v>0</v>
      </c>
      <c r="AA9" s="72">
        <f>Transporte!$E$20</f>
        <v>0</v>
      </c>
      <c r="AB9" s="72">
        <f>Manutenção!$E$21</f>
        <v>0</v>
      </c>
      <c r="AC9" s="413">
        <f t="shared" ca="1" si="1"/>
        <v>0</v>
      </c>
      <c r="AD9" s="413">
        <f ca="1">SUM(V9:AC9)</f>
        <v>20129.82298430799</v>
      </c>
      <c r="AE9" s="414">
        <f t="shared" ref="AE9:AE26" ca="1" si="26">IF($L$2&gt;=1,AD9/$A$5,0)</f>
        <v>0</v>
      </c>
      <c r="AF9" s="412">
        <f>'Cobre Alcalino'!P16</f>
        <v>13481.89</v>
      </c>
      <c r="AG9" s="412">
        <f>'Resumo M.O'!$F$14</f>
        <v>1490.6152574074074</v>
      </c>
      <c r="AH9" s="412">
        <f>'Resumo M.O'!$F$29</f>
        <v>2265.2114111111109</v>
      </c>
      <c r="AI9" s="412">
        <f>'Resumo Custos Variáveis'!$H$21</f>
        <v>1573.8421052631579</v>
      </c>
      <c r="AJ9" s="411">
        <f>'Outros Custos'!$F$31</f>
        <v>0</v>
      </c>
      <c r="AK9" s="411">
        <f>Transporte!$F$20</f>
        <v>0</v>
      </c>
      <c r="AL9" s="411">
        <f>Manutenção!$F$21</f>
        <v>0</v>
      </c>
      <c r="AM9" s="412">
        <f t="shared" ca="1" si="2"/>
        <v>0</v>
      </c>
      <c r="AN9" s="412">
        <f ca="1">SUM(AF9:AM9)</f>
        <v>18811.558773781675</v>
      </c>
      <c r="AO9" s="414">
        <f ca="1">IF(L2&gt;=1,AN9/$A$5,0)</f>
        <v>0</v>
      </c>
      <c r="AP9" s="412">
        <f>'Cobre Alcalino'!S16</f>
        <v>669.80000000000007</v>
      </c>
      <c r="AQ9" s="412">
        <f>'Resumo M.O'!$G$14</f>
        <v>1490.6152574074074</v>
      </c>
      <c r="AR9" s="412">
        <f>'Resumo M.O'!$G$29</f>
        <v>2265.2114111111109</v>
      </c>
      <c r="AS9" s="412">
        <f>'Resumo Custos Variáveis'!$I$21</f>
        <v>0</v>
      </c>
      <c r="AT9" s="411">
        <f>'Outros Custos'!$G$31</f>
        <v>0</v>
      </c>
      <c r="AU9" s="411">
        <f>Transporte!$G$20</f>
        <v>0</v>
      </c>
      <c r="AV9" s="411">
        <f>Manutenção!$G$21</f>
        <v>0</v>
      </c>
      <c r="AW9" s="412">
        <f t="shared" ca="1" si="3"/>
        <v>0</v>
      </c>
      <c r="AX9" s="412">
        <f ca="1">SUM(AP9:AW9)</f>
        <v>4425.6266685185183</v>
      </c>
      <c r="AY9" s="414">
        <f ca="1">IF(L2&gt;=1,AX9/$A$5,0)</f>
        <v>0</v>
      </c>
      <c r="AZ9" s="412">
        <f>'Cobre Alcalino'!V16</f>
        <v>669.80000000000007</v>
      </c>
      <c r="BA9" s="412">
        <f>'Resumo M.O'!$H$14</f>
        <v>1490.6152574074074</v>
      </c>
      <c r="BB9" s="412">
        <f>'Resumo M.O'!$H$29</f>
        <v>2265.2114111111109</v>
      </c>
      <c r="BC9" s="412">
        <f>'Resumo Custos Variáveis'!$J$21</f>
        <v>0</v>
      </c>
      <c r="BD9" s="411">
        <f>'Outros Custos'!$H$31</f>
        <v>0</v>
      </c>
      <c r="BE9" s="411">
        <f>Transporte!$H$20</f>
        <v>0</v>
      </c>
      <c r="BF9" s="411">
        <f>Manutenção!$H$21</f>
        <v>3061.5384615384614</v>
      </c>
      <c r="BG9" s="412">
        <f t="shared" ca="1" si="4"/>
        <v>0</v>
      </c>
      <c r="BH9" s="412">
        <f ca="1">SUM(AZ9:BG9)</f>
        <v>7487.1651300569793</v>
      </c>
      <c r="BI9" s="414">
        <f ca="1">IF(L2&gt;=1,BH9/$A$5,0)</f>
        <v>0</v>
      </c>
      <c r="BJ9" s="412">
        <f>'Cobre Alcalino'!Y16</f>
        <v>0</v>
      </c>
      <c r="BK9" s="412">
        <f>'Resumo M.O'!$I$14</f>
        <v>1490.6152574074074</v>
      </c>
      <c r="BL9" s="412">
        <f>'Resumo M.O'!$I$29</f>
        <v>2265.2114111111109</v>
      </c>
      <c r="BM9" s="412">
        <f>'Resumo Custos Variáveis'!$K$21</f>
        <v>0</v>
      </c>
      <c r="BN9" s="411">
        <f>'Outros Custos'!$I$31</f>
        <v>0</v>
      </c>
      <c r="BO9" s="411">
        <f>Transporte!$I$20</f>
        <v>0</v>
      </c>
      <c r="BP9" s="411">
        <f>Manutenção!$I$21</f>
        <v>3030.7692307692309</v>
      </c>
      <c r="BQ9" s="412">
        <f t="shared" ca="1" si="5"/>
        <v>0</v>
      </c>
      <c r="BR9" s="412">
        <f ca="1">SUM(BJ9:BQ9)</f>
        <v>6786.5958992877495</v>
      </c>
      <c r="BS9" s="414">
        <f ca="1">IF(L2&gt;=1,BR9/$A$5,0)</f>
        <v>0</v>
      </c>
      <c r="BT9" s="412">
        <f>'Cobre Alcalino'!AB16</f>
        <v>0</v>
      </c>
      <c r="BU9" s="412">
        <f>'Resumo M.O'!$J$14</f>
        <v>1490.6152574074074</v>
      </c>
      <c r="BV9" s="412">
        <f>'Resumo M.O'!$J$29</f>
        <v>2265.2114111111109</v>
      </c>
      <c r="BW9" s="412">
        <f>'Resumo Custos Variáveis'!$L$21</f>
        <v>0</v>
      </c>
      <c r="BX9" s="411">
        <f>'Outros Custos'!$J$31</f>
        <v>0</v>
      </c>
      <c r="BY9" s="411">
        <f>Transporte!$J$20</f>
        <v>0</v>
      </c>
      <c r="BZ9" s="411">
        <f>Manutenção!$J$21</f>
        <v>0</v>
      </c>
      <c r="CA9" s="412">
        <f t="shared" ca="1" si="6"/>
        <v>0</v>
      </c>
      <c r="CB9" s="412">
        <f ca="1">SUM(BT9:CA9)</f>
        <v>3755.8266685185181</v>
      </c>
      <c r="CC9" s="414">
        <f ca="1">IF(L2&gt;=1,CB9/$A$5,0)</f>
        <v>0</v>
      </c>
      <c r="CD9" s="412">
        <f>'Cobre Alcalino'!AE16</f>
        <v>0</v>
      </c>
      <c r="CE9" s="412">
        <f>'Resumo M.O'!$K$14</f>
        <v>1490.6152574074074</v>
      </c>
      <c r="CF9" s="412">
        <f>'Resumo M.O'!$K$29</f>
        <v>2265.2114111111109</v>
      </c>
      <c r="CG9" s="412">
        <f>'Resumo Custos Variáveis'!$M$21</f>
        <v>0</v>
      </c>
      <c r="CH9" s="411">
        <f>'Outros Custos'!$K$31</f>
        <v>0</v>
      </c>
      <c r="CI9" s="411">
        <f>Transporte!$K$20</f>
        <v>0</v>
      </c>
      <c r="CJ9" s="411">
        <f>Manutenção!$K$21</f>
        <v>0</v>
      </c>
      <c r="CK9" s="412">
        <f t="shared" ca="1" si="7"/>
        <v>0</v>
      </c>
      <c r="CL9" s="411">
        <f t="shared" ref="CL9:CL26" ca="1" si="27">SUM(CD9:CK9)</f>
        <v>3755.8266685185181</v>
      </c>
      <c r="CM9" s="414">
        <f ca="1">IF(L2&gt;=1,CL9/$A$5,0)</f>
        <v>0</v>
      </c>
      <c r="CN9" s="411">
        <f>'Cobre Alcalino'!AH16</f>
        <v>0</v>
      </c>
      <c r="CO9" s="412">
        <f>'Resumo M.O'!$L$14</f>
        <v>1490.6152574074074</v>
      </c>
      <c r="CP9" s="412">
        <f>'Resumo M.O'!$L$29</f>
        <v>2265.2114111111109</v>
      </c>
      <c r="CQ9" s="412">
        <f>'Resumo Custos Variáveis'!$N$21</f>
        <v>0</v>
      </c>
      <c r="CR9" s="411">
        <f>'Outros Custos'!$L$31</f>
        <v>0</v>
      </c>
      <c r="CS9" s="411">
        <f>Transporte!$L$20</f>
        <v>0</v>
      </c>
      <c r="CT9" s="411">
        <f>Manutenção!$L$21</f>
        <v>0</v>
      </c>
      <c r="CU9" s="412">
        <f t="shared" ca="1" si="8"/>
        <v>0</v>
      </c>
      <c r="CV9" s="411">
        <f t="shared" ref="CV9:CV26" ca="1" si="28">SUM(CN9:CU9)</f>
        <v>3755.8266685185181</v>
      </c>
      <c r="CW9" s="414">
        <f ca="1">IF(L2&gt;=1,CV9/$A$5,0)</f>
        <v>0</v>
      </c>
      <c r="CX9" s="411">
        <f>'Cobre Alcalino'!AK16</f>
        <v>0</v>
      </c>
      <c r="CY9" s="412">
        <f>'Resumo M.O'!$M$14</f>
        <v>1490.6152574074074</v>
      </c>
      <c r="CZ9" s="412">
        <f>'Resumo M.O'!$M$29</f>
        <v>2265.2114111111109</v>
      </c>
      <c r="DA9" s="412">
        <f>'Resumo Custos Variáveis'!$O$21</f>
        <v>0</v>
      </c>
      <c r="DB9" s="411">
        <f>'Outros Custos'!$M$31</f>
        <v>0</v>
      </c>
      <c r="DC9" s="411">
        <f>Transporte!$M$20</f>
        <v>0</v>
      </c>
      <c r="DD9" s="411">
        <f>Manutenção!$M$21</f>
        <v>0</v>
      </c>
      <c r="DE9" s="412">
        <f t="shared" ca="1" si="9"/>
        <v>0</v>
      </c>
      <c r="DF9" s="411">
        <f t="shared" ref="DF9:DF26" ca="1" si="29">SUM(CX9:DE9)</f>
        <v>3755.8266685185181</v>
      </c>
      <c r="DG9" s="414">
        <f ca="1">IF(L2&gt;=1,DF9/$A$5,0)</f>
        <v>0</v>
      </c>
      <c r="DH9" s="411">
        <f>'Cobre Alcalino'!AN16</f>
        <v>0</v>
      </c>
      <c r="DI9" s="413">
        <f>'Resumo M.O'!$N$14</f>
        <v>1490.6152574074074</v>
      </c>
      <c r="DJ9" s="413">
        <f>'Resumo M.O'!$N$29</f>
        <v>2265.2114111111109</v>
      </c>
      <c r="DK9" s="413">
        <f>'Resumo Custos Variáveis'!$P$21</f>
        <v>0</v>
      </c>
      <c r="DL9" s="72">
        <f>'Outros Custos'!$N$31</f>
        <v>0</v>
      </c>
      <c r="DM9" s="72">
        <f>Transporte!$N$20</f>
        <v>0</v>
      </c>
      <c r="DN9" s="72">
        <f>Manutenção!$N$21</f>
        <v>0</v>
      </c>
      <c r="DO9" s="413">
        <f t="shared" ca="1" si="10"/>
        <v>0</v>
      </c>
      <c r="DP9" s="72">
        <f t="shared" ref="DP9:DP26" ca="1" si="30">SUM(DH9:DO9)</f>
        <v>3755.8266685185181</v>
      </c>
      <c r="DQ9" s="414">
        <f ca="1">IF(L2&gt;=1,DP9/$A$5,0)</f>
        <v>0</v>
      </c>
      <c r="DS9" s="411">
        <f t="shared" ca="1" si="11"/>
        <v>0</v>
      </c>
      <c r="DT9" s="411">
        <f t="shared" ca="1" si="12"/>
        <v>0</v>
      </c>
      <c r="DU9" s="411">
        <f t="shared" ca="1" si="13"/>
        <v>0</v>
      </c>
      <c r="DV9" s="411">
        <f t="shared" ca="1" si="14"/>
        <v>0</v>
      </c>
      <c r="DW9" s="411">
        <f t="shared" ca="1" si="15"/>
        <v>0</v>
      </c>
      <c r="DX9" s="411">
        <f t="shared" ca="1" si="16"/>
        <v>0</v>
      </c>
      <c r="DY9" s="411">
        <f t="shared" ca="1" si="17"/>
        <v>0</v>
      </c>
      <c r="DZ9" s="411">
        <f t="shared" ca="1" si="18"/>
        <v>0</v>
      </c>
      <c r="EA9" s="411">
        <f t="shared" ca="1" si="19"/>
        <v>0</v>
      </c>
      <c r="EB9" s="411">
        <f t="shared" ca="1" si="20"/>
        <v>0</v>
      </c>
      <c r="EC9" s="411">
        <f t="shared" ca="1" si="21"/>
        <v>0</v>
      </c>
      <c r="ED9" s="411">
        <f t="shared" ca="1" si="22"/>
        <v>0</v>
      </c>
      <c r="EF9" s="412">
        <f>B9/$A$5</f>
        <v>0</v>
      </c>
      <c r="EG9" s="412">
        <f t="shared" ref="EG9:EG26" si="31">L9/$A$5</f>
        <v>0</v>
      </c>
      <c r="EH9" s="412">
        <f t="shared" ref="EH9:EH26" si="32">V9/$A$5</f>
        <v>63.497590909090903</v>
      </c>
      <c r="EI9" s="412">
        <f t="shared" ref="EI9:EI26" si="33">AF9/$A$5</f>
        <v>61.281318181818179</v>
      </c>
      <c r="EJ9" s="412">
        <f t="shared" ref="EJ9:EJ26" si="34">AP9/$A$5</f>
        <v>3.0445454545454549</v>
      </c>
      <c r="EK9" s="412">
        <f t="shared" ref="EK9:EK26" si="35">AZ9/$A$5</f>
        <v>3.0445454545454549</v>
      </c>
      <c r="EL9" s="412">
        <f t="shared" ref="EL9:EL26" si="36">BJ9/$A$5</f>
        <v>0</v>
      </c>
      <c r="EM9" s="412">
        <f t="shared" ref="EM9:EM26" si="37">BT9/$A$5</f>
        <v>0</v>
      </c>
      <c r="EN9" s="412">
        <f t="shared" ref="EN9:EN26" si="38">CD9/$A$5</f>
        <v>0</v>
      </c>
      <c r="EO9" s="412">
        <f t="shared" ref="EO9:EO26" si="39">CN9/$A$5</f>
        <v>0</v>
      </c>
      <c r="EP9" s="412">
        <f t="shared" ref="EP9:EP26" si="40">CX9/$A$5</f>
        <v>0</v>
      </c>
      <c r="EQ9" s="412">
        <f t="shared" ref="EQ9:EQ26" si="41">DH9/$A$5</f>
        <v>0</v>
      </c>
    </row>
    <row r="10" spans="1:147" x14ac:dyDescent="0.3">
      <c r="A10" s="290" t="s">
        <v>50</v>
      </c>
      <c r="B10" s="411">
        <f>'Níquel Strik'!G15</f>
        <v>0</v>
      </c>
      <c r="C10" s="411">
        <f>'Resumo M.O'!$C$14</f>
        <v>1490.6152574074074</v>
      </c>
      <c r="D10" s="412">
        <f>'Resumo M.O'!$C$29</f>
        <v>2265.2114111111109</v>
      </c>
      <c r="E10" s="413">
        <f>'Resumo Custos Variáveis'!$E$21</f>
        <v>0</v>
      </c>
      <c r="F10" s="411">
        <f>'Outros Custos'!$C$31</f>
        <v>0</v>
      </c>
      <c r="G10" s="411">
        <f>Transporte!$C$20</f>
        <v>0</v>
      </c>
      <c r="H10" s="411">
        <f>Manutenção!$C$21</f>
        <v>0</v>
      </c>
      <c r="I10" s="412">
        <f ca="1">Investimentos!G18</f>
        <v>0</v>
      </c>
      <c r="J10" s="411">
        <f t="shared" ca="1" si="23"/>
        <v>3755.8266685185181</v>
      </c>
      <c r="K10" s="414">
        <f t="shared" ca="1" si="24"/>
        <v>0</v>
      </c>
      <c r="L10" s="411">
        <f>'Níquel Strik'!J15</f>
        <v>0</v>
      </c>
      <c r="M10" s="412">
        <f>'Resumo M.O'!$D$14</f>
        <v>1490.6152574074074</v>
      </c>
      <c r="N10" s="412">
        <f>'Resumo M.O'!$D$29</f>
        <v>2265.2114111111109</v>
      </c>
      <c r="O10" s="412">
        <f>'Resumo Custos Variáveis'!$F$21</f>
        <v>0</v>
      </c>
      <c r="P10" s="411">
        <f>'Outros Custos'!$D$31</f>
        <v>0</v>
      </c>
      <c r="Q10" s="411">
        <f>Transporte!$D$20</f>
        <v>0</v>
      </c>
      <c r="R10" s="411">
        <f>Manutenção!$D$21</f>
        <v>0</v>
      </c>
      <c r="S10" s="412">
        <f t="shared" ca="1" si="0"/>
        <v>0</v>
      </c>
      <c r="T10" s="411">
        <f t="shared" ref="T10:T26" ca="1" si="42">SUM(L10:S10)</f>
        <v>3755.8266685185181</v>
      </c>
      <c r="U10" s="414">
        <f t="shared" ca="1" si="25"/>
        <v>0</v>
      </c>
      <c r="V10" s="411">
        <f>'Níquel Strik'!M15</f>
        <v>7666.5050000000001</v>
      </c>
      <c r="W10" s="413">
        <f>'Resumo M.O'!$E$14</f>
        <v>1490.6152574074074</v>
      </c>
      <c r="X10" s="413">
        <f>'Resumo M.O'!$E$29</f>
        <v>2265.2114111111109</v>
      </c>
      <c r="Y10" s="413">
        <f>'Resumo Custos Variáveis'!$G$21</f>
        <v>2404.5263157894738</v>
      </c>
      <c r="Z10" s="72">
        <f>'Outros Custos'!$E$31</f>
        <v>0</v>
      </c>
      <c r="AA10" s="72">
        <f>Transporte!$E$20</f>
        <v>0</v>
      </c>
      <c r="AB10" s="72">
        <f>Manutenção!$E$21</f>
        <v>0</v>
      </c>
      <c r="AC10" s="413">
        <f t="shared" ca="1" si="1"/>
        <v>0</v>
      </c>
      <c r="AD10" s="72">
        <f t="shared" ref="AD10:AD26" ca="1" si="43">SUM(V10:AC10)</f>
        <v>13826.857984307992</v>
      </c>
      <c r="AE10" s="414">
        <f t="shared" ca="1" si="26"/>
        <v>0</v>
      </c>
      <c r="AF10" s="411">
        <f>'Níquel Strik'!P15</f>
        <v>3351.2799999999997</v>
      </c>
      <c r="AG10" s="412">
        <f>'Resumo M.O'!$F$14</f>
        <v>1490.6152574074074</v>
      </c>
      <c r="AH10" s="412">
        <f>'Resumo M.O'!$F$29</f>
        <v>2265.2114111111109</v>
      </c>
      <c r="AI10" s="412">
        <f>'Resumo Custos Variáveis'!$H$21</f>
        <v>1573.8421052631579</v>
      </c>
      <c r="AJ10" s="411">
        <f>'Outros Custos'!$F$31</f>
        <v>0</v>
      </c>
      <c r="AK10" s="411">
        <f>Transporte!$F$20</f>
        <v>0</v>
      </c>
      <c r="AL10" s="411">
        <f>Manutenção!$F$21</f>
        <v>0</v>
      </c>
      <c r="AM10" s="412">
        <f t="shared" ca="1" si="2"/>
        <v>0</v>
      </c>
      <c r="AN10" s="411">
        <f t="shared" ref="AN10:AN26" ca="1" si="44">SUM(AF10:AM10)</f>
        <v>8680.9487737816762</v>
      </c>
      <c r="AO10" s="414">
        <f ca="1">IF(L2&gt;=1,AN10/$A$5,0)</f>
        <v>0</v>
      </c>
      <c r="AP10" s="411">
        <f>'Níquel Strik'!S15</f>
        <v>5959.8</v>
      </c>
      <c r="AQ10" s="412">
        <f>'Resumo M.O'!$G$14</f>
        <v>1490.6152574074074</v>
      </c>
      <c r="AR10" s="412">
        <f>'Resumo M.O'!$G$29</f>
        <v>2265.2114111111109</v>
      </c>
      <c r="AS10" s="412">
        <f>'Resumo Custos Variáveis'!$I$21</f>
        <v>0</v>
      </c>
      <c r="AT10" s="411">
        <f>'Outros Custos'!$G$31</f>
        <v>0</v>
      </c>
      <c r="AU10" s="411">
        <f>Transporte!$G$20</f>
        <v>0</v>
      </c>
      <c r="AV10" s="411">
        <f>Manutenção!$G$21</f>
        <v>0</v>
      </c>
      <c r="AW10" s="412">
        <f t="shared" ca="1" si="3"/>
        <v>0</v>
      </c>
      <c r="AX10" s="411">
        <f t="shared" ref="AX10:AX26" ca="1" si="45">SUM(AP10:AW10)</f>
        <v>9715.6266685185183</v>
      </c>
      <c r="AY10" s="414">
        <f ca="1">IF(L2&gt;=1,AX10/$A$5,0)</f>
        <v>0</v>
      </c>
      <c r="AZ10" s="411">
        <f>'Níquel Strik'!V15</f>
        <v>5959.8</v>
      </c>
      <c r="BA10" s="412">
        <f>'Resumo M.O'!$H$14</f>
        <v>1490.6152574074074</v>
      </c>
      <c r="BB10" s="412">
        <f>'Resumo M.O'!$H$29</f>
        <v>2265.2114111111109</v>
      </c>
      <c r="BC10" s="412">
        <f>'Resumo Custos Variáveis'!$J$21</f>
        <v>0</v>
      </c>
      <c r="BD10" s="411">
        <f>'Outros Custos'!$H$31</f>
        <v>0</v>
      </c>
      <c r="BE10" s="411">
        <f>Transporte!$H$20</f>
        <v>0</v>
      </c>
      <c r="BF10" s="411">
        <f>Manutenção!$H$21</f>
        <v>3061.5384615384614</v>
      </c>
      <c r="BG10" s="412">
        <f t="shared" ca="1" si="4"/>
        <v>0</v>
      </c>
      <c r="BH10" s="411">
        <f t="shared" ref="BH10:BH26" ca="1" si="46">SUM(AZ10:BG10)</f>
        <v>12777.165130056979</v>
      </c>
      <c r="BI10" s="414">
        <f ca="1">IF(L2&gt;=1,BH10/$A$5,0)</f>
        <v>0</v>
      </c>
      <c r="BJ10" s="411">
        <f>'Níquel Strik'!Y15</f>
        <v>0</v>
      </c>
      <c r="BK10" s="412">
        <f>'Resumo M.O'!$I$14</f>
        <v>1490.6152574074074</v>
      </c>
      <c r="BL10" s="412">
        <f>'Resumo M.O'!$I$29</f>
        <v>2265.2114111111109</v>
      </c>
      <c r="BM10" s="412">
        <f>'Resumo Custos Variáveis'!$K$21</f>
        <v>0</v>
      </c>
      <c r="BN10" s="411">
        <f>'Outros Custos'!$I$31</f>
        <v>0</v>
      </c>
      <c r="BO10" s="411">
        <f>Transporte!$I$20</f>
        <v>0</v>
      </c>
      <c r="BP10" s="411">
        <f>Manutenção!$I$21</f>
        <v>3030.7692307692309</v>
      </c>
      <c r="BQ10" s="412">
        <f t="shared" ca="1" si="5"/>
        <v>0</v>
      </c>
      <c r="BR10" s="411">
        <f t="shared" ref="BR10:BR26" ca="1" si="47">SUM(BJ10:BQ10)</f>
        <v>6786.5958992877495</v>
      </c>
      <c r="BS10" s="414">
        <f ca="1">IF(L2&gt;=1,BR10/$A$5,0)</f>
        <v>0</v>
      </c>
      <c r="BT10" s="411">
        <f>'Níquel Strik'!AB15</f>
        <v>0</v>
      </c>
      <c r="BU10" s="412">
        <f>'Resumo M.O'!$J$14</f>
        <v>1490.6152574074074</v>
      </c>
      <c r="BV10" s="412">
        <f>'Resumo M.O'!$J$29</f>
        <v>2265.2114111111109</v>
      </c>
      <c r="BW10" s="412">
        <f>'Resumo Custos Variáveis'!$L$21</f>
        <v>0</v>
      </c>
      <c r="BX10" s="411">
        <f>'Outros Custos'!$J$31</f>
        <v>0</v>
      </c>
      <c r="BY10" s="411">
        <f>Transporte!$J$20</f>
        <v>0</v>
      </c>
      <c r="BZ10" s="411">
        <f>Manutenção!$J$21</f>
        <v>0</v>
      </c>
      <c r="CA10" s="412">
        <f t="shared" ca="1" si="6"/>
        <v>0</v>
      </c>
      <c r="CB10" s="411">
        <f t="shared" ref="CB10:CB26" ca="1" si="48">SUM(BT10:CA10)</f>
        <v>3755.8266685185181</v>
      </c>
      <c r="CC10" s="414">
        <f ca="1">IF(L2&gt;=1,CB10/$A$5,0)</f>
        <v>0</v>
      </c>
      <c r="CD10" s="411">
        <f>'Níquel Strik'!AE15</f>
        <v>0</v>
      </c>
      <c r="CE10" s="412">
        <f>'Resumo M.O'!$K$14</f>
        <v>1490.6152574074074</v>
      </c>
      <c r="CF10" s="412">
        <f>'Resumo M.O'!$K$29</f>
        <v>2265.2114111111109</v>
      </c>
      <c r="CG10" s="412">
        <f>'Resumo Custos Variáveis'!$M$21</f>
        <v>0</v>
      </c>
      <c r="CH10" s="411">
        <f>'Outros Custos'!$K$31</f>
        <v>0</v>
      </c>
      <c r="CI10" s="411">
        <f>Transporte!$K$20</f>
        <v>0</v>
      </c>
      <c r="CJ10" s="411">
        <f>Manutenção!$K$21</f>
        <v>0</v>
      </c>
      <c r="CK10" s="412">
        <f t="shared" ca="1" si="7"/>
        <v>0</v>
      </c>
      <c r="CL10" s="411">
        <f t="shared" ca="1" si="27"/>
        <v>3755.8266685185181</v>
      </c>
      <c r="CM10" s="414">
        <f ca="1">IF(L2&gt;=1,CL10/$A$5,0)</f>
        <v>0</v>
      </c>
      <c r="CN10" s="411">
        <f>'Níquel Strik'!AH15</f>
        <v>0</v>
      </c>
      <c r="CO10" s="412">
        <f>'Resumo M.O'!$L$14</f>
        <v>1490.6152574074074</v>
      </c>
      <c r="CP10" s="412">
        <f>'Resumo M.O'!$L$29</f>
        <v>2265.2114111111109</v>
      </c>
      <c r="CQ10" s="412">
        <f>'Resumo Custos Variáveis'!$N$21</f>
        <v>0</v>
      </c>
      <c r="CR10" s="411">
        <f>'Outros Custos'!$L$31</f>
        <v>0</v>
      </c>
      <c r="CS10" s="411">
        <f>Transporte!$L$20</f>
        <v>0</v>
      </c>
      <c r="CT10" s="411">
        <f>Manutenção!$L$21</f>
        <v>0</v>
      </c>
      <c r="CU10" s="412">
        <f t="shared" ca="1" si="8"/>
        <v>0</v>
      </c>
      <c r="CV10" s="411">
        <f t="shared" ca="1" si="28"/>
        <v>3755.8266685185181</v>
      </c>
      <c r="CW10" s="414">
        <f ca="1">IF(L2&gt;=1,CV10/$A$5,0)</f>
        <v>0</v>
      </c>
      <c r="CX10" s="411">
        <f>'Níquel Strik'!AK15</f>
        <v>0</v>
      </c>
      <c r="CY10" s="412">
        <f>'Resumo M.O'!$M$14</f>
        <v>1490.6152574074074</v>
      </c>
      <c r="CZ10" s="412">
        <f>'Resumo M.O'!$M$29</f>
        <v>2265.2114111111109</v>
      </c>
      <c r="DA10" s="412">
        <f>'Resumo Custos Variáveis'!$O$21</f>
        <v>0</v>
      </c>
      <c r="DB10" s="411">
        <f>'Outros Custos'!$M$31</f>
        <v>0</v>
      </c>
      <c r="DC10" s="411">
        <f>Transporte!$M$20</f>
        <v>0</v>
      </c>
      <c r="DD10" s="411">
        <f>Manutenção!$M$21</f>
        <v>0</v>
      </c>
      <c r="DE10" s="412">
        <f t="shared" ca="1" si="9"/>
        <v>0</v>
      </c>
      <c r="DF10" s="411">
        <f t="shared" ca="1" si="29"/>
        <v>3755.8266685185181</v>
      </c>
      <c r="DG10" s="414">
        <f ca="1">IF(L2&gt;=1,DF10/$A$5,0)</f>
        <v>0</v>
      </c>
      <c r="DH10" s="411">
        <f>'Níquel Strik'!AN15</f>
        <v>0</v>
      </c>
      <c r="DI10" s="413">
        <f>'Resumo M.O'!$N$14</f>
        <v>1490.6152574074074</v>
      </c>
      <c r="DJ10" s="413">
        <f>'Resumo M.O'!$N$29</f>
        <v>2265.2114111111109</v>
      </c>
      <c r="DK10" s="413">
        <f>'Resumo Custos Variáveis'!$P$21</f>
        <v>0</v>
      </c>
      <c r="DL10" s="72">
        <f>'Outros Custos'!$N$31</f>
        <v>0</v>
      </c>
      <c r="DM10" s="72">
        <f>Transporte!$N$20</f>
        <v>0</v>
      </c>
      <c r="DN10" s="72">
        <f>Manutenção!$N$21</f>
        <v>0</v>
      </c>
      <c r="DO10" s="413">
        <f t="shared" ca="1" si="10"/>
        <v>0</v>
      </c>
      <c r="DP10" s="72">
        <f t="shared" ca="1" si="30"/>
        <v>3755.8266685185181</v>
      </c>
      <c r="DQ10" s="414">
        <f ca="1">IF(L2&gt;=1,DP10/$A$5,0)</f>
        <v>0</v>
      </c>
      <c r="DS10" s="411">
        <f t="shared" ca="1" si="11"/>
        <v>0</v>
      </c>
      <c r="DT10" s="411">
        <f t="shared" ca="1" si="12"/>
        <v>0</v>
      </c>
      <c r="DU10" s="411">
        <f t="shared" ca="1" si="13"/>
        <v>0</v>
      </c>
      <c r="DV10" s="411">
        <f t="shared" ca="1" si="14"/>
        <v>0</v>
      </c>
      <c r="DW10" s="411">
        <f t="shared" ca="1" si="15"/>
        <v>0</v>
      </c>
      <c r="DX10" s="411">
        <f t="shared" ca="1" si="16"/>
        <v>0</v>
      </c>
      <c r="DY10" s="411">
        <f t="shared" ca="1" si="17"/>
        <v>0</v>
      </c>
      <c r="DZ10" s="411">
        <f t="shared" ca="1" si="18"/>
        <v>0</v>
      </c>
      <c r="EA10" s="411">
        <f t="shared" ca="1" si="19"/>
        <v>0</v>
      </c>
      <c r="EB10" s="411">
        <f t="shared" ca="1" si="20"/>
        <v>0</v>
      </c>
      <c r="EC10" s="411">
        <f t="shared" ca="1" si="21"/>
        <v>0</v>
      </c>
      <c r="ED10" s="411">
        <f t="shared" ca="1" si="22"/>
        <v>0</v>
      </c>
      <c r="EF10" s="412">
        <f t="shared" ref="EF10:EF26" si="49">B10/$A$5</f>
        <v>0</v>
      </c>
      <c r="EG10" s="412">
        <f t="shared" si="31"/>
        <v>0</v>
      </c>
      <c r="EH10" s="412">
        <f t="shared" si="32"/>
        <v>34.847749999999998</v>
      </c>
      <c r="EI10" s="412">
        <f t="shared" si="33"/>
        <v>15.233090909090908</v>
      </c>
      <c r="EJ10" s="412">
        <f t="shared" si="34"/>
        <v>27.09</v>
      </c>
      <c r="EK10" s="412">
        <f t="shared" si="35"/>
        <v>27.09</v>
      </c>
      <c r="EL10" s="412">
        <f t="shared" si="36"/>
        <v>0</v>
      </c>
      <c r="EM10" s="412">
        <f t="shared" si="37"/>
        <v>0</v>
      </c>
      <c r="EN10" s="412">
        <f t="shared" si="38"/>
        <v>0</v>
      </c>
      <c r="EO10" s="412">
        <f t="shared" si="39"/>
        <v>0</v>
      </c>
      <c r="EP10" s="412">
        <f t="shared" si="40"/>
        <v>0</v>
      </c>
      <c r="EQ10" s="412">
        <f t="shared" si="41"/>
        <v>0</v>
      </c>
    </row>
    <row r="11" spans="1:147" x14ac:dyDescent="0.3">
      <c r="A11" s="290" t="s">
        <v>10</v>
      </c>
      <c r="B11" s="411">
        <f>+'Cobre Ácido'!G15</f>
        <v>0</v>
      </c>
      <c r="C11" s="411">
        <f>'Resumo M.O'!$C$14</f>
        <v>1490.6152574074074</v>
      </c>
      <c r="D11" s="412">
        <f>'Resumo M.O'!$C$29</f>
        <v>2265.2114111111109</v>
      </c>
      <c r="E11" s="413">
        <f>'Resumo Custos Variáveis'!$E$21</f>
        <v>0</v>
      </c>
      <c r="F11" s="411">
        <f>'Outros Custos'!$C$31</f>
        <v>0</v>
      </c>
      <c r="G11" s="411">
        <f>Transporte!$C$20</f>
        <v>0</v>
      </c>
      <c r="H11" s="411">
        <f>Manutenção!$C$21</f>
        <v>0</v>
      </c>
      <c r="I11" s="412">
        <f ca="1">Investimentos!G24</f>
        <v>0</v>
      </c>
      <c r="J11" s="411">
        <f t="shared" ca="1" si="23"/>
        <v>3755.8266685185181</v>
      </c>
      <c r="K11" s="414">
        <f t="shared" ca="1" si="24"/>
        <v>0</v>
      </c>
      <c r="L11" s="411">
        <f>'Cobre Ácido'!J15</f>
        <v>0</v>
      </c>
      <c r="M11" s="412">
        <f>'Resumo M.O'!$D$14</f>
        <v>1490.6152574074074</v>
      </c>
      <c r="N11" s="412">
        <f>'Resumo M.O'!$D$29</f>
        <v>2265.2114111111109</v>
      </c>
      <c r="O11" s="412">
        <f>'Resumo Custos Variáveis'!$F$21</f>
        <v>0</v>
      </c>
      <c r="P11" s="411">
        <f>'Outros Custos'!$D$31</f>
        <v>0</v>
      </c>
      <c r="Q11" s="411">
        <f>Transporte!$D$20</f>
        <v>0</v>
      </c>
      <c r="R11" s="411">
        <f>Manutenção!$D$21</f>
        <v>0</v>
      </c>
      <c r="S11" s="412">
        <f t="shared" ca="1" si="0"/>
        <v>0</v>
      </c>
      <c r="T11" s="411">
        <f t="shared" ca="1" si="42"/>
        <v>3755.8266685185181</v>
      </c>
      <c r="U11" s="414">
        <f t="shared" ca="1" si="25"/>
        <v>0</v>
      </c>
      <c r="V11" s="411">
        <f>'Cobre Ácido'!M15</f>
        <v>25728.559999999998</v>
      </c>
      <c r="W11" s="413">
        <f>'Resumo M.O'!$E$14</f>
        <v>1490.6152574074074</v>
      </c>
      <c r="X11" s="413">
        <f>'Resumo M.O'!$E$29</f>
        <v>2265.2114111111109</v>
      </c>
      <c r="Y11" s="413">
        <f>'Resumo Custos Variáveis'!$G$21</f>
        <v>2404.5263157894738</v>
      </c>
      <c r="Z11" s="72">
        <f>'Outros Custos'!$E$31</f>
        <v>0</v>
      </c>
      <c r="AA11" s="72">
        <f>Transporte!$E$20</f>
        <v>0</v>
      </c>
      <c r="AB11" s="72">
        <f>Manutenção!$E$21</f>
        <v>0</v>
      </c>
      <c r="AC11" s="413">
        <f t="shared" ca="1" si="1"/>
        <v>0</v>
      </c>
      <c r="AD11" s="72">
        <f t="shared" ca="1" si="43"/>
        <v>31888.91298430799</v>
      </c>
      <c r="AE11" s="414">
        <f t="shared" ca="1" si="26"/>
        <v>0</v>
      </c>
      <c r="AF11" s="411">
        <f>'Cobre Ácido'!P15</f>
        <v>22757.760000000006</v>
      </c>
      <c r="AG11" s="412">
        <f>'Resumo M.O'!$F$14</f>
        <v>1490.6152574074074</v>
      </c>
      <c r="AH11" s="412">
        <f>'Resumo M.O'!$F$29</f>
        <v>2265.2114111111109</v>
      </c>
      <c r="AI11" s="412">
        <f>'Resumo Custos Variáveis'!$H$21</f>
        <v>1573.8421052631579</v>
      </c>
      <c r="AJ11" s="411">
        <f>'Outros Custos'!$F$31</f>
        <v>0</v>
      </c>
      <c r="AK11" s="411">
        <f>Transporte!$F$20</f>
        <v>0</v>
      </c>
      <c r="AL11" s="411">
        <f>Manutenção!$F$21</f>
        <v>0</v>
      </c>
      <c r="AM11" s="412">
        <f t="shared" ca="1" si="2"/>
        <v>0</v>
      </c>
      <c r="AN11" s="411">
        <f t="shared" ca="1" si="44"/>
        <v>28087.428773781681</v>
      </c>
      <c r="AO11" s="414">
        <f ca="1">IF(L2&gt;=1,AN11/$A$5,0)</f>
        <v>0</v>
      </c>
      <c r="AP11" s="411">
        <f>'Cobre Ácido'!S15</f>
        <v>1926</v>
      </c>
      <c r="AQ11" s="412">
        <f>'Resumo M.O'!$G$14</f>
        <v>1490.6152574074074</v>
      </c>
      <c r="AR11" s="412">
        <f>'Resumo M.O'!$G$29</f>
        <v>2265.2114111111109</v>
      </c>
      <c r="AS11" s="412">
        <f>'Resumo Custos Variáveis'!$I$21</f>
        <v>0</v>
      </c>
      <c r="AT11" s="411">
        <f>'Outros Custos'!$G$31</f>
        <v>0</v>
      </c>
      <c r="AU11" s="411">
        <f>Transporte!$G$20</f>
        <v>0</v>
      </c>
      <c r="AV11" s="411">
        <f>Manutenção!$G$21</f>
        <v>0</v>
      </c>
      <c r="AW11" s="412">
        <f t="shared" ca="1" si="3"/>
        <v>0</v>
      </c>
      <c r="AX11" s="411">
        <f t="shared" ca="1" si="45"/>
        <v>5681.826668518519</v>
      </c>
      <c r="AY11" s="414">
        <f ca="1">IF(L2&gt;=1,AX11/$A$5,0)</f>
        <v>0</v>
      </c>
      <c r="AZ11" s="411">
        <f>'Cobre Ácido'!V15</f>
        <v>16768.63</v>
      </c>
      <c r="BA11" s="412">
        <f>'Resumo M.O'!$H$14</f>
        <v>1490.6152574074074</v>
      </c>
      <c r="BB11" s="412">
        <f>'Resumo M.O'!$H$29</f>
        <v>2265.2114111111109</v>
      </c>
      <c r="BC11" s="412">
        <f>'Resumo Custos Variáveis'!$J$21</f>
        <v>0</v>
      </c>
      <c r="BD11" s="411">
        <f>'Outros Custos'!$H$31</f>
        <v>0</v>
      </c>
      <c r="BE11" s="411">
        <f>Transporte!$H$20</f>
        <v>0</v>
      </c>
      <c r="BF11" s="411">
        <f>Manutenção!$H$21</f>
        <v>3061.5384615384614</v>
      </c>
      <c r="BG11" s="412">
        <f t="shared" ca="1" si="4"/>
        <v>0</v>
      </c>
      <c r="BH11" s="411">
        <f t="shared" ca="1" si="46"/>
        <v>23585.995130056981</v>
      </c>
      <c r="BI11" s="414">
        <f ca="1">IF(L2&gt;=1,BH11/$A$5,0)</f>
        <v>0</v>
      </c>
      <c r="BJ11" s="411">
        <f>'Cobre Ácido'!Y15</f>
        <v>0</v>
      </c>
      <c r="BK11" s="412">
        <f>'Resumo M.O'!$I$14</f>
        <v>1490.6152574074074</v>
      </c>
      <c r="BL11" s="412">
        <f>'Resumo M.O'!$I$29</f>
        <v>2265.2114111111109</v>
      </c>
      <c r="BM11" s="412">
        <f>'Resumo Custos Variáveis'!$K$21</f>
        <v>0</v>
      </c>
      <c r="BN11" s="411">
        <f>'Outros Custos'!$I$31</f>
        <v>0</v>
      </c>
      <c r="BO11" s="411">
        <f>Transporte!$I$20</f>
        <v>0</v>
      </c>
      <c r="BP11" s="411">
        <f>Manutenção!$I$21</f>
        <v>3030.7692307692309</v>
      </c>
      <c r="BQ11" s="412">
        <f t="shared" ca="1" si="5"/>
        <v>0</v>
      </c>
      <c r="BR11" s="411">
        <f t="shared" ca="1" si="47"/>
        <v>6786.5958992877495</v>
      </c>
      <c r="BS11" s="414">
        <f ca="1">IF(L2&gt;=1,BR11/$A$5,0)</f>
        <v>0</v>
      </c>
      <c r="BT11" s="411">
        <f>'Cobre Ácido'!AB15</f>
        <v>0</v>
      </c>
      <c r="BU11" s="412">
        <f>'Resumo M.O'!$J$14</f>
        <v>1490.6152574074074</v>
      </c>
      <c r="BV11" s="412">
        <f>'Resumo M.O'!$J$29</f>
        <v>2265.2114111111109</v>
      </c>
      <c r="BW11" s="412">
        <f>'Resumo Custos Variáveis'!$L$21</f>
        <v>0</v>
      </c>
      <c r="BX11" s="411">
        <f>'Outros Custos'!$J$31</f>
        <v>0</v>
      </c>
      <c r="BY11" s="411">
        <f>Transporte!$J$20</f>
        <v>0</v>
      </c>
      <c r="BZ11" s="411">
        <f>Manutenção!$J$21</f>
        <v>0</v>
      </c>
      <c r="CA11" s="412">
        <f t="shared" ca="1" si="6"/>
        <v>0</v>
      </c>
      <c r="CB11" s="411">
        <f t="shared" ca="1" si="48"/>
        <v>3755.8266685185181</v>
      </c>
      <c r="CC11" s="414">
        <f ca="1">IF(L2&gt;=1,CB11/$A$5,0)</f>
        <v>0</v>
      </c>
      <c r="CD11" s="411">
        <f>'Cobre Ácido'!AE15</f>
        <v>0</v>
      </c>
      <c r="CE11" s="412">
        <f>'Resumo M.O'!$K$14</f>
        <v>1490.6152574074074</v>
      </c>
      <c r="CF11" s="412">
        <f>'Resumo M.O'!$K$29</f>
        <v>2265.2114111111109</v>
      </c>
      <c r="CG11" s="412">
        <f>'Resumo Custos Variáveis'!$M$21</f>
        <v>0</v>
      </c>
      <c r="CH11" s="411">
        <f>'Outros Custos'!$K$31</f>
        <v>0</v>
      </c>
      <c r="CI11" s="411">
        <f>Transporte!$K$20</f>
        <v>0</v>
      </c>
      <c r="CJ11" s="411">
        <f>Manutenção!$K$21</f>
        <v>0</v>
      </c>
      <c r="CK11" s="412">
        <f t="shared" ca="1" si="7"/>
        <v>0</v>
      </c>
      <c r="CL11" s="411">
        <f t="shared" ca="1" si="27"/>
        <v>3755.8266685185181</v>
      </c>
      <c r="CM11" s="414">
        <f ca="1">IF(L2&gt;=1,CL11/$A$5,0)</f>
        <v>0</v>
      </c>
      <c r="CN11" s="411">
        <f>'Cobre Ácido'!AH15</f>
        <v>0</v>
      </c>
      <c r="CO11" s="412">
        <f>'Resumo M.O'!$L$14</f>
        <v>1490.6152574074074</v>
      </c>
      <c r="CP11" s="412">
        <f>'Resumo M.O'!$L$29</f>
        <v>2265.2114111111109</v>
      </c>
      <c r="CQ11" s="412">
        <f>'Resumo Custos Variáveis'!$N$21</f>
        <v>0</v>
      </c>
      <c r="CR11" s="411">
        <f>'Outros Custos'!$L$31</f>
        <v>0</v>
      </c>
      <c r="CS11" s="411">
        <f>Transporte!$L$20</f>
        <v>0</v>
      </c>
      <c r="CT11" s="411">
        <f>Manutenção!$L$21</f>
        <v>0</v>
      </c>
      <c r="CU11" s="412">
        <f t="shared" ca="1" si="8"/>
        <v>0</v>
      </c>
      <c r="CV11" s="411">
        <f t="shared" ca="1" si="28"/>
        <v>3755.8266685185181</v>
      </c>
      <c r="CW11" s="414">
        <f ca="1">IF(L2&gt;=1,CV11/$A$5,0)</f>
        <v>0</v>
      </c>
      <c r="CX11" s="411">
        <f>'Cobre Ácido'!AK15</f>
        <v>0</v>
      </c>
      <c r="CY11" s="412">
        <f>'Resumo M.O'!$M$14</f>
        <v>1490.6152574074074</v>
      </c>
      <c r="CZ11" s="412">
        <f>'Resumo M.O'!$M$29</f>
        <v>2265.2114111111109</v>
      </c>
      <c r="DA11" s="412">
        <f>'Resumo Custos Variáveis'!$O$21</f>
        <v>0</v>
      </c>
      <c r="DB11" s="411">
        <f>'Outros Custos'!$M$31</f>
        <v>0</v>
      </c>
      <c r="DC11" s="411">
        <f>Transporte!$M$20</f>
        <v>0</v>
      </c>
      <c r="DD11" s="411">
        <f>Manutenção!$M$21</f>
        <v>0</v>
      </c>
      <c r="DE11" s="412">
        <f t="shared" ca="1" si="9"/>
        <v>0</v>
      </c>
      <c r="DF11" s="411">
        <f t="shared" ca="1" si="29"/>
        <v>3755.8266685185181</v>
      </c>
      <c r="DG11" s="414">
        <f ca="1">IF(L2&gt;=1,DF11/$A$5,0)</f>
        <v>0</v>
      </c>
      <c r="DH11" s="411">
        <f>'Cobre Ácido'!AN15</f>
        <v>0</v>
      </c>
      <c r="DI11" s="413">
        <f>'Resumo M.O'!$N$14</f>
        <v>1490.6152574074074</v>
      </c>
      <c r="DJ11" s="413">
        <f>'Resumo M.O'!$N$29</f>
        <v>2265.2114111111109</v>
      </c>
      <c r="DK11" s="413">
        <f>'Resumo Custos Variáveis'!$P$21</f>
        <v>0</v>
      </c>
      <c r="DL11" s="72">
        <f>'Outros Custos'!$N$31</f>
        <v>0</v>
      </c>
      <c r="DM11" s="72">
        <f>Transporte!$N$20</f>
        <v>0</v>
      </c>
      <c r="DN11" s="72">
        <f>Manutenção!$N$21</f>
        <v>0</v>
      </c>
      <c r="DO11" s="413">
        <f t="shared" ca="1" si="10"/>
        <v>0</v>
      </c>
      <c r="DP11" s="72">
        <f t="shared" ca="1" si="30"/>
        <v>3755.8266685185181</v>
      </c>
      <c r="DQ11" s="414">
        <f ca="1">IF(L2&gt;=1,DP11/$A$5,0)</f>
        <v>0</v>
      </c>
      <c r="DS11" s="411">
        <f t="shared" ca="1" si="11"/>
        <v>0</v>
      </c>
      <c r="DT11" s="411">
        <f t="shared" ca="1" si="12"/>
        <v>0</v>
      </c>
      <c r="DU11" s="411">
        <f t="shared" ca="1" si="13"/>
        <v>0</v>
      </c>
      <c r="DV11" s="411">
        <f t="shared" ca="1" si="14"/>
        <v>0</v>
      </c>
      <c r="DW11" s="411">
        <f t="shared" ca="1" si="15"/>
        <v>0</v>
      </c>
      <c r="DX11" s="411">
        <f t="shared" ca="1" si="16"/>
        <v>0</v>
      </c>
      <c r="DY11" s="411">
        <f t="shared" ca="1" si="17"/>
        <v>0</v>
      </c>
      <c r="DZ11" s="411">
        <f t="shared" ca="1" si="18"/>
        <v>0</v>
      </c>
      <c r="EA11" s="411">
        <f t="shared" ca="1" si="19"/>
        <v>0</v>
      </c>
      <c r="EB11" s="411">
        <f t="shared" ca="1" si="20"/>
        <v>0</v>
      </c>
      <c r="EC11" s="411">
        <f t="shared" ca="1" si="21"/>
        <v>0</v>
      </c>
      <c r="ED11" s="411">
        <f t="shared" ca="1" si="22"/>
        <v>0</v>
      </c>
      <c r="EF11" s="412">
        <f t="shared" si="49"/>
        <v>0</v>
      </c>
      <c r="EG11" s="412">
        <f t="shared" si="31"/>
        <v>0</v>
      </c>
      <c r="EH11" s="412">
        <f t="shared" si="32"/>
        <v>116.94799999999999</v>
      </c>
      <c r="EI11" s="412">
        <f t="shared" si="33"/>
        <v>103.44436363636366</v>
      </c>
      <c r="EJ11" s="412">
        <f t="shared" si="34"/>
        <v>8.754545454545454</v>
      </c>
      <c r="EK11" s="412">
        <f t="shared" si="35"/>
        <v>76.221045454545461</v>
      </c>
      <c r="EL11" s="412">
        <f t="shared" si="36"/>
        <v>0</v>
      </c>
      <c r="EM11" s="412">
        <f t="shared" si="37"/>
        <v>0</v>
      </c>
      <c r="EN11" s="412">
        <f t="shared" si="38"/>
        <v>0</v>
      </c>
      <c r="EO11" s="412">
        <f t="shared" si="39"/>
        <v>0</v>
      </c>
      <c r="EP11" s="412">
        <f t="shared" si="40"/>
        <v>0</v>
      </c>
      <c r="EQ11" s="412">
        <f t="shared" si="41"/>
        <v>0</v>
      </c>
    </row>
    <row r="12" spans="1:147" x14ac:dyDescent="0.3">
      <c r="A12" s="290" t="s">
        <v>270</v>
      </c>
      <c r="B12" s="411">
        <f>'Desengraxante Quí'!G15</f>
        <v>0</v>
      </c>
      <c r="C12" s="411">
        <f>'Resumo M.O'!$C$14</f>
        <v>1490.6152574074074</v>
      </c>
      <c r="D12" s="412">
        <f>'Resumo M.O'!$C$29</f>
        <v>2265.2114111111109</v>
      </c>
      <c r="E12" s="413">
        <f>'Resumo Custos Variáveis'!$E$21</f>
        <v>0</v>
      </c>
      <c r="F12" s="411">
        <f>'Outros Custos'!$C$31</f>
        <v>0</v>
      </c>
      <c r="G12" s="411">
        <f>Transporte!$C$20</f>
        <v>0</v>
      </c>
      <c r="H12" s="411">
        <f>Manutenção!$C$21</f>
        <v>0</v>
      </c>
      <c r="I12" s="412">
        <f ca="1">Investimentos!G28</f>
        <v>0</v>
      </c>
      <c r="J12" s="411">
        <f t="shared" ca="1" si="23"/>
        <v>3755.8266685185181</v>
      </c>
      <c r="K12" s="414">
        <f t="shared" ca="1" si="24"/>
        <v>0</v>
      </c>
      <c r="L12" s="411">
        <f>'Desengraxante Quí'!J15</f>
        <v>0</v>
      </c>
      <c r="M12" s="412">
        <f>'Resumo M.O'!$D$14</f>
        <v>1490.6152574074074</v>
      </c>
      <c r="N12" s="412">
        <f>'Resumo M.O'!$D$29</f>
        <v>2265.2114111111109</v>
      </c>
      <c r="O12" s="412">
        <f>'Resumo Custos Variáveis'!$F$21</f>
        <v>0</v>
      </c>
      <c r="P12" s="411">
        <f>'Outros Custos'!$D$31</f>
        <v>0</v>
      </c>
      <c r="Q12" s="411">
        <f>Transporte!$D$20</f>
        <v>0</v>
      </c>
      <c r="R12" s="411">
        <f>Manutenção!$D$21</f>
        <v>0</v>
      </c>
      <c r="S12" s="412">
        <f t="shared" ca="1" si="0"/>
        <v>0</v>
      </c>
      <c r="T12" s="411">
        <f t="shared" ca="1" si="42"/>
        <v>3755.8266685185181</v>
      </c>
      <c r="U12" s="414">
        <f t="shared" ca="1" si="25"/>
        <v>0</v>
      </c>
      <c r="V12" s="411">
        <f>'Desengraxante Quí'!M15</f>
        <v>58.05</v>
      </c>
      <c r="W12" s="413">
        <f>'Resumo M.O'!$E$14</f>
        <v>1490.6152574074074</v>
      </c>
      <c r="X12" s="413">
        <f>'Resumo M.O'!$E$29</f>
        <v>2265.2114111111109</v>
      </c>
      <c r="Y12" s="413">
        <f>'Resumo Custos Variáveis'!$G$21</f>
        <v>2404.5263157894738</v>
      </c>
      <c r="Z12" s="72">
        <f>'Outros Custos'!$E$31</f>
        <v>0</v>
      </c>
      <c r="AA12" s="72">
        <f>Transporte!$E$20</f>
        <v>0</v>
      </c>
      <c r="AB12" s="72">
        <f>Manutenção!$E$21</f>
        <v>0</v>
      </c>
      <c r="AC12" s="413">
        <f t="shared" ca="1" si="1"/>
        <v>0</v>
      </c>
      <c r="AD12" s="72">
        <f t="shared" ca="1" si="43"/>
        <v>6218.4029843079916</v>
      </c>
      <c r="AE12" s="414">
        <f t="shared" ca="1" si="26"/>
        <v>0</v>
      </c>
      <c r="AF12" s="411">
        <f>'Desengraxante Quí'!P15</f>
        <v>11.61</v>
      </c>
      <c r="AG12" s="412">
        <f>'Resumo M.O'!$F$14</f>
        <v>1490.6152574074074</v>
      </c>
      <c r="AH12" s="412">
        <f>'Resumo M.O'!$F$29</f>
        <v>2265.2114111111109</v>
      </c>
      <c r="AI12" s="412">
        <f>'Resumo Custos Variáveis'!$H$21</f>
        <v>1573.8421052631579</v>
      </c>
      <c r="AJ12" s="411">
        <f>'Outros Custos'!$F$31</f>
        <v>0</v>
      </c>
      <c r="AK12" s="411">
        <f>Transporte!$F$20</f>
        <v>0</v>
      </c>
      <c r="AL12" s="411">
        <f>Manutenção!$F$21</f>
        <v>0</v>
      </c>
      <c r="AM12" s="412">
        <f t="shared" ca="1" si="2"/>
        <v>0</v>
      </c>
      <c r="AN12" s="411">
        <f t="shared" ca="1" si="44"/>
        <v>5341.2787737816761</v>
      </c>
      <c r="AO12" s="414">
        <f ca="1">IF(L2&gt;=1,AN12/$A$5,0)</f>
        <v>0</v>
      </c>
      <c r="AP12" s="411">
        <f>'Desengraxante Quí'!S15</f>
        <v>0</v>
      </c>
      <c r="AQ12" s="412">
        <f>'Resumo M.O'!$G$14</f>
        <v>1490.6152574074074</v>
      </c>
      <c r="AR12" s="412">
        <f>'Resumo M.O'!$G$29</f>
        <v>2265.2114111111109</v>
      </c>
      <c r="AS12" s="412">
        <f>'Resumo Custos Variáveis'!$I$21</f>
        <v>0</v>
      </c>
      <c r="AT12" s="411">
        <f>'Outros Custos'!$G$31</f>
        <v>0</v>
      </c>
      <c r="AU12" s="411">
        <f>Transporte!$G$20</f>
        <v>0</v>
      </c>
      <c r="AV12" s="411">
        <f>Manutenção!$G$21</f>
        <v>0</v>
      </c>
      <c r="AW12" s="412">
        <f t="shared" ca="1" si="3"/>
        <v>0</v>
      </c>
      <c r="AX12" s="411">
        <f t="shared" ca="1" si="45"/>
        <v>3755.8266685185181</v>
      </c>
      <c r="AY12" s="414">
        <f ca="1">IF(L2&gt;=1,AX12/$A$5,0)</f>
        <v>0</v>
      </c>
      <c r="AZ12" s="411">
        <f>'Desengraxante Quí'!V15</f>
        <v>0</v>
      </c>
      <c r="BA12" s="412">
        <f>'Resumo M.O'!$H$14</f>
        <v>1490.6152574074074</v>
      </c>
      <c r="BB12" s="412">
        <f>'Resumo M.O'!$H$29</f>
        <v>2265.2114111111109</v>
      </c>
      <c r="BC12" s="412">
        <f>'Resumo Custos Variáveis'!$J$21</f>
        <v>0</v>
      </c>
      <c r="BD12" s="411">
        <f>'Outros Custos'!$H$31</f>
        <v>0</v>
      </c>
      <c r="BE12" s="411">
        <f>Transporte!$H$20</f>
        <v>0</v>
      </c>
      <c r="BF12" s="411">
        <f>Manutenção!$H$21</f>
        <v>3061.5384615384614</v>
      </c>
      <c r="BG12" s="412">
        <f t="shared" ca="1" si="4"/>
        <v>0</v>
      </c>
      <c r="BH12" s="411">
        <f t="shared" ca="1" si="46"/>
        <v>6817.36513005698</v>
      </c>
      <c r="BI12" s="414">
        <f ca="1">IF(L2&gt;=1,BH12/$A$5,0)</f>
        <v>0</v>
      </c>
      <c r="BJ12" s="411">
        <f>'Desengraxante Quí'!Y15</f>
        <v>0</v>
      </c>
      <c r="BK12" s="412">
        <f>'Resumo M.O'!$I$14</f>
        <v>1490.6152574074074</v>
      </c>
      <c r="BL12" s="412">
        <f>'Resumo M.O'!$I$29</f>
        <v>2265.2114111111109</v>
      </c>
      <c r="BM12" s="412">
        <f>'Resumo Custos Variáveis'!$K$21</f>
        <v>0</v>
      </c>
      <c r="BN12" s="411">
        <f>'Outros Custos'!$I$31</f>
        <v>0</v>
      </c>
      <c r="BO12" s="411">
        <f>Transporte!$I$20</f>
        <v>0</v>
      </c>
      <c r="BP12" s="411">
        <f>Manutenção!$I$21</f>
        <v>3030.7692307692309</v>
      </c>
      <c r="BQ12" s="412">
        <f t="shared" ca="1" si="5"/>
        <v>0</v>
      </c>
      <c r="BR12" s="411">
        <f t="shared" ca="1" si="47"/>
        <v>6786.5958992877495</v>
      </c>
      <c r="BS12" s="414">
        <f ca="1">IF(L2&gt;=1,BR12/$A$5,0)</f>
        <v>0</v>
      </c>
      <c r="BT12" s="411">
        <f>'Desengraxante Quí'!AB15</f>
        <v>0</v>
      </c>
      <c r="BU12" s="412">
        <f>'Resumo M.O'!$J$14</f>
        <v>1490.6152574074074</v>
      </c>
      <c r="BV12" s="412">
        <f>'Resumo M.O'!$J$29</f>
        <v>2265.2114111111109</v>
      </c>
      <c r="BW12" s="412">
        <f>'Resumo Custos Variáveis'!$L$21</f>
        <v>0</v>
      </c>
      <c r="BX12" s="411">
        <f>'Outros Custos'!$J$31</f>
        <v>0</v>
      </c>
      <c r="BY12" s="411">
        <f>Transporte!$J$20</f>
        <v>0</v>
      </c>
      <c r="BZ12" s="411">
        <f>Manutenção!$J$21</f>
        <v>0</v>
      </c>
      <c r="CA12" s="412">
        <f t="shared" ca="1" si="6"/>
        <v>0</v>
      </c>
      <c r="CB12" s="411">
        <f t="shared" ca="1" si="48"/>
        <v>3755.8266685185181</v>
      </c>
      <c r="CC12" s="414">
        <f ca="1">IF(L2&gt;=1,CB12/$A$5,0)</f>
        <v>0</v>
      </c>
      <c r="CD12" s="411">
        <f>'Desengraxante Quí'!AE15</f>
        <v>0</v>
      </c>
      <c r="CE12" s="412">
        <f>'Resumo M.O'!$K$14</f>
        <v>1490.6152574074074</v>
      </c>
      <c r="CF12" s="412">
        <f>'Resumo M.O'!$K$29</f>
        <v>2265.2114111111109</v>
      </c>
      <c r="CG12" s="412">
        <f>'Resumo Custos Variáveis'!$M$21</f>
        <v>0</v>
      </c>
      <c r="CH12" s="411">
        <f>'Outros Custos'!$K$31</f>
        <v>0</v>
      </c>
      <c r="CI12" s="411">
        <f>Transporte!$K$20</f>
        <v>0</v>
      </c>
      <c r="CJ12" s="411">
        <f>Manutenção!$K$21</f>
        <v>0</v>
      </c>
      <c r="CK12" s="412">
        <f t="shared" ca="1" si="7"/>
        <v>0</v>
      </c>
      <c r="CL12" s="411">
        <f t="shared" ca="1" si="27"/>
        <v>3755.8266685185181</v>
      </c>
      <c r="CM12" s="414">
        <f ca="1">IF(L2&gt;=1,CL12/$A$5,0)</f>
        <v>0</v>
      </c>
      <c r="CN12" s="411">
        <f>'Desengraxante Quí'!AH15</f>
        <v>0</v>
      </c>
      <c r="CO12" s="412">
        <f>'Resumo M.O'!$L$14</f>
        <v>1490.6152574074074</v>
      </c>
      <c r="CP12" s="412">
        <f>'Resumo M.O'!$L$29</f>
        <v>2265.2114111111109</v>
      </c>
      <c r="CQ12" s="412">
        <f>'Resumo Custos Variáveis'!$N$21</f>
        <v>0</v>
      </c>
      <c r="CR12" s="411">
        <f>'Outros Custos'!$L$31</f>
        <v>0</v>
      </c>
      <c r="CS12" s="411">
        <f>Transporte!$L$20</f>
        <v>0</v>
      </c>
      <c r="CT12" s="411">
        <f>Manutenção!$L$21</f>
        <v>0</v>
      </c>
      <c r="CU12" s="412">
        <f t="shared" ca="1" si="8"/>
        <v>0</v>
      </c>
      <c r="CV12" s="411">
        <f t="shared" ca="1" si="28"/>
        <v>3755.8266685185181</v>
      </c>
      <c r="CW12" s="414">
        <f ca="1">IF(L2&gt;=1,CV12/$A$5,0)</f>
        <v>0</v>
      </c>
      <c r="CX12" s="411">
        <f>'Desengraxante Quí'!AK15</f>
        <v>0</v>
      </c>
      <c r="CY12" s="412">
        <f>'Resumo M.O'!$M$14</f>
        <v>1490.6152574074074</v>
      </c>
      <c r="CZ12" s="412">
        <f>'Resumo M.O'!$M$29</f>
        <v>2265.2114111111109</v>
      </c>
      <c r="DA12" s="412">
        <f>'Resumo Custos Variáveis'!$O$21</f>
        <v>0</v>
      </c>
      <c r="DB12" s="411">
        <f>'Outros Custos'!$M$31</f>
        <v>0</v>
      </c>
      <c r="DC12" s="411">
        <f>Transporte!$M$20</f>
        <v>0</v>
      </c>
      <c r="DD12" s="411">
        <f>Manutenção!$M$21</f>
        <v>0</v>
      </c>
      <c r="DE12" s="412">
        <f t="shared" ca="1" si="9"/>
        <v>0</v>
      </c>
      <c r="DF12" s="411">
        <f t="shared" ca="1" si="29"/>
        <v>3755.8266685185181</v>
      </c>
      <c r="DG12" s="414">
        <f ca="1">IF(L2&gt;=1,DF12/$A$5,0)</f>
        <v>0</v>
      </c>
      <c r="DH12" s="411">
        <f>'Desengraxante Quí'!AN15</f>
        <v>0</v>
      </c>
      <c r="DI12" s="413">
        <f>'Resumo M.O'!$N$14</f>
        <v>1490.6152574074074</v>
      </c>
      <c r="DJ12" s="413">
        <f>'Resumo M.O'!$N$29</f>
        <v>2265.2114111111109</v>
      </c>
      <c r="DK12" s="413">
        <f>'Resumo Custos Variáveis'!$P$21</f>
        <v>0</v>
      </c>
      <c r="DL12" s="72">
        <f>'Outros Custos'!$N$31</f>
        <v>0</v>
      </c>
      <c r="DM12" s="72">
        <f>Transporte!$N$20</f>
        <v>0</v>
      </c>
      <c r="DN12" s="72">
        <f>Manutenção!$N$21</f>
        <v>0</v>
      </c>
      <c r="DO12" s="413">
        <f t="shared" ca="1" si="10"/>
        <v>0</v>
      </c>
      <c r="DP12" s="72">
        <f t="shared" ca="1" si="30"/>
        <v>3755.8266685185181</v>
      </c>
      <c r="DQ12" s="414">
        <f ca="1">IF(L2&gt;=1,DP12/$A$5,0)</f>
        <v>0</v>
      </c>
      <c r="DS12" s="411">
        <f t="shared" ca="1" si="11"/>
        <v>0</v>
      </c>
      <c r="DT12" s="411">
        <f t="shared" ca="1" si="12"/>
        <v>0</v>
      </c>
      <c r="DU12" s="411">
        <f t="shared" ca="1" si="13"/>
        <v>0</v>
      </c>
      <c r="DV12" s="411">
        <f t="shared" ca="1" si="14"/>
        <v>0</v>
      </c>
      <c r="DW12" s="411">
        <f t="shared" ca="1" si="15"/>
        <v>0</v>
      </c>
      <c r="DX12" s="411">
        <f t="shared" ca="1" si="16"/>
        <v>0</v>
      </c>
      <c r="DY12" s="411">
        <f t="shared" ca="1" si="17"/>
        <v>0</v>
      </c>
      <c r="DZ12" s="411">
        <f t="shared" ca="1" si="18"/>
        <v>0</v>
      </c>
      <c r="EA12" s="411">
        <f t="shared" ca="1" si="19"/>
        <v>0</v>
      </c>
      <c r="EB12" s="411">
        <f t="shared" ca="1" si="20"/>
        <v>0</v>
      </c>
      <c r="EC12" s="411">
        <f t="shared" ca="1" si="21"/>
        <v>0</v>
      </c>
      <c r="ED12" s="411">
        <f t="shared" ca="1" si="22"/>
        <v>0</v>
      </c>
      <c r="EF12" s="412">
        <f t="shared" si="49"/>
        <v>0</v>
      </c>
      <c r="EG12" s="412">
        <f t="shared" si="31"/>
        <v>0</v>
      </c>
      <c r="EH12" s="412">
        <f t="shared" si="32"/>
        <v>0.26386363636363636</v>
      </c>
      <c r="EI12" s="412">
        <f t="shared" si="33"/>
        <v>5.277272727272727E-2</v>
      </c>
      <c r="EJ12" s="412">
        <f t="shared" si="34"/>
        <v>0</v>
      </c>
      <c r="EK12" s="412">
        <f t="shared" si="35"/>
        <v>0</v>
      </c>
      <c r="EL12" s="412">
        <f t="shared" si="36"/>
        <v>0</v>
      </c>
      <c r="EM12" s="412">
        <f t="shared" si="37"/>
        <v>0</v>
      </c>
      <c r="EN12" s="412">
        <f t="shared" si="38"/>
        <v>0</v>
      </c>
      <c r="EO12" s="412">
        <f t="shared" si="39"/>
        <v>0</v>
      </c>
      <c r="EP12" s="412">
        <f t="shared" si="40"/>
        <v>0</v>
      </c>
      <c r="EQ12" s="412">
        <f t="shared" si="41"/>
        <v>0</v>
      </c>
    </row>
    <row r="13" spans="1:147" x14ac:dyDescent="0.3">
      <c r="A13" s="290" t="s">
        <v>51</v>
      </c>
      <c r="B13" s="412">
        <f>'Níquel Brilhante'!G15</f>
        <v>0</v>
      </c>
      <c r="C13" s="411">
        <f>'Resumo M.O'!$C$14</f>
        <v>1490.6152574074074</v>
      </c>
      <c r="D13" s="412">
        <f>'Resumo M.O'!$C$29</f>
        <v>2265.2114111111109</v>
      </c>
      <c r="E13" s="413">
        <f>'Resumo Custos Variáveis'!$E$21</f>
        <v>0</v>
      </c>
      <c r="F13" s="411">
        <f>'Outros Custos'!$C$31</f>
        <v>0</v>
      </c>
      <c r="G13" s="411">
        <f>Transporte!$C$20</f>
        <v>0</v>
      </c>
      <c r="H13" s="411">
        <f>Manutenção!$C$21</f>
        <v>0</v>
      </c>
      <c r="I13" s="412">
        <f ca="1">Investimentos!G32</f>
        <v>0</v>
      </c>
      <c r="J13" s="411">
        <f ca="1">SUM(B13:I13)</f>
        <v>3755.8266685185181</v>
      </c>
      <c r="K13" s="414">
        <f t="shared" ca="1" si="24"/>
        <v>0</v>
      </c>
      <c r="L13" s="412">
        <f>'Níquel Brilhante'!J15</f>
        <v>0</v>
      </c>
      <c r="M13" s="412">
        <f>'Resumo M.O'!$D$14</f>
        <v>1490.6152574074074</v>
      </c>
      <c r="N13" s="412">
        <f>'Resumo M.O'!$D$29</f>
        <v>2265.2114111111109</v>
      </c>
      <c r="O13" s="412">
        <f>'Resumo Custos Variáveis'!$F$21</f>
        <v>0</v>
      </c>
      <c r="P13" s="411">
        <f>'Outros Custos'!$D$31</f>
        <v>0</v>
      </c>
      <c r="Q13" s="411">
        <f>Transporte!$D$20</f>
        <v>0</v>
      </c>
      <c r="R13" s="411">
        <f>Manutenção!$D$21</f>
        <v>0</v>
      </c>
      <c r="S13" s="412">
        <f t="shared" ca="1" si="0"/>
        <v>0</v>
      </c>
      <c r="T13" s="411">
        <f t="shared" ca="1" si="42"/>
        <v>3755.8266685185181</v>
      </c>
      <c r="U13" s="414">
        <f t="shared" ca="1" si="25"/>
        <v>0</v>
      </c>
      <c r="V13" s="412">
        <f>'Níquel Brilhante'!M15</f>
        <v>37847.69</v>
      </c>
      <c r="W13" s="413">
        <f>'Resumo M.O'!$E$14</f>
        <v>1490.6152574074074</v>
      </c>
      <c r="X13" s="413">
        <f>'Resumo M.O'!$E$29</f>
        <v>2265.2114111111109</v>
      </c>
      <c r="Y13" s="413">
        <f>'Resumo Custos Variáveis'!$G$21</f>
        <v>2404.5263157894738</v>
      </c>
      <c r="Z13" s="72">
        <f>'Outros Custos'!$E$31</f>
        <v>0</v>
      </c>
      <c r="AA13" s="72">
        <f>Transporte!$E$20</f>
        <v>0</v>
      </c>
      <c r="AB13" s="72">
        <f>Manutenção!$E$21</f>
        <v>0</v>
      </c>
      <c r="AC13" s="413">
        <f t="shared" ca="1" si="1"/>
        <v>0</v>
      </c>
      <c r="AD13" s="72">
        <f t="shared" ca="1" si="43"/>
        <v>44008.042984307991</v>
      </c>
      <c r="AE13" s="414">
        <f t="shared" ca="1" si="26"/>
        <v>0</v>
      </c>
      <c r="AF13" s="412">
        <f>'Níquel Brilhante'!P15</f>
        <v>30695.129999999997</v>
      </c>
      <c r="AG13" s="412">
        <f>'Resumo M.O'!$F$14</f>
        <v>1490.6152574074074</v>
      </c>
      <c r="AH13" s="412">
        <f>'Resumo M.O'!$F$29</f>
        <v>2265.2114111111109</v>
      </c>
      <c r="AI13" s="412">
        <f>'Resumo Custos Variáveis'!$H$21</f>
        <v>1573.8421052631579</v>
      </c>
      <c r="AJ13" s="411">
        <f>'Outros Custos'!$F$31</f>
        <v>0</v>
      </c>
      <c r="AK13" s="411">
        <f>Transporte!$F$20</f>
        <v>0</v>
      </c>
      <c r="AL13" s="411">
        <f>Manutenção!$F$21</f>
        <v>0</v>
      </c>
      <c r="AM13" s="412">
        <f t="shared" ca="1" si="2"/>
        <v>0</v>
      </c>
      <c r="AN13" s="411">
        <f t="shared" ca="1" si="44"/>
        <v>36024.798773781673</v>
      </c>
      <c r="AO13" s="414">
        <f ca="1">IF(L2&gt;=1,(AN13/$A$5)/2,0)</f>
        <v>0</v>
      </c>
      <c r="AP13" s="412">
        <f>'Níquel Brilhante'!S15</f>
        <v>171.54000000000002</v>
      </c>
      <c r="AQ13" s="412">
        <f>'Resumo M.O'!$G$14</f>
        <v>1490.6152574074074</v>
      </c>
      <c r="AR13" s="412">
        <f>'Resumo M.O'!$G$29</f>
        <v>2265.2114111111109</v>
      </c>
      <c r="AS13" s="412">
        <f>'Resumo Custos Variáveis'!$I$21</f>
        <v>0</v>
      </c>
      <c r="AT13" s="411">
        <f>'Outros Custos'!$G$31</f>
        <v>0</v>
      </c>
      <c r="AU13" s="411">
        <f>Transporte!$G$20</f>
        <v>0</v>
      </c>
      <c r="AV13" s="411">
        <f>Manutenção!$G$21</f>
        <v>0</v>
      </c>
      <c r="AW13" s="412">
        <f t="shared" ca="1" si="3"/>
        <v>0</v>
      </c>
      <c r="AX13" s="411">
        <f t="shared" ca="1" si="45"/>
        <v>3927.3666685185181</v>
      </c>
      <c r="AY13" s="414">
        <f ca="1">IF(L2&gt;=1,(AX13/$A$5)/2,0)</f>
        <v>0</v>
      </c>
      <c r="AZ13" s="412">
        <f>'Níquel Brilhante'!V15</f>
        <v>121.68</v>
      </c>
      <c r="BA13" s="412">
        <f>'Resumo M.O'!$H$14</f>
        <v>1490.6152574074074</v>
      </c>
      <c r="BB13" s="412">
        <f>'Resumo M.O'!$H$29</f>
        <v>2265.2114111111109</v>
      </c>
      <c r="BC13" s="412">
        <f>'Resumo Custos Variáveis'!$J$21</f>
        <v>0</v>
      </c>
      <c r="BD13" s="411">
        <f>'Outros Custos'!$H$31</f>
        <v>0</v>
      </c>
      <c r="BE13" s="411">
        <f>Transporte!$H$20</f>
        <v>0</v>
      </c>
      <c r="BF13" s="411">
        <f>Manutenção!$H$21</f>
        <v>3061.5384615384614</v>
      </c>
      <c r="BG13" s="412">
        <f t="shared" ca="1" si="4"/>
        <v>0</v>
      </c>
      <c r="BH13" s="411">
        <f t="shared" ca="1" si="46"/>
        <v>6939.0451300569803</v>
      </c>
      <c r="BI13" s="414">
        <f ca="1">IF(L2&gt;=1,(BH13/$A$5)/2,0)</f>
        <v>0</v>
      </c>
      <c r="BJ13" s="412">
        <f>'Níquel Brilhante'!Y15</f>
        <v>0</v>
      </c>
      <c r="BK13" s="412">
        <f>'Resumo M.O'!$I$14</f>
        <v>1490.6152574074074</v>
      </c>
      <c r="BL13" s="412">
        <f>'Resumo M.O'!$I$29</f>
        <v>2265.2114111111109</v>
      </c>
      <c r="BM13" s="412">
        <f>'Resumo Custos Variáveis'!$K$21</f>
        <v>0</v>
      </c>
      <c r="BN13" s="411">
        <f>'Outros Custos'!$I$31</f>
        <v>0</v>
      </c>
      <c r="BO13" s="411">
        <f>Transporte!$I$20</f>
        <v>0</v>
      </c>
      <c r="BP13" s="411">
        <f>Manutenção!$I$21</f>
        <v>3030.7692307692309</v>
      </c>
      <c r="BQ13" s="412">
        <f t="shared" ca="1" si="5"/>
        <v>0</v>
      </c>
      <c r="BR13" s="411">
        <f t="shared" ca="1" si="47"/>
        <v>6786.5958992877495</v>
      </c>
      <c r="BS13" s="414">
        <f ca="1">IF(L2&gt;=1,(BR13/$A$5)/2,0)</f>
        <v>0</v>
      </c>
      <c r="BT13" s="412">
        <f>'Níquel Brilhante'!AB15</f>
        <v>0</v>
      </c>
      <c r="BU13" s="412">
        <f>'Resumo M.O'!$J$14</f>
        <v>1490.6152574074074</v>
      </c>
      <c r="BV13" s="412">
        <f>'Resumo M.O'!$J$29</f>
        <v>2265.2114111111109</v>
      </c>
      <c r="BW13" s="412">
        <f>'Resumo Custos Variáveis'!$L$21</f>
        <v>0</v>
      </c>
      <c r="BX13" s="411">
        <f>'Outros Custos'!$J$31</f>
        <v>0</v>
      </c>
      <c r="BY13" s="411">
        <f>Transporte!$J$20</f>
        <v>0</v>
      </c>
      <c r="BZ13" s="411">
        <f>Manutenção!$J$21</f>
        <v>0</v>
      </c>
      <c r="CA13" s="412">
        <f t="shared" ca="1" si="6"/>
        <v>0</v>
      </c>
      <c r="CB13" s="411">
        <f t="shared" ca="1" si="48"/>
        <v>3755.8266685185181</v>
      </c>
      <c r="CC13" s="414">
        <f ca="1">IF(L2&gt;=1,(CB13/$A$5)/2,0)</f>
        <v>0</v>
      </c>
      <c r="CD13" s="412">
        <f>'Níquel Brilhante'!AE15</f>
        <v>0</v>
      </c>
      <c r="CE13" s="412">
        <f>'Resumo M.O'!$K$14</f>
        <v>1490.6152574074074</v>
      </c>
      <c r="CF13" s="412">
        <f>'Resumo M.O'!$K$29</f>
        <v>2265.2114111111109</v>
      </c>
      <c r="CG13" s="412">
        <f>'Resumo Custos Variáveis'!$M$21</f>
        <v>0</v>
      </c>
      <c r="CH13" s="411">
        <f>'Outros Custos'!$K$31</f>
        <v>0</v>
      </c>
      <c r="CI13" s="411">
        <f>Transporte!$K$20</f>
        <v>0</v>
      </c>
      <c r="CJ13" s="411">
        <f>Manutenção!$K$21</f>
        <v>0</v>
      </c>
      <c r="CK13" s="412">
        <f t="shared" ca="1" si="7"/>
        <v>0</v>
      </c>
      <c r="CL13" s="411">
        <f t="shared" ca="1" si="27"/>
        <v>3755.8266685185181</v>
      </c>
      <c r="CM13" s="414">
        <f ca="1">IF(L2&gt;=1,(CL13/$A$5)/2,0)</f>
        <v>0</v>
      </c>
      <c r="CN13" s="412">
        <f>'Níquel Brilhante'!AH15</f>
        <v>0</v>
      </c>
      <c r="CO13" s="412">
        <f>'Resumo M.O'!$L$14</f>
        <v>1490.6152574074074</v>
      </c>
      <c r="CP13" s="412">
        <f>'Resumo M.O'!$L$29</f>
        <v>2265.2114111111109</v>
      </c>
      <c r="CQ13" s="412">
        <f>'Resumo Custos Variáveis'!$N$21</f>
        <v>0</v>
      </c>
      <c r="CR13" s="411">
        <f>'Outros Custos'!$L$31</f>
        <v>0</v>
      </c>
      <c r="CS13" s="411">
        <f>Transporte!$L$20</f>
        <v>0</v>
      </c>
      <c r="CT13" s="411">
        <f>Manutenção!$L$21</f>
        <v>0</v>
      </c>
      <c r="CU13" s="412">
        <f t="shared" ca="1" si="8"/>
        <v>0</v>
      </c>
      <c r="CV13" s="411">
        <f t="shared" ca="1" si="28"/>
        <v>3755.8266685185181</v>
      </c>
      <c r="CW13" s="414">
        <f ca="1">IF(L2&gt;=1,(CV13/$A$5)/2,0)</f>
        <v>0</v>
      </c>
      <c r="CX13" s="412">
        <f>'Níquel Brilhante'!AK15</f>
        <v>0</v>
      </c>
      <c r="CY13" s="412">
        <f>'Resumo M.O'!$M$14</f>
        <v>1490.6152574074074</v>
      </c>
      <c r="CZ13" s="412">
        <f>'Resumo M.O'!$M$29</f>
        <v>2265.2114111111109</v>
      </c>
      <c r="DA13" s="412">
        <f>'Resumo Custos Variáveis'!$O$21</f>
        <v>0</v>
      </c>
      <c r="DB13" s="411">
        <f>'Outros Custos'!$M$31</f>
        <v>0</v>
      </c>
      <c r="DC13" s="411">
        <f>Transporte!$M$20</f>
        <v>0</v>
      </c>
      <c r="DD13" s="411">
        <f>Manutenção!$M$21</f>
        <v>0</v>
      </c>
      <c r="DE13" s="412">
        <f t="shared" ca="1" si="9"/>
        <v>0</v>
      </c>
      <c r="DF13" s="411">
        <f t="shared" ca="1" si="29"/>
        <v>3755.8266685185181</v>
      </c>
      <c r="DG13" s="414">
        <f ca="1">IF(L2&gt;=1,(DF13/$A$5)/2,0)</f>
        <v>0</v>
      </c>
      <c r="DH13" s="412">
        <f>'Níquel Brilhante'!AN15</f>
        <v>0</v>
      </c>
      <c r="DI13" s="413">
        <f>'Resumo M.O'!$N$14</f>
        <v>1490.6152574074074</v>
      </c>
      <c r="DJ13" s="413">
        <f>'Resumo M.O'!$N$29</f>
        <v>2265.2114111111109</v>
      </c>
      <c r="DK13" s="413">
        <f>'Resumo Custos Variáveis'!$P$21</f>
        <v>0</v>
      </c>
      <c r="DL13" s="72">
        <f>'Outros Custos'!$N$31</f>
        <v>0</v>
      </c>
      <c r="DM13" s="72">
        <f>Transporte!$N$20</f>
        <v>0</v>
      </c>
      <c r="DN13" s="72">
        <f>Manutenção!$N$21</f>
        <v>0</v>
      </c>
      <c r="DO13" s="413">
        <f t="shared" ca="1" si="10"/>
        <v>0</v>
      </c>
      <c r="DP13" s="72">
        <f t="shared" ca="1" si="30"/>
        <v>3755.8266685185181</v>
      </c>
      <c r="DQ13" s="414">
        <f ca="1">IF(L2&gt;=1,(DP13/$A$5)/2,0)</f>
        <v>0</v>
      </c>
      <c r="DS13" s="411">
        <f t="shared" ca="1" si="11"/>
        <v>0</v>
      </c>
      <c r="DT13" s="411">
        <f t="shared" ca="1" si="12"/>
        <v>0</v>
      </c>
      <c r="DU13" s="411">
        <f t="shared" ca="1" si="13"/>
        <v>0</v>
      </c>
      <c r="DV13" s="411">
        <f t="shared" ca="1" si="14"/>
        <v>0</v>
      </c>
      <c r="DW13" s="411">
        <f t="shared" ca="1" si="15"/>
        <v>0</v>
      </c>
      <c r="DX13" s="411">
        <f t="shared" ca="1" si="16"/>
        <v>0</v>
      </c>
      <c r="DY13" s="411">
        <f t="shared" ca="1" si="17"/>
        <v>0</v>
      </c>
      <c r="DZ13" s="411">
        <f t="shared" ca="1" si="18"/>
        <v>0</v>
      </c>
      <c r="EA13" s="411">
        <f t="shared" ca="1" si="19"/>
        <v>0</v>
      </c>
      <c r="EB13" s="411">
        <f t="shared" ca="1" si="20"/>
        <v>0</v>
      </c>
      <c r="EC13" s="411">
        <f t="shared" ca="1" si="21"/>
        <v>0</v>
      </c>
      <c r="ED13" s="411">
        <f t="shared" ca="1" si="22"/>
        <v>0</v>
      </c>
      <c r="EF13" s="412">
        <f>(B13/$A$5)</f>
        <v>0</v>
      </c>
      <c r="EG13" s="412">
        <f t="shared" si="31"/>
        <v>0</v>
      </c>
      <c r="EH13" s="412">
        <f t="shared" si="32"/>
        <v>172.03495454545455</v>
      </c>
      <c r="EI13" s="412">
        <f t="shared" si="33"/>
        <v>139.52331818181818</v>
      </c>
      <c r="EJ13" s="412">
        <f t="shared" si="34"/>
        <v>0.77972727272727282</v>
      </c>
      <c r="EK13" s="412">
        <f t="shared" si="35"/>
        <v>0.55309090909090908</v>
      </c>
      <c r="EL13" s="412">
        <f t="shared" si="36"/>
        <v>0</v>
      </c>
      <c r="EM13" s="412">
        <f t="shared" si="37"/>
        <v>0</v>
      </c>
      <c r="EN13" s="412">
        <f t="shared" si="38"/>
        <v>0</v>
      </c>
      <c r="EO13" s="412">
        <f t="shared" si="39"/>
        <v>0</v>
      </c>
      <c r="EP13" s="412">
        <f t="shared" si="40"/>
        <v>0</v>
      </c>
      <c r="EQ13" s="412">
        <f t="shared" si="41"/>
        <v>0</v>
      </c>
    </row>
    <row r="14" spans="1:147" x14ac:dyDescent="0.3">
      <c r="A14" s="290" t="s">
        <v>250</v>
      </c>
      <c r="B14" s="411">
        <f>'Níquel Strik (2)'!G14</f>
        <v>0</v>
      </c>
      <c r="C14" s="411">
        <f>'Resumo M.O'!$C$14</f>
        <v>1490.6152574074074</v>
      </c>
      <c r="D14" s="412">
        <f>'Resumo M.O'!$C$29</f>
        <v>2265.2114111111109</v>
      </c>
      <c r="E14" s="413">
        <f>'Resumo Custos Variáveis'!$E$21</f>
        <v>0</v>
      </c>
      <c r="F14" s="411">
        <f>'Outros Custos'!$C$31</f>
        <v>0</v>
      </c>
      <c r="G14" s="411">
        <f>Transporte!$C$20</f>
        <v>0</v>
      </c>
      <c r="H14" s="411">
        <f>Manutenção!$C$21</f>
        <v>0</v>
      </c>
      <c r="I14" s="412">
        <f ca="1">Investimentos!G36</f>
        <v>0</v>
      </c>
      <c r="J14" s="411">
        <f t="shared" ca="1" si="23"/>
        <v>3755.8266685185181</v>
      </c>
      <c r="K14" s="414">
        <f t="shared" ca="1" si="24"/>
        <v>0</v>
      </c>
      <c r="L14" s="411">
        <f>'Níquel Strik (2)'!J14</f>
        <v>0</v>
      </c>
      <c r="M14" s="412">
        <f>'Resumo M.O'!$D$14</f>
        <v>1490.6152574074074</v>
      </c>
      <c r="N14" s="412">
        <f>'Resumo M.O'!$D$29</f>
        <v>2265.2114111111109</v>
      </c>
      <c r="O14" s="412">
        <f>'Resumo Custos Variáveis'!$F$21</f>
        <v>0</v>
      </c>
      <c r="P14" s="411">
        <f>'Outros Custos'!$D$31</f>
        <v>0</v>
      </c>
      <c r="Q14" s="411">
        <f>Transporte!$D$20</f>
        <v>0</v>
      </c>
      <c r="R14" s="411">
        <f>Manutenção!$D$21</f>
        <v>0</v>
      </c>
      <c r="S14" s="412">
        <f t="shared" ca="1" si="0"/>
        <v>0</v>
      </c>
      <c r="T14" s="411">
        <f t="shared" ca="1" si="42"/>
        <v>3755.8266685185181</v>
      </c>
      <c r="U14" s="414">
        <f t="shared" ca="1" si="25"/>
        <v>0</v>
      </c>
      <c r="V14" s="411">
        <f>'Níquel Strik (2)'!M14</f>
        <v>3135.25</v>
      </c>
      <c r="W14" s="413">
        <f>'Resumo M.O'!$E$14</f>
        <v>1490.6152574074074</v>
      </c>
      <c r="X14" s="413">
        <f>'Resumo M.O'!$E$29</f>
        <v>2265.2114111111109</v>
      </c>
      <c r="Y14" s="413">
        <f>'Resumo Custos Variáveis'!$G$21</f>
        <v>2404.5263157894738</v>
      </c>
      <c r="Z14" s="72">
        <f>'Outros Custos'!$E$31</f>
        <v>0</v>
      </c>
      <c r="AA14" s="72">
        <f>Transporte!$E$20</f>
        <v>0</v>
      </c>
      <c r="AB14" s="72">
        <f>Manutenção!$E$21</f>
        <v>0</v>
      </c>
      <c r="AC14" s="413">
        <f t="shared" ca="1" si="1"/>
        <v>0</v>
      </c>
      <c r="AD14" s="72">
        <f t="shared" ca="1" si="43"/>
        <v>9295.6029843079923</v>
      </c>
      <c r="AE14" s="414">
        <f t="shared" ca="1" si="26"/>
        <v>0</v>
      </c>
      <c r="AF14" s="411">
        <f>'Níquel Strik (2)'!P14</f>
        <v>6041.56</v>
      </c>
      <c r="AG14" s="412">
        <f>'Resumo M.O'!$F$14</f>
        <v>1490.6152574074074</v>
      </c>
      <c r="AH14" s="412">
        <f>'Resumo M.O'!$F$29</f>
        <v>2265.2114111111109</v>
      </c>
      <c r="AI14" s="412">
        <f>'Resumo Custos Variáveis'!$H$21</f>
        <v>1573.8421052631579</v>
      </c>
      <c r="AJ14" s="411">
        <f>'Outros Custos'!$F$31</f>
        <v>0</v>
      </c>
      <c r="AK14" s="411">
        <f>Transporte!$F$20</f>
        <v>0</v>
      </c>
      <c r="AL14" s="411">
        <f>Manutenção!$F$21</f>
        <v>0</v>
      </c>
      <c r="AM14" s="412">
        <f t="shared" ca="1" si="2"/>
        <v>0</v>
      </c>
      <c r="AN14" s="411">
        <f t="shared" ca="1" si="44"/>
        <v>11371.228773781677</v>
      </c>
      <c r="AO14" s="414">
        <f ca="1">IF(L2&gt;=1,(AN14/$A$5)/2,0)</f>
        <v>0</v>
      </c>
      <c r="AP14" s="411">
        <f>'Níquel Strik (2)'!S14</f>
        <v>11919.6</v>
      </c>
      <c r="AQ14" s="412">
        <f>'Resumo M.O'!$G$14</f>
        <v>1490.6152574074074</v>
      </c>
      <c r="AR14" s="412">
        <f>'Resumo M.O'!$G$29</f>
        <v>2265.2114111111109</v>
      </c>
      <c r="AS14" s="412">
        <f>'Resumo Custos Variáveis'!$I$21</f>
        <v>0</v>
      </c>
      <c r="AT14" s="411">
        <f>'Outros Custos'!$G$31</f>
        <v>0</v>
      </c>
      <c r="AU14" s="411">
        <f>Transporte!$G$20</f>
        <v>0</v>
      </c>
      <c r="AV14" s="411">
        <f>Manutenção!$G$21</f>
        <v>0</v>
      </c>
      <c r="AW14" s="412">
        <f t="shared" ca="1" si="3"/>
        <v>0</v>
      </c>
      <c r="AX14" s="411">
        <f t="shared" ca="1" si="45"/>
        <v>15675.426668518519</v>
      </c>
      <c r="AY14" s="414">
        <f ca="1">IF(L2&gt;=1,(AX14/$A$5)/2,0)</f>
        <v>0</v>
      </c>
      <c r="AZ14" s="411">
        <f>'Níquel Strik (2)'!V14</f>
        <v>0</v>
      </c>
      <c r="BA14" s="412">
        <f>'Resumo M.O'!$H$14</f>
        <v>1490.6152574074074</v>
      </c>
      <c r="BB14" s="412">
        <f>'Resumo M.O'!$H$29</f>
        <v>2265.2114111111109</v>
      </c>
      <c r="BC14" s="412">
        <f>'Resumo Custos Variáveis'!$J$21</f>
        <v>0</v>
      </c>
      <c r="BD14" s="411">
        <f>'Outros Custos'!$H$31</f>
        <v>0</v>
      </c>
      <c r="BE14" s="411">
        <f>Transporte!$H$20</f>
        <v>0</v>
      </c>
      <c r="BF14" s="411">
        <f>Manutenção!$H$21</f>
        <v>3061.5384615384614</v>
      </c>
      <c r="BG14" s="412">
        <f t="shared" ca="1" si="4"/>
        <v>0</v>
      </c>
      <c r="BH14" s="411">
        <f t="shared" ca="1" si="46"/>
        <v>6817.36513005698</v>
      </c>
      <c r="BI14" s="414">
        <f ca="1">IF(L2&gt;=1,(BH14/$A$5)/2,0)</f>
        <v>0</v>
      </c>
      <c r="BJ14" s="411">
        <f>'Níquel Strik (2)'!Y14</f>
        <v>0</v>
      </c>
      <c r="BK14" s="412">
        <f>'Resumo M.O'!$I$14</f>
        <v>1490.6152574074074</v>
      </c>
      <c r="BL14" s="412">
        <f>'Resumo M.O'!$I$29</f>
        <v>2265.2114111111109</v>
      </c>
      <c r="BM14" s="412">
        <f>'Resumo Custos Variáveis'!$K$21</f>
        <v>0</v>
      </c>
      <c r="BN14" s="411">
        <f>'Outros Custos'!$I$31</f>
        <v>0</v>
      </c>
      <c r="BO14" s="411">
        <f>Transporte!$I$20</f>
        <v>0</v>
      </c>
      <c r="BP14" s="411">
        <f>Manutenção!$I$21</f>
        <v>3030.7692307692309</v>
      </c>
      <c r="BQ14" s="412">
        <f t="shared" ca="1" si="5"/>
        <v>0</v>
      </c>
      <c r="BR14" s="411">
        <f t="shared" ca="1" si="47"/>
        <v>6786.5958992877495</v>
      </c>
      <c r="BS14" s="414">
        <f ca="1">IF(L2&gt;=1,(BR14/$A$5),0)</f>
        <v>0</v>
      </c>
      <c r="BT14" s="411">
        <f>'Níquel Strik (2)'!AB14</f>
        <v>0</v>
      </c>
      <c r="BU14" s="412">
        <f>'Resumo M.O'!$J$14</f>
        <v>1490.6152574074074</v>
      </c>
      <c r="BV14" s="412">
        <f>'Resumo M.O'!$J$29</f>
        <v>2265.2114111111109</v>
      </c>
      <c r="BW14" s="412">
        <f>'Resumo Custos Variáveis'!$L$21</f>
        <v>0</v>
      </c>
      <c r="BX14" s="411">
        <f>'Outros Custos'!$J$31</f>
        <v>0</v>
      </c>
      <c r="BY14" s="411">
        <f>Transporte!$J$20</f>
        <v>0</v>
      </c>
      <c r="BZ14" s="411">
        <f>Manutenção!$J$21</f>
        <v>0</v>
      </c>
      <c r="CA14" s="412">
        <f t="shared" ca="1" si="6"/>
        <v>0</v>
      </c>
      <c r="CB14" s="411">
        <f t="shared" ca="1" si="48"/>
        <v>3755.8266685185181</v>
      </c>
      <c r="CC14" s="414">
        <f ca="1">IF(L2&gt;=1,(CB14/$A$5)/2,0)</f>
        <v>0</v>
      </c>
      <c r="CD14" s="411">
        <f>'Níquel Strik (2)'!AE14</f>
        <v>0</v>
      </c>
      <c r="CE14" s="412">
        <f>'Resumo M.O'!$K$14</f>
        <v>1490.6152574074074</v>
      </c>
      <c r="CF14" s="412">
        <f>'Resumo M.O'!$K$29</f>
        <v>2265.2114111111109</v>
      </c>
      <c r="CG14" s="412">
        <f>'Resumo Custos Variáveis'!$M$21</f>
        <v>0</v>
      </c>
      <c r="CH14" s="411">
        <f>'Outros Custos'!$K$31</f>
        <v>0</v>
      </c>
      <c r="CI14" s="411">
        <f>Transporte!$K$20</f>
        <v>0</v>
      </c>
      <c r="CJ14" s="411">
        <f>Manutenção!$K$21</f>
        <v>0</v>
      </c>
      <c r="CK14" s="412">
        <f t="shared" ca="1" si="7"/>
        <v>0</v>
      </c>
      <c r="CL14" s="411">
        <f t="shared" ca="1" si="27"/>
        <v>3755.8266685185181</v>
      </c>
      <c r="CM14" s="414">
        <f ca="1">IF(L2&gt;=1,(CL14/$A$5)/2,0)</f>
        <v>0</v>
      </c>
      <c r="CN14" s="411">
        <f>'Níquel Strik (2)'!AH14</f>
        <v>0</v>
      </c>
      <c r="CO14" s="412">
        <f>'Resumo M.O'!$L$14</f>
        <v>1490.6152574074074</v>
      </c>
      <c r="CP14" s="412">
        <f>'Resumo M.O'!$L$29</f>
        <v>2265.2114111111109</v>
      </c>
      <c r="CQ14" s="412">
        <f>'Resumo Custos Variáveis'!$N$21</f>
        <v>0</v>
      </c>
      <c r="CR14" s="411">
        <f>'Outros Custos'!$L$31</f>
        <v>0</v>
      </c>
      <c r="CS14" s="411">
        <f>Transporte!$L$20</f>
        <v>0</v>
      </c>
      <c r="CT14" s="411">
        <f>Manutenção!$L$21</f>
        <v>0</v>
      </c>
      <c r="CU14" s="412">
        <f t="shared" ca="1" si="8"/>
        <v>0</v>
      </c>
      <c r="CV14" s="411">
        <f t="shared" ca="1" si="28"/>
        <v>3755.8266685185181</v>
      </c>
      <c r="CW14" s="414">
        <f ca="1">IF(L2&gt;=1,(CV14/$A$5)/2,0)</f>
        <v>0</v>
      </c>
      <c r="CX14" s="411">
        <f>'Níquel Strik (2)'!AK14</f>
        <v>0</v>
      </c>
      <c r="CY14" s="412">
        <f>'Resumo M.O'!$M$14</f>
        <v>1490.6152574074074</v>
      </c>
      <c r="CZ14" s="412">
        <f>'Resumo M.O'!$M$29</f>
        <v>2265.2114111111109</v>
      </c>
      <c r="DA14" s="412">
        <f>'Resumo Custos Variáveis'!$O$21</f>
        <v>0</v>
      </c>
      <c r="DB14" s="411">
        <f>'Outros Custos'!$M$31</f>
        <v>0</v>
      </c>
      <c r="DC14" s="411">
        <f>Transporte!$M$20</f>
        <v>0</v>
      </c>
      <c r="DD14" s="411">
        <f>Manutenção!$M$21</f>
        <v>0</v>
      </c>
      <c r="DE14" s="412">
        <f t="shared" ca="1" si="9"/>
        <v>0</v>
      </c>
      <c r="DF14" s="411">
        <f t="shared" ca="1" si="29"/>
        <v>3755.8266685185181</v>
      </c>
      <c r="DG14" s="414">
        <f ca="1">IF(L2&gt;=1,(DF14/$A$5)/2,0)</f>
        <v>0</v>
      </c>
      <c r="DH14" s="411">
        <f>'Níquel Strik (2)'!AN14</f>
        <v>0</v>
      </c>
      <c r="DI14" s="413">
        <f>'Resumo M.O'!$N$14</f>
        <v>1490.6152574074074</v>
      </c>
      <c r="DJ14" s="413">
        <f>'Resumo M.O'!$N$29</f>
        <v>2265.2114111111109</v>
      </c>
      <c r="DK14" s="413">
        <f>'Resumo Custos Variáveis'!$P$21</f>
        <v>0</v>
      </c>
      <c r="DL14" s="72">
        <f>'Outros Custos'!$N$31</f>
        <v>0</v>
      </c>
      <c r="DM14" s="72">
        <f>Transporte!$N$20</f>
        <v>0</v>
      </c>
      <c r="DN14" s="72">
        <f>Manutenção!$N$21</f>
        <v>0</v>
      </c>
      <c r="DO14" s="413">
        <f t="shared" ca="1" si="10"/>
        <v>0</v>
      </c>
      <c r="DP14" s="72">
        <f t="shared" ca="1" si="30"/>
        <v>3755.8266685185181</v>
      </c>
      <c r="DQ14" s="414">
        <f ca="1">IF(L2&gt;=1,(DP14/$A$5)/2,0)</f>
        <v>0</v>
      </c>
      <c r="DS14" s="411">
        <f t="shared" ca="1" si="11"/>
        <v>0</v>
      </c>
      <c r="DT14" s="411">
        <f t="shared" ca="1" si="12"/>
        <v>0</v>
      </c>
      <c r="DU14" s="411">
        <f t="shared" ca="1" si="13"/>
        <v>0</v>
      </c>
      <c r="DV14" s="411">
        <f t="shared" ca="1" si="14"/>
        <v>0</v>
      </c>
      <c r="DW14" s="411">
        <f t="shared" ca="1" si="15"/>
        <v>0</v>
      </c>
      <c r="DX14" s="411">
        <f t="shared" ca="1" si="16"/>
        <v>0</v>
      </c>
      <c r="DY14" s="411">
        <f t="shared" ca="1" si="17"/>
        <v>0</v>
      </c>
      <c r="DZ14" s="411">
        <f t="shared" ca="1" si="18"/>
        <v>0</v>
      </c>
      <c r="EA14" s="411">
        <f t="shared" ca="1" si="19"/>
        <v>0</v>
      </c>
      <c r="EB14" s="411">
        <f t="shared" ca="1" si="20"/>
        <v>0</v>
      </c>
      <c r="EC14" s="411">
        <f t="shared" ca="1" si="21"/>
        <v>0</v>
      </c>
      <c r="ED14" s="411">
        <f t="shared" ca="1" si="22"/>
        <v>0</v>
      </c>
      <c r="EF14" s="412">
        <f>(B14/$A$5)</f>
        <v>0</v>
      </c>
      <c r="EG14" s="412">
        <f t="shared" si="31"/>
        <v>0</v>
      </c>
      <c r="EH14" s="412">
        <f t="shared" si="32"/>
        <v>14.251136363636364</v>
      </c>
      <c r="EI14" s="412">
        <f t="shared" si="33"/>
        <v>27.461636363636366</v>
      </c>
      <c r="EJ14" s="412">
        <f t="shared" si="34"/>
        <v>54.18</v>
      </c>
      <c r="EK14" s="412">
        <f t="shared" si="35"/>
        <v>0</v>
      </c>
      <c r="EL14" s="412">
        <f t="shared" si="36"/>
        <v>0</v>
      </c>
      <c r="EM14" s="412">
        <f t="shared" si="37"/>
        <v>0</v>
      </c>
      <c r="EN14" s="412">
        <f t="shared" si="38"/>
        <v>0</v>
      </c>
      <c r="EO14" s="412">
        <f t="shared" si="39"/>
        <v>0</v>
      </c>
      <c r="EP14" s="412">
        <f t="shared" si="40"/>
        <v>0</v>
      </c>
      <c r="EQ14" s="412">
        <f t="shared" si="41"/>
        <v>0</v>
      </c>
    </row>
    <row r="15" spans="1:147" x14ac:dyDescent="0.3">
      <c r="A15" s="290" t="s">
        <v>52</v>
      </c>
      <c r="B15" s="412">
        <f>Cromo!G14</f>
        <v>0</v>
      </c>
      <c r="C15" s="411">
        <f>'Resumo M.O'!$C$14</f>
        <v>1490.6152574074074</v>
      </c>
      <c r="D15" s="412">
        <f>'Resumo M.O'!$C$29</f>
        <v>2265.2114111111109</v>
      </c>
      <c r="E15" s="413">
        <f>'Resumo Custos Variáveis'!$E$21</f>
        <v>0</v>
      </c>
      <c r="F15" s="411">
        <f>'Outros Custos'!$C$31</f>
        <v>0</v>
      </c>
      <c r="G15" s="411">
        <f>Transporte!$C$20</f>
        <v>0</v>
      </c>
      <c r="H15" s="411">
        <f>Manutenção!$C$21</f>
        <v>0</v>
      </c>
      <c r="I15" s="412">
        <f ca="1">Investimentos!G40</f>
        <v>0</v>
      </c>
      <c r="J15" s="411">
        <f t="shared" ca="1" si="23"/>
        <v>3755.8266685185181</v>
      </c>
      <c r="K15" s="414">
        <f t="shared" ca="1" si="24"/>
        <v>0</v>
      </c>
      <c r="L15" s="412">
        <f>Cromo!J14</f>
        <v>0</v>
      </c>
      <c r="M15" s="412">
        <f>'Resumo M.O'!$D$14</f>
        <v>1490.6152574074074</v>
      </c>
      <c r="N15" s="412">
        <f>'Resumo M.O'!$D$29</f>
        <v>2265.2114111111109</v>
      </c>
      <c r="O15" s="412">
        <f>'Resumo Custos Variáveis'!$F$21</f>
        <v>0</v>
      </c>
      <c r="P15" s="411">
        <f>'Outros Custos'!$D$31</f>
        <v>0</v>
      </c>
      <c r="Q15" s="411">
        <f>Transporte!$D$20</f>
        <v>0</v>
      </c>
      <c r="R15" s="411">
        <f>Manutenção!$D$21</f>
        <v>0</v>
      </c>
      <c r="S15" s="412">
        <f t="shared" ca="1" si="0"/>
        <v>0</v>
      </c>
      <c r="T15" s="411">
        <f t="shared" ca="1" si="42"/>
        <v>3755.8266685185181</v>
      </c>
      <c r="U15" s="414">
        <f t="shared" ca="1" si="25"/>
        <v>0</v>
      </c>
      <c r="V15" s="412">
        <f>Cromo!M14</f>
        <v>29778.510000000006</v>
      </c>
      <c r="W15" s="413">
        <f>'Resumo M.O'!$E$14</f>
        <v>1490.6152574074074</v>
      </c>
      <c r="X15" s="413">
        <f>'Resumo M.O'!$E$29</f>
        <v>2265.2114111111109</v>
      </c>
      <c r="Y15" s="413">
        <f>'Resumo Custos Variáveis'!$G$21</f>
        <v>2404.5263157894738</v>
      </c>
      <c r="Z15" s="72">
        <f>'Outros Custos'!$E$31</f>
        <v>0</v>
      </c>
      <c r="AA15" s="72">
        <f>Transporte!$E$20</f>
        <v>0</v>
      </c>
      <c r="AB15" s="72">
        <f>Manutenção!$E$21</f>
        <v>0</v>
      </c>
      <c r="AC15" s="413">
        <f t="shared" ca="1" si="1"/>
        <v>0</v>
      </c>
      <c r="AD15" s="72">
        <f t="shared" ca="1" si="43"/>
        <v>35938.862984307998</v>
      </c>
      <c r="AE15" s="414">
        <f t="shared" ca="1" si="26"/>
        <v>0</v>
      </c>
      <c r="AF15" s="412">
        <f>Cromo!P14</f>
        <v>29439.660000000003</v>
      </c>
      <c r="AG15" s="412">
        <f>'Resumo M.O'!$F$14</f>
        <v>1490.6152574074074</v>
      </c>
      <c r="AH15" s="412">
        <f>'Resumo M.O'!$F$29</f>
        <v>2265.2114111111109</v>
      </c>
      <c r="AI15" s="412">
        <f>'Resumo Custos Variáveis'!$H$21</f>
        <v>1573.8421052631579</v>
      </c>
      <c r="AJ15" s="411">
        <f>'Outros Custos'!$F$31</f>
        <v>0</v>
      </c>
      <c r="AK15" s="411">
        <f>Transporte!$F$20</f>
        <v>0</v>
      </c>
      <c r="AL15" s="411">
        <f>Manutenção!$F$21</f>
        <v>0</v>
      </c>
      <c r="AM15" s="412">
        <f t="shared" ca="1" si="2"/>
        <v>0</v>
      </c>
      <c r="AN15" s="411">
        <f t="shared" ca="1" si="44"/>
        <v>34769.328773781679</v>
      </c>
      <c r="AO15" s="414">
        <f ca="1">IF(L2&gt;=1,(AN15/$A$5)/2,0)</f>
        <v>0</v>
      </c>
      <c r="AP15" s="412">
        <f>Cromo!S14</f>
        <v>24196.500000000004</v>
      </c>
      <c r="AQ15" s="412">
        <f>'Resumo M.O'!$G$14</f>
        <v>1490.6152574074074</v>
      </c>
      <c r="AR15" s="412">
        <f>'Resumo M.O'!$G$29</f>
        <v>2265.2114111111109</v>
      </c>
      <c r="AS15" s="412">
        <f>'Resumo Custos Variáveis'!$I$21</f>
        <v>0</v>
      </c>
      <c r="AT15" s="411">
        <f>'Outros Custos'!$G$31</f>
        <v>0</v>
      </c>
      <c r="AU15" s="411">
        <f>Transporte!$G$20</f>
        <v>0</v>
      </c>
      <c r="AV15" s="411">
        <f>Manutenção!$G$21</f>
        <v>0</v>
      </c>
      <c r="AW15" s="412">
        <f t="shared" ca="1" si="3"/>
        <v>0</v>
      </c>
      <c r="AX15" s="411">
        <f t="shared" ca="1" si="45"/>
        <v>27952.326668518523</v>
      </c>
      <c r="AY15" s="414">
        <f ca="1">IF($L$2&gt;=1,(AX15/$A$5)/2,0)</f>
        <v>0</v>
      </c>
      <c r="AZ15" s="412">
        <f>Cromo!V14</f>
        <v>24196.500000000004</v>
      </c>
      <c r="BA15" s="412">
        <f>'Resumo M.O'!$H$14</f>
        <v>1490.6152574074074</v>
      </c>
      <c r="BB15" s="412">
        <f>'Resumo M.O'!$H$29</f>
        <v>2265.2114111111109</v>
      </c>
      <c r="BC15" s="412">
        <f>'Resumo Custos Variáveis'!$J$21</f>
        <v>0</v>
      </c>
      <c r="BD15" s="411">
        <f>'Outros Custos'!$H$31</f>
        <v>0</v>
      </c>
      <c r="BE15" s="411">
        <f>Transporte!$H$20</f>
        <v>0</v>
      </c>
      <c r="BF15" s="411">
        <f>Manutenção!$H$21</f>
        <v>3061.5384615384614</v>
      </c>
      <c r="BG15" s="412">
        <f t="shared" ca="1" si="4"/>
        <v>0</v>
      </c>
      <c r="BH15" s="411">
        <f t="shared" ca="1" si="46"/>
        <v>31013.865130056984</v>
      </c>
      <c r="BI15" s="414">
        <f ca="1">IF($L$2&gt;=1,(BH15/$A$5)/2,0)</f>
        <v>0</v>
      </c>
      <c r="BJ15" s="412">
        <f>Cromo!Y14</f>
        <v>0</v>
      </c>
      <c r="BK15" s="412">
        <f>'Resumo M.O'!$I$14</f>
        <v>1490.6152574074074</v>
      </c>
      <c r="BL15" s="412">
        <f>'Resumo M.O'!$I$29</f>
        <v>2265.2114111111109</v>
      </c>
      <c r="BM15" s="412">
        <f>'Resumo Custos Variáveis'!$K$21</f>
        <v>0</v>
      </c>
      <c r="BN15" s="411">
        <f>'Outros Custos'!$I$31</f>
        <v>0</v>
      </c>
      <c r="BO15" s="411">
        <f>Transporte!$I$20</f>
        <v>0</v>
      </c>
      <c r="BP15" s="411">
        <f>Manutenção!$I$21</f>
        <v>3030.7692307692309</v>
      </c>
      <c r="BQ15" s="412">
        <f t="shared" ca="1" si="5"/>
        <v>0</v>
      </c>
      <c r="BR15" s="411">
        <f t="shared" ca="1" si="47"/>
        <v>6786.5958992877495</v>
      </c>
      <c r="BS15" s="414">
        <f ca="1">IF($L$2&gt;=1,(BR15/$A$5),0)</f>
        <v>0</v>
      </c>
      <c r="BT15" s="412">
        <f>Cromo!AB14</f>
        <v>0</v>
      </c>
      <c r="BU15" s="412">
        <f>'Resumo M.O'!$J$14</f>
        <v>1490.6152574074074</v>
      </c>
      <c r="BV15" s="412">
        <f>'Resumo M.O'!$J$29</f>
        <v>2265.2114111111109</v>
      </c>
      <c r="BW15" s="412">
        <f>'Resumo Custos Variáveis'!$L$21</f>
        <v>0</v>
      </c>
      <c r="BX15" s="411">
        <f>'Outros Custos'!$J$31</f>
        <v>0</v>
      </c>
      <c r="BY15" s="411">
        <f>Transporte!$J$20</f>
        <v>0</v>
      </c>
      <c r="BZ15" s="411">
        <f>Manutenção!$J$21</f>
        <v>0</v>
      </c>
      <c r="CA15" s="412">
        <f t="shared" ca="1" si="6"/>
        <v>0</v>
      </c>
      <c r="CB15" s="411">
        <f t="shared" ca="1" si="48"/>
        <v>3755.8266685185181</v>
      </c>
      <c r="CC15" s="414">
        <f ca="1">IF($L$2&gt;=1,(CB15/$A$5)/2,0)</f>
        <v>0</v>
      </c>
      <c r="CD15" s="412">
        <f>Cromo!AE14</f>
        <v>0</v>
      </c>
      <c r="CE15" s="412">
        <f>'Resumo M.O'!$K$14</f>
        <v>1490.6152574074074</v>
      </c>
      <c r="CF15" s="412">
        <f>'Resumo M.O'!$K$29</f>
        <v>2265.2114111111109</v>
      </c>
      <c r="CG15" s="412">
        <f>'Resumo Custos Variáveis'!$M$21</f>
        <v>0</v>
      </c>
      <c r="CH15" s="411">
        <f>'Outros Custos'!$K$31</f>
        <v>0</v>
      </c>
      <c r="CI15" s="411">
        <f>Transporte!$K$20</f>
        <v>0</v>
      </c>
      <c r="CJ15" s="411">
        <f>Manutenção!$K$21</f>
        <v>0</v>
      </c>
      <c r="CK15" s="412">
        <f t="shared" ca="1" si="7"/>
        <v>0</v>
      </c>
      <c r="CL15" s="411">
        <f t="shared" ca="1" si="27"/>
        <v>3755.8266685185181</v>
      </c>
      <c r="CM15" s="414">
        <f ca="1">IF($L$2&gt;=1,(CL15/$A$5)/2,0)</f>
        <v>0</v>
      </c>
      <c r="CN15" s="412">
        <f>Cromo!AH14</f>
        <v>0</v>
      </c>
      <c r="CO15" s="412">
        <f>'Resumo M.O'!$L$14</f>
        <v>1490.6152574074074</v>
      </c>
      <c r="CP15" s="412">
        <f>'Resumo M.O'!$L$29</f>
        <v>2265.2114111111109</v>
      </c>
      <c r="CQ15" s="412">
        <f>'Resumo Custos Variáveis'!$N$21</f>
        <v>0</v>
      </c>
      <c r="CR15" s="411">
        <f>'Outros Custos'!$L$31</f>
        <v>0</v>
      </c>
      <c r="CS15" s="411">
        <f>Transporte!$L$20</f>
        <v>0</v>
      </c>
      <c r="CT15" s="411">
        <f>Manutenção!$L$21</f>
        <v>0</v>
      </c>
      <c r="CU15" s="412">
        <f t="shared" ca="1" si="8"/>
        <v>0</v>
      </c>
      <c r="CV15" s="411">
        <f t="shared" ca="1" si="28"/>
        <v>3755.8266685185181</v>
      </c>
      <c r="CW15" s="414">
        <f ca="1">IF($L$2&gt;=1,(CV15/$A$5)/2,0)</f>
        <v>0</v>
      </c>
      <c r="CX15" s="412">
        <f>Cromo!AK14</f>
        <v>0</v>
      </c>
      <c r="CY15" s="412">
        <f>'Resumo M.O'!$M$14</f>
        <v>1490.6152574074074</v>
      </c>
      <c r="CZ15" s="412">
        <f>'Resumo M.O'!$M$29</f>
        <v>2265.2114111111109</v>
      </c>
      <c r="DA15" s="412">
        <f>'Resumo Custos Variáveis'!$O$21</f>
        <v>0</v>
      </c>
      <c r="DB15" s="411">
        <f>'Outros Custos'!$M$31</f>
        <v>0</v>
      </c>
      <c r="DC15" s="411">
        <f>Transporte!$M$20</f>
        <v>0</v>
      </c>
      <c r="DD15" s="411">
        <f>Manutenção!$M$21</f>
        <v>0</v>
      </c>
      <c r="DE15" s="412">
        <f t="shared" ca="1" si="9"/>
        <v>0</v>
      </c>
      <c r="DF15" s="411">
        <f t="shared" ca="1" si="29"/>
        <v>3755.8266685185181</v>
      </c>
      <c r="DG15" s="414">
        <f ca="1">IF($L$2&gt;=1,(DF15/$A$5)/2,0)</f>
        <v>0</v>
      </c>
      <c r="DH15" s="412">
        <f>Cromo!AN14</f>
        <v>0</v>
      </c>
      <c r="DI15" s="413">
        <f>'Resumo M.O'!$N$14</f>
        <v>1490.6152574074074</v>
      </c>
      <c r="DJ15" s="413">
        <f>'Resumo M.O'!$N$29</f>
        <v>2265.2114111111109</v>
      </c>
      <c r="DK15" s="413">
        <f>'Resumo Custos Variáveis'!$P$21</f>
        <v>0</v>
      </c>
      <c r="DL15" s="72">
        <f>'Outros Custos'!$N$31</f>
        <v>0</v>
      </c>
      <c r="DM15" s="72">
        <f>Transporte!$N$20</f>
        <v>0</v>
      </c>
      <c r="DN15" s="72">
        <f>Manutenção!$N$21</f>
        <v>0</v>
      </c>
      <c r="DO15" s="413">
        <f t="shared" ca="1" si="10"/>
        <v>0</v>
      </c>
      <c r="DP15" s="72">
        <f t="shared" ca="1" si="30"/>
        <v>3755.8266685185181</v>
      </c>
      <c r="DQ15" s="414">
        <f ca="1">IF(L2&gt;=1,(DP15/$A$5)/2,0)</f>
        <v>0</v>
      </c>
      <c r="DS15" s="411">
        <f t="shared" ca="1" si="11"/>
        <v>0</v>
      </c>
      <c r="DT15" s="411">
        <f t="shared" ca="1" si="12"/>
        <v>0</v>
      </c>
      <c r="DU15" s="411">
        <f t="shared" ca="1" si="13"/>
        <v>0</v>
      </c>
      <c r="DV15" s="411">
        <f t="shared" ca="1" si="14"/>
        <v>0</v>
      </c>
      <c r="DW15" s="411">
        <f t="shared" ca="1" si="15"/>
        <v>0</v>
      </c>
      <c r="DX15" s="411">
        <f t="shared" ca="1" si="16"/>
        <v>0</v>
      </c>
      <c r="DY15" s="411">
        <f t="shared" ca="1" si="17"/>
        <v>0</v>
      </c>
      <c r="DZ15" s="411">
        <f t="shared" ca="1" si="18"/>
        <v>0</v>
      </c>
      <c r="EA15" s="411">
        <f t="shared" ca="1" si="19"/>
        <v>0</v>
      </c>
      <c r="EB15" s="411">
        <f t="shared" ca="1" si="20"/>
        <v>0</v>
      </c>
      <c r="EC15" s="411">
        <f t="shared" ca="1" si="21"/>
        <v>0</v>
      </c>
      <c r="ED15" s="411">
        <f t="shared" ca="1" si="22"/>
        <v>0</v>
      </c>
      <c r="EF15" s="412">
        <f>(B15/$A$5)</f>
        <v>0</v>
      </c>
      <c r="EG15" s="412">
        <f t="shared" si="31"/>
        <v>0</v>
      </c>
      <c r="EH15" s="412">
        <f t="shared" si="32"/>
        <v>135.35686363636367</v>
      </c>
      <c r="EI15" s="412">
        <f t="shared" si="33"/>
        <v>133.81663636363638</v>
      </c>
      <c r="EJ15" s="412">
        <f t="shared" si="34"/>
        <v>109.98409090909092</v>
      </c>
      <c r="EK15" s="412">
        <f t="shared" si="35"/>
        <v>109.98409090909092</v>
      </c>
      <c r="EL15" s="412">
        <f t="shared" si="36"/>
        <v>0</v>
      </c>
      <c r="EM15" s="412">
        <f t="shared" si="37"/>
        <v>0</v>
      </c>
      <c r="EN15" s="412">
        <f t="shared" si="38"/>
        <v>0</v>
      </c>
      <c r="EO15" s="412">
        <f t="shared" si="39"/>
        <v>0</v>
      </c>
      <c r="EP15" s="412">
        <f t="shared" si="40"/>
        <v>0</v>
      </c>
      <c r="EQ15" s="412">
        <f t="shared" si="41"/>
        <v>0</v>
      </c>
    </row>
    <row r="16" spans="1:147" x14ac:dyDescent="0.3">
      <c r="A16" s="416" t="s">
        <v>185</v>
      </c>
      <c r="B16" s="411">
        <f>'Desplacante  '!G14</f>
        <v>0</v>
      </c>
      <c r="C16" s="411">
        <f>'Resumo M.O'!$C$14</f>
        <v>1490.6152574074074</v>
      </c>
      <c r="D16" s="412">
        <f>'Resumo M.O'!$C$29</f>
        <v>2265.2114111111109</v>
      </c>
      <c r="E16" s="413">
        <f>'Resumo Custos Variáveis'!$E$21</f>
        <v>0</v>
      </c>
      <c r="F16" s="411">
        <f>'Outros Custos'!$C$31</f>
        <v>0</v>
      </c>
      <c r="G16" s="411">
        <f>Transporte!$C$20</f>
        <v>0</v>
      </c>
      <c r="H16" s="411">
        <f>Manutenção!$C$21</f>
        <v>0</v>
      </c>
      <c r="I16" s="412">
        <v>0</v>
      </c>
      <c r="J16" s="411">
        <f t="shared" si="23"/>
        <v>3755.8266685185181</v>
      </c>
      <c r="K16" s="414">
        <f t="shared" ca="1" si="24"/>
        <v>0</v>
      </c>
      <c r="L16" s="411">
        <f>'Desplacante  '!J14</f>
        <v>0</v>
      </c>
      <c r="M16" s="412">
        <f>'Resumo M.O'!$D$14</f>
        <v>1490.6152574074074</v>
      </c>
      <c r="N16" s="412">
        <f>'Resumo M.O'!$D$29</f>
        <v>2265.2114111111109</v>
      </c>
      <c r="O16" s="412">
        <f>'Resumo Custos Variáveis'!$F$21</f>
        <v>0</v>
      </c>
      <c r="P16" s="411">
        <f>'Outros Custos'!$D$31</f>
        <v>0</v>
      </c>
      <c r="Q16" s="411">
        <f>Transporte!$D$20</f>
        <v>0</v>
      </c>
      <c r="R16" s="411">
        <f>Manutenção!$D$21</f>
        <v>0</v>
      </c>
      <c r="S16" s="412">
        <f t="shared" ref="S16:S25" si="50">I16</f>
        <v>0</v>
      </c>
      <c r="T16" s="411">
        <f t="shared" si="42"/>
        <v>3755.8266685185181</v>
      </c>
      <c r="U16" s="414">
        <f t="shared" ca="1" si="25"/>
        <v>0</v>
      </c>
      <c r="V16" s="411">
        <f>'Desplacante  '!M14</f>
        <v>0</v>
      </c>
      <c r="W16" s="413">
        <f>'Resumo M.O'!$E$14</f>
        <v>1490.6152574074074</v>
      </c>
      <c r="X16" s="413">
        <f>'Resumo M.O'!$E$29</f>
        <v>2265.2114111111109</v>
      </c>
      <c r="Y16" s="413">
        <f>'Resumo Custos Variáveis'!$G$21</f>
        <v>2404.5263157894738</v>
      </c>
      <c r="Z16" s="72">
        <f>'Outros Custos'!$E$31</f>
        <v>0</v>
      </c>
      <c r="AA16" s="72">
        <f>Transporte!$E$20</f>
        <v>0</v>
      </c>
      <c r="AB16" s="72">
        <f>Manutenção!$E$21</f>
        <v>0</v>
      </c>
      <c r="AC16" s="413">
        <f t="shared" ref="AC16:AC25" si="51">S16</f>
        <v>0</v>
      </c>
      <c r="AD16" s="72">
        <f t="shared" si="43"/>
        <v>6160.3529843079923</v>
      </c>
      <c r="AE16" s="414">
        <f t="shared" ca="1" si="26"/>
        <v>0</v>
      </c>
      <c r="AF16" s="411">
        <f>'Desplacante  '!P14</f>
        <v>0</v>
      </c>
      <c r="AG16" s="412">
        <f>'Resumo M.O'!$F$14</f>
        <v>1490.6152574074074</v>
      </c>
      <c r="AH16" s="412">
        <f>'Resumo M.O'!$F$29</f>
        <v>2265.2114111111109</v>
      </c>
      <c r="AI16" s="412">
        <f>'Resumo Custos Variáveis'!$H$21</f>
        <v>1573.8421052631579</v>
      </c>
      <c r="AJ16" s="411">
        <f>'Outros Custos'!$F$31</f>
        <v>0</v>
      </c>
      <c r="AK16" s="411">
        <f>Transporte!$F$20</f>
        <v>0</v>
      </c>
      <c r="AL16" s="411">
        <f>Manutenção!$F$21</f>
        <v>0</v>
      </c>
      <c r="AM16" s="412">
        <f t="shared" ref="AM16:AM25" si="52">AC16</f>
        <v>0</v>
      </c>
      <c r="AN16" s="411">
        <f t="shared" si="44"/>
        <v>5329.6687737816756</v>
      </c>
      <c r="AO16" s="414">
        <f ca="1">IF($L$2&gt;=1,AN16/$A$5,0)</f>
        <v>0</v>
      </c>
      <c r="AP16" s="411">
        <f>'Desplacante  '!S14</f>
        <v>0</v>
      </c>
      <c r="AQ16" s="412">
        <f>'Resumo M.O'!$G$14</f>
        <v>1490.6152574074074</v>
      </c>
      <c r="AR16" s="412">
        <f>'Resumo M.O'!$G$29</f>
        <v>2265.2114111111109</v>
      </c>
      <c r="AS16" s="412">
        <f>'Resumo Custos Variáveis'!$I$21</f>
        <v>0</v>
      </c>
      <c r="AT16" s="411">
        <f>'Outros Custos'!$G$31</f>
        <v>0</v>
      </c>
      <c r="AU16" s="411">
        <f>Transporte!$G$20</f>
        <v>0</v>
      </c>
      <c r="AV16" s="411">
        <f>Manutenção!$G$21</f>
        <v>0</v>
      </c>
      <c r="AW16" s="412">
        <f t="shared" ref="AW16:AW25" si="53">AM16</f>
        <v>0</v>
      </c>
      <c r="AX16" s="411">
        <f t="shared" si="45"/>
        <v>3755.8266685185181</v>
      </c>
      <c r="AY16" s="414">
        <f ca="1">IF($L$2&gt;=1,AX16/$A$5,0)</f>
        <v>0</v>
      </c>
      <c r="AZ16" s="411">
        <f>'Desplacante  '!V14</f>
        <v>0</v>
      </c>
      <c r="BA16" s="412">
        <f>'Resumo M.O'!$H$14</f>
        <v>1490.6152574074074</v>
      </c>
      <c r="BB16" s="412">
        <f>'Resumo M.O'!$H$29</f>
        <v>2265.2114111111109</v>
      </c>
      <c r="BC16" s="412">
        <f>'Resumo Custos Variáveis'!$J$21</f>
        <v>0</v>
      </c>
      <c r="BD16" s="411">
        <f>'Outros Custos'!$H$31</f>
        <v>0</v>
      </c>
      <c r="BE16" s="411">
        <f>Transporte!$H$20</f>
        <v>0</v>
      </c>
      <c r="BF16" s="411">
        <f>Manutenção!$H$21</f>
        <v>3061.5384615384614</v>
      </c>
      <c r="BG16" s="412">
        <f t="shared" ref="BG16:BG25" si="54">AW16</f>
        <v>0</v>
      </c>
      <c r="BH16" s="411">
        <f t="shared" si="46"/>
        <v>6817.36513005698</v>
      </c>
      <c r="BI16" s="414">
        <f ca="1">IF($L$2&gt;=1,BH16/$A$5,0)</f>
        <v>0</v>
      </c>
      <c r="BJ16" s="411">
        <f>'Desplacante  '!Y14</f>
        <v>0</v>
      </c>
      <c r="BK16" s="412">
        <f>'Resumo M.O'!$I$14</f>
        <v>1490.6152574074074</v>
      </c>
      <c r="BL16" s="412">
        <f>'Resumo M.O'!$I$29</f>
        <v>2265.2114111111109</v>
      </c>
      <c r="BM16" s="412">
        <f>'Resumo Custos Variáveis'!$K$21</f>
        <v>0</v>
      </c>
      <c r="BN16" s="411">
        <f>'Outros Custos'!$I$31</f>
        <v>0</v>
      </c>
      <c r="BO16" s="411">
        <f>Transporte!$I$20</f>
        <v>0</v>
      </c>
      <c r="BP16" s="411">
        <f>Manutenção!$I$21</f>
        <v>3030.7692307692309</v>
      </c>
      <c r="BQ16" s="412">
        <f t="shared" ref="BQ16:BQ25" si="55">BG16</f>
        <v>0</v>
      </c>
      <c r="BR16" s="411">
        <f t="shared" si="47"/>
        <v>6786.5958992877495</v>
      </c>
      <c r="BS16" s="414">
        <f ca="1">IF($L$2&gt;=1,BR16/$A$5,0)</f>
        <v>0</v>
      </c>
      <c r="BT16" s="411">
        <f>'Desplacante  '!AB14</f>
        <v>0</v>
      </c>
      <c r="BU16" s="412">
        <f>'Resumo M.O'!$J$14</f>
        <v>1490.6152574074074</v>
      </c>
      <c r="BV16" s="412">
        <f>'Resumo M.O'!$J$29</f>
        <v>2265.2114111111109</v>
      </c>
      <c r="BW16" s="412">
        <f>'Resumo Custos Variáveis'!$L$21</f>
        <v>0</v>
      </c>
      <c r="BX16" s="411">
        <f>'Outros Custos'!$J$31</f>
        <v>0</v>
      </c>
      <c r="BY16" s="411">
        <f>Transporte!$J$20</f>
        <v>0</v>
      </c>
      <c r="BZ16" s="411">
        <f>Manutenção!$J$21</f>
        <v>0</v>
      </c>
      <c r="CA16" s="412">
        <f t="shared" ref="CA16:CA25" si="56">BQ16</f>
        <v>0</v>
      </c>
      <c r="CB16" s="411">
        <f t="shared" si="48"/>
        <v>3755.8266685185181</v>
      </c>
      <c r="CC16" s="414">
        <f ca="1">IF($L$2&gt;=1,CB16/$A$5,0)</f>
        <v>0</v>
      </c>
      <c r="CD16" s="411">
        <f>'Desplacante  '!AE14</f>
        <v>0</v>
      </c>
      <c r="CE16" s="412">
        <f>'Resumo M.O'!$K$14</f>
        <v>1490.6152574074074</v>
      </c>
      <c r="CF16" s="412">
        <f>'Resumo M.O'!$K$29</f>
        <v>2265.2114111111109</v>
      </c>
      <c r="CG16" s="412">
        <f>'Resumo Custos Variáveis'!$M$21</f>
        <v>0</v>
      </c>
      <c r="CH16" s="411">
        <f>'Outros Custos'!$K$31</f>
        <v>0</v>
      </c>
      <c r="CI16" s="411">
        <f>Transporte!$K$20</f>
        <v>0</v>
      </c>
      <c r="CJ16" s="411">
        <f>Manutenção!$K$21</f>
        <v>0</v>
      </c>
      <c r="CK16" s="412">
        <f t="shared" ref="CK16:CK25" si="57">CA16</f>
        <v>0</v>
      </c>
      <c r="CL16" s="411">
        <f t="shared" si="27"/>
        <v>3755.8266685185181</v>
      </c>
      <c r="CM16" s="414">
        <f ca="1">IF($L$2&gt;=1,CL16/$A$5,0)</f>
        <v>0</v>
      </c>
      <c r="CN16" s="411">
        <f>'Desplacante  '!AH14</f>
        <v>0</v>
      </c>
      <c r="CO16" s="412">
        <f>'Resumo M.O'!$L$14</f>
        <v>1490.6152574074074</v>
      </c>
      <c r="CP16" s="412">
        <f>'Resumo M.O'!$L$29</f>
        <v>2265.2114111111109</v>
      </c>
      <c r="CQ16" s="412">
        <f>'Resumo Custos Variáveis'!$N$21</f>
        <v>0</v>
      </c>
      <c r="CR16" s="411">
        <f>'Outros Custos'!$L$31</f>
        <v>0</v>
      </c>
      <c r="CS16" s="411">
        <f>Transporte!$L$20</f>
        <v>0</v>
      </c>
      <c r="CT16" s="411">
        <f>Manutenção!$L$21</f>
        <v>0</v>
      </c>
      <c r="CU16" s="412">
        <f t="shared" ref="CU16:CU25" si="58">CK16</f>
        <v>0</v>
      </c>
      <c r="CV16" s="411">
        <f t="shared" si="28"/>
        <v>3755.8266685185181</v>
      </c>
      <c r="CW16" s="414">
        <f ca="1">IF($L$2&gt;=1,CV16/$A$5,0)</f>
        <v>0</v>
      </c>
      <c r="CX16" s="411">
        <f>'Desplacante  '!AK14</f>
        <v>0</v>
      </c>
      <c r="CY16" s="412">
        <f>'Resumo M.O'!$M$14</f>
        <v>1490.6152574074074</v>
      </c>
      <c r="CZ16" s="412">
        <f>'Resumo M.O'!$M$29</f>
        <v>2265.2114111111109</v>
      </c>
      <c r="DA16" s="412">
        <f>'Resumo Custos Variáveis'!$O$21</f>
        <v>0</v>
      </c>
      <c r="DB16" s="411">
        <f>'Outros Custos'!$M$31</f>
        <v>0</v>
      </c>
      <c r="DC16" s="411">
        <f>Transporte!$M$20</f>
        <v>0</v>
      </c>
      <c r="DD16" s="411">
        <f>Manutenção!$M$21</f>
        <v>0</v>
      </c>
      <c r="DE16" s="412">
        <f t="shared" ref="DE16:DE25" si="59">CU16</f>
        <v>0</v>
      </c>
      <c r="DF16" s="411">
        <f t="shared" si="29"/>
        <v>3755.8266685185181</v>
      </c>
      <c r="DG16" s="414">
        <f ca="1">IF($L$2&gt;=1,DF16/$A$5,0)</f>
        <v>0</v>
      </c>
      <c r="DH16" s="411">
        <f>'Desplacante  '!AN14</f>
        <v>0</v>
      </c>
      <c r="DI16" s="413">
        <f>'Resumo M.O'!$N$14</f>
        <v>1490.6152574074074</v>
      </c>
      <c r="DJ16" s="413">
        <f>'Resumo M.O'!$N$29</f>
        <v>2265.2114111111109</v>
      </c>
      <c r="DK16" s="413">
        <f>'Resumo Custos Variáveis'!$P$21</f>
        <v>0</v>
      </c>
      <c r="DL16" s="72">
        <f>'Outros Custos'!$N$31</f>
        <v>0</v>
      </c>
      <c r="DM16" s="72">
        <f>Transporte!$N$20</f>
        <v>0</v>
      </c>
      <c r="DN16" s="72">
        <f>Manutenção!$N$21</f>
        <v>0</v>
      </c>
      <c r="DO16" s="413">
        <f t="shared" ref="DO16:DO25" si="60">DE16</f>
        <v>0</v>
      </c>
      <c r="DP16" s="72">
        <f t="shared" si="30"/>
        <v>3755.8266685185181</v>
      </c>
      <c r="DQ16" s="414">
        <f ca="1">IF($L$2&gt;=1,DP16/$A$5,0)</f>
        <v>0</v>
      </c>
      <c r="DS16" s="411">
        <f t="shared" ca="1" si="11"/>
        <v>0</v>
      </c>
      <c r="DT16" s="411">
        <f t="shared" ca="1" si="12"/>
        <v>0</v>
      </c>
      <c r="DU16" s="411">
        <f t="shared" ca="1" si="13"/>
        <v>0</v>
      </c>
      <c r="DV16" s="411">
        <f t="shared" ca="1" si="14"/>
        <v>0</v>
      </c>
      <c r="DW16" s="411">
        <f t="shared" ca="1" si="15"/>
        <v>0</v>
      </c>
      <c r="DX16" s="411">
        <f t="shared" ca="1" si="16"/>
        <v>0</v>
      </c>
      <c r="DY16" s="411">
        <f t="shared" ca="1" si="17"/>
        <v>0</v>
      </c>
      <c r="DZ16" s="411">
        <f ca="1">CC16</f>
        <v>0</v>
      </c>
      <c r="EA16" s="411">
        <f t="shared" ca="1" si="19"/>
        <v>0</v>
      </c>
      <c r="EB16" s="411">
        <f t="shared" ca="1" si="20"/>
        <v>0</v>
      </c>
      <c r="EC16" s="411">
        <f t="shared" ca="1" si="21"/>
        <v>0</v>
      </c>
      <c r="ED16" s="411">
        <f t="shared" ca="1" si="22"/>
        <v>0</v>
      </c>
      <c r="EF16" s="412">
        <f t="shared" si="49"/>
        <v>0</v>
      </c>
      <c r="EG16" s="412">
        <f t="shared" si="31"/>
        <v>0</v>
      </c>
      <c r="EH16" s="412">
        <f t="shared" si="32"/>
        <v>0</v>
      </c>
      <c r="EI16" s="412">
        <f t="shared" si="33"/>
        <v>0</v>
      </c>
      <c r="EJ16" s="412">
        <f t="shared" si="34"/>
        <v>0</v>
      </c>
      <c r="EK16" s="412">
        <f t="shared" si="35"/>
        <v>0</v>
      </c>
      <c r="EL16" s="412">
        <f t="shared" si="36"/>
        <v>0</v>
      </c>
      <c r="EM16" s="412">
        <f t="shared" si="37"/>
        <v>0</v>
      </c>
      <c r="EN16" s="412">
        <f t="shared" si="38"/>
        <v>0</v>
      </c>
      <c r="EO16" s="412">
        <f t="shared" si="39"/>
        <v>0</v>
      </c>
      <c r="EP16" s="412">
        <f t="shared" si="40"/>
        <v>0</v>
      </c>
      <c r="EQ16" s="412">
        <f t="shared" si="41"/>
        <v>0</v>
      </c>
    </row>
    <row r="17" spans="1:147" x14ac:dyDescent="0.3">
      <c r="A17" s="416" t="s">
        <v>192</v>
      </c>
      <c r="B17" s="411">
        <f>'Pré Tratamento Verniz'!G14</f>
        <v>0</v>
      </c>
      <c r="C17" s="411">
        <f>'Resumo M.O'!$C$27</f>
        <v>1907.3421935185186</v>
      </c>
      <c r="D17" s="412">
        <f>'Resumo M.O'!$C$31</f>
        <v>1526.3288790123456</v>
      </c>
      <c r="E17" s="413">
        <f>'Resumo Custos Variáveis'!$E$21</f>
        <v>0</v>
      </c>
      <c r="F17" s="411">
        <f>'Outros Custos'!$C$31</f>
        <v>0</v>
      </c>
      <c r="G17" s="411">
        <f>Transporte!$C$20</f>
        <v>0</v>
      </c>
      <c r="H17" s="411">
        <f>Manutenção!$C$21</f>
        <v>0</v>
      </c>
      <c r="I17" s="412">
        <v>0</v>
      </c>
      <c r="J17" s="411">
        <f t="shared" si="23"/>
        <v>3433.671072530864</v>
      </c>
      <c r="K17" s="414">
        <f t="shared" ca="1" si="24"/>
        <v>0</v>
      </c>
      <c r="L17" s="411">
        <f>'Pré Tratamento Verniz'!J14</f>
        <v>0</v>
      </c>
      <c r="M17" s="411">
        <f>'Resumo M.O'!$D$27</f>
        <v>1907.3421935185186</v>
      </c>
      <c r="N17" s="412">
        <f>'Resumo M.O'!$D$31</f>
        <v>1526.3288790123456</v>
      </c>
      <c r="O17" s="412">
        <f>'Resumo Custos Variáveis'!$F$21</f>
        <v>0</v>
      </c>
      <c r="P17" s="411">
        <f>'Outros Custos'!$D$31</f>
        <v>0</v>
      </c>
      <c r="Q17" s="411">
        <f>Transporte!$D$20</f>
        <v>0</v>
      </c>
      <c r="R17" s="411">
        <f>Manutenção!$D$21</f>
        <v>0</v>
      </c>
      <c r="S17" s="412">
        <f t="shared" si="50"/>
        <v>0</v>
      </c>
      <c r="T17" s="411">
        <f t="shared" si="42"/>
        <v>3433.671072530864</v>
      </c>
      <c r="U17" s="414">
        <f t="shared" ca="1" si="25"/>
        <v>0</v>
      </c>
      <c r="V17" s="411">
        <f>'Pré Tratamento Verniz'!M14</f>
        <v>140</v>
      </c>
      <c r="W17" s="72">
        <f>'Resumo M.O'!$E$27</f>
        <v>1907.3421935185186</v>
      </c>
      <c r="X17" s="413">
        <f>'Resumo M.O'!$E$31</f>
        <v>1526.3288790123456</v>
      </c>
      <c r="Y17" s="413">
        <f>'Resumo Custos Variáveis'!$G$21</f>
        <v>2404.5263157894738</v>
      </c>
      <c r="Z17" s="72">
        <f>'Outros Custos'!$E$31</f>
        <v>0</v>
      </c>
      <c r="AA17" s="72">
        <f>Transporte!$E$20</f>
        <v>0</v>
      </c>
      <c r="AB17" s="72">
        <f>Manutenção!$E$21</f>
        <v>0</v>
      </c>
      <c r="AC17" s="413">
        <f t="shared" si="51"/>
        <v>0</v>
      </c>
      <c r="AD17" s="72">
        <f t="shared" si="43"/>
        <v>5978.1973883203373</v>
      </c>
      <c r="AE17" s="414">
        <f t="shared" ca="1" si="26"/>
        <v>0</v>
      </c>
      <c r="AF17" s="411">
        <f>'Pré Tratamento Verniz'!P14</f>
        <v>0</v>
      </c>
      <c r="AG17" s="411">
        <f>'Resumo M.O'!$F$27</f>
        <v>1907.3421935185186</v>
      </c>
      <c r="AH17" s="412">
        <f>'Resumo M.O'!$F$31</f>
        <v>1526.3288790123456</v>
      </c>
      <c r="AI17" s="412">
        <f>'Resumo Custos Variáveis'!$H$21</f>
        <v>1573.8421052631579</v>
      </c>
      <c r="AJ17" s="411">
        <f>'Outros Custos'!$F$31</f>
        <v>0</v>
      </c>
      <c r="AK17" s="411">
        <f>Transporte!$F$20</f>
        <v>0</v>
      </c>
      <c r="AL17" s="411">
        <f>Manutenção!$F$21</f>
        <v>0</v>
      </c>
      <c r="AM17" s="412">
        <f t="shared" si="52"/>
        <v>0</v>
      </c>
      <c r="AN17" s="411">
        <f t="shared" si="44"/>
        <v>5007.5131777940223</v>
      </c>
      <c r="AO17" s="414">
        <f ca="1">IF($L$2&gt;=1,AN17/$A$5,0)</f>
        <v>0</v>
      </c>
      <c r="AP17" s="411">
        <f>'Pré Tratamento Verniz'!S14</f>
        <v>0</v>
      </c>
      <c r="AQ17" s="411">
        <f>'Resumo M.O'!$G$27</f>
        <v>1907.3421935185186</v>
      </c>
      <c r="AR17" s="412">
        <f>'Resumo M.O'!$G$31</f>
        <v>1526.3288790123456</v>
      </c>
      <c r="AS17" s="412">
        <f>'Resumo Custos Variáveis'!$I$21</f>
        <v>0</v>
      </c>
      <c r="AT17" s="411">
        <f>'Outros Custos'!$G$31</f>
        <v>0</v>
      </c>
      <c r="AU17" s="411">
        <f>Transporte!$G$20</f>
        <v>0</v>
      </c>
      <c r="AV17" s="411">
        <f>Manutenção!$G$21</f>
        <v>0</v>
      </c>
      <c r="AW17" s="412">
        <f t="shared" si="53"/>
        <v>0</v>
      </c>
      <c r="AX17" s="411">
        <f t="shared" si="45"/>
        <v>3433.671072530864</v>
      </c>
      <c r="AY17" s="414">
        <f ca="1">IF($L$2&gt;=1,AX17/$A$5,0)</f>
        <v>0</v>
      </c>
      <c r="AZ17" s="411">
        <f>'Pré Tratamento Verniz'!V14</f>
        <v>0</v>
      </c>
      <c r="BA17" s="411">
        <f>'Resumo M.O'!$H$27</f>
        <v>1907.3421935185186</v>
      </c>
      <c r="BB17" s="412">
        <f>'Resumo M.O'!$H$31</f>
        <v>1526.3288790123456</v>
      </c>
      <c r="BC17" s="412">
        <f>'Resumo Custos Variáveis'!$J$21</f>
        <v>0</v>
      </c>
      <c r="BD17" s="411">
        <f>'Outros Custos'!$H$31</f>
        <v>0</v>
      </c>
      <c r="BE17" s="411">
        <f>Transporte!$H$20</f>
        <v>0</v>
      </c>
      <c r="BF17" s="411">
        <f>Manutenção!$H$21</f>
        <v>3061.5384615384614</v>
      </c>
      <c r="BG17" s="412">
        <f t="shared" si="54"/>
        <v>0</v>
      </c>
      <c r="BH17" s="411">
        <f t="shared" si="46"/>
        <v>6495.2095340693249</v>
      </c>
      <c r="BI17" s="414">
        <f ca="1">IF($L$2&gt;=1,BH17/$A$5,0)</f>
        <v>0</v>
      </c>
      <c r="BJ17" s="411">
        <f>'Pré Tratamento Verniz'!Y14</f>
        <v>0</v>
      </c>
      <c r="BK17" s="411">
        <f>'Resumo M.O'!$I$27</f>
        <v>1907.3421935185186</v>
      </c>
      <c r="BL17" s="412">
        <f>'Resumo M.O'!$I$31</f>
        <v>1526.3288790123456</v>
      </c>
      <c r="BM17" s="412">
        <f>'Resumo Custos Variáveis'!$K$21</f>
        <v>0</v>
      </c>
      <c r="BN17" s="411">
        <f>'Outros Custos'!$I$31</f>
        <v>0</v>
      </c>
      <c r="BO17" s="411">
        <f>Transporte!$I$20</f>
        <v>0</v>
      </c>
      <c r="BP17" s="411">
        <f>Manutenção!$I$21</f>
        <v>3030.7692307692309</v>
      </c>
      <c r="BQ17" s="412">
        <f t="shared" si="55"/>
        <v>0</v>
      </c>
      <c r="BR17" s="411">
        <f t="shared" si="47"/>
        <v>6464.4403033000945</v>
      </c>
      <c r="BS17" s="414">
        <f ca="1">IF($L$2&gt;=1,BR17/$A$5,0)</f>
        <v>0</v>
      </c>
      <c r="BT17" s="411">
        <f>'Pré Tratamento Verniz'!AB14</f>
        <v>0</v>
      </c>
      <c r="BU17" s="411">
        <f>'Resumo M.O'!$J$27</f>
        <v>1907.3421935185186</v>
      </c>
      <c r="BV17" s="412">
        <f>'Resumo M.O'!$J$31</f>
        <v>1526.3288790123456</v>
      </c>
      <c r="BW17" s="412">
        <f>'Resumo Custos Variáveis'!$L$21</f>
        <v>0</v>
      </c>
      <c r="BX17" s="411">
        <f>'Outros Custos'!$J$31</f>
        <v>0</v>
      </c>
      <c r="BY17" s="411">
        <f>Transporte!$J$20</f>
        <v>0</v>
      </c>
      <c r="BZ17" s="411">
        <f>Manutenção!$J$21</f>
        <v>0</v>
      </c>
      <c r="CA17" s="412">
        <f t="shared" si="56"/>
        <v>0</v>
      </c>
      <c r="CB17" s="411">
        <f t="shared" si="48"/>
        <v>3433.671072530864</v>
      </c>
      <c r="CC17" s="414">
        <f ca="1">IF($L$2&gt;=1,CB17/$A$5,0)</f>
        <v>0</v>
      </c>
      <c r="CD17" s="411">
        <f>'Pré Tratamento Verniz'!AE14</f>
        <v>0</v>
      </c>
      <c r="CE17" s="411">
        <f>'Resumo M.O'!$K$27</f>
        <v>1907.3421935185186</v>
      </c>
      <c r="CF17" s="412">
        <f>'Resumo M.O'!$K$31</f>
        <v>1526.3288790123456</v>
      </c>
      <c r="CG17" s="412">
        <f>'Resumo Custos Variáveis'!$M$21</f>
        <v>0</v>
      </c>
      <c r="CH17" s="411">
        <f>'Outros Custos'!$K$31</f>
        <v>0</v>
      </c>
      <c r="CI17" s="411">
        <f>Transporte!$K$20</f>
        <v>0</v>
      </c>
      <c r="CJ17" s="411">
        <f>Manutenção!$K$21</f>
        <v>0</v>
      </c>
      <c r="CK17" s="412">
        <f t="shared" si="57"/>
        <v>0</v>
      </c>
      <c r="CL17" s="411">
        <f t="shared" si="27"/>
        <v>3433.671072530864</v>
      </c>
      <c r="CM17" s="414">
        <f ca="1">IF($L$2&gt;=1,CL17/$A$5,0)</f>
        <v>0</v>
      </c>
      <c r="CN17" s="411">
        <f>'Pré Tratamento Verniz'!AH14</f>
        <v>0</v>
      </c>
      <c r="CO17" s="411">
        <f>'Resumo M.O'!$L$27</f>
        <v>1907.3421935185186</v>
      </c>
      <c r="CP17" s="412">
        <f>'Resumo M.O'!$L$31</f>
        <v>1526.3288790123456</v>
      </c>
      <c r="CQ17" s="412">
        <f>'Resumo Custos Variáveis'!$N$21</f>
        <v>0</v>
      </c>
      <c r="CR17" s="411">
        <f>'Outros Custos'!$L$31</f>
        <v>0</v>
      </c>
      <c r="CS17" s="411">
        <f>Transporte!$L$20</f>
        <v>0</v>
      </c>
      <c r="CT17" s="411">
        <f>Manutenção!$L$21</f>
        <v>0</v>
      </c>
      <c r="CU17" s="412">
        <f t="shared" si="58"/>
        <v>0</v>
      </c>
      <c r="CV17" s="411">
        <f t="shared" si="28"/>
        <v>3433.671072530864</v>
      </c>
      <c r="CW17" s="414">
        <f ca="1">IF($L$2&gt;=1,CV17/$A$5,0)</f>
        <v>0</v>
      </c>
      <c r="CX17" s="411">
        <f>'Pré Tratamento Verniz'!AK14</f>
        <v>0</v>
      </c>
      <c r="CY17" s="411">
        <f>'Resumo M.O'!$M$27</f>
        <v>1907.3421935185186</v>
      </c>
      <c r="CZ17" s="412">
        <f>'Resumo M.O'!$M$31</f>
        <v>1526.3288790123456</v>
      </c>
      <c r="DA17" s="412">
        <f>'Resumo Custos Variáveis'!$O$21</f>
        <v>0</v>
      </c>
      <c r="DB17" s="411">
        <f>'Outros Custos'!$M$31</f>
        <v>0</v>
      </c>
      <c r="DC17" s="411">
        <f>Transporte!$M$20</f>
        <v>0</v>
      </c>
      <c r="DD17" s="411">
        <f>Manutenção!$M$21</f>
        <v>0</v>
      </c>
      <c r="DE17" s="412">
        <f t="shared" si="59"/>
        <v>0</v>
      </c>
      <c r="DF17" s="411">
        <f t="shared" si="29"/>
        <v>3433.671072530864</v>
      </c>
      <c r="DG17" s="414">
        <f ca="1">IF($L$2&gt;=1,DF17/$A$5,0)</f>
        <v>0</v>
      </c>
      <c r="DH17" s="411">
        <f>'Pré Tratamento Verniz'!AN14</f>
        <v>0</v>
      </c>
      <c r="DI17" s="72">
        <f>'Resumo M.O'!$N$27</f>
        <v>1907.3421935185186</v>
      </c>
      <c r="DJ17" s="413">
        <f>'Resumo M.O'!$N$31</f>
        <v>1526.3288790123456</v>
      </c>
      <c r="DK17" s="413">
        <f>'Resumo Custos Variáveis'!$P$21</f>
        <v>0</v>
      </c>
      <c r="DL17" s="72">
        <f>'Outros Custos'!$N$31</f>
        <v>0</v>
      </c>
      <c r="DM17" s="72">
        <f>Transporte!$N$20</f>
        <v>0</v>
      </c>
      <c r="DN17" s="72">
        <f>Manutenção!$N$21</f>
        <v>0</v>
      </c>
      <c r="DO17" s="413">
        <f t="shared" si="60"/>
        <v>0</v>
      </c>
      <c r="DP17" s="72">
        <f t="shared" si="30"/>
        <v>3433.671072530864</v>
      </c>
      <c r="DQ17" s="414">
        <f ca="1">IF($L$2&gt;=1,DP17/$A$5,0)</f>
        <v>0</v>
      </c>
      <c r="DS17" s="411">
        <f t="shared" ca="1" si="11"/>
        <v>0</v>
      </c>
      <c r="DT17" s="411">
        <f t="shared" ca="1" si="12"/>
        <v>0</v>
      </c>
      <c r="DU17" s="411">
        <f t="shared" ca="1" si="13"/>
        <v>0</v>
      </c>
      <c r="DV17" s="411">
        <f t="shared" ca="1" si="14"/>
        <v>0</v>
      </c>
      <c r="DW17" s="411">
        <f t="shared" ca="1" si="15"/>
        <v>0</v>
      </c>
      <c r="DX17" s="411">
        <f t="shared" ca="1" si="16"/>
        <v>0</v>
      </c>
      <c r="DY17" s="411">
        <f t="shared" ca="1" si="17"/>
        <v>0</v>
      </c>
      <c r="DZ17" s="411">
        <f ca="1">CC17</f>
        <v>0</v>
      </c>
      <c r="EA17" s="411">
        <f t="shared" ca="1" si="19"/>
        <v>0</v>
      </c>
      <c r="EB17" s="411">
        <f t="shared" ca="1" si="20"/>
        <v>0</v>
      </c>
      <c r="EC17" s="411">
        <f t="shared" ca="1" si="21"/>
        <v>0</v>
      </c>
      <c r="ED17" s="411">
        <f t="shared" ca="1" si="22"/>
        <v>0</v>
      </c>
      <c r="EF17" s="412">
        <f t="shared" si="49"/>
        <v>0</v>
      </c>
      <c r="EG17" s="412">
        <f t="shared" si="31"/>
        <v>0</v>
      </c>
      <c r="EH17" s="412">
        <f t="shared" si="32"/>
        <v>0.63636363636363635</v>
      </c>
      <c r="EI17" s="412">
        <f t="shared" si="33"/>
        <v>0</v>
      </c>
      <c r="EJ17" s="412">
        <f t="shared" si="34"/>
        <v>0</v>
      </c>
      <c r="EK17" s="412">
        <f t="shared" si="35"/>
        <v>0</v>
      </c>
      <c r="EL17" s="412">
        <f t="shared" si="36"/>
        <v>0</v>
      </c>
      <c r="EM17" s="412">
        <f t="shared" si="37"/>
        <v>0</v>
      </c>
      <c r="EN17" s="412">
        <f t="shared" si="38"/>
        <v>0</v>
      </c>
      <c r="EO17" s="412">
        <f t="shared" si="39"/>
        <v>0</v>
      </c>
      <c r="EP17" s="412">
        <f t="shared" si="40"/>
        <v>0</v>
      </c>
      <c r="EQ17" s="412">
        <f t="shared" si="41"/>
        <v>0</v>
      </c>
    </row>
    <row r="18" spans="1:147" x14ac:dyDescent="0.3">
      <c r="A18" s="417" t="s">
        <v>131</v>
      </c>
      <c r="B18" s="411">
        <f>'Verniz Cataforético'!F11</f>
        <v>0</v>
      </c>
      <c r="C18" s="411">
        <f>'Resumo M.O'!$C$27</f>
        <v>1907.3421935185186</v>
      </c>
      <c r="D18" s="412">
        <f>'Resumo M.O'!$C$31</f>
        <v>1526.3288790123456</v>
      </c>
      <c r="E18" s="413">
        <f>'Resumo Custos Variáveis'!$E$21</f>
        <v>0</v>
      </c>
      <c r="F18" s="411">
        <f>'Outros Custos'!$C$31</f>
        <v>0</v>
      </c>
      <c r="G18" s="411">
        <f>Transporte!$C$20</f>
        <v>0</v>
      </c>
      <c r="H18" s="411">
        <f>Manutenção!$C$21</f>
        <v>0</v>
      </c>
      <c r="I18" s="412">
        <f ca="1">Investimentos!O10</f>
        <v>0</v>
      </c>
      <c r="J18" s="411">
        <f t="shared" ca="1" si="23"/>
        <v>3433.671072530864</v>
      </c>
      <c r="K18" s="414">
        <f t="shared" ca="1" si="24"/>
        <v>0</v>
      </c>
      <c r="L18" s="411">
        <f>'Verniz Cataforético'!I11</f>
        <v>0</v>
      </c>
      <c r="M18" s="411">
        <f>'Resumo M.O'!$D$27</f>
        <v>1907.3421935185186</v>
      </c>
      <c r="N18" s="412">
        <f>'Resumo M.O'!$D$31</f>
        <v>1526.3288790123456</v>
      </c>
      <c r="O18" s="412">
        <f>'Resumo Custos Variáveis'!$F$21</f>
        <v>0</v>
      </c>
      <c r="P18" s="411">
        <f>'Outros Custos'!$D$31</f>
        <v>0</v>
      </c>
      <c r="Q18" s="411">
        <f>Transporte!$D$20</f>
        <v>0</v>
      </c>
      <c r="R18" s="411">
        <f>Manutenção!$D$21</f>
        <v>0</v>
      </c>
      <c r="S18" s="412">
        <f t="shared" ref="S18:S24" ca="1" si="61">I18</f>
        <v>0</v>
      </c>
      <c r="T18" s="411">
        <f t="shared" ca="1" si="42"/>
        <v>3433.671072530864</v>
      </c>
      <c r="U18" s="414">
        <f t="shared" ca="1" si="25"/>
        <v>0</v>
      </c>
      <c r="V18" s="411">
        <f>'Verniz Cataforético'!L11</f>
        <v>23978.809999999998</v>
      </c>
      <c r="W18" s="72">
        <f>'Resumo M.O'!$E$27</f>
        <v>1907.3421935185186</v>
      </c>
      <c r="X18" s="413">
        <f>'Resumo M.O'!$E$31</f>
        <v>1526.3288790123456</v>
      </c>
      <c r="Y18" s="413">
        <f>'Resumo Custos Variáveis'!$G$21</f>
        <v>2404.5263157894738</v>
      </c>
      <c r="Z18" s="72">
        <f>'Outros Custos'!$E$31</f>
        <v>0</v>
      </c>
      <c r="AA18" s="72">
        <f>Transporte!$E$20</f>
        <v>0</v>
      </c>
      <c r="AB18" s="72">
        <f>Manutenção!$E$21</f>
        <v>0</v>
      </c>
      <c r="AC18" s="413">
        <f t="shared" ref="AC18:AC24" ca="1" si="62">S18</f>
        <v>0</v>
      </c>
      <c r="AD18" s="72">
        <f t="shared" ca="1" si="43"/>
        <v>29817.007388320333</v>
      </c>
      <c r="AE18" s="414">
        <f t="shared" ca="1" si="26"/>
        <v>0</v>
      </c>
      <c r="AF18" s="411">
        <f>'Verniz Cataforético'!O11</f>
        <v>15749.419999999998</v>
      </c>
      <c r="AG18" s="411">
        <f>'Resumo M.O'!$F$27</f>
        <v>1907.3421935185186</v>
      </c>
      <c r="AH18" s="412">
        <f>'Resumo M.O'!$F$31</f>
        <v>1526.3288790123456</v>
      </c>
      <c r="AI18" s="412">
        <f>'Resumo Custos Variáveis'!$H$21</f>
        <v>1573.8421052631579</v>
      </c>
      <c r="AJ18" s="411">
        <f>'Outros Custos'!$F$31</f>
        <v>0</v>
      </c>
      <c r="AK18" s="411">
        <f>Transporte!$F$20</f>
        <v>0</v>
      </c>
      <c r="AL18" s="411">
        <f>Manutenção!$F$21</f>
        <v>0</v>
      </c>
      <c r="AM18" s="412">
        <f t="shared" ref="AM18:AM24" ca="1" si="63">AC18</f>
        <v>0</v>
      </c>
      <c r="AN18" s="411">
        <f t="shared" ca="1" si="44"/>
        <v>20756.933177794017</v>
      </c>
      <c r="AO18" s="414">
        <f t="shared" ref="AO18:AO22" ca="1" si="64">IF($L$2&gt;=1,AN18/$A$5,0)</f>
        <v>0</v>
      </c>
      <c r="AP18" s="411">
        <f>'Verniz Cataforético'!R11</f>
        <v>0</v>
      </c>
      <c r="AQ18" s="411">
        <f>'Resumo M.O'!$G$27</f>
        <v>1907.3421935185186</v>
      </c>
      <c r="AR18" s="412">
        <f>'Resumo M.O'!$G$31</f>
        <v>1526.3288790123456</v>
      </c>
      <c r="AS18" s="412">
        <f>'Resumo Custos Variáveis'!$I$21</f>
        <v>0</v>
      </c>
      <c r="AT18" s="411">
        <f>'Outros Custos'!$G$31</f>
        <v>0</v>
      </c>
      <c r="AU18" s="411">
        <f>Transporte!$G$20</f>
        <v>0</v>
      </c>
      <c r="AV18" s="411">
        <f>Manutenção!$G$21</f>
        <v>0</v>
      </c>
      <c r="AW18" s="412">
        <f t="shared" ref="AW18:AW24" ca="1" si="65">AM18</f>
        <v>0</v>
      </c>
      <c r="AX18" s="411">
        <f t="shared" ca="1" si="45"/>
        <v>3433.671072530864</v>
      </c>
      <c r="AY18" s="414">
        <f t="shared" ref="AY18:AY22" ca="1" si="66">IF($L$2&gt;=1,AX18/$A$5,0)</f>
        <v>0</v>
      </c>
      <c r="AZ18" s="411">
        <f>'Verniz Cataforético'!U11</f>
        <v>0</v>
      </c>
      <c r="BA18" s="411">
        <f>'Resumo M.O'!$H$27</f>
        <v>1907.3421935185186</v>
      </c>
      <c r="BB18" s="412">
        <f>'Resumo M.O'!$H$31</f>
        <v>1526.3288790123456</v>
      </c>
      <c r="BC18" s="412">
        <f>'Resumo Custos Variáveis'!$J$21</f>
        <v>0</v>
      </c>
      <c r="BD18" s="411">
        <f>'Outros Custos'!$H$31</f>
        <v>0</v>
      </c>
      <c r="BE18" s="411">
        <f>Transporte!$H$20</f>
        <v>0</v>
      </c>
      <c r="BF18" s="411">
        <f>Manutenção!$H$21</f>
        <v>3061.5384615384614</v>
      </c>
      <c r="BG18" s="412">
        <f t="shared" ref="BG18:BG24" ca="1" si="67">AW18</f>
        <v>0</v>
      </c>
      <c r="BH18" s="411">
        <f t="shared" ca="1" si="46"/>
        <v>6495.2095340693249</v>
      </c>
      <c r="BI18" s="414">
        <f t="shared" ref="BI18:BI22" ca="1" si="68">IF($L$2&gt;=1,BH18/$A$5,0)</f>
        <v>0</v>
      </c>
      <c r="BJ18" s="411">
        <f>'Verniz Cataforético'!X11</f>
        <v>0</v>
      </c>
      <c r="BK18" s="411">
        <f>'Resumo M.O'!$I$27</f>
        <v>1907.3421935185186</v>
      </c>
      <c r="BL18" s="412">
        <f>'Resumo M.O'!$I$31</f>
        <v>1526.3288790123456</v>
      </c>
      <c r="BM18" s="412">
        <f>'Resumo Custos Variáveis'!$K$21</f>
        <v>0</v>
      </c>
      <c r="BN18" s="411">
        <f>'Outros Custos'!$I$31</f>
        <v>0</v>
      </c>
      <c r="BO18" s="411">
        <f>Transporte!$I$20</f>
        <v>0</v>
      </c>
      <c r="BP18" s="411">
        <f>Manutenção!$I$21</f>
        <v>3030.7692307692309</v>
      </c>
      <c r="BQ18" s="412">
        <f t="shared" ref="BQ18:BQ24" ca="1" si="69">BG18</f>
        <v>0</v>
      </c>
      <c r="BR18" s="411">
        <f t="shared" ca="1" si="47"/>
        <v>6464.4403033000945</v>
      </c>
      <c r="BS18" s="414">
        <f t="shared" ref="BS18:BS22" ca="1" si="70">IF($L$2&gt;=1,BR18/$A$5,0)</f>
        <v>0</v>
      </c>
      <c r="BT18" s="411">
        <f>'Verniz Cataforético'!AA11</f>
        <v>0</v>
      </c>
      <c r="BU18" s="411">
        <f>'Resumo M.O'!$J$27</f>
        <v>1907.3421935185186</v>
      </c>
      <c r="BV18" s="412">
        <f>'Resumo M.O'!$J$31</f>
        <v>1526.3288790123456</v>
      </c>
      <c r="BW18" s="412">
        <f>'Resumo Custos Variáveis'!$L$21</f>
        <v>0</v>
      </c>
      <c r="BX18" s="411">
        <f>'Outros Custos'!$J$31</f>
        <v>0</v>
      </c>
      <c r="BY18" s="411">
        <f>Transporte!$J$20</f>
        <v>0</v>
      </c>
      <c r="BZ18" s="411">
        <f>Manutenção!$J$21</f>
        <v>0</v>
      </c>
      <c r="CA18" s="412">
        <f t="shared" ref="CA18:CA24" ca="1" si="71">BQ18</f>
        <v>0</v>
      </c>
      <c r="CB18" s="411">
        <f t="shared" ca="1" si="48"/>
        <v>3433.671072530864</v>
      </c>
      <c r="CC18" s="414">
        <f t="shared" ref="CC18:CC22" ca="1" si="72">IF($L$2&gt;=1,CB18/$A$5,0)</f>
        <v>0</v>
      </c>
      <c r="CD18" s="411">
        <f>'Verniz Cataforético'!AD11</f>
        <v>0</v>
      </c>
      <c r="CE18" s="411">
        <f>'Resumo M.O'!$K$27</f>
        <v>1907.3421935185186</v>
      </c>
      <c r="CF18" s="412">
        <f>'Resumo M.O'!$K$31</f>
        <v>1526.3288790123456</v>
      </c>
      <c r="CG18" s="412">
        <f>'Resumo Custos Variáveis'!$M$21</f>
        <v>0</v>
      </c>
      <c r="CH18" s="411">
        <f>'Outros Custos'!$K$31</f>
        <v>0</v>
      </c>
      <c r="CI18" s="411">
        <f>Transporte!$K$20</f>
        <v>0</v>
      </c>
      <c r="CJ18" s="411">
        <f>Manutenção!$K$21</f>
        <v>0</v>
      </c>
      <c r="CK18" s="412">
        <f t="shared" ref="CK18:CK24" ca="1" si="73">CA18</f>
        <v>0</v>
      </c>
      <c r="CL18" s="411">
        <f t="shared" ca="1" si="27"/>
        <v>3433.671072530864</v>
      </c>
      <c r="CM18" s="414">
        <f t="shared" ref="CM18:CM20" ca="1" si="74">IF($L$2&gt;=1,CL18/$A$5,0)</f>
        <v>0</v>
      </c>
      <c r="CN18" s="411">
        <f>'Verniz Cataforético'!AG11</f>
        <v>0</v>
      </c>
      <c r="CO18" s="411">
        <f>'Resumo M.O'!$L$27</f>
        <v>1907.3421935185186</v>
      </c>
      <c r="CP18" s="412">
        <f>'Resumo M.O'!$L$31</f>
        <v>1526.3288790123456</v>
      </c>
      <c r="CQ18" s="412">
        <f>'Resumo Custos Variáveis'!$N$21</f>
        <v>0</v>
      </c>
      <c r="CR18" s="411">
        <f>'Outros Custos'!$L$31</f>
        <v>0</v>
      </c>
      <c r="CS18" s="411">
        <f>Transporte!$L$20</f>
        <v>0</v>
      </c>
      <c r="CT18" s="411">
        <f>Manutenção!$L$21</f>
        <v>0</v>
      </c>
      <c r="CU18" s="412">
        <f t="shared" ref="CU18:CU24" ca="1" si="75">CK18</f>
        <v>0</v>
      </c>
      <c r="CV18" s="411">
        <f t="shared" ca="1" si="28"/>
        <v>3433.671072530864</v>
      </c>
      <c r="CW18" s="414">
        <f t="shared" ref="CW18:CW22" ca="1" si="76">IF($L$2&gt;=1,CV18/$A$5,0)</f>
        <v>0</v>
      </c>
      <c r="CX18" s="411">
        <f>'Verniz Cataforético'!AJ11</f>
        <v>0</v>
      </c>
      <c r="CY18" s="411">
        <f>'Resumo M.O'!$M$27</f>
        <v>1907.3421935185186</v>
      </c>
      <c r="CZ18" s="412">
        <f>'Resumo M.O'!$M$31</f>
        <v>1526.3288790123456</v>
      </c>
      <c r="DA18" s="412">
        <f>'Resumo Custos Variáveis'!$O$21</f>
        <v>0</v>
      </c>
      <c r="DB18" s="411">
        <f>'Outros Custos'!$M$31</f>
        <v>0</v>
      </c>
      <c r="DC18" s="411">
        <f>Transporte!$M$20</f>
        <v>0</v>
      </c>
      <c r="DD18" s="411">
        <f>Manutenção!$M$21</f>
        <v>0</v>
      </c>
      <c r="DE18" s="412">
        <f t="shared" ref="DE18:DE24" ca="1" si="77">CU18</f>
        <v>0</v>
      </c>
      <c r="DF18" s="411">
        <f t="shared" ca="1" si="29"/>
        <v>3433.671072530864</v>
      </c>
      <c r="DG18" s="414">
        <f t="shared" ref="DG18:DG22" ca="1" si="78">IF($L$2&gt;=1,DF18/$A$5,0)</f>
        <v>0</v>
      </c>
      <c r="DH18" s="411">
        <f>'Verniz Cataforético'!AM11</f>
        <v>0</v>
      </c>
      <c r="DI18" s="72">
        <f>'Resumo M.O'!$N$27</f>
        <v>1907.3421935185186</v>
      </c>
      <c r="DJ18" s="413">
        <f>'Resumo M.O'!$N$31</f>
        <v>1526.3288790123456</v>
      </c>
      <c r="DK18" s="413">
        <f>'Resumo Custos Variáveis'!$P$21</f>
        <v>0</v>
      </c>
      <c r="DL18" s="72">
        <f>'Outros Custos'!$N$31</f>
        <v>0</v>
      </c>
      <c r="DM18" s="72">
        <f>Transporte!$N$20</f>
        <v>0</v>
      </c>
      <c r="DN18" s="72">
        <f>Manutenção!$N$21</f>
        <v>0</v>
      </c>
      <c r="DO18" s="413">
        <f t="shared" ref="DO18:DO24" ca="1" si="79">DE18</f>
        <v>0</v>
      </c>
      <c r="DP18" s="72">
        <f t="shared" ca="1" si="30"/>
        <v>3433.671072530864</v>
      </c>
      <c r="DQ18" s="414">
        <f t="shared" ref="DQ18:DQ22" ca="1" si="80">IF($L$2&gt;=1,DP18/$A$5,0)</f>
        <v>0</v>
      </c>
      <c r="DS18" s="411">
        <f t="shared" ca="1" si="11"/>
        <v>0</v>
      </c>
      <c r="DT18" s="411">
        <f t="shared" ca="1" si="12"/>
        <v>0</v>
      </c>
      <c r="DU18" s="411">
        <f t="shared" ca="1" si="13"/>
        <v>0</v>
      </c>
      <c r="DV18" s="411">
        <f t="shared" ca="1" si="14"/>
        <v>0</v>
      </c>
      <c r="DW18" s="411">
        <f t="shared" ca="1" si="15"/>
        <v>0</v>
      </c>
      <c r="DX18" s="411">
        <f t="shared" ca="1" si="16"/>
        <v>0</v>
      </c>
      <c r="DY18" s="411">
        <f t="shared" ca="1" si="17"/>
        <v>0</v>
      </c>
      <c r="DZ18" s="411">
        <f t="shared" ca="1" si="18"/>
        <v>0</v>
      </c>
      <c r="EA18" s="411">
        <f t="shared" ca="1" si="19"/>
        <v>0</v>
      </c>
      <c r="EB18" s="411">
        <f t="shared" ca="1" si="20"/>
        <v>0</v>
      </c>
      <c r="EC18" s="411">
        <f t="shared" ca="1" si="21"/>
        <v>0</v>
      </c>
      <c r="ED18" s="411">
        <f t="shared" ca="1" si="22"/>
        <v>0</v>
      </c>
      <c r="EF18" s="412">
        <f>B18/$A$5</f>
        <v>0</v>
      </c>
      <c r="EG18" s="412">
        <f t="shared" si="31"/>
        <v>0</v>
      </c>
      <c r="EH18" s="412">
        <f t="shared" si="32"/>
        <v>108.9945909090909</v>
      </c>
      <c r="EI18" s="412">
        <f t="shared" si="33"/>
        <v>71.588272727272724</v>
      </c>
      <c r="EJ18" s="412">
        <f t="shared" si="34"/>
        <v>0</v>
      </c>
      <c r="EK18" s="412">
        <f t="shared" si="35"/>
        <v>0</v>
      </c>
      <c r="EL18" s="412">
        <f t="shared" si="36"/>
        <v>0</v>
      </c>
      <c r="EM18" s="412">
        <f t="shared" si="37"/>
        <v>0</v>
      </c>
      <c r="EN18" s="412">
        <f t="shared" si="38"/>
        <v>0</v>
      </c>
      <c r="EO18" s="412">
        <f t="shared" si="39"/>
        <v>0</v>
      </c>
      <c r="EP18" s="412">
        <f t="shared" si="40"/>
        <v>0</v>
      </c>
      <c r="EQ18" s="412">
        <f t="shared" si="41"/>
        <v>0</v>
      </c>
    </row>
    <row r="19" spans="1:147" x14ac:dyDescent="0.3">
      <c r="A19" s="418" t="s">
        <v>113</v>
      </c>
      <c r="B19" s="411">
        <f>'Verniz Cataforético'!F17</f>
        <v>0</v>
      </c>
      <c r="C19" s="411">
        <f>'Resumo M.O'!$C$27</f>
        <v>1907.3421935185186</v>
      </c>
      <c r="D19" s="412">
        <f>'Resumo M.O'!$C$31</f>
        <v>1526.3288790123456</v>
      </c>
      <c r="E19" s="413">
        <f>'Resumo Custos Variáveis'!$E$21</f>
        <v>0</v>
      </c>
      <c r="F19" s="411">
        <f>'Outros Custos'!$C$31</f>
        <v>0</v>
      </c>
      <c r="G19" s="411">
        <f>Transporte!$C$20</f>
        <v>0</v>
      </c>
      <c r="H19" s="411">
        <f>Manutenção!$C$21</f>
        <v>0</v>
      </c>
      <c r="I19" s="412">
        <f ca="1">Investimentos!O14</f>
        <v>0</v>
      </c>
      <c r="J19" s="411">
        <f t="shared" ca="1" si="23"/>
        <v>3433.671072530864</v>
      </c>
      <c r="K19" s="414">
        <f t="shared" ca="1" si="24"/>
        <v>0</v>
      </c>
      <c r="L19" s="411">
        <f>'Verniz Cataforético'!I17</f>
        <v>0</v>
      </c>
      <c r="M19" s="411">
        <f>'Resumo M.O'!$D$27</f>
        <v>1907.3421935185186</v>
      </c>
      <c r="N19" s="412">
        <f>'Resumo M.O'!$D$31</f>
        <v>1526.3288790123456</v>
      </c>
      <c r="O19" s="412">
        <f>'Resumo Custos Variáveis'!$F$21</f>
        <v>0</v>
      </c>
      <c r="P19" s="411">
        <f>'Outros Custos'!$D$31</f>
        <v>0</v>
      </c>
      <c r="Q19" s="411">
        <f>Transporte!$D$20</f>
        <v>0</v>
      </c>
      <c r="R19" s="411">
        <f>Manutenção!$D$21</f>
        <v>0</v>
      </c>
      <c r="S19" s="412">
        <f t="shared" ca="1" si="61"/>
        <v>0</v>
      </c>
      <c r="T19" s="411">
        <f t="shared" ca="1" si="42"/>
        <v>3433.671072530864</v>
      </c>
      <c r="U19" s="414">
        <f t="shared" ca="1" si="25"/>
        <v>0</v>
      </c>
      <c r="V19" s="411">
        <f>'Verniz Cataforético'!L17</f>
        <v>39908.759999999995</v>
      </c>
      <c r="W19" s="72">
        <f>'Resumo M.O'!$E$27</f>
        <v>1907.3421935185186</v>
      </c>
      <c r="X19" s="413">
        <f>'Resumo M.O'!$E$31</f>
        <v>1526.3288790123456</v>
      </c>
      <c r="Y19" s="413">
        <f>'Resumo Custos Variáveis'!$G$21</f>
        <v>2404.5263157894738</v>
      </c>
      <c r="Z19" s="72">
        <f>'Outros Custos'!$E$31</f>
        <v>0</v>
      </c>
      <c r="AA19" s="72">
        <f>Transporte!$E$20</f>
        <v>0</v>
      </c>
      <c r="AB19" s="72">
        <f>Manutenção!$E$21</f>
        <v>0</v>
      </c>
      <c r="AC19" s="413">
        <f t="shared" ca="1" si="62"/>
        <v>0</v>
      </c>
      <c r="AD19" s="72">
        <f t="shared" ca="1" si="43"/>
        <v>45746.957388320334</v>
      </c>
      <c r="AE19" s="414">
        <f t="shared" ca="1" si="26"/>
        <v>0</v>
      </c>
      <c r="AF19" s="411">
        <f>'Verniz Cataforético'!O17</f>
        <v>42991.42</v>
      </c>
      <c r="AG19" s="411">
        <f>'Resumo M.O'!$F$27</f>
        <v>1907.3421935185186</v>
      </c>
      <c r="AH19" s="412">
        <f>'Resumo M.O'!$F$31</f>
        <v>1526.3288790123456</v>
      </c>
      <c r="AI19" s="412">
        <f>'Resumo Custos Variáveis'!$H$21</f>
        <v>1573.8421052631579</v>
      </c>
      <c r="AJ19" s="411">
        <f>'Outros Custos'!$F$31</f>
        <v>0</v>
      </c>
      <c r="AK19" s="411">
        <f>Transporte!$F$20</f>
        <v>0</v>
      </c>
      <c r="AL19" s="411">
        <f>Manutenção!$F$21</f>
        <v>0</v>
      </c>
      <c r="AM19" s="412">
        <f t="shared" ca="1" si="63"/>
        <v>0</v>
      </c>
      <c r="AN19" s="411">
        <f t="shared" ca="1" si="44"/>
        <v>47998.933177794024</v>
      </c>
      <c r="AO19" s="414">
        <f t="shared" ca="1" si="64"/>
        <v>0</v>
      </c>
      <c r="AP19" s="411">
        <f>'Verniz Cataforético'!R17</f>
        <v>0</v>
      </c>
      <c r="AQ19" s="411">
        <f>'Resumo M.O'!$G$27</f>
        <v>1907.3421935185186</v>
      </c>
      <c r="AR19" s="412">
        <f>'Resumo M.O'!$G$31</f>
        <v>1526.3288790123456</v>
      </c>
      <c r="AS19" s="412">
        <f>'Resumo Custos Variáveis'!$I$21</f>
        <v>0</v>
      </c>
      <c r="AT19" s="411">
        <f>'Outros Custos'!$G$31</f>
        <v>0</v>
      </c>
      <c r="AU19" s="411">
        <f>Transporte!$G$20</f>
        <v>0</v>
      </c>
      <c r="AV19" s="411">
        <f>Manutenção!$G$21</f>
        <v>0</v>
      </c>
      <c r="AW19" s="412">
        <f t="shared" ca="1" si="65"/>
        <v>0</v>
      </c>
      <c r="AX19" s="411">
        <f t="shared" ca="1" si="45"/>
        <v>3433.671072530864</v>
      </c>
      <c r="AY19" s="414">
        <f t="shared" ca="1" si="66"/>
        <v>0</v>
      </c>
      <c r="AZ19" s="411">
        <f>'Verniz Cataforético'!U17</f>
        <v>0</v>
      </c>
      <c r="BA19" s="411">
        <f>'Resumo M.O'!$H$27</f>
        <v>1907.3421935185186</v>
      </c>
      <c r="BB19" s="412">
        <f>'Resumo M.O'!$H$31</f>
        <v>1526.3288790123456</v>
      </c>
      <c r="BC19" s="412">
        <f>'Resumo Custos Variáveis'!$J$21</f>
        <v>0</v>
      </c>
      <c r="BD19" s="411">
        <f>'Outros Custos'!$H$31</f>
        <v>0</v>
      </c>
      <c r="BE19" s="411">
        <f>Transporte!$H$20</f>
        <v>0</v>
      </c>
      <c r="BF19" s="411">
        <f>Manutenção!$H$21</f>
        <v>3061.5384615384614</v>
      </c>
      <c r="BG19" s="412">
        <f t="shared" ca="1" si="67"/>
        <v>0</v>
      </c>
      <c r="BH19" s="411">
        <f t="shared" ca="1" si="46"/>
        <v>6495.2095340693249</v>
      </c>
      <c r="BI19" s="414">
        <f t="shared" ca="1" si="68"/>
        <v>0</v>
      </c>
      <c r="BJ19" s="411">
        <f>'Verniz Cataforético'!X17</f>
        <v>0</v>
      </c>
      <c r="BK19" s="411">
        <f>'Resumo M.O'!$I$27</f>
        <v>1907.3421935185186</v>
      </c>
      <c r="BL19" s="412">
        <f>'Resumo M.O'!$I$31</f>
        <v>1526.3288790123456</v>
      </c>
      <c r="BM19" s="412">
        <f>'Resumo Custos Variáveis'!$K$21</f>
        <v>0</v>
      </c>
      <c r="BN19" s="411">
        <f>'Outros Custos'!$I$31</f>
        <v>0</v>
      </c>
      <c r="BO19" s="411">
        <f>Transporte!$I$20</f>
        <v>0</v>
      </c>
      <c r="BP19" s="411">
        <f>Manutenção!$I$21</f>
        <v>3030.7692307692309</v>
      </c>
      <c r="BQ19" s="412">
        <f t="shared" ca="1" si="69"/>
        <v>0</v>
      </c>
      <c r="BR19" s="411">
        <f t="shared" ca="1" si="47"/>
        <v>6464.4403033000945</v>
      </c>
      <c r="BS19" s="414">
        <f t="shared" ca="1" si="70"/>
        <v>0</v>
      </c>
      <c r="BT19" s="411">
        <f>'Verniz Cataforético'!AA17</f>
        <v>0</v>
      </c>
      <c r="BU19" s="411">
        <f>'Resumo M.O'!$J$27</f>
        <v>1907.3421935185186</v>
      </c>
      <c r="BV19" s="412">
        <f>'Resumo M.O'!$J$31</f>
        <v>1526.3288790123456</v>
      </c>
      <c r="BW19" s="412">
        <f>'Resumo Custos Variáveis'!$L$21</f>
        <v>0</v>
      </c>
      <c r="BX19" s="411">
        <f>'Outros Custos'!$J$31</f>
        <v>0</v>
      </c>
      <c r="BY19" s="411">
        <f>Transporte!$J$20</f>
        <v>0</v>
      </c>
      <c r="BZ19" s="411">
        <f>Manutenção!$J$21</f>
        <v>0</v>
      </c>
      <c r="CA19" s="412">
        <f t="shared" ca="1" si="71"/>
        <v>0</v>
      </c>
      <c r="CB19" s="411">
        <f t="shared" ca="1" si="48"/>
        <v>3433.671072530864</v>
      </c>
      <c r="CC19" s="414">
        <f t="shared" ca="1" si="72"/>
        <v>0</v>
      </c>
      <c r="CD19" s="411">
        <f>'Verniz Cataforético'!AD17</f>
        <v>0</v>
      </c>
      <c r="CE19" s="411">
        <f>'Resumo M.O'!$K$27</f>
        <v>1907.3421935185186</v>
      </c>
      <c r="CF19" s="412">
        <f>'Resumo M.O'!$K$31</f>
        <v>1526.3288790123456</v>
      </c>
      <c r="CG19" s="412">
        <f>'Resumo Custos Variáveis'!$M$21</f>
        <v>0</v>
      </c>
      <c r="CH19" s="411">
        <f>'Outros Custos'!$K$31</f>
        <v>0</v>
      </c>
      <c r="CI19" s="411">
        <f>Transporte!$K$20</f>
        <v>0</v>
      </c>
      <c r="CJ19" s="411">
        <f>Manutenção!$K$21</f>
        <v>0</v>
      </c>
      <c r="CK19" s="412">
        <f t="shared" ca="1" si="73"/>
        <v>0</v>
      </c>
      <c r="CL19" s="411">
        <f t="shared" ca="1" si="27"/>
        <v>3433.671072530864</v>
      </c>
      <c r="CM19" s="414">
        <f t="shared" ca="1" si="74"/>
        <v>0</v>
      </c>
      <c r="CN19" s="411">
        <f>'Verniz Cataforético'!AG17</f>
        <v>0</v>
      </c>
      <c r="CO19" s="411">
        <f>'Resumo M.O'!$L$27</f>
        <v>1907.3421935185186</v>
      </c>
      <c r="CP19" s="412">
        <f>'Resumo M.O'!$L$31</f>
        <v>1526.3288790123456</v>
      </c>
      <c r="CQ19" s="412">
        <f>'Resumo Custos Variáveis'!$N$21</f>
        <v>0</v>
      </c>
      <c r="CR19" s="411">
        <f>'Outros Custos'!$L$31</f>
        <v>0</v>
      </c>
      <c r="CS19" s="411">
        <f>Transporte!$L$20</f>
        <v>0</v>
      </c>
      <c r="CT19" s="411">
        <f>Manutenção!$L$21</f>
        <v>0</v>
      </c>
      <c r="CU19" s="412">
        <f t="shared" ca="1" si="75"/>
        <v>0</v>
      </c>
      <c r="CV19" s="411">
        <f t="shared" ca="1" si="28"/>
        <v>3433.671072530864</v>
      </c>
      <c r="CW19" s="414">
        <f t="shared" ca="1" si="76"/>
        <v>0</v>
      </c>
      <c r="CX19" s="411">
        <f>'Verniz Cataforético'!AJ17</f>
        <v>0</v>
      </c>
      <c r="CY19" s="411">
        <f>'Resumo M.O'!$M$27</f>
        <v>1907.3421935185186</v>
      </c>
      <c r="CZ19" s="412">
        <f>'Resumo M.O'!$M$31</f>
        <v>1526.3288790123456</v>
      </c>
      <c r="DA19" s="412">
        <f>'Resumo Custos Variáveis'!$O$21</f>
        <v>0</v>
      </c>
      <c r="DB19" s="411">
        <f>'Outros Custos'!$M$31</f>
        <v>0</v>
      </c>
      <c r="DC19" s="411">
        <f>Transporte!$M$20</f>
        <v>0</v>
      </c>
      <c r="DD19" s="411">
        <f>Manutenção!$M$21</f>
        <v>0</v>
      </c>
      <c r="DE19" s="412">
        <f t="shared" ca="1" si="77"/>
        <v>0</v>
      </c>
      <c r="DF19" s="411">
        <f t="shared" ca="1" si="29"/>
        <v>3433.671072530864</v>
      </c>
      <c r="DG19" s="414">
        <f t="shared" ca="1" si="78"/>
        <v>0</v>
      </c>
      <c r="DH19" s="411">
        <f>'Verniz Cataforético'!AM17</f>
        <v>0</v>
      </c>
      <c r="DI19" s="72">
        <f>'Resumo M.O'!$N$27</f>
        <v>1907.3421935185186</v>
      </c>
      <c r="DJ19" s="413">
        <f>'Resumo M.O'!$N$31</f>
        <v>1526.3288790123456</v>
      </c>
      <c r="DK19" s="413">
        <f>'Resumo Custos Variáveis'!$P$21</f>
        <v>0</v>
      </c>
      <c r="DL19" s="72">
        <f>'Outros Custos'!$N$31</f>
        <v>0</v>
      </c>
      <c r="DM19" s="72">
        <f>Transporte!$N$20</f>
        <v>0</v>
      </c>
      <c r="DN19" s="72">
        <f>Manutenção!$N$21</f>
        <v>0</v>
      </c>
      <c r="DO19" s="413">
        <f t="shared" ca="1" si="79"/>
        <v>0</v>
      </c>
      <c r="DP19" s="72">
        <f t="shared" ca="1" si="30"/>
        <v>3433.671072530864</v>
      </c>
      <c r="DQ19" s="414">
        <f t="shared" ca="1" si="80"/>
        <v>0</v>
      </c>
      <c r="DS19" s="411">
        <f t="shared" ca="1" si="11"/>
        <v>0</v>
      </c>
      <c r="DT19" s="411">
        <f t="shared" ca="1" si="12"/>
        <v>0</v>
      </c>
      <c r="DU19" s="411">
        <f t="shared" ca="1" si="13"/>
        <v>0</v>
      </c>
      <c r="DV19" s="411">
        <f t="shared" ca="1" si="14"/>
        <v>0</v>
      </c>
      <c r="DW19" s="411">
        <f t="shared" ca="1" si="15"/>
        <v>0</v>
      </c>
      <c r="DX19" s="411">
        <f t="shared" ca="1" si="16"/>
        <v>0</v>
      </c>
      <c r="DY19" s="411">
        <f t="shared" ca="1" si="17"/>
        <v>0</v>
      </c>
      <c r="DZ19" s="411">
        <f t="shared" ca="1" si="18"/>
        <v>0</v>
      </c>
      <c r="EA19" s="411">
        <f t="shared" ca="1" si="19"/>
        <v>0</v>
      </c>
      <c r="EB19" s="411">
        <f t="shared" ca="1" si="20"/>
        <v>0</v>
      </c>
      <c r="EC19" s="411">
        <f t="shared" ca="1" si="21"/>
        <v>0</v>
      </c>
      <c r="ED19" s="411">
        <f t="shared" ca="1" si="22"/>
        <v>0</v>
      </c>
      <c r="EF19" s="412">
        <f t="shared" si="49"/>
        <v>0</v>
      </c>
      <c r="EG19" s="412">
        <f t="shared" si="31"/>
        <v>0</v>
      </c>
      <c r="EH19" s="412">
        <f t="shared" si="32"/>
        <v>181.40345454545451</v>
      </c>
      <c r="EI19" s="412">
        <f t="shared" si="33"/>
        <v>195.41554545454545</v>
      </c>
      <c r="EJ19" s="412">
        <f t="shared" si="34"/>
        <v>0</v>
      </c>
      <c r="EK19" s="412">
        <f t="shared" si="35"/>
        <v>0</v>
      </c>
      <c r="EL19" s="412">
        <f t="shared" si="36"/>
        <v>0</v>
      </c>
      <c r="EM19" s="412">
        <f t="shared" si="37"/>
        <v>0</v>
      </c>
      <c r="EN19" s="412">
        <f t="shared" si="38"/>
        <v>0</v>
      </c>
      <c r="EO19" s="412">
        <f t="shared" si="39"/>
        <v>0</v>
      </c>
      <c r="EP19" s="412">
        <f t="shared" si="40"/>
        <v>0</v>
      </c>
      <c r="EQ19" s="412">
        <f t="shared" si="41"/>
        <v>0</v>
      </c>
    </row>
    <row r="20" spans="1:147" x14ac:dyDescent="0.3">
      <c r="A20" s="416" t="s">
        <v>114</v>
      </c>
      <c r="B20" s="411">
        <f>'Verniz Cataforético'!F23</f>
        <v>0</v>
      </c>
      <c r="C20" s="411">
        <f>'Resumo M.O'!$C$27</f>
        <v>1907.3421935185186</v>
      </c>
      <c r="D20" s="412">
        <f>'Resumo M.O'!$C$31</f>
        <v>1526.3288790123456</v>
      </c>
      <c r="E20" s="413">
        <f>'Resumo Custos Variáveis'!$E$21</f>
        <v>0</v>
      </c>
      <c r="F20" s="411">
        <f>'Outros Custos'!$C$31</f>
        <v>0</v>
      </c>
      <c r="G20" s="411">
        <f>Transporte!$C$20</f>
        <v>0</v>
      </c>
      <c r="H20" s="411">
        <f>Manutenção!$C$21</f>
        <v>0</v>
      </c>
      <c r="I20" s="412">
        <f ca="1">Investimentos!O18</f>
        <v>0</v>
      </c>
      <c r="J20" s="411">
        <f t="shared" ca="1" si="23"/>
        <v>3433.671072530864</v>
      </c>
      <c r="K20" s="414">
        <f t="shared" ca="1" si="24"/>
        <v>0</v>
      </c>
      <c r="L20" s="411">
        <f>'Verniz Cataforético'!I23</f>
        <v>0</v>
      </c>
      <c r="M20" s="411">
        <f>'Resumo M.O'!$D$27</f>
        <v>1907.3421935185186</v>
      </c>
      <c r="N20" s="412">
        <f>'Resumo M.O'!$D$31</f>
        <v>1526.3288790123456</v>
      </c>
      <c r="O20" s="412">
        <f>'Resumo Custos Variáveis'!$F$21</f>
        <v>0</v>
      </c>
      <c r="P20" s="411">
        <f>'Outros Custos'!$D$31</f>
        <v>0</v>
      </c>
      <c r="Q20" s="411">
        <f>Transporte!$D$20</f>
        <v>0</v>
      </c>
      <c r="R20" s="411">
        <f>Manutenção!$D$21</f>
        <v>0</v>
      </c>
      <c r="S20" s="412">
        <f t="shared" ca="1" si="61"/>
        <v>0</v>
      </c>
      <c r="T20" s="411">
        <f t="shared" ca="1" si="42"/>
        <v>3433.671072530864</v>
      </c>
      <c r="U20" s="414">
        <f t="shared" ca="1" si="25"/>
        <v>0</v>
      </c>
      <c r="V20" s="411">
        <f>'Verniz Cataforético'!L23</f>
        <v>3804.04</v>
      </c>
      <c r="W20" s="72">
        <f>'Resumo M.O'!$E$27</f>
        <v>1907.3421935185186</v>
      </c>
      <c r="X20" s="413">
        <f>'Resumo M.O'!$E$31</f>
        <v>1526.3288790123456</v>
      </c>
      <c r="Y20" s="413">
        <f>'Resumo Custos Variáveis'!$G$21</f>
        <v>2404.5263157894738</v>
      </c>
      <c r="Z20" s="72">
        <f>'Outros Custos'!$E$31</f>
        <v>0</v>
      </c>
      <c r="AA20" s="72">
        <f>Transporte!$E$20</f>
        <v>0</v>
      </c>
      <c r="AB20" s="72">
        <f>Manutenção!$E$21</f>
        <v>0</v>
      </c>
      <c r="AC20" s="413">
        <f t="shared" ca="1" si="62"/>
        <v>0</v>
      </c>
      <c r="AD20" s="72">
        <f t="shared" ca="1" si="43"/>
        <v>9642.2373883203381</v>
      </c>
      <c r="AE20" s="414">
        <f t="shared" ca="1" si="26"/>
        <v>0</v>
      </c>
      <c r="AF20" s="411">
        <f>'Verniz Cataforético'!O23</f>
        <v>1195.4000000000001</v>
      </c>
      <c r="AG20" s="411">
        <f>'Resumo M.O'!$F$27</f>
        <v>1907.3421935185186</v>
      </c>
      <c r="AH20" s="412">
        <f>'Resumo M.O'!$F$31</f>
        <v>1526.3288790123456</v>
      </c>
      <c r="AI20" s="412">
        <f>'Resumo Custos Variáveis'!$H$21</f>
        <v>1573.8421052631579</v>
      </c>
      <c r="AJ20" s="411">
        <f>'Outros Custos'!$F$31</f>
        <v>0</v>
      </c>
      <c r="AK20" s="411">
        <f>Transporte!$F$20</f>
        <v>0</v>
      </c>
      <c r="AL20" s="411">
        <f>Manutenção!$F$21</f>
        <v>0</v>
      </c>
      <c r="AM20" s="412">
        <f t="shared" ca="1" si="63"/>
        <v>0</v>
      </c>
      <c r="AN20" s="411">
        <f t="shared" ca="1" si="44"/>
        <v>6202.913177794022</v>
      </c>
      <c r="AO20" s="414">
        <f t="shared" ca="1" si="64"/>
        <v>0</v>
      </c>
      <c r="AP20" s="411">
        <f>'Verniz Cataforético'!R23</f>
        <v>0</v>
      </c>
      <c r="AQ20" s="411">
        <f>'Resumo M.O'!$G$27</f>
        <v>1907.3421935185186</v>
      </c>
      <c r="AR20" s="412">
        <f>'Resumo M.O'!$G$31</f>
        <v>1526.3288790123456</v>
      </c>
      <c r="AS20" s="412">
        <f>'Resumo Custos Variáveis'!$I$21</f>
        <v>0</v>
      </c>
      <c r="AT20" s="411">
        <f>'Outros Custos'!$G$31</f>
        <v>0</v>
      </c>
      <c r="AU20" s="411">
        <f>Transporte!$G$20</f>
        <v>0</v>
      </c>
      <c r="AV20" s="411">
        <f>Manutenção!$G$21</f>
        <v>0</v>
      </c>
      <c r="AW20" s="412">
        <f t="shared" ca="1" si="65"/>
        <v>0</v>
      </c>
      <c r="AX20" s="411">
        <f t="shared" ca="1" si="45"/>
        <v>3433.671072530864</v>
      </c>
      <c r="AY20" s="414">
        <f t="shared" ca="1" si="66"/>
        <v>0</v>
      </c>
      <c r="AZ20" s="411">
        <f>'Verniz Cataforético'!U23</f>
        <v>0</v>
      </c>
      <c r="BA20" s="411">
        <f>'Resumo M.O'!$H$27</f>
        <v>1907.3421935185186</v>
      </c>
      <c r="BB20" s="412">
        <f>'Resumo M.O'!$H$31</f>
        <v>1526.3288790123456</v>
      </c>
      <c r="BC20" s="412">
        <f>'Resumo Custos Variáveis'!$J$21</f>
        <v>0</v>
      </c>
      <c r="BD20" s="411">
        <f>'Outros Custos'!$H$31</f>
        <v>0</v>
      </c>
      <c r="BE20" s="411">
        <f>Transporte!$H$20</f>
        <v>0</v>
      </c>
      <c r="BF20" s="411">
        <f>Manutenção!$H$21</f>
        <v>3061.5384615384614</v>
      </c>
      <c r="BG20" s="412">
        <f t="shared" ca="1" si="67"/>
        <v>0</v>
      </c>
      <c r="BH20" s="411">
        <f t="shared" ca="1" si="46"/>
        <v>6495.2095340693249</v>
      </c>
      <c r="BI20" s="414">
        <f t="shared" ca="1" si="68"/>
        <v>0</v>
      </c>
      <c r="BJ20" s="411">
        <f>'Verniz Cataforético'!X23</f>
        <v>0</v>
      </c>
      <c r="BK20" s="411">
        <f>'Resumo M.O'!$I$27</f>
        <v>1907.3421935185186</v>
      </c>
      <c r="BL20" s="412">
        <f>'Resumo M.O'!$I$31</f>
        <v>1526.3288790123456</v>
      </c>
      <c r="BM20" s="412">
        <f>'Resumo Custos Variáveis'!$K$21</f>
        <v>0</v>
      </c>
      <c r="BN20" s="411">
        <f>'Outros Custos'!$I$31</f>
        <v>0</v>
      </c>
      <c r="BO20" s="411">
        <f>Transporte!$I$20</f>
        <v>0</v>
      </c>
      <c r="BP20" s="411">
        <f>Manutenção!$I$21</f>
        <v>3030.7692307692309</v>
      </c>
      <c r="BQ20" s="412">
        <f t="shared" ca="1" si="69"/>
        <v>0</v>
      </c>
      <c r="BR20" s="411">
        <f t="shared" ca="1" si="47"/>
        <v>6464.4403033000945</v>
      </c>
      <c r="BS20" s="414">
        <f t="shared" ca="1" si="70"/>
        <v>0</v>
      </c>
      <c r="BT20" s="411">
        <f>'Verniz Cataforético'!AA23</f>
        <v>0</v>
      </c>
      <c r="BU20" s="411">
        <f>'Resumo M.O'!$J$27</f>
        <v>1907.3421935185186</v>
      </c>
      <c r="BV20" s="412">
        <f>'Resumo M.O'!$J$31</f>
        <v>1526.3288790123456</v>
      </c>
      <c r="BW20" s="412">
        <f>'Resumo Custos Variáveis'!$L$21</f>
        <v>0</v>
      </c>
      <c r="BX20" s="411">
        <f>'Outros Custos'!$J$31</f>
        <v>0</v>
      </c>
      <c r="BY20" s="411">
        <f>Transporte!$J$20</f>
        <v>0</v>
      </c>
      <c r="BZ20" s="411">
        <f>Manutenção!$J$21</f>
        <v>0</v>
      </c>
      <c r="CA20" s="412">
        <f t="shared" ca="1" si="71"/>
        <v>0</v>
      </c>
      <c r="CB20" s="411">
        <f t="shared" ca="1" si="48"/>
        <v>3433.671072530864</v>
      </c>
      <c r="CC20" s="414">
        <f t="shared" ca="1" si="72"/>
        <v>0</v>
      </c>
      <c r="CD20" s="411">
        <f>'Verniz Cataforético'!AD23</f>
        <v>0</v>
      </c>
      <c r="CE20" s="411">
        <f>'Resumo M.O'!$K$27</f>
        <v>1907.3421935185186</v>
      </c>
      <c r="CF20" s="412">
        <f>'Resumo M.O'!$K$31</f>
        <v>1526.3288790123456</v>
      </c>
      <c r="CG20" s="412">
        <f>'Resumo Custos Variáveis'!$M$21</f>
        <v>0</v>
      </c>
      <c r="CH20" s="411">
        <f>'Outros Custos'!$K$31</f>
        <v>0</v>
      </c>
      <c r="CI20" s="411">
        <f>Transporte!$K$20</f>
        <v>0</v>
      </c>
      <c r="CJ20" s="411">
        <f>Manutenção!$K$21</f>
        <v>0</v>
      </c>
      <c r="CK20" s="412">
        <f t="shared" ca="1" si="73"/>
        <v>0</v>
      </c>
      <c r="CL20" s="411">
        <f t="shared" ca="1" si="27"/>
        <v>3433.671072530864</v>
      </c>
      <c r="CM20" s="414">
        <f t="shared" ca="1" si="74"/>
        <v>0</v>
      </c>
      <c r="CN20" s="411">
        <f>'Verniz Cataforético'!AG23</f>
        <v>0</v>
      </c>
      <c r="CO20" s="411">
        <f>'Resumo M.O'!$L$27</f>
        <v>1907.3421935185186</v>
      </c>
      <c r="CP20" s="412">
        <f>'Resumo M.O'!$L$31</f>
        <v>1526.3288790123456</v>
      </c>
      <c r="CQ20" s="412">
        <f>'Resumo Custos Variáveis'!$N$21</f>
        <v>0</v>
      </c>
      <c r="CR20" s="411">
        <f>'Outros Custos'!$L$31</f>
        <v>0</v>
      </c>
      <c r="CS20" s="411">
        <f>Transporte!$L$20</f>
        <v>0</v>
      </c>
      <c r="CT20" s="411">
        <f>Manutenção!$L$21</f>
        <v>0</v>
      </c>
      <c r="CU20" s="412">
        <f t="shared" ca="1" si="75"/>
        <v>0</v>
      </c>
      <c r="CV20" s="411">
        <f t="shared" ca="1" si="28"/>
        <v>3433.671072530864</v>
      </c>
      <c r="CW20" s="414">
        <f t="shared" ca="1" si="76"/>
        <v>0</v>
      </c>
      <c r="CX20" s="411">
        <f>'Verniz Cataforético'!AJ23</f>
        <v>0</v>
      </c>
      <c r="CY20" s="411">
        <f>'Resumo M.O'!$M$27</f>
        <v>1907.3421935185186</v>
      </c>
      <c r="CZ20" s="412">
        <f>'Resumo M.O'!$M$31</f>
        <v>1526.3288790123456</v>
      </c>
      <c r="DA20" s="412">
        <f>'Resumo Custos Variáveis'!$O$21</f>
        <v>0</v>
      </c>
      <c r="DB20" s="411">
        <f>'Outros Custos'!$M$31</f>
        <v>0</v>
      </c>
      <c r="DC20" s="411">
        <f>Transporte!$M$20</f>
        <v>0</v>
      </c>
      <c r="DD20" s="411">
        <f>Manutenção!$M$21</f>
        <v>0</v>
      </c>
      <c r="DE20" s="412">
        <f t="shared" ca="1" si="77"/>
        <v>0</v>
      </c>
      <c r="DF20" s="411">
        <f t="shared" ca="1" si="29"/>
        <v>3433.671072530864</v>
      </c>
      <c r="DG20" s="414">
        <f t="shared" ca="1" si="78"/>
        <v>0</v>
      </c>
      <c r="DH20" s="411">
        <f>'Verniz Cataforético'!AM23</f>
        <v>0</v>
      </c>
      <c r="DI20" s="72">
        <f>'Resumo M.O'!$N$27</f>
        <v>1907.3421935185186</v>
      </c>
      <c r="DJ20" s="413">
        <f>'Resumo M.O'!$N$31</f>
        <v>1526.3288790123456</v>
      </c>
      <c r="DK20" s="413">
        <f>'Resumo Custos Variáveis'!$P$21</f>
        <v>0</v>
      </c>
      <c r="DL20" s="72">
        <f>'Outros Custos'!$N$31</f>
        <v>0</v>
      </c>
      <c r="DM20" s="72">
        <f>Transporte!$N$20</f>
        <v>0</v>
      </c>
      <c r="DN20" s="72">
        <f>Manutenção!$N$21</f>
        <v>0</v>
      </c>
      <c r="DO20" s="413">
        <f t="shared" ca="1" si="79"/>
        <v>0</v>
      </c>
      <c r="DP20" s="72">
        <f t="shared" ca="1" si="30"/>
        <v>3433.671072530864</v>
      </c>
      <c r="DQ20" s="414">
        <f t="shared" ca="1" si="80"/>
        <v>0</v>
      </c>
      <c r="DS20" s="411">
        <f t="shared" ca="1" si="11"/>
        <v>0</v>
      </c>
      <c r="DT20" s="411">
        <f t="shared" ca="1" si="12"/>
        <v>0</v>
      </c>
      <c r="DU20" s="411">
        <f t="shared" ca="1" si="13"/>
        <v>0</v>
      </c>
      <c r="DV20" s="411">
        <f t="shared" ca="1" si="14"/>
        <v>0</v>
      </c>
      <c r="DW20" s="411">
        <f t="shared" ca="1" si="15"/>
        <v>0</v>
      </c>
      <c r="DX20" s="411">
        <f t="shared" ca="1" si="16"/>
        <v>0</v>
      </c>
      <c r="DY20" s="411">
        <f t="shared" ca="1" si="17"/>
        <v>0</v>
      </c>
      <c r="DZ20" s="411">
        <f t="shared" ca="1" si="18"/>
        <v>0</v>
      </c>
      <c r="EA20" s="411">
        <f t="shared" ca="1" si="19"/>
        <v>0</v>
      </c>
      <c r="EB20" s="411">
        <f t="shared" ca="1" si="20"/>
        <v>0</v>
      </c>
      <c r="EC20" s="411">
        <f t="shared" ca="1" si="21"/>
        <v>0</v>
      </c>
      <c r="ED20" s="411">
        <f t="shared" ca="1" si="22"/>
        <v>0</v>
      </c>
      <c r="EF20" s="412">
        <f t="shared" si="49"/>
        <v>0</v>
      </c>
      <c r="EG20" s="412">
        <f t="shared" si="31"/>
        <v>0</v>
      </c>
      <c r="EH20" s="412">
        <f t="shared" si="32"/>
        <v>17.291090909090908</v>
      </c>
      <c r="EI20" s="412">
        <f t="shared" si="33"/>
        <v>5.4336363636363645</v>
      </c>
      <c r="EJ20" s="412">
        <f t="shared" si="34"/>
        <v>0</v>
      </c>
      <c r="EK20" s="412">
        <f t="shared" si="35"/>
        <v>0</v>
      </c>
      <c r="EL20" s="412">
        <f t="shared" si="36"/>
        <v>0</v>
      </c>
      <c r="EM20" s="412">
        <f t="shared" si="37"/>
        <v>0</v>
      </c>
      <c r="EN20" s="412">
        <f t="shared" si="38"/>
        <v>0</v>
      </c>
      <c r="EO20" s="412">
        <f t="shared" si="39"/>
        <v>0</v>
      </c>
      <c r="EP20" s="412">
        <f t="shared" si="40"/>
        <v>0</v>
      </c>
      <c r="EQ20" s="412">
        <f t="shared" si="41"/>
        <v>0</v>
      </c>
    </row>
    <row r="21" spans="1:147" x14ac:dyDescent="0.3">
      <c r="A21" s="418" t="s">
        <v>129</v>
      </c>
      <c r="B21" s="411">
        <f>'Verniz Cataforético'!F29</f>
        <v>0</v>
      </c>
      <c r="C21" s="411">
        <f>'Resumo M.O'!$C$27</f>
        <v>1907.3421935185186</v>
      </c>
      <c r="D21" s="412">
        <f>'Resumo M.O'!$C$31</f>
        <v>1526.3288790123456</v>
      </c>
      <c r="E21" s="413">
        <f>'Resumo Custos Variáveis'!$E$21</f>
        <v>0</v>
      </c>
      <c r="F21" s="411">
        <f>'Outros Custos'!$C$31</f>
        <v>0</v>
      </c>
      <c r="G21" s="411">
        <f>Transporte!$C$20</f>
        <v>0</v>
      </c>
      <c r="H21" s="411">
        <f>Manutenção!$C$21</f>
        <v>0</v>
      </c>
      <c r="I21" s="412">
        <f ca="1">Investimentos!O22</f>
        <v>0</v>
      </c>
      <c r="J21" s="411">
        <f t="shared" ca="1" si="23"/>
        <v>3433.671072530864</v>
      </c>
      <c r="K21" s="414">
        <f t="shared" ca="1" si="24"/>
        <v>0</v>
      </c>
      <c r="L21" s="411">
        <f>'Verniz Cataforético'!I29</f>
        <v>0</v>
      </c>
      <c r="M21" s="411">
        <f>'Resumo M.O'!$D$27</f>
        <v>1907.3421935185186</v>
      </c>
      <c r="N21" s="412">
        <f>'Resumo M.O'!$D$31</f>
        <v>1526.3288790123456</v>
      </c>
      <c r="O21" s="412">
        <f>'Resumo Custos Variáveis'!$F$21</f>
        <v>0</v>
      </c>
      <c r="P21" s="411">
        <f>'Outros Custos'!$D$31</f>
        <v>0</v>
      </c>
      <c r="Q21" s="411">
        <f>Transporte!$D$20</f>
        <v>0</v>
      </c>
      <c r="R21" s="411">
        <f>Manutenção!$D$21</f>
        <v>0</v>
      </c>
      <c r="S21" s="412">
        <f t="shared" ca="1" si="61"/>
        <v>0</v>
      </c>
      <c r="T21" s="411">
        <f t="shared" ca="1" si="42"/>
        <v>3433.671072530864</v>
      </c>
      <c r="U21" s="414">
        <f t="shared" ca="1" si="25"/>
        <v>0</v>
      </c>
      <c r="V21" s="411">
        <f>'Verniz Cataforético'!L29</f>
        <v>22284.89</v>
      </c>
      <c r="W21" s="72">
        <f>'Resumo M.O'!$E$27</f>
        <v>1907.3421935185186</v>
      </c>
      <c r="X21" s="413">
        <f>'Resumo M.O'!$E$31</f>
        <v>1526.3288790123456</v>
      </c>
      <c r="Y21" s="413">
        <f>'Resumo Custos Variáveis'!$G$21</f>
        <v>2404.5263157894738</v>
      </c>
      <c r="Z21" s="72">
        <f>'Outros Custos'!$E$31</f>
        <v>0</v>
      </c>
      <c r="AA21" s="72">
        <f>Transporte!$E$20</f>
        <v>0</v>
      </c>
      <c r="AB21" s="72">
        <f>Manutenção!$E$21</f>
        <v>0</v>
      </c>
      <c r="AC21" s="413">
        <f t="shared" ca="1" si="62"/>
        <v>0</v>
      </c>
      <c r="AD21" s="72">
        <f t="shared" ca="1" si="43"/>
        <v>28123.087388320335</v>
      </c>
      <c r="AE21" s="414">
        <f t="shared" ca="1" si="26"/>
        <v>0</v>
      </c>
      <c r="AF21" s="411">
        <f>'Verniz Cataforético'!O29</f>
        <v>14009.999999999998</v>
      </c>
      <c r="AG21" s="411">
        <f>'Resumo M.O'!$F$27</f>
        <v>1907.3421935185186</v>
      </c>
      <c r="AH21" s="412">
        <f>'Resumo M.O'!$F$31</f>
        <v>1526.3288790123456</v>
      </c>
      <c r="AI21" s="412">
        <f>'Resumo Custos Variáveis'!$H$21</f>
        <v>1573.8421052631579</v>
      </c>
      <c r="AJ21" s="411">
        <f>'Outros Custos'!$F$31</f>
        <v>0</v>
      </c>
      <c r="AK21" s="411">
        <f>Transporte!$F$20</f>
        <v>0</v>
      </c>
      <c r="AL21" s="411">
        <f>Manutenção!$F$21</f>
        <v>0</v>
      </c>
      <c r="AM21" s="412">
        <f t="shared" ca="1" si="63"/>
        <v>0</v>
      </c>
      <c r="AN21" s="411">
        <f t="shared" ca="1" si="44"/>
        <v>19017.513177794019</v>
      </c>
      <c r="AO21" s="414">
        <f t="shared" ca="1" si="64"/>
        <v>0</v>
      </c>
      <c r="AP21" s="411">
        <f>'Verniz Cataforético'!R29</f>
        <v>0</v>
      </c>
      <c r="AQ21" s="411">
        <f>'Resumo M.O'!$G$27</f>
        <v>1907.3421935185186</v>
      </c>
      <c r="AR21" s="412">
        <f>'Resumo M.O'!$G$31</f>
        <v>1526.3288790123456</v>
      </c>
      <c r="AS21" s="412">
        <f>'Resumo Custos Variáveis'!$I$21</f>
        <v>0</v>
      </c>
      <c r="AT21" s="411">
        <f>'Outros Custos'!$G$31</f>
        <v>0</v>
      </c>
      <c r="AU21" s="411">
        <f>Transporte!$G$20</f>
        <v>0</v>
      </c>
      <c r="AV21" s="411">
        <f>Manutenção!$G$21</f>
        <v>0</v>
      </c>
      <c r="AW21" s="412">
        <f t="shared" ca="1" si="65"/>
        <v>0</v>
      </c>
      <c r="AX21" s="411">
        <f t="shared" ca="1" si="45"/>
        <v>3433.671072530864</v>
      </c>
      <c r="AY21" s="414">
        <f t="shared" ca="1" si="66"/>
        <v>0</v>
      </c>
      <c r="AZ21" s="411">
        <f>'Verniz Cataforético'!U29</f>
        <v>0</v>
      </c>
      <c r="BA21" s="411">
        <f>'Resumo M.O'!$H$27</f>
        <v>1907.3421935185186</v>
      </c>
      <c r="BB21" s="412">
        <f>'Resumo M.O'!$H$31</f>
        <v>1526.3288790123456</v>
      </c>
      <c r="BC21" s="412">
        <f>'Resumo Custos Variáveis'!$J$21</f>
        <v>0</v>
      </c>
      <c r="BD21" s="411">
        <f>'Outros Custos'!$H$31</f>
        <v>0</v>
      </c>
      <c r="BE21" s="411">
        <f>Transporte!$H$20</f>
        <v>0</v>
      </c>
      <c r="BF21" s="411">
        <f>Manutenção!$H$21</f>
        <v>3061.5384615384614</v>
      </c>
      <c r="BG21" s="412">
        <f t="shared" ca="1" si="67"/>
        <v>0</v>
      </c>
      <c r="BH21" s="411">
        <f t="shared" ca="1" si="46"/>
        <v>6495.2095340693249</v>
      </c>
      <c r="BI21" s="414">
        <f t="shared" ca="1" si="68"/>
        <v>0</v>
      </c>
      <c r="BJ21" s="411">
        <f>'Verniz Cataforético'!X29</f>
        <v>0</v>
      </c>
      <c r="BK21" s="411">
        <f>'Resumo M.O'!$I$27</f>
        <v>1907.3421935185186</v>
      </c>
      <c r="BL21" s="412">
        <f>'Resumo M.O'!$I$31</f>
        <v>1526.3288790123456</v>
      </c>
      <c r="BM21" s="412">
        <f>'Resumo Custos Variáveis'!$K$21</f>
        <v>0</v>
      </c>
      <c r="BN21" s="411">
        <f>'Outros Custos'!$I$31</f>
        <v>0</v>
      </c>
      <c r="BO21" s="411">
        <f>Transporte!$I$20</f>
        <v>0</v>
      </c>
      <c r="BP21" s="411">
        <f>Manutenção!$I$21</f>
        <v>3030.7692307692309</v>
      </c>
      <c r="BQ21" s="412">
        <f t="shared" ca="1" si="69"/>
        <v>0</v>
      </c>
      <c r="BR21" s="411">
        <f t="shared" ca="1" si="47"/>
        <v>6464.4403033000945</v>
      </c>
      <c r="BS21" s="414">
        <f t="shared" ca="1" si="70"/>
        <v>0</v>
      </c>
      <c r="BT21" s="411">
        <f>'Verniz Cataforético'!AA29</f>
        <v>0</v>
      </c>
      <c r="BU21" s="411">
        <f>'Resumo M.O'!$J$27</f>
        <v>1907.3421935185186</v>
      </c>
      <c r="BV21" s="412">
        <f>'Resumo M.O'!$J$31</f>
        <v>1526.3288790123456</v>
      </c>
      <c r="BW21" s="412">
        <f>'Resumo Custos Variáveis'!$L$21</f>
        <v>0</v>
      </c>
      <c r="BX21" s="411">
        <f>'Outros Custos'!$J$31</f>
        <v>0</v>
      </c>
      <c r="BY21" s="411">
        <f>Transporte!$J$20</f>
        <v>0</v>
      </c>
      <c r="BZ21" s="411">
        <f>Manutenção!$J$21</f>
        <v>0</v>
      </c>
      <c r="CA21" s="412">
        <f t="shared" ca="1" si="71"/>
        <v>0</v>
      </c>
      <c r="CB21" s="411">
        <f t="shared" ca="1" si="48"/>
        <v>3433.671072530864</v>
      </c>
      <c r="CC21" s="414">
        <f t="shared" ca="1" si="72"/>
        <v>0</v>
      </c>
      <c r="CD21" s="411">
        <f>'Verniz Cataforético'!AD29</f>
        <v>0</v>
      </c>
      <c r="CE21" s="411">
        <f>'Resumo M.O'!$K$27</f>
        <v>1907.3421935185186</v>
      </c>
      <c r="CF21" s="412">
        <f>'Resumo M.O'!$K$31</f>
        <v>1526.3288790123456</v>
      </c>
      <c r="CG21" s="412">
        <f>'Resumo Custos Variáveis'!$M$21</f>
        <v>0</v>
      </c>
      <c r="CH21" s="411">
        <f>'Outros Custos'!$K$31</f>
        <v>0</v>
      </c>
      <c r="CI21" s="411">
        <f>Transporte!$K$20</f>
        <v>0</v>
      </c>
      <c r="CJ21" s="411">
        <f>Manutenção!$K$21</f>
        <v>0</v>
      </c>
      <c r="CK21" s="412">
        <f t="shared" ca="1" si="73"/>
        <v>0</v>
      </c>
      <c r="CL21" s="411">
        <f t="shared" ca="1" si="27"/>
        <v>3433.671072530864</v>
      </c>
      <c r="CM21" s="414">
        <f ca="1">IF(L2&gt;=1,CL21/$A$5,0)</f>
        <v>0</v>
      </c>
      <c r="CN21" s="411">
        <f>'Verniz Cataforético'!AG29</f>
        <v>0</v>
      </c>
      <c r="CO21" s="411">
        <f>'Resumo M.O'!$L$27</f>
        <v>1907.3421935185186</v>
      </c>
      <c r="CP21" s="412">
        <f>'Resumo M.O'!$L$31</f>
        <v>1526.3288790123456</v>
      </c>
      <c r="CQ21" s="412">
        <f>'Resumo Custos Variáveis'!$N$21</f>
        <v>0</v>
      </c>
      <c r="CR21" s="411">
        <f>'Outros Custos'!$L$31</f>
        <v>0</v>
      </c>
      <c r="CS21" s="411">
        <f>Transporte!$L$20</f>
        <v>0</v>
      </c>
      <c r="CT21" s="411">
        <f>Manutenção!$L$21</f>
        <v>0</v>
      </c>
      <c r="CU21" s="412">
        <f t="shared" ca="1" si="75"/>
        <v>0</v>
      </c>
      <c r="CV21" s="411">
        <f t="shared" ca="1" si="28"/>
        <v>3433.671072530864</v>
      </c>
      <c r="CW21" s="414">
        <f t="shared" ca="1" si="76"/>
        <v>0</v>
      </c>
      <c r="CX21" s="411">
        <f>'Verniz Cataforético'!AJ29</f>
        <v>0</v>
      </c>
      <c r="CY21" s="411">
        <f>'Resumo M.O'!$M$27</f>
        <v>1907.3421935185186</v>
      </c>
      <c r="CZ21" s="412">
        <f>'Resumo M.O'!$M$31</f>
        <v>1526.3288790123456</v>
      </c>
      <c r="DA21" s="412">
        <f>'Resumo Custos Variáveis'!$O$21</f>
        <v>0</v>
      </c>
      <c r="DB21" s="411">
        <f>'Outros Custos'!$M$31</f>
        <v>0</v>
      </c>
      <c r="DC21" s="411">
        <f>Transporte!$M$20</f>
        <v>0</v>
      </c>
      <c r="DD21" s="411">
        <f>Manutenção!$M$21</f>
        <v>0</v>
      </c>
      <c r="DE21" s="412">
        <f t="shared" ca="1" si="77"/>
        <v>0</v>
      </c>
      <c r="DF21" s="411">
        <f t="shared" ca="1" si="29"/>
        <v>3433.671072530864</v>
      </c>
      <c r="DG21" s="414">
        <f t="shared" ca="1" si="78"/>
        <v>0</v>
      </c>
      <c r="DH21" s="411">
        <f>'Verniz Cataforético'!AM29</f>
        <v>0</v>
      </c>
      <c r="DI21" s="72">
        <f>'Resumo M.O'!$N$27</f>
        <v>1907.3421935185186</v>
      </c>
      <c r="DJ21" s="413">
        <f>'Resumo M.O'!$N$31</f>
        <v>1526.3288790123456</v>
      </c>
      <c r="DK21" s="413">
        <f>'Resumo Custos Variáveis'!$P$21</f>
        <v>0</v>
      </c>
      <c r="DL21" s="72">
        <f>'Outros Custos'!$N$31</f>
        <v>0</v>
      </c>
      <c r="DM21" s="72">
        <f>Transporte!$N$20</f>
        <v>0</v>
      </c>
      <c r="DN21" s="72">
        <f>Manutenção!$N$21</f>
        <v>0</v>
      </c>
      <c r="DO21" s="413">
        <f t="shared" ca="1" si="79"/>
        <v>0</v>
      </c>
      <c r="DP21" s="72">
        <f t="shared" ca="1" si="30"/>
        <v>3433.671072530864</v>
      </c>
      <c r="DQ21" s="414">
        <f t="shared" ca="1" si="80"/>
        <v>0</v>
      </c>
      <c r="DS21" s="411">
        <f t="shared" ca="1" si="11"/>
        <v>0</v>
      </c>
      <c r="DT21" s="411">
        <f t="shared" ca="1" si="12"/>
        <v>0</v>
      </c>
      <c r="DU21" s="411">
        <f t="shared" ca="1" si="13"/>
        <v>0</v>
      </c>
      <c r="DV21" s="411">
        <f t="shared" ca="1" si="14"/>
        <v>0</v>
      </c>
      <c r="DW21" s="411">
        <f t="shared" ca="1" si="15"/>
        <v>0</v>
      </c>
      <c r="DX21" s="411">
        <f t="shared" ca="1" si="16"/>
        <v>0</v>
      </c>
      <c r="DY21" s="411">
        <f t="shared" ca="1" si="17"/>
        <v>0</v>
      </c>
      <c r="DZ21" s="411">
        <f t="shared" ca="1" si="18"/>
        <v>0</v>
      </c>
      <c r="EA21" s="411">
        <f t="shared" ca="1" si="19"/>
        <v>0</v>
      </c>
      <c r="EB21" s="411">
        <f t="shared" ca="1" si="20"/>
        <v>0</v>
      </c>
      <c r="EC21" s="411">
        <f t="shared" ca="1" si="21"/>
        <v>0</v>
      </c>
      <c r="ED21" s="411">
        <f t="shared" ca="1" si="22"/>
        <v>0</v>
      </c>
      <c r="EF21" s="412">
        <f t="shared" si="49"/>
        <v>0</v>
      </c>
      <c r="EG21" s="412">
        <f t="shared" si="31"/>
        <v>0</v>
      </c>
      <c r="EH21" s="412">
        <f t="shared" si="32"/>
        <v>101.29495454545454</v>
      </c>
      <c r="EI21" s="412">
        <f t="shared" si="33"/>
        <v>63.681818181818173</v>
      </c>
      <c r="EJ21" s="412">
        <f t="shared" si="34"/>
        <v>0</v>
      </c>
      <c r="EK21" s="412">
        <f t="shared" si="35"/>
        <v>0</v>
      </c>
      <c r="EL21" s="412">
        <f t="shared" si="36"/>
        <v>0</v>
      </c>
      <c r="EM21" s="412">
        <f t="shared" si="37"/>
        <v>0</v>
      </c>
      <c r="EN21" s="412">
        <f t="shared" si="38"/>
        <v>0</v>
      </c>
      <c r="EO21" s="412">
        <f t="shared" si="39"/>
        <v>0</v>
      </c>
      <c r="EP21" s="412">
        <f t="shared" si="40"/>
        <v>0</v>
      </c>
      <c r="EQ21" s="412">
        <f t="shared" si="41"/>
        <v>0</v>
      </c>
    </row>
    <row r="22" spans="1:147" x14ac:dyDescent="0.3">
      <c r="A22" s="418" t="s">
        <v>120</v>
      </c>
      <c r="B22" s="411">
        <f>'Verniz Cataforético'!F35</f>
        <v>0</v>
      </c>
      <c r="C22" s="411">
        <f>'Resumo M.O'!$C$27</f>
        <v>1907.3421935185186</v>
      </c>
      <c r="D22" s="412">
        <f>'Resumo M.O'!$C$31</f>
        <v>1526.3288790123456</v>
      </c>
      <c r="E22" s="413">
        <f>'Resumo Custos Variáveis'!$E$21</f>
        <v>0</v>
      </c>
      <c r="F22" s="411">
        <f>'Outros Custos'!$C$31</f>
        <v>0</v>
      </c>
      <c r="G22" s="411">
        <f>Transporte!$C$20</f>
        <v>0</v>
      </c>
      <c r="H22" s="411">
        <f>Manutenção!$C$21</f>
        <v>0</v>
      </c>
      <c r="I22" s="412">
        <f ca="1">Investimentos!O26</f>
        <v>0</v>
      </c>
      <c r="J22" s="411">
        <f t="shared" ca="1" si="23"/>
        <v>3433.671072530864</v>
      </c>
      <c r="K22" s="414">
        <f t="shared" ca="1" si="24"/>
        <v>0</v>
      </c>
      <c r="L22" s="411">
        <f>'Verniz Cataforético'!I35</f>
        <v>0</v>
      </c>
      <c r="M22" s="411">
        <f>'Resumo M.O'!$D$27</f>
        <v>1907.3421935185186</v>
      </c>
      <c r="N22" s="412">
        <f>'Resumo M.O'!$D$31</f>
        <v>1526.3288790123456</v>
      </c>
      <c r="O22" s="412">
        <f>'Resumo Custos Variáveis'!$F$21</f>
        <v>0</v>
      </c>
      <c r="P22" s="411">
        <f>'Outros Custos'!$D$31</f>
        <v>0</v>
      </c>
      <c r="Q22" s="411">
        <f>Transporte!$D$20</f>
        <v>0</v>
      </c>
      <c r="R22" s="411">
        <f>Manutenção!$D$21</f>
        <v>0</v>
      </c>
      <c r="S22" s="412">
        <f t="shared" ca="1" si="61"/>
        <v>0</v>
      </c>
      <c r="T22" s="411">
        <f t="shared" ca="1" si="42"/>
        <v>3433.671072530864</v>
      </c>
      <c r="U22" s="414">
        <f t="shared" ca="1" si="25"/>
        <v>0</v>
      </c>
      <c r="V22" s="411">
        <f>'Verniz Cataforético'!L35</f>
        <v>13737.289999999999</v>
      </c>
      <c r="W22" s="72">
        <f>'Resumo M.O'!$E$27</f>
        <v>1907.3421935185186</v>
      </c>
      <c r="X22" s="413">
        <f>'Resumo M.O'!$E$31</f>
        <v>1526.3288790123456</v>
      </c>
      <c r="Y22" s="413">
        <f>'Resumo Custos Variáveis'!$G$21</f>
        <v>2404.5263157894738</v>
      </c>
      <c r="Z22" s="72">
        <f>'Outros Custos'!$E$31</f>
        <v>0</v>
      </c>
      <c r="AA22" s="72">
        <f>Transporte!$E$20</f>
        <v>0</v>
      </c>
      <c r="AB22" s="72">
        <f>Manutenção!$E$21</f>
        <v>0</v>
      </c>
      <c r="AC22" s="413">
        <f t="shared" ca="1" si="62"/>
        <v>0</v>
      </c>
      <c r="AD22" s="72">
        <f t="shared" ca="1" si="43"/>
        <v>19575.487388320336</v>
      </c>
      <c r="AE22" s="414">
        <f t="shared" ca="1" si="26"/>
        <v>0</v>
      </c>
      <c r="AF22" s="411">
        <f>'Verniz Cataforético'!O35</f>
        <v>20651.82</v>
      </c>
      <c r="AG22" s="411">
        <f>'Resumo M.O'!$F$27</f>
        <v>1907.3421935185186</v>
      </c>
      <c r="AH22" s="412">
        <f>'Resumo M.O'!$F$31</f>
        <v>1526.3288790123456</v>
      </c>
      <c r="AI22" s="412">
        <f>'Resumo Custos Variáveis'!$H$21</f>
        <v>1573.8421052631579</v>
      </c>
      <c r="AJ22" s="411">
        <f>'Outros Custos'!$F$31</f>
        <v>0</v>
      </c>
      <c r="AK22" s="411">
        <f>Transporte!$F$20</f>
        <v>0</v>
      </c>
      <c r="AL22" s="411">
        <f>Manutenção!$F$21</f>
        <v>0</v>
      </c>
      <c r="AM22" s="412">
        <f t="shared" ca="1" si="63"/>
        <v>0</v>
      </c>
      <c r="AN22" s="411">
        <f t="shared" ca="1" si="44"/>
        <v>25659.333177794018</v>
      </c>
      <c r="AO22" s="414">
        <f t="shared" ca="1" si="64"/>
        <v>0</v>
      </c>
      <c r="AP22" s="411">
        <f>'Verniz Cataforético'!R35</f>
        <v>0</v>
      </c>
      <c r="AQ22" s="411">
        <f>'Resumo M.O'!$G$27</f>
        <v>1907.3421935185186</v>
      </c>
      <c r="AR22" s="412">
        <f>'Resumo M.O'!$G$31</f>
        <v>1526.3288790123456</v>
      </c>
      <c r="AS22" s="412">
        <f>'Resumo Custos Variáveis'!$I$21</f>
        <v>0</v>
      </c>
      <c r="AT22" s="411">
        <f>'Outros Custos'!$G$31</f>
        <v>0</v>
      </c>
      <c r="AU22" s="411">
        <f>Transporte!$G$20</f>
        <v>0</v>
      </c>
      <c r="AV22" s="411">
        <f>Manutenção!$G$21</f>
        <v>0</v>
      </c>
      <c r="AW22" s="412">
        <f t="shared" ca="1" si="65"/>
        <v>0</v>
      </c>
      <c r="AX22" s="411">
        <f t="shared" ca="1" si="45"/>
        <v>3433.671072530864</v>
      </c>
      <c r="AY22" s="414">
        <f t="shared" ca="1" si="66"/>
        <v>0</v>
      </c>
      <c r="AZ22" s="411">
        <f>'Verniz Cataforético'!U35</f>
        <v>0</v>
      </c>
      <c r="BA22" s="411">
        <f>'Resumo M.O'!$H$27</f>
        <v>1907.3421935185186</v>
      </c>
      <c r="BB22" s="412">
        <f>'Resumo M.O'!$H$31</f>
        <v>1526.3288790123456</v>
      </c>
      <c r="BC22" s="412">
        <f>'Resumo Custos Variáveis'!$J$21</f>
        <v>0</v>
      </c>
      <c r="BD22" s="411">
        <f>'Outros Custos'!$H$31</f>
        <v>0</v>
      </c>
      <c r="BE22" s="411">
        <f>Transporte!$H$20</f>
        <v>0</v>
      </c>
      <c r="BF22" s="411">
        <f>Manutenção!$H$21</f>
        <v>3061.5384615384614</v>
      </c>
      <c r="BG22" s="412">
        <f t="shared" ca="1" si="67"/>
        <v>0</v>
      </c>
      <c r="BH22" s="411">
        <f t="shared" ca="1" si="46"/>
        <v>6495.2095340693249</v>
      </c>
      <c r="BI22" s="414">
        <f t="shared" ca="1" si="68"/>
        <v>0</v>
      </c>
      <c r="BJ22" s="411">
        <f>'Verniz Cataforético'!X35</f>
        <v>0</v>
      </c>
      <c r="BK22" s="411">
        <f>'Resumo M.O'!$I$27</f>
        <v>1907.3421935185186</v>
      </c>
      <c r="BL22" s="412">
        <f>'Resumo M.O'!$I$31</f>
        <v>1526.3288790123456</v>
      </c>
      <c r="BM22" s="412">
        <f>'Resumo Custos Variáveis'!$K$21</f>
        <v>0</v>
      </c>
      <c r="BN22" s="411">
        <f>'Outros Custos'!$I$31</f>
        <v>0</v>
      </c>
      <c r="BO22" s="411">
        <f>Transporte!$I$20</f>
        <v>0</v>
      </c>
      <c r="BP22" s="411">
        <f>Manutenção!$I$21</f>
        <v>3030.7692307692309</v>
      </c>
      <c r="BQ22" s="412">
        <f t="shared" ca="1" si="69"/>
        <v>0</v>
      </c>
      <c r="BR22" s="411">
        <f t="shared" ca="1" si="47"/>
        <v>6464.4403033000945</v>
      </c>
      <c r="BS22" s="414">
        <f t="shared" ca="1" si="70"/>
        <v>0</v>
      </c>
      <c r="BT22" s="411">
        <f>'Verniz Cataforético'!AA35</f>
        <v>0</v>
      </c>
      <c r="BU22" s="411">
        <f>'Resumo M.O'!$J$27</f>
        <v>1907.3421935185186</v>
      </c>
      <c r="BV22" s="412">
        <f>'Resumo M.O'!$J$31</f>
        <v>1526.3288790123456</v>
      </c>
      <c r="BW22" s="412">
        <f>'Resumo Custos Variáveis'!$L$21</f>
        <v>0</v>
      </c>
      <c r="BX22" s="411">
        <f>'Outros Custos'!$J$31</f>
        <v>0</v>
      </c>
      <c r="BY22" s="411">
        <f>Transporte!$J$20</f>
        <v>0</v>
      </c>
      <c r="BZ22" s="411">
        <f>Manutenção!$J$21</f>
        <v>0</v>
      </c>
      <c r="CA22" s="412">
        <f t="shared" ca="1" si="71"/>
        <v>0</v>
      </c>
      <c r="CB22" s="411">
        <f t="shared" ca="1" si="48"/>
        <v>3433.671072530864</v>
      </c>
      <c r="CC22" s="414">
        <f t="shared" ca="1" si="72"/>
        <v>0</v>
      </c>
      <c r="CD22" s="411">
        <f>'Verniz Cataforético'!AD35</f>
        <v>0</v>
      </c>
      <c r="CE22" s="411">
        <f>'Resumo M.O'!$K$27</f>
        <v>1907.3421935185186</v>
      </c>
      <c r="CF22" s="412">
        <f>'Resumo M.O'!$K$31</f>
        <v>1526.3288790123456</v>
      </c>
      <c r="CG22" s="412">
        <f>'Resumo Custos Variáveis'!$M$21</f>
        <v>0</v>
      </c>
      <c r="CH22" s="411">
        <f>'Outros Custos'!$K$31</f>
        <v>0</v>
      </c>
      <c r="CI22" s="411">
        <f>Transporte!$K$20</f>
        <v>0</v>
      </c>
      <c r="CJ22" s="411">
        <f>Manutenção!$K$21</f>
        <v>0</v>
      </c>
      <c r="CK22" s="412">
        <f t="shared" ca="1" si="73"/>
        <v>0</v>
      </c>
      <c r="CL22" s="411">
        <f t="shared" ca="1" si="27"/>
        <v>3433.671072530864</v>
      </c>
      <c r="CM22" s="414">
        <f ca="1">IF(L2&gt;=1,CL22/$A$5,0)</f>
        <v>0</v>
      </c>
      <c r="CN22" s="411">
        <f>'Verniz Cataforético'!AG35</f>
        <v>0</v>
      </c>
      <c r="CO22" s="411">
        <f>'Resumo M.O'!$L$27</f>
        <v>1907.3421935185186</v>
      </c>
      <c r="CP22" s="412">
        <f>'Resumo M.O'!$L$31</f>
        <v>1526.3288790123456</v>
      </c>
      <c r="CQ22" s="412">
        <f>'Resumo Custos Variáveis'!$N$21</f>
        <v>0</v>
      </c>
      <c r="CR22" s="411">
        <f>'Outros Custos'!$L$31</f>
        <v>0</v>
      </c>
      <c r="CS22" s="411">
        <f>Transporte!$L$20</f>
        <v>0</v>
      </c>
      <c r="CT22" s="411">
        <f>Manutenção!$L$21</f>
        <v>0</v>
      </c>
      <c r="CU22" s="412">
        <f t="shared" ca="1" si="75"/>
        <v>0</v>
      </c>
      <c r="CV22" s="411">
        <f t="shared" ca="1" si="28"/>
        <v>3433.671072530864</v>
      </c>
      <c r="CW22" s="414">
        <f t="shared" ca="1" si="76"/>
        <v>0</v>
      </c>
      <c r="CX22" s="411">
        <f>'Verniz Cataforético'!AJ35</f>
        <v>0</v>
      </c>
      <c r="CY22" s="411">
        <f>'Resumo M.O'!$M$27</f>
        <v>1907.3421935185186</v>
      </c>
      <c r="CZ22" s="412">
        <f>'Resumo M.O'!$M$31</f>
        <v>1526.3288790123456</v>
      </c>
      <c r="DA22" s="412">
        <f>'Resumo Custos Variáveis'!$O$21</f>
        <v>0</v>
      </c>
      <c r="DB22" s="411">
        <f>'Outros Custos'!$M$31</f>
        <v>0</v>
      </c>
      <c r="DC22" s="411">
        <f>Transporte!$M$20</f>
        <v>0</v>
      </c>
      <c r="DD22" s="411">
        <f>Manutenção!$M$21</f>
        <v>0</v>
      </c>
      <c r="DE22" s="412">
        <f t="shared" ca="1" si="77"/>
        <v>0</v>
      </c>
      <c r="DF22" s="411">
        <f t="shared" ca="1" si="29"/>
        <v>3433.671072530864</v>
      </c>
      <c r="DG22" s="414">
        <f t="shared" ca="1" si="78"/>
        <v>0</v>
      </c>
      <c r="DH22" s="411">
        <f>'Verniz Cataforético'!AM35</f>
        <v>0</v>
      </c>
      <c r="DI22" s="72">
        <f>'Resumo M.O'!$N$27</f>
        <v>1907.3421935185186</v>
      </c>
      <c r="DJ22" s="413">
        <f>'Resumo M.O'!$N$31</f>
        <v>1526.3288790123456</v>
      </c>
      <c r="DK22" s="413">
        <f>'Resumo Custos Variáveis'!$P$21</f>
        <v>0</v>
      </c>
      <c r="DL22" s="72">
        <f>'Outros Custos'!$N$31</f>
        <v>0</v>
      </c>
      <c r="DM22" s="72">
        <f>Transporte!$N$20</f>
        <v>0</v>
      </c>
      <c r="DN22" s="72">
        <f>Manutenção!$N$21</f>
        <v>0</v>
      </c>
      <c r="DO22" s="413">
        <f t="shared" ca="1" si="79"/>
        <v>0</v>
      </c>
      <c r="DP22" s="72">
        <f t="shared" ca="1" si="30"/>
        <v>3433.671072530864</v>
      </c>
      <c r="DQ22" s="414">
        <f t="shared" ca="1" si="80"/>
        <v>0</v>
      </c>
      <c r="DS22" s="411">
        <f ca="1">K22</f>
        <v>0</v>
      </c>
      <c r="DT22" s="411">
        <f ca="1">U22</f>
        <v>0</v>
      </c>
      <c r="DU22" s="411">
        <f ca="1">AE22</f>
        <v>0</v>
      </c>
      <c r="DV22" s="411">
        <f ca="1">AO22</f>
        <v>0</v>
      </c>
      <c r="DW22" s="411">
        <f ca="1">AY22</f>
        <v>0</v>
      </c>
      <c r="DX22" s="411">
        <f ca="1">BI22</f>
        <v>0</v>
      </c>
      <c r="DY22" s="411">
        <f ca="1">BS22</f>
        <v>0</v>
      </c>
      <c r="DZ22" s="411">
        <f ca="1">CC22</f>
        <v>0</v>
      </c>
      <c r="EA22" s="411">
        <f ca="1">CM22</f>
        <v>0</v>
      </c>
      <c r="EB22" s="411">
        <f ca="1">CW22</f>
        <v>0</v>
      </c>
      <c r="EC22" s="411">
        <f ca="1">DG22</f>
        <v>0</v>
      </c>
      <c r="ED22" s="411">
        <f ca="1">DQ22</f>
        <v>0</v>
      </c>
      <c r="EF22" s="412">
        <f t="shared" si="49"/>
        <v>0</v>
      </c>
      <c r="EG22" s="412">
        <f t="shared" si="31"/>
        <v>0</v>
      </c>
      <c r="EH22" s="412">
        <f t="shared" si="32"/>
        <v>62.442227272727266</v>
      </c>
      <c r="EI22" s="412">
        <f t="shared" si="33"/>
        <v>93.871909090909085</v>
      </c>
      <c r="EJ22" s="412">
        <f t="shared" si="34"/>
        <v>0</v>
      </c>
      <c r="EK22" s="412">
        <f t="shared" si="35"/>
        <v>0</v>
      </c>
      <c r="EL22" s="412">
        <f t="shared" si="36"/>
        <v>0</v>
      </c>
      <c r="EM22" s="412">
        <f t="shared" si="37"/>
        <v>0</v>
      </c>
      <c r="EN22" s="412">
        <f t="shared" si="38"/>
        <v>0</v>
      </c>
      <c r="EO22" s="412">
        <f t="shared" si="39"/>
        <v>0</v>
      </c>
      <c r="EP22" s="412">
        <f t="shared" si="40"/>
        <v>0</v>
      </c>
      <c r="EQ22" s="412">
        <f t="shared" si="41"/>
        <v>0</v>
      </c>
    </row>
    <row r="23" spans="1:147" x14ac:dyDescent="0.3">
      <c r="A23" s="419" t="s">
        <v>130</v>
      </c>
      <c r="B23" s="411">
        <f>'Verniz Cataforético'!F41</f>
        <v>0</v>
      </c>
      <c r="C23" s="411">
        <f>'Resumo M.O'!$C$27</f>
        <v>1907.3421935185186</v>
      </c>
      <c r="D23" s="412">
        <f>'Resumo M.O'!$C$31</f>
        <v>1526.3288790123456</v>
      </c>
      <c r="E23" s="413">
        <f>'Resumo Custos Variáveis'!$E$21</f>
        <v>0</v>
      </c>
      <c r="F23" s="411">
        <f>'Outros Custos'!$C$31</f>
        <v>0</v>
      </c>
      <c r="G23" s="411">
        <f>Transporte!$C$20</f>
        <v>0</v>
      </c>
      <c r="H23" s="411">
        <f>Manutenção!$C$21</f>
        <v>0</v>
      </c>
      <c r="I23" s="412">
        <f ca="1">Investimentos!O30</f>
        <v>0</v>
      </c>
      <c r="J23" s="411">
        <f t="shared" ca="1" si="23"/>
        <v>3433.671072530864</v>
      </c>
      <c r="K23" s="414">
        <f t="shared" ca="1" si="24"/>
        <v>0</v>
      </c>
      <c r="L23" s="411">
        <f>'Verniz Cataforético'!I41</f>
        <v>0</v>
      </c>
      <c r="M23" s="411">
        <f>'Resumo M.O'!$D$27</f>
        <v>1907.3421935185186</v>
      </c>
      <c r="N23" s="412">
        <f>'Resumo M.O'!$D$31</f>
        <v>1526.3288790123456</v>
      </c>
      <c r="O23" s="412">
        <f>'Resumo Custos Variáveis'!$F$21</f>
        <v>0</v>
      </c>
      <c r="P23" s="411">
        <f>'Outros Custos'!$D$31</f>
        <v>0</v>
      </c>
      <c r="Q23" s="411">
        <f>Transporte!$D$20</f>
        <v>0</v>
      </c>
      <c r="R23" s="411">
        <f>Manutenção!$D$21</f>
        <v>0</v>
      </c>
      <c r="S23" s="412">
        <f t="shared" ca="1" si="61"/>
        <v>0</v>
      </c>
      <c r="T23" s="411">
        <f t="shared" ca="1" si="42"/>
        <v>3433.671072530864</v>
      </c>
      <c r="U23" s="414">
        <f t="shared" ca="1" si="25"/>
        <v>0</v>
      </c>
      <c r="V23" s="411">
        <f>'Verniz Cataforético'!L41</f>
        <v>2068.25</v>
      </c>
      <c r="W23" s="72">
        <f>'Resumo M.O'!$E$27</f>
        <v>1907.3421935185186</v>
      </c>
      <c r="X23" s="413">
        <f>'Resumo M.O'!$E$31</f>
        <v>1526.3288790123456</v>
      </c>
      <c r="Y23" s="413">
        <f>'Resumo Custos Variáveis'!$G$21</f>
        <v>2404.5263157894738</v>
      </c>
      <c r="Z23" s="72">
        <f>'Outros Custos'!$E$31</f>
        <v>0</v>
      </c>
      <c r="AA23" s="72">
        <f>Transporte!$E$20</f>
        <v>0</v>
      </c>
      <c r="AB23" s="72">
        <f>Manutenção!$E$21</f>
        <v>0</v>
      </c>
      <c r="AC23" s="413">
        <f t="shared" ca="1" si="62"/>
        <v>0</v>
      </c>
      <c r="AD23" s="72">
        <f t="shared" ca="1" si="43"/>
        <v>7906.4473883203373</v>
      </c>
      <c r="AE23" s="414">
        <f t="shared" ca="1" si="26"/>
        <v>0</v>
      </c>
      <c r="AF23" s="411">
        <f>'Verniz Cataforético'!O41</f>
        <v>4177.2400000000007</v>
      </c>
      <c r="AG23" s="411">
        <f>'Resumo M.O'!$F$27</f>
        <v>1907.3421935185186</v>
      </c>
      <c r="AH23" s="412">
        <f>'Resumo M.O'!$F$31</f>
        <v>1526.3288790123456</v>
      </c>
      <c r="AI23" s="412">
        <f>'Resumo Custos Variáveis'!$H$21</f>
        <v>1573.8421052631579</v>
      </c>
      <c r="AJ23" s="411">
        <f>'Outros Custos'!$F$31</f>
        <v>0</v>
      </c>
      <c r="AK23" s="411">
        <f>Transporte!$F$20</f>
        <v>0</v>
      </c>
      <c r="AL23" s="411">
        <f>Manutenção!$F$21</f>
        <v>0</v>
      </c>
      <c r="AM23" s="412">
        <f t="shared" ca="1" si="63"/>
        <v>0</v>
      </c>
      <c r="AN23" s="411">
        <f t="shared" ca="1" si="44"/>
        <v>9184.7531777940239</v>
      </c>
      <c r="AO23" s="414">
        <f ca="1">IF(L2&gt;=1,AN23/$A$5,0)</f>
        <v>0</v>
      </c>
      <c r="AP23" s="411">
        <f>'Verniz Cataforético'!R41</f>
        <v>0</v>
      </c>
      <c r="AQ23" s="411">
        <f>'Resumo M.O'!$G$27</f>
        <v>1907.3421935185186</v>
      </c>
      <c r="AR23" s="412">
        <f>'Resumo M.O'!$G$31</f>
        <v>1526.3288790123456</v>
      </c>
      <c r="AS23" s="412">
        <f>'Resumo Custos Variáveis'!$I$21</f>
        <v>0</v>
      </c>
      <c r="AT23" s="411">
        <f>'Outros Custos'!$G$31</f>
        <v>0</v>
      </c>
      <c r="AU23" s="411">
        <f>Transporte!$G$20</f>
        <v>0</v>
      </c>
      <c r="AV23" s="411">
        <f>Manutenção!$G$21</f>
        <v>0</v>
      </c>
      <c r="AW23" s="412">
        <f t="shared" ca="1" si="65"/>
        <v>0</v>
      </c>
      <c r="AX23" s="411">
        <f t="shared" ca="1" si="45"/>
        <v>3433.671072530864</v>
      </c>
      <c r="AY23" s="414">
        <f ca="1">IF(L2&gt;=1,AX23/$A$5,0)</f>
        <v>0</v>
      </c>
      <c r="AZ23" s="411">
        <f>'Verniz Cataforético'!U41</f>
        <v>0</v>
      </c>
      <c r="BA23" s="411">
        <f>'Resumo M.O'!$H$27</f>
        <v>1907.3421935185186</v>
      </c>
      <c r="BB23" s="412">
        <f>'Resumo M.O'!$H$31</f>
        <v>1526.3288790123456</v>
      </c>
      <c r="BC23" s="412">
        <f>'Resumo Custos Variáveis'!$J$21</f>
        <v>0</v>
      </c>
      <c r="BD23" s="411">
        <f>'Outros Custos'!$H$31</f>
        <v>0</v>
      </c>
      <c r="BE23" s="411">
        <f>Transporte!$H$20</f>
        <v>0</v>
      </c>
      <c r="BF23" s="411">
        <f>Manutenção!$H$21</f>
        <v>3061.5384615384614</v>
      </c>
      <c r="BG23" s="412">
        <f t="shared" ca="1" si="67"/>
        <v>0</v>
      </c>
      <c r="BH23" s="411">
        <f t="shared" ca="1" si="46"/>
        <v>6495.2095340693249</v>
      </c>
      <c r="BI23" s="414">
        <f ca="1">IF(L2&gt;=1,BH23/$A$5,0)</f>
        <v>0</v>
      </c>
      <c r="BJ23" s="411">
        <f>'Verniz Cataforético'!X41</f>
        <v>0</v>
      </c>
      <c r="BK23" s="411">
        <f>'Resumo M.O'!$I$27</f>
        <v>1907.3421935185186</v>
      </c>
      <c r="BL23" s="412">
        <f>'Resumo M.O'!$I$31</f>
        <v>1526.3288790123456</v>
      </c>
      <c r="BM23" s="412">
        <f>'Resumo Custos Variáveis'!$K$21</f>
        <v>0</v>
      </c>
      <c r="BN23" s="411">
        <f>'Outros Custos'!$I$31</f>
        <v>0</v>
      </c>
      <c r="BO23" s="411">
        <f>Transporte!$I$20</f>
        <v>0</v>
      </c>
      <c r="BP23" s="411">
        <f>Manutenção!$I$21</f>
        <v>3030.7692307692309</v>
      </c>
      <c r="BQ23" s="412">
        <f t="shared" ca="1" si="69"/>
        <v>0</v>
      </c>
      <c r="BR23" s="411">
        <f t="shared" ca="1" si="47"/>
        <v>6464.4403033000945</v>
      </c>
      <c r="BS23" s="414">
        <f ca="1">IF(L2&gt;=1,BR23/$A$5,0)</f>
        <v>0</v>
      </c>
      <c r="BT23" s="411">
        <f>'Verniz Cataforético'!AA41</f>
        <v>0</v>
      </c>
      <c r="BU23" s="411">
        <f>'Resumo M.O'!$J$27</f>
        <v>1907.3421935185186</v>
      </c>
      <c r="BV23" s="412">
        <f>'Resumo M.O'!$J$31</f>
        <v>1526.3288790123456</v>
      </c>
      <c r="BW23" s="412">
        <f>'Resumo Custos Variáveis'!$L$21</f>
        <v>0</v>
      </c>
      <c r="BX23" s="411">
        <f>'Outros Custos'!$J$31</f>
        <v>0</v>
      </c>
      <c r="BY23" s="411">
        <f>Transporte!$J$20</f>
        <v>0</v>
      </c>
      <c r="BZ23" s="411">
        <f>Manutenção!$J$21</f>
        <v>0</v>
      </c>
      <c r="CA23" s="412">
        <f t="shared" ca="1" si="71"/>
        <v>0</v>
      </c>
      <c r="CB23" s="411">
        <f t="shared" ca="1" si="48"/>
        <v>3433.671072530864</v>
      </c>
      <c r="CC23" s="414">
        <f ca="1">IF(L2&gt;=1,CB23/$A$5,0)</f>
        <v>0</v>
      </c>
      <c r="CD23" s="411">
        <f>'Verniz Cataforético'!AD41</f>
        <v>0</v>
      </c>
      <c r="CE23" s="411">
        <f>'Resumo M.O'!$K$27</f>
        <v>1907.3421935185186</v>
      </c>
      <c r="CF23" s="412">
        <f>'Resumo M.O'!$K$31</f>
        <v>1526.3288790123456</v>
      </c>
      <c r="CG23" s="412">
        <f>'Resumo Custos Variáveis'!$M$21</f>
        <v>0</v>
      </c>
      <c r="CH23" s="411">
        <f>'Outros Custos'!$K$31</f>
        <v>0</v>
      </c>
      <c r="CI23" s="411">
        <f>Transporte!$K$20</f>
        <v>0</v>
      </c>
      <c r="CJ23" s="411">
        <f>Manutenção!$K$21</f>
        <v>0</v>
      </c>
      <c r="CK23" s="412">
        <f t="shared" ca="1" si="73"/>
        <v>0</v>
      </c>
      <c r="CL23" s="411">
        <f t="shared" ca="1" si="27"/>
        <v>3433.671072530864</v>
      </c>
      <c r="CM23" s="414">
        <f ca="1">IF(L2&gt;=1,CL23/$A$5,0)</f>
        <v>0</v>
      </c>
      <c r="CN23" s="411">
        <f>'Verniz Cataforético'!AG41</f>
        <v>0</v>
      </c>
      <c r="CO23" s="411">
        <f>'Resumo M.O'!$L$27</f>
        <v>1907.3421935185186</v>
      </c>
      <c r="CP23" s="412">
        <f>'Resumo M.O'!$L$31</f>
        <v>1526.3288790123456</v>
      </c>
      <c r="CQ23" s="412">
        <f>'Resumo Custos Variáveis'!$N$21</f>
        <v>0</v>
      </c>
      <c r="CR23" s="411">
        <f>'Outros Custos'!$L$31</f>
        <v>0</v>
      </c>
      <c r="CS23" s="411">
        <f>Transporte!$L$20</f>
        <v>0</v>
      </c>
      <c r="CT23" s="411">
        <f>Manutenção!$L$21</f>
        <v>0</v>
      </c>
      <c r="CU23" s="412">
        <f t="shared" ca="1" si="75"/>
        <v>0</v>
      </c>
      <c r="CV23" s="411">
        <f t="shared" ca="1" si="28"/>
        <v>3433.671072530864</v>
      </c>
      <c r="CW23" s="414">
        <f ca="1">IF(L2&gt;=1,CV23/$A$5,0)</f>
        <v>0</v>
      </c>
      <c r="CX23" s="411">
        <f>'Verniz Cataforético'!AJ41</f>
        <v>0</v>
      </c>
      <c r="CY23" s="411">
        <f>'Resumo M.O'!$M$27</f>
        <v>1907.3421935185186</v>
      </c>
      <c r="CZ23" s="412">
        <f>'Resumo M.O'!$M$31</f>
        <v>1526.3288790123456</v>
      </c>
      <c r="DA23" s="412">
        <f>'Resumo Custos Variáveis'!$O$21</f>
        <v>0</v>
      </c>
      <c r="DB23" s="411">
        <f>'Outros Custos'!$M$31</f>
        <v>0</v>
      </c>
      <c r="DC23" s="411">
        <f>Transporte!$M$20</f>
        <v>0</v>
      </c>
      <c r="DD23" s="411">
        <f>Manutenção!$M$21</f>
        <v>0</v>
      </c>
      <c r="DE23" s="412">
        <f t="shared" ca="1" si="77"/>
        <v>0</v>
      </c>
      <c r="DF23" s="411">
        <f t="shared" ca="1" si="29"/>
        <v>3433.671072530864</v>
      </c>
      <c r="DG23" s="414">
        <f ca="1">IF(L2&gt;=1,DF23/$A$5,0)</f>
        <v>0</v>
      </c>
      <c r="DH23" s="411">
        <f>'Verniz Cataforético'!AM41</f>
        <v>0</v>
      </c>
      <c r="DI23" s="72">
        <f>'Resumo M.O'!$N$27</f>
        <v>1907.3421935185186</v>
      </c>
      <c r="DJ23" s="413">
        <f>'Resumo M.O'!$N$31</f>
        <v>1526.3288790123456</v>
      </c>
      <c r="DK23" s="413">
        <f>'Resumo Custos Variáveis'!$P$21</f>
        <v>0</v>
      </c>
      <c r="DL23" s="72">
        <f>'Outros Custos'!$N$31</f>
        <v>0</v>
      </c>
      <c r="DM23" s="72">
        <f>Transporte!$N$20</f>
        <v>0</v>
      </c>
      <c r="DN23" s="72">
        <f>Manutenção!$N$21</f>
        <v>0</v>
      </c>
      <c r="DO23" s="413">
        <f t="shared" ca="1" si="79"/>
        <v>0</v>
      </c>
      <c r="DP23" s="72">
        <f t="shared" ca="1" si="30"/>
        <v>3433.671072530864</v>
      </c>
      <c r="DQ23" s="414">
        <f ca="1">IF(L2&gt;=1,DP23/$A$5,0)</f>
        <v>0</v>
      </c>
      <c r="DS23" s="411">
        <f t="shared" ca="1" si="11"/>
        <v>0</v>
      </c>
      <c r="DT23" s="411">
        <f t="shared" ca="1" si="12"/>
        <v>0</v>
      </c>
      <c r="DU23" s="411">
        <f t="shared" ca="1" si="13"/>
        <v>0</v>
      </c>
      <c r="DV23" s="411">
        <f ca="1">AO23</f>
        <v>0</v>
      </c>
      <c r="DW23" s="411">
        <f ca="1">AY23</f>
        <v>0</v>
      </c>
      <c r="DX23" s="411">
        <f t="shared" ca="1" si="16"/>
        <v>0</v>
      </c>
      <c r="DY23" s="411">
        <f t="shared" ca="1" si="17"/>
        <v>0</v>
      </c>
      <c r="DZ23" s="411">
        <f t="shared" ca="1" si="18"/>
        <v>0</v>
      </c>
      <c r="EA23" s="411">
        <f t="shared" ca="1" si="19"/>
        <v>0</v>
      </c>
      <c r="EB23" s="411">
        <f t="shared" ca="1" si="20"/>
        <v>0</v>
      </c>
      <c r="EC23" s="411">
        <f t="shared" ca="1" si="21"/>
        <v>0</v>
      </c>
      <c r="ED23" s="411">
        <f t="shared" ca="1" si="22"/>
        <v>0</v>
      </c>
      <c r="EF23" s="412">
        <f t="shared" si="49"/>
        <v>0</v>
      </c>
      <c r="EG23" s="412">
        <f t="shared" si="31"/>
        <v>0</v>
      </c>
      <c r="EH23" s="412">
        <f t="shared" si="32"/>
        <v>9.401136363636363</v>
      </c>
      <c r="EI23" s="412">
        <f t="shared" si="33"/>
        <v>18.987454545454547</v>
      </c>
      <c r="EJ23" s="412">
        <f t="shared" si="34"/>
        <v>0</v>
      </c>
      <c r="EK23" s="412">
        <f t="shared" si="35"/>
        <v>0</v>
      </c>
      <c r="EL23" s="412">
        <f t="shared" si="36"/>
        <v>0</v>
      </c>
      <c r="EM23" s="412">
        <f t="shared" si="37"/>
        <v>0</v>
      </c>
      <c r="EN23" s="412">
        <f t="shared" si="38"/>
        <v>0</v>
      </c>
      <c r="EO23" s="412">
        <f t="shared" si="39"/>
        <v>0</v>
      </c>
      <c r="EP23" s="412">
        <f t="shared" si="40"/>
        <v>0</v>
      </c>
      <c r="EQ23" s="412">
        <f t="shared" si="41"/>
        <v>0</v>
      </c>
    </row>
    <row r="24" spans="1:147" x14ac:dyDescent="0.3">
      <c r="A24" s="416" t="s">
        <v>15</v>
      </c>
      <c r="B24" s="411">
        <f>'Verniz Imersão'!F22</f>
        <v>0</v>
      </c>
      <c r="C24" s="411">
        <f>'Resumo M.O'!$C$27</f>
        <v>1907.3421935185186</v>
      </c>
      <c r="D24" s="412">
        <f>'Resumo M.O'!$C$31</f>
        <v>1526.3288790123456</v>
      </c>
      <c r="E24" s="413">
        <f>'Resumo Custos Variáveis'!$E$21</f>
        <v>0</v>
      </c>
      <c r="F24" s="411">
        <f>'Outros Custos'!$C$31</f>
        <v>0</v>
      </c>
      <c r="G24" s="411">
        <f>Transporte!$C$20</f>
        <v>0</v>
      </c>
      <c r="H24" s="411">
        <f>Manutenção!$C$21</f>
        <v>0</v>
      </c>
      <c r="I24" s="412">
        <f ca="1">Investimentos!O34</f>
        <v>0</v>
      </c>
      <c r="J24" s="411">
        <f t="shared" ca="1" si="23"/>
        <v>3433.671072530864</v>
      </c>
      <c r="K24" s="414">
        <f t="shared" ca="1" si="24"/>
        <v>0</v>
      </c>
      <c r="L24" s="411">
        <f>'Verniz Imersão'!I22</f>
        <v>0</v>
      </c>
      <c r="M24" s="411">
        <f>'Resumo M.O'!$D$27</f>
        <v>1907.3421935185186</v>
      </c>
      <c r="N24" s="412">
        <f>'Resumo M.O'!$D$31</f>
        <v>1526.3288790123456</v>
      </c>
      <c r="O24" s="412">
        <f>'Resumo Custos Variáveis'!$F$21</f>
        <v>0</v>
      </c>
      <c r="P24" s="411">
        <f>'Outros Custos'!$D$31</f>
        <v>0</v>
      </c>
      <c r="Q24" s="411">
        <f>Transporte!$D$20</f>
        <v>0</v>
      </c>
      <c r="R24" s="411">
        <f>Manutenção!$D$21</f>
        <v>0</v>
      </c>
      <c r="S24" s="412">
        <f t="shared" ca="1" si="61"/>
        <v>0</v>
      </c>
      <c r="T24" s="411">
        <f t="shared" ca="1" si="42"/>
        <v>3433.671072530864</v>
      </c>
      <c r="U24" s="414">
        <f t="shared" ca="1" si="25"/>
        <v>0</v>
      </c>
      <c r="V24" s="411">
        <f>'Verniz Imersão'!L22</f>
        <v>3638.5</v>
      </c>
      <c r="W24" s="72">
        <f>'Resumo M.O'!$E$27</f>
        <v>1907.3421935185186</v>
      </c>
      <c r="X24" s="413">
        <f>'Resumo M.O'!$E$31</f>
        <v>1526.3288790123456</v>
      </c>
      <c r="Y24" s="413">
        <f>'Resumo Custos Variáveis'!$G$21</f>
        <v>2404.5263157894738</v>
      </c>
      <c r="Z24" s="72">
        <f>'Outros Custos'!$E$31</f>
        <v>0</v>
      </c>
      <c r="AA24" s="72">
        <f>Transporte!$E$20</f>
        <v>0</v>
      </c>
      <c r="AB24" s="72">
        <f>Manutenção!$E$21</f>
        <v>0</v>
      </c>
      <c r="AC24" s="413">
        <f t="shared" ca="1" si="62"/>
        <v>0</v>
      </c>
      <c r="AD24" s="72">
        <f t="shared" ca="1" si="43"/>
        <v>9476.6973883203373</v>
      </c>
      <c r="AE24" s="414">
        <f t="shared" ca="1" si="26"/>
        <v>0</v>
      </c>
      <c r="AF24" s="411">
        <f>'Verniz Imersão'!O22</f>
        <v>0</v>
      </c>
      <c r="AG24" s="411">
        <f>'Resumo M.O'!$F$27</f>
        <v>1907.3421935185186</v>
      </c>
      <c r="AH24" s="412">
        <f>'Resumo M.O'!$F$31</f>
        <v>1526.3288790123456</v>
      </c>
      <c r="AI24" s="412">
        <f>'Resumo Custos Variáveis'!$H$21</f>
        <v>1573.8421052631579</v>
      </c>
      <c r="AJ24" s="411">
        <f>'Outros Custos'!$F$31</f>
        <v>0</v>
      </c>
      <c r="AK24" s="411">
        <f>Transporte!$F$20</f>
        <v>0</v>
      </c>
      <c r="AL24" s="411">
        <f>Manutenção!$F$21</f>
        <v>0</v>
      </c>
      <c r="AM24" s="412">
        <f t="shared" ca="1" si="63"/>
        <v>0</v>
      </c>
      <c r="AN24" s="411">
        <f t="shared" ca="1" si="44"/>
        <v>5007.5131777940223</v>
      </c>
      <c r="AO24" s="414">
        <f ca="1">IF(L2&gt;=1,AN24/$A$5,0)</f>
        <v>0</v>
      </c>
      <c r="AP24" s="411">
        <f>'Verniz Imersão'!R22</f>
        <v>0</v>
      </c>
      <c r="AQ24" s="411">
        <f>'Resumo M.O'!$G$27</f>
        <v>1907.3421935185186</v>
      </c>
      <c r="AR24" s="412">
        <f>'Resumo M.O'!$G$31</f>
        <v>1526.3288790123456</v>
      </c>
      <c r="AS24" s="412">
        <f>'Resumo Custos Variáveis'!$I$21</f>
        <v>0</v>
      </c>
      <c r="AT24" s="411">
        <f>'Outros Custos'!$G$31</f>
        <v>0</v>
      </c>
      <c r="AU24" s="411">
        <f>Transporte!$G$20</f>
        <v>0</v>
      </c>
      <c r="AV24" s="411">
        <f>Manutenção!$G$21</f>
        <v>0</v>
      </c>
      <c r="AW24" s="412">
        <f t="shared" ca="1" si="65"/>
        <v>0</v>
      </c>
      <c r="AX24" s="411">
        <f t="shared" ca="1" si="45"/>
        <v>3433.671072530864</v>
      </c>
      <c r="AY24" s="414">
        <f ca="1">IF(L2&gt;=1,AX24/$A$5,0)</f>
        <v>0</v>
      </c>
      <c r="AZ24" s="411">
        <f>'Verniz Imersão'!U22</f>
        <v>0</v>
      </c>
      <c r="BA24" s="411">
        <f>'Resumo M.O'!$H$27</f>
        <v>1907.3421935185186</v>
      </c>
      <c r="BB24" s="412">
        <f>'Resumo M.O'!$H$31</f>
        <v>1526.3288790123456</v>
      </c>
      <c r="BC24" s="412">
        <f>'Resumo Custos Variáveis'!$J$21</f>
        <v>0</v>
      </c>
      <c r="BD24" s="411">
        <f>'Outros Custos'!$H$31</f>
        <v>0</v>
      </c>
      <c r="BE24" s="411">
        <f>Transporte!$H$20</f>
        <v>0</v>
      </c>
      <c r="BF24" s="411">
        <f>Manutenção!$H$21</f>
        <v>3061.5384615384614</v>
      </c>
      <c r="BG24" s="412">
        <f t="shared" ca="1" si="67"/>
        <v>0</v>
      </c>
      <c r="BH24" s="411">
        <f t="shared" ca="1" si="46"/>
        <v>6495.2095340693249</v>
      </c>
      <c r="BI24" s="414">
        <f ca="1">IF(L2&gt;=1,BH24/$A$5,0)</f>
        <v>0</v>
      </c>
      <c r="BJ24" s="411">
        <f>'Verniz Imersão'!X22</f>
        <v>0</v>
      </c>
      <c r="BK24" s="411">
        <f>'Resumo M.O'!$I$27</f>
        <v>1907.3421935185186</v>
      </c>
      <c r="BL24" s="412">
        <f>'Resumo M.O'!$I$31</f>
        <v>1526.3288790123456</v>
      </c>
      <c r="BM24" s="412">
        <f>'Resumo Custos Variáveis'!$K$21</f>
        <v>0</v>
      </c>
      <c r="BN24" s="411">
        <f>'Outros Custos'!$I$31</f>
        <v>0</v>
      </c>
      <c r="BO24" s="411">
        <f>Transporte!$I$20</f>
        <v>0</v>
      </c>
      <c r="BP24" s="411">
        <f>Manutenção!$I$21</f>
        <v>3030.7692307692309</v>
      </c>
      <c r="BQ24" s="412">
        <f t="shared" ca="1" si="69"/>
        <v>0</v>
      </c>
      <c r="BR24" s="411">
        <f t="shared" ca="1" si="47"/>
        <v>6464.4403033000945</v>
      </c>
      <c r="BS24" s="414">
        <f ca="1">IF(L2&gt;=1,BR24/$A$5,0)</f>
        <v>0</v>
      </c>
      <c r="BT24" s="411">
        <f>'Verniz Imersão'!AA22</f>
        <v>0</v>
      </c>
      <c r="BU24" s="411">
        <f>'Resumo M.O'!$J$27</f>
        <v>1907.3421935185186</v>
      </c>
      <c r="BV24" s="412">
        <f>'Resumo M.O'!$J$31</f>
        <v>1526.3288790123456</v>
      </c>
      <c r="BW24" s="412">
        <f>'Resumo Custos Variáveis'!$L$21</f>
        <v>0</v>
      </c>
      <c r="BX24" s="411">
        <f>'Outros Custos'!$J$31</f>
        <v>0</v>
      </c>
      <c r="BY24" s="411">
        <f>Transporte!$J$20</f>
        <v>0</v>
      </c>
      <c r="BZ24" s="411">
        <f>Manutenção!$J$21</f>
        <v>0</v>
      </c>
      <c r="CA24" s="412">
        <f t="shared" ca="1" si="71"/>
        <v>0</v>
      </c>
      <c r="CB24" s="411">
        <f t="shared" ca="1" si="48"/>
        <v>3433.671072530864</v>
      </c>
      <c r="CC24" s="414">
        <f ca="1">IF(L2&gt;=1,CB24/$A$5,0)</f>
        <v>0</v>
      </c>
      <c r="CD24" s="411">
        <f>'Verniz Imersão'!AD22</f>
        <v>0</v>
      </c>
      <c r="CE24" s="411">
        <f>'Resumo M.O'!$K$27</f>
        <v>1907.3421935185186</v>
      </c>
      <c r="CF24" s="412">
        <f>'Resumo M.O'!$K$31</f>
        <v>1526.3288790123456</v>
      </c>
      <c r="CG24" s="412">
        <f>'Resumo Custos Variáveis'!$M$21</f>
        <v>0</v>
      </c>
      <c r="CH24" s="411">
        <f>'Outros Custos'!$K$31</f>
        <v>0</v>
      </c>
      <c r="CI24" s="411">
        <f>Transporte!$K$20</f>
        <v>0</v>
      </c>
      <c r="CJ24" s="411">
        <f>Manutenção!$K$21</f>
        <v>0</v>
      </c>
      <c r="CK24" s="412">
        <f t="shared" ca="1" si="73"/>
        <v>0</v>
      </c>
      <c r="CL24" s="411">
        <f t="shared" ca="1" si="27"/>
        <v>3433.671072530864</v>
      </c>
      <c r="CM24" s="414">
        <f ca="1">IF(L2&gt;=1,CL24/$A$5,0)</f>
        <v>0</v>
      </c>
      <c r="CN24" s="411">
        <f>'Verniz Imersão'!AG22</f>
        <v>0</v>
      </c>
      <c r="CO24" s="411">
        <f>'Resumo M.O'!$L$27</f>
        <v>1907.3421935185186</v>
      </c>
      <c r="CP24" s="412">
        <f>'Resumo M.O'!$L$31</f>
        <v>1526.3288790123456</v>
      </c>
      <c r="CQ24" s="412">
        <f>'Resumo Custos Variáveis'!$N$21</f>
        <v>0</v>
      </c>
      <c r="CR24" s="411">
        <f>'Outros Custos'!$L$31</f>
        <v>0</v>
      </c>
      <c r="CS24" s="411">
        <f>Transporte!$L$20</f>
        <v>0</v>
      </c>
      <c r="CT24" s="411">
        <f>Manutenção!$L$21</f>
        <v>0</v>
      </c>
      <c r="CU24" s="412">
        <f t="shared" ca="1" si="75"/>
        <v>0</v>
      </c>
      <c r="CV24" s="411">
        <f t="shared" ca="1" si="28"/>
        <v>3433.671072530864</v>
      </c>
      <c r="CW24" s="414">
        <f ca="1">IF(L2&gt;=1,CV24/$A$5,0)</f>
        <v>0</v>
      </c>
      <c r="CX24" s="411">
        <f>'Verniz Imersão'!AJ22</f>
        <v>0</v>
      </c>
      <c r="CY24" s="411">
        <f>'Resumo M.O'!$M$27</f>
        <v>1907.3421935185186</v>
      </c>
      <c r="CZ24" s="412">
        <f>'Resumo M.O'!$M$31</f>
        <v>1526.3288790123456</v>
      </c>
      <c r="DA24" s="412">
        <f>'Resumo Custos Variáveis'!$O$21</f>
        <v>0</v>
      </c>
      <c r="DB24" s="411">
        <f>'Outros Custos'!$M$31</f>
        <v>0</v>
      </c>
      <c r="DC24" s="411">
        <f>Transporte!$M$20</f>
        <v>0</v>
      </c>
      <c r="DD24" s="411">
        <f>Manutenção!$M$21</f>
        <v>0</v>
      </c>
      <c r="DE24" s="412">
        <f t="shared" ca="1" si="77"/>
        <v>0</v>
      </c>
      <c r="DF24" s="411">
        <f t="shared" ca="1" si="29"/>
        <v>3433.671072530864</v>
      </c>
      <c r="DG24" s="414">
        <f ca="1">IF(L2&gt;=1,DF24/$A$5,0)</f>
        <v>0</v>
      </c>
      <c r="DH24" s="411">
        <f>'Verniz Imersão'!AM22</f>
        <v>0</v>
      </c>
      <c r="DI24" s="72">
        <f>'Resumo M.O'!$N$27</f>
        <v>1907.3421935185186</v>
      </c>
      <c r="DJ24" s="413">
        <f>'Resumo M.O'!$N$31</f>
        <v>1526.3288790123456</v>
      </c>
      <c r="DK24" s="413">
        <f>'Resumo Custos Variáveis'!$P$21</f>
        <v>0</v>
      </c>
      <c r="DL24" s="72">
        <f>'Outros Custos'!$N$31</f>
        <v>0</v>
      </c>
      <c r="DM24" s="72">
        <f>Transporte!$N$20</f>
        <v>0</v>
      </c>
      <c r="DN24" s="72">
        <f>Manutenção!$N$21</f>
        <v>0</v>
      </c>
      <c r="DO24" s="413">
        <f t="shared" ca="1" si="79"/>
        <v>0</v>
      </c>
      <c r="DP24" s="72">
        <f t="shared" ca="1" si="30"/>
        <v>3433.671072530864</v>
      </c>
      <c r="DQ24" s="414">
        <f ca="1">IF(L2&gt;=1,DP24/$A$5,0)</f>
        <v>0</v>
      </c>
      <c r="DS24" s="411">
        <f t="shared" ca="1" si="11"/>
        <v>0</v>
      </c>
      <c r="DT24" s="411">
        <f t="shared" ca="1" si="12"/>
        <v>0</v>
      </c>
      <c r="DU24" s="411">
        <f t="shared" ca="1" si="13"/>
        <v>0</v>
      </c>
      <c r="DV24" s="411">
        <f t="shared" ca="1" si="14"/>
        <v>0</v>
      </c>
      <c r="DW24" s="411">
        <f t="shared" ca="1" si="15"/>
        <v>0</v>
      </c>
      <c r="DX24" s="411">
        <f t="shared" ca="1" si="16"/>
        <v>0</v>
      </c>
      <c r="DY24" s="411">
        <f t="shared" ca="1" si="17"/>
        <v>0</v>
      </c>
      <c r="DZ24" s="411">
        <f t="shared" ca="1" si="18"/>
        <v>0</v>
      </c>
      <c r="EA24" s="411">
        <f t="shared" ca="1" si="19"/>
        <v>0</v>
      </c>
      <c r="EB24" s="411">
        <f t="shared" ca="1" si="20"/>
        <v>0</v>
      </c>
      <c r="EC24" s="411">
        <f t="shared" ca="1" si="21"/>
        <v>0</v>
      </c>
      <c r="ED24" s="411">
        <f t="shared" ca="1" si="22"/>
        <v>0</v>
      </c>
      <c r="EF24" s="412">
        <f t="shared" si="49"/>
        <v>0</v>
      </c>
      <c r="EG24" s="412">
        <f t="shared" si="31"/>
        <v>0</v>
      </c>
      <c r="EH24" s="412">
        <f t="shared" si="32"/>
        <v>16.538636363636364</v>
      </c>
      <c r="EI24" s="412">
        <f t="shared" si="33"/>
        <v>0</v>
      </c>
      <c r="EJ24" s="412">
        <f t="shared" si="34"/>
        <v>0</v>
      </c>
      <c r="EK24" s="412">
        <f t="shared" si="35"/>
        <v>0</v>
      </c>
      <c r="EL24" s="412">
        <f t="shared" si="36"/>
        <v>0</v>
      </c>
      <c r="EM24" s="412">
        <f t="shared" si="37"/>
        <v>0</v>
      </c>
      <c r="EN24" s="412">
        <f t="shared" si="38"/>
        <v>0</v>
      </c>
      <c r="EO24" s="412">
        <f t="shared" si="39"/>
        <v>0</v>
      </c>
      <c r="EP24" s="412">
        <f t="shared" si="40"/>
        <v>0</v>
      </c>
      <c r="EQ24" s="412">
        <f t="shared" si="41"/>
        <v>0</v>
      </c>
    </row>
    <row r="25" spans="1:147" x14ac:dyDescent="0.3">
      <c r="A25" s="416" t="s">
        <v>194</v>
      </c>
      <c r="B25" s="411">
        <f>'Desplacante de gancheira '!G14</f>
        <v>0</v>
      </c>
      <c r="C25" s="411">
        <f>'Resumo M.O'!$C$27</f>
        <v>1907.3421935185186</v>
      </c>
      <c r="D25" s="412">
        <f>'Resumo M.O'!$C$31</f>
        <v>1526.3288790123456</v>
      </c>
      <c r="E25" s="413">
        <f>'Resumo Custos Variáveis'!$E$21</f>
        <v>0</v>
      </c>
      <c r="F25" s="411">
        <f>'Outros Custos'!$C$31</f>
        <v>0</v>
      </c>
      <c r="G25" s="411">
        <f>Transporte!$C$20</f>
        <v>0</v>
      </c>
      <c r="H25" s="411">
        <f>Manutenção!$C$21</f>
        <v>0</v>
      </c>
      <c r="I25" s="412">
        <v>0</v>
      </c>
      <c r="J25" s="411">
        <f t="shared" si="23"/>
        <v>3433.671072530864</v>
      </c>
      <c r="K25" s="414">
        <f t="shared" ca="1" si="24"/>
        <v>0</v>
      </c>
      <c r="L25" s="411">
        <f>'Desplacante de gancheira '!J14</f>
        <v>0</v>
      </c>
      <c r="M25" s="411">
        <f>'Resumo M.O'!$D$27</f>
        <v>1907.3421935185186</v>
      </c>
      <c r="N25" s="412">
        <f>'Resumo M.O'!$D$31</f>
        <v>1526.3288790123456</v>
      </c>
      <c r="O25" s="412">
        <f>'Resumo Custos Variáveis'!$F$21</f>
        <v>0</v>
      </c>
      <c r="P25" s="411">
        <f>'Outros Custos'!$D$31</f>
        <v>0</v>
      </c>
      <c r="Q25" s="411">
        <f>Transporte!$D$20</f>
        <v>0</v>
      </c>
      <c r="R25" s="411">
        <f>Manutenção!$D$21</f>
        <v>0</v>
      </c>
      <c r="S25" s="412">
        <f t="shared" si="50"/>
        <v>0</v>
      </c>
      <c r="T25" s="411">
        <f t="shared" si="42"/>
        <v>3433.671072530864</v>
      </c>
      <c r="U25" s="414">
        <f t="shared" ca="1" si="25"/>
        <v>0</v>
      </c>
      <c r="V25" s="411">
        <f>'Desplacante de gancheira '!M14</f>
        <v>8453</v>
      </c>
      <c r="W25" s="72">
        <f>'Resumo M.O'!$E$27</f>
        <v>1907.3421935185186</v>
      </c>
      <c r="X25" s="413">
        <f>'Resumo M.O'!$E$31</f>
        <v>1526.3288790123456</v>
      </c>
      <c r="Y25" s="413">
        <f>'Resumo Custos Variáveis'!$G$21</f>
        <v>2404.5263157894738</v>
      </c>
      <c r="Z25" s="72">
        <f>'Outros Custos'!$E$31</f>
        <v>0</v>
      </c>
      <c r="AA25" s="72">
        <f>Transporte!$E$20</f>
        <v>0</v>
      </c>
      <c r="AB25" s="72">
        <f>Manutenção!$E$21</f>
        <v>0</v>
      </c>
      <c r="AC25" s="413">
        <f t="shared" si="51"/>
        <v>0</v>
      </c>
      <c r="AD25" s="72">
        <f t="shared" si="43"/>
        <v>14291.197388320337</v>
      </c>
      <c r="AE25" s="414">
        <f t="shared" ca="1" si="26"/>
        <v>0</v>
      </c>
      <c r="AF25" s="411">
        <f>'Desplacante de gancheira '!P14</f>
        <v>8453</v>
      </c>
      <c r="AG25" s="411">
        <f>'Resumo M.O'!$F$27</f>
        <v>1907.3421935185186</v>
      </c>
      <c r="AH25" s="412">
        <f>'Resumo M.O'!$F$31</f>
        <v>1526.3288790123456</v>
      </c>
      <c r="AI25" s="412">
        <f>'Resumo Custos Variáveis'!$H$21</f>
        <v>1573.8421052631579</v>
      </c>
      <c r="AJ25" s="411">
        <f>'Outros Custos'!$F$31</f>
        <v>0</v>
      </c>
      <c r="AK25" s="411">
        <f>Transporte!$F$20</f>
        <v>0</v>
      </c>
      <c r="AL25" s="411">
        <f>Manutenção!$F$21</f>
        <v>0</v>
      </c>
      <c r="AM25" s="412">
        <f t="shared" si="52"/>
        <v>0</v>
      </c>
      <c r="AN25" s="411">
        <f t="shared" si="44"/>
        <v>13460.513177794022</v>
      </c>
      <c r="AO25" s="414">
        <f ca="1">IF(L2&gt;=1,AN25/$A$5,0)</f>
        <v>0</v>
      </c>
      <c r="AP25" s="411">
        <f>'Desplacante de gancheira '!S14</f>
        <v>0</v>
      </c>
      <c r="AQ25" s="411">
        <f>'Resumo M.O'!$G$27</f>
        <v>1907.3421935185186</v>
      </c>
      <c r="AR25" s="412">
        <f>'Resumo M.O'!$G$31</f>
        <v>1526.3288790123456</v>
      </c>
      <c r="AS25" s="412">
        <f>'Resumo Custos Variáveis'!$I$21</f>
        <v>0</v>
      </c>
      <c r="AT25" s="411">
        <f>'Outros Custos'!$G$31</f>
        <v>0</v>
      </c>
      <c r="AU25" s="411">
        <f>Transporte!$G$20</f>
        <v>0</v>
      </c>
      <c r="AV25" s="411">
        <f>Manutenção!$G$21</f>
        <v>0</v>
      </c>
      <c r="AW25" s="412">
        <f t="shared" si="53"/>
        <v>0</v>
      </c>
      <c r="AX25" s="411">
        <f t="shared" si="45"/>
        <v>3433.671072530864</v>
      </c>
      <c r="AY25" s="414">
        <f ca="1">IF(L2&gt;=1,AX25/$A$5,0)</f>
        <v>0</v>
      </c>
      <c r="AZ25" s="411">
        <f>'Desplacante de gancheira '!V14</f>
        <v>0</v>
      </c>
      <c r="BA25" s="411">
        <f>'Resumo M.O'!$H$27</f>
        <v>1907.3421935185186</v>
      </c>
      <c r="BB25" s="412">
        <f>'Resumo M.O'!$H$31</f>
        <v>1526.3288790123456</v>
      </c>
      <c r="BC25" s="412">
        <f>'Resumo Custos Variáveis'!$J$21</f>
        <v>0</v>
      </c>
      <c r="BD25" s="411">
        <f>'Outros Custos'!$H$31</f>
        <v>0</v>
      </c>
      <c r="BE25" s="411">
        <f>Transporte!$H$20</f>
        <v>0</v>
      </c>
      <c r="BF25" s="411">
        <f>Manutenção!$H$21</f>
        <v>3061.5384615384614</v>
      </c>
      <c r="BG25" s="412">
        <f t="shared" si="54"/>
        <v>0</v>
      </c>
      <c r="BH25" s="411">
        <f t="shared" si="46"/>
        <v>6495.2095340693249</v>
      </c>
      <c r="BI25" s="414">
        <f ca="1">IF(L2&gt;=1,BH25/$A$5,0)</f>
        <v>0</v>
      </c>
      <c r="BJ25" s="411">
        <f>'Desplacante de gancheira '!Y14</f>
        <v>0</v>
      </c>
      <c r="BK25" s="411">
        <f>'Resumo M.O'!$I$27</f>
        <v>1907.3421935185186</v>
      </c>
      <c r="BL25" s="412">
        <f>'Resumo M.O'!$I$31</f>
        <v>1526.3288790123456</v>
      </c>
      <c r="BM25" s="412">
        <f>'Resumo Custos Variáveis'!$K$21</f>
        <v>0</v>
      </c>
      <c r="BN25" s="411">
        <f>'Outros Custos'!$I$31</f>
        <v>0</v>
      </c>
      <c r="BO25" s="411">
        <f>Transporte!$I$20</f>
        <v>0</v>
      </c>
      <c r="BP25" s="411">
        <f>Manutenção!$I$21</f>
        <v>3030.7692307692309</v>
      </c>
      <c r="BQ25" s="412">
        <f t="shared" si="55"/>
        <v>0</v>
      </c>
      <c r="BR25" s="411">
        <f t="shared" si="47"/>
        <v>6464.4403033000945</v>
      </c>
      <c r="BS25" s="414">
        <f ca="1">IF(L2&gt;=1,BR25/$A$5,0)</f>
        <v>0</v>
      </c>
      <c r="BT25" s="411">
        <f>'Desplacante de gancheira '!AB14</f>
        <v>0</v>
      </c>
      <c r="BU25" s="411">
        <f>'Resumo M.O'!$J$27</f>
        <v>1907.3421935185186</v>
      </c>
      <c r="BV25" s="412">
        <f>'Resumo M.O'!$J$31</f>
        <v>1526.3288790123456</v>
      </c>
      <c r="BW25" s="412">
        <f>'Resumo Custos Variáveis'!$L$21</f>
        <v>0</v>
      </c>
      <c r="BX25" s="411">
        <f>'Outros Custos'!$J$31</f>
        <v>0</v>
      </c>
      <c r="BY25" s="411">
        <f>Transporte!$J$20</f>
        <v>0</v>
      </c>
      <c r="BZ25" s="411">
        <f>Manutenção!$J$21</f>
        <v>0</v>
      </c>
      <c r="CA25" s="412">
        <f t="shared" si="56"/>
        <v>0</v>
      </c>
      <c r="CB25" s="411">
        <f t="shared" si="48"/>
        <v>3433.671072530864</v>
      </c>
      <c r="CC25" s="414">
        <f ca="1">IF(L2&gt;=1,CB25/$A$5,0)</f>
        <v>0</v>
      </c>
      <c r="CD25" s="411">
        <f>'Desplacante de gancheira '!AE14</f>
        <v>0</v>
      </c>
      <c r="CE25" s="411">
        <f>'Resumo M.O'!$K$27</f>
        <v>1907.3421935185186</v>
      </c>
      <c r="CF25" s="412">
        <f>'Resumo M.O'!$K$31</f>
        <v>1526.3288790123456</v>
      </c>
      <c r="CG25" s="412">
        <f>'Resumo Custos Variáveis'!$M$21</f>
        <v>0</v>
      </c>
      <c r="CH25" s="411">
        <f>'Outros Custos'!$K$31</f>
        <v>0</v>
      </c>
      <c r="CI25" s="411">
        <f>Transporte!$K$20</f>
        <v>0</v>
      </c>
      <c r="CJ25" s="411">
        <f>Manutenção!$K$21</f>
        <v>0</v>
      </c>
      <c r="CK25" s="412">
        <f t="shared" si="57"/>
        <v>0</v>
      </c>
      <c r="CL25" s="411">
        <f t="shared" si="27"/>
        <v>3433.671072530864</v>
      </c>
      <c r="CM25" s="414">
        <f ca="1">IF(L2&gt;=1,CL25/$A$5,0)</f>
        <v>0</v>
      </c>
      <c r="CN25" s="411">
        <f>'Desplacante de gancheira '!AH14</f>
        <v>0</v>
      </c>
      <c r="CO25" s="411">
        <f>'Resumo M.O'!$L$27</f>
        <v>1907.3421935185186</v>
      </c>
      <c r="CP25" s="412">
        <f>'Resumo M.O'!$L$31</f>
        <v>1526.3288790123456</v>
      </c>
      <c r="CQ25" s="412">
        <f>'Resumo Custos Variáveis'!$N$21</f>
        <v>0</v>
      </c>
      <c r="CR25" s="411">
        <f>'Outros Custos'!$L$31</f>
        <v>0</v>
      </c>
      <c r="CS25" s="411">
        <f>Transporte!$L$20</f>
        <v>0</v>
      </c>
      <c r="CT25" s="411">
        <f>Manutenção!$L$21</f>
        <v>0</v>
      </c>
      <c r="CU25" s="412">
        <f t="shared" si="58"/>
        <v>0</v>
      </c>
      <c r="CV25" s="411">
        <f t="shared" si="28"/>
        <v>3433.671072530864</v>
      </c>
      <c r="CW25" s="414">
        <f ca="1">IF(L2&gt;=1,CV25/$A$5,0)</f>
        <v>0</v>
      </c>
      <c r="CX25" s="411">
        <f>'Desplacante de gancheira '!AK14</f>
        <v>0</v>
      </c>
      <c r="CY25" s="411">
        <f>'Resumo M.O'!$M$27</f>
        <v>1907.3421935185186</v>
      </c>
      <c r="CZ25" s="412">
        <f>'Resumo M.O'!$M$31</f>
        <v>1526.3288790123456</v>
      </c>
      <c r="DA25" s="412">
        <f>'Resumo Custos Variáveis'!$O$21</f>
        <v>0</v>
      </c>
      <c r="DB25" s="411">
        <f>'Outros Custos'!$M$31</f>
        <v>0</v>
      </c>
      <c r="DC25" s="411">
        <f>Transporte!$M$20</f>
        <v>0</v>
      </c>
      <c r="DD25" s="411">
        <f>Manutenção!$M$21</f>
        <v>0</v>
      </c>
      <c r="DE25" s="412">
        <f t="shared" si="59"/>
        <v>0</v>
      </c>
      <c r="DF25" s="411">
        <f t="shared" si="29"/>
        <v>3433.671072530864</v>
      </c>
      <c r="DG25" s="414">
        <f ca="1">IF(L2&gt;=1,DF25/$A$5,0)</f>
        <v>0</v>
      </c>
      <c r="DH25" s="411">
        <f>'Desplacante de gancheira '!AN14</f>
        <v>0</v>
      </c>
      <c r="DI25" s="72">
        <f>'Resumo M.O'!$N$27</f>
        <v>1907.3421935185186</v>
      </c>
      <c r="DJ25" s="413">
        <f>'Resumo M.O'!$N$31</f>
        <v>1526.3288790123456</v>
      </c>
      <c r="DK25" s="413">
        <f>'Resumo Custos Variáveis'!$P$21</f>
        <v>0</v>
      </c>
      <c r="DL25" s="72">
        <f>'Outros Custos'!$N$31</f>
        <v>0</v>
      </c>
      <c r="DM25" s="72">
        <f>Transporte!$N$20</f>
        <v>0</v>
      </c>
      <c r="DN25" s="72">
        <f>Manutenção!$N$21</f>
        <v>0</v>
      </c>
      <c r="DO25" s="413">
        <f t="shared" si="60"/>
        <v>0</v>
      </c>
      <c r="DP25" s="72">
        <f t="shared" si="30"/>
        <v>3433.671072530864</v>
      </c>
      <c r="DQ25" s="414">
        <f ca="1">IF(L2&gt;=1,DP25/$A$5,0)</f>
        <v>0</v>
      </c>
      <c r="DS25" s="411">
        <f t="shared" ca="1" si="11"/>
        <v>0</v>
      </c>
      <c r="DT25" s="411">
        <f t="shared" ca="1" si="12"/>
        <v>0</v>
      </c>
      <c r="DU25" s="411">
        <f t="shared" ca="1" si="13"/>
        <v>0</v>
      </c>
      <c r="DV25" s="411">
        <f t="shared" ca="1" si="14"/>
        <v>0</v>
      </c>
      <c r="DW25" s="411">
        <f t="shared" ca="1" si="15"/>
        <v>0</v>
      </c>
      <c r="DX25" s="411">
        <f t="shared" ca="1" si="16"/>
        <v>0</v>
      </c>
      <c r="DY25" s="411">
        <f t="shared" ca="1" si="17"/>
        <v>0</v>
      </c>
      <c r="DZ25" s="411">
        <f t="shared" ca="1" si="18"/>
        <v>0</v>
      </c>
      <c r="EA25" s="411">
        <f t="shared" ca="1" si="19"/>
        <v>0</v>
      </c>
      <c r="EB25" s="411">
        <f t="shared" ca="1" si="20"/>
        <v>0</v>
      </c>
      <c r="EC25" s="411">
        <f t="shared" ca="1" si="21"/>
        <v>0</v>
      </c>
      <c r="ED25" s="411">
        <f t="shared" ca="1" si="22"/>
        <v>0</v>
      </c>
      <c r="EF25" s="412">
        <f t="shared" si="49"/>
        <v>0</v>
      </c>
      <c r="EG25" s="412">
        <f t="shared" si="31"/>
        <v>0</v>
      </c>
      <c r="EH25" s="412">
        <f t="shared" si="32"/>
        <v>38.422727272727272</v>
      </c>
      <c r="EI25" s="412">
        <f t="shared" si="33"/>
        <v>38.422727272727272</v>
      </c>
      <c r="EJ25" s="412">
        <f t="shared" si="34"/>
        <v>0</v>
      </c>
      <c r="EK25" s="412">
        <f t="shared" si="35"/>
        <v>0</v>
      </c>
      <c r="EL25" s="412">
        <f t="shared" si="36"/>
        <v>0</v>
      </c>
      <c r="EM25" s="412">
        <f t="shared" si="37"/>
        <v>0</v>
      </c>
      <c r="EN25" s="412">
        <f t="shared" si="38"/>
        <v>0</v>
      </c>
      <c r="EO25" s="412">
        <f t="shared" si="39"/>
        <v>0</v>
      </c>
      <c r="EP25" s="412">
        <f t="shared" si="40"/>
        <v>0</v>
      </c>
      <c r="EQ25" s="412">
        <f t="shared" si="41"/>
        <v>0</v>
      </c>
    </row>
    <row r="26" spans="1:147" x14ac:dyDescent="0.3">
      <c r="A26" s="416" t="s">
        <v>53</v>
      </c>
      <c r="B26" s="411">
        <f>'E.T.E'!G14</f>
        <v>0</v>
      </c>
      <c r="C26" s="411">
        <f>'Resumo M.O'!$C$27</f>
        <v>1907.3421935185186</v>
      </c>
      <c r="D26" s="412">
        <f>'Resumo M.O'!$C$31</f>
        <v>1526.3288790123456</v>
      </c>
      <c r="E26" s="413">
        <f>'Resumo Custos Variáveis'!$E$21</f>
        <v>0</v>
      </c>
      <c r="F26" s="411">
        <f>'Outros Custos'!$C$31</f>
        <v>0</v>
      </c>
      <c r="G26" s="411">
        <f>Transporte!$C$20</f>
        <v>0</v>
      </c>
      <c r="H26" s="411">
        <f>Manutenção!$C$21</f>
        <v>0</v>
      </c>
      <c r="I26" s="412">
        <f ca="1">Investimentos!O38</f>
        <v>0</v>
      </c>
      <c r="J26" s="411">
        <f t="shared" ca="1" si="23"/>
        <v>3433.671072530864</v>
      </c>
      <c r="K26" s="414">
        <f t="shared" ca="1" si="24"/>
        <v>0</v>
      </c>
      <c r="L26" s="411">
        <f>'E.T.E'!J14</f>
        <v>0</v>
      </c>
      <c r="M26" s="411">
        <f>'Resumo M.O'!$D$27</f>
        <v>1907.3421935185186</v>
      </c>
      <c r="N26" s="412">
        <f>'Resumo M.O'!$D$31</f>
        <v>1526.3288790123456</v>
      </c>
      <c r="O26" s="412">
        <f>'Resumo Custos Variáveis'!$F$21</f>
        <v>0</v>
      </c>
      <c r="P26" s="411">
        <f>'Outros Custos'!$D$31</f>
        <v>0</v>
      </c>
      <c r="Q26" s="411">
        <f>Transporte!$D$20</f>
        <v>0</v>
      </c>
      <c r="R26" s="411">
        <f>Manutenção!$D$21</f>
        <v>0</v>
      </c>
      <c r="S26" s="412">
        <f ca="1">I26</f>
        <v>0</v>
      </c>
      <c r="T26" s="411">
        <f t="shared" ca="1" si="42"/>
        <v>3433.671072530864</v>
      </c>
      <c r="U26" s="414">
        <f t="shared" ca="1" si="25"/>
        <v>0</v>
      </c>
      <c r="V26" s="411">
        <f>'E.T.E'!M14</f>
        <v>3</v>
      </c>
      <c r="W26" s="72">
        <f>'Resumo M.O'!$E$27</f>
        <v>1907.3421935185186</v>
      </c>
      <c r="X26" s="413">
        <f>'Resumo M.O'!$E$31</f>
        <v>1526.3288790123456</v>
      </c>
      <c r="Y26" s="413">
        <f>'Resumo Custos Variáveis'!$G$21</f>
        <v>2404.5263157894738</v>
      </c>
      <c r="Z26" s="72">
        <f>'Outros Custos'!$E$31</f>
        <v>0</v>
      </c>
      <c r="AA26" s="72">
        <f>Transporte!$E$20</f>
        <v>0</v>
      </c>
      <c r="AB26" s="72">
        <f>Manutenção!$E$21</f>
        <v>0</v>
      </c>
      <c r="AC26" s="413">
        <f ca="1">S26</f>
        <v>0</v>
      </c>
      <c r="AD26" s="72">
        <f t="shared" ca="1" si="43"/>
        <v>5841.1973883203373</v>
      </c>
      <c r="AE26" s="414">
        <f t="shared" ca="1" si="26"/>
        <v>0</v>
      </c>
      <c r="AF26" s="411">
        <f>'E.T.E'!P14</f>
        <v>0</v>
      </c>
      <c r="AG26" s="411">
        <f>'Resumo M.O'!$F$27</f>
        <v>1907.3421935185186</v>
      </c>
      <c r="AH26" s="412">
        <f>'Resumo M.O'!$F$31</f>
        <v>1526.3288790123456</v>
      </c>
      <c r="AI26" s="412">
        <f>'Resumo Custos Variáveis'!$H$21</f>
        <v>1573.8421052631579</v>
      </c>
      <c r="AJ26" s="411">
        <f>'Outros Custos'!$F$31</f>
        <v>0</v>
      </c>
      <c r="AK26" s="411">
        <f>Transporte!$F$20</f>
        <v>0</v>
      </c>
      <c r="AL26" s="411">
        <f>Manutenção!$F$21</f>
        <v>0</v>
      </c>
      <c r="AM26" s="412">
        <f ca="1">AC26</f>
        <v>0</v>
      </c>
      <c r="AN26" s="411">
        <f t="shared" ca="1" si="44"/>
        <v>5007.5131777940223</v>
      </c>
      <c r="AO26" s="414">
        <f ca="1">IF(L2&gt;=1,AN26/$A$5,0)</f>
        <v>0</v>
      </c>
      <c r="AP26" s="411">
        <f>'E.T.E'!S14</f>
        <v>0</v>
      </c>
      <c r="AQ26" s="411">
        <f>'Resumo M.O'!$G$27</f>
        <v>1907.3421935185186</v>
      </c>
      <c r="AR26" s="412">
        <f>'Resumo M.O'!$G$31</f>
        <v>1526.3288790123456</v>
      </c>
      <c r="AS26" s="412">
        <f>'Resumo Custos Variáveis'!$I$21</f>
        <v>0</v>
      </c>
      <c r="AT26" s="411">
        <f>'Outros Custos'!$G$31</f>
        <v>0</v>
      </c>
      <c r="AU26" s="411">
        <f>Transporte!$G$20</f>
        <v>0</v>
      </c>
      <c r="AV26" s="411">
        <f>Manutenção!$G$21</f>
        <v>0</v>
      </c>
      <c r="AW26" s="412">
        <f ca="1">AM26</f>
        <v>0</v>
      </c>
      <c r="AX26" s="411">
        <f t="shared" ca="1" si="45"/>
        <v>3433.671072530864</v>
      </c>
      <c r="AY26" s="414">
        <f ca="1">IF(L2&gt;=1,AX26/$A$5,0)</f>
        <v>0</v>
      </c>
      <c r="AZ26" s="411">
        <f>'E.T.E'!V14</f>
        <v>0</v>
      </c>
      <c r="BA26" s="411">
        <f>'Resumo M.O'!$H$27</f>
        <v>1907.3421935185186</v>
      </c>
      <c r="BB26" s="412">
        <f>'Resumo M.O'!$H$31</f>
        <v>1526.3288790123456</v>
      </c>
      <c r="BC26" s="412">
        <f>'Resumo Custos Variáveis'!$J$21</f>
        <v>0</v>
      </c>
      <c r="BD26" s="411">
        <f>'Outros Custos'!$H$31</f>
        <v>0</v>
      </c>
      <c r="BE26" s="411">
        <f>Transporte!$H$20</f>
        <v>0</v>
      </c>
      <c r="BF26" s="411">
        <f>Manutenção!$H$21</f>
        <v>3061.5384615384614</v>
      </c>
      <c r="BG26" s="412">
        <f ca="1">AW26</f>
        <v>0</v>
      </c>
      <c r="BH26" s="411">
        <f t="shared" ca="1" si="46"/>
        <v>6495.2095340693249</v>
      </c>
      <c r="BI26" s="414">
        <f ca="1">IF(L2&gt;=1,BH26/$A$5,0)</f>
        <v>0</v>
      </c>
      <c r="BJ26" s="411">
        <f>'E.T.E'!Y14</f>
        <v>0</v>
      </c>
      <c r="BK26" s="411">
        <f>'Resumo M.O'!$I$27</f>
        <v>1907.3421935185186</v>
      </c>
      <c r="BL26" s="412">
        <f>'Resumo M.O'!$I$31</f>
        <v>1526.3288790123456</v>
      </c>
      <c r="BM26" s="412">
        <f>'Resumo Custos Variáveis'!$K$21</f>
        <v>0</v>
      </c>
      <c r="BN26" s="411">
        <f>'Outros Custos'!$I$31</f>
        <v>0</v>
      </c>
      <c r="BO26" s="411">
        <f>Transporte!$I$20</f>
        <v>0</v>
      </c>
      <c r="BP26" s="411">
        <f>Manutenção!$I$21</f>
        <v>3030.7692307692309</v>
      </c>
      <c r="BQ26" s="412">
        <f ca="1">BG26</f>
        <v>0</v>
      </c>
      <c r="BR26" s="411">
        <f t="shared" ca="1" si="47"/>
        <v>6464.4403033000945</v>
      </c>
      <c r="BS26" s="414">
        <f ca="1">IF(L2&gt;=1,BR26/$A$5,0)</f>
        <v>0</v>
      </c>
      <c r="BT26" s="411">
        <f>'E.T.E'!AB14</f>
        <v>0</v>
      </c>
      <c r="BU26" s="411">
        <f>'Resumo M.O'!$J$27</f>
        <v>1907.3421935185186</v>
      </c>
      <c r="BV26" s="412">
        <f>'Resumo M.O'!$J$31</f>
        <v>1526.3288790123456</v>
      </c>
      <c r="BW26" s="412">
        <f>'Resumo Custos Variáveis'!$L$21</f>
        <v>0</v>
      </c>
      <c r="BX26" s="411">
        <f>'Outros Custos'!$J$31</f>
        <v>0</v>
      </c>
      <c r="BY26" s="411">
        <f>Transporte!$J$20</f>
        <v>0</v>
      </c>
      <c r="BZ26" s="411">
        <f>Manutenção!$J$21</f>
        <v>0</v>
      </c>
      <c r="CA26" s="412">
        <f ca="1">BQ26</f>
        <v>0</v>
      </c>
      <c r="CB26" s="411">
        <f t="shared" ca="1" si="48"/>
        <v>3433.671072530864</v>
      </c>
      <c r="CC26" s="414">
        <f ca="1">IF(L2&gt;=1,CB26/$A$5,0)</f>
        <v>0</v>
      </c>
      <c r="CD26" s="411">
        <f>'E.T.E'!AE14</f>
        <v>0</v>
      </c>
      <c r="CE26" s="411">
        <f>'Resumo M.O'!$K$27</f>
        <v>1907.3421935185186</v>
      </c>
      <c r="CF26" s="412">
        <f>'Resumo M.O'!$K$31</f>
        <v>1526.3288790123456</v>
      </c>
      <c r="CG26" s="412">
        <f>'Resumo Custos Variáveis'!$M$21</f>
        <v>0</v>
      </c>
      <c r="CH26" s="411">
        <f>'Outros Custos'!$K$31</f>
        <v>0</v>
      </c>
      <c r="CI26" s="411">
        <f>Transporte!$K$20</f>
        <v>0</v>
      </c>
      <c r="CJ26" s="411">
        <f>Manutenção!$K$21</f>
        <v>0</v>
      </c>
      <c r="CK26" s="412">
        <f ca="1">CA26</f>
        <v>0</v>
      </c>
      <c r="CL26" s="411">
        <f t="shared" ca="1" si="27"/>
        <v>3433.671072530864</v>
      </c>
      <c r="CM26" s="414">
        <f ca="1">IF(L2&gt;=1,CL26/$A$5,0)</f>
        <v>0</v>
      </c>
      <c r="CN26" s="411">
        <f>'E.T.E'!AH14</f>
        <v>0</v>
      </c>
      <c r="CO26" s="411">
        <f>'Resumo M.O'!$L$27</f>
        <v>1907.3421935185186</v>
      </c>
      <c r="CP26" s="412">
        <f>'Resumo M.O'!$L$31</f>
        <v>1526.3288790123456</v>
      </c>
      <c r="CQ26" s="412">
        <f>'Resumo Custos Variáveis'!$N$21</f>
        <v>0</v>
      </c>
      <c r="CR26" s="411">
        <f>'Outros Custos'!$L$31</f>
        <v>0</v>
      </c>
      <c r="CS26" s="411">
        <f>Transporte!$L$20</f>
        <v>0</v>
      </c>
      <c r="CT26" s="411">
        <f>Manutenção!$L$21</f>
        <v>0</v>
      </c>
      <c r="CU26" s="412">
        <f ca="1">CK26</f>
        <v>0</v>
      </c>
      <c r="CV26" s="411">
        <f t="shared" ca="1" si="28"/>
        <v>3433.671072530864</v>
      </c>
      <c r="CW26" s="414">
        <f ca="1">IF(L2&gt;=1,CV26/$A$5,0)</f>
        <v>0</v>
      </c>
      <c r="CX26" s="411">
        <f>'E.T.E'!AK14</f>
        <v>0</v>
      </c>
      <c r="CY26" s="411">
        <f>'Resumo M.O'!$M$27</f>
        <v>1907.3421935185186</v>
      </c>
      <c r="CZ26" s="412">
        <f>'Resumo M.O'!$M$31</f>
        <v>1526.3288790123456</v>
      </c>
      <c r="DA26" s="412">
        <f>'Resumo Custos Variáveis'!$O$21</f>
        <v>0</v>
      </c>
      <c r="DB26" s="411">
        <f>'Outros Custos'!$M$31</f>
        <v>0</v>
      </c>
      <c r="DC26" s="411">
        <f>Transporte!$M$20</f>
        <v>0</v>
      </c>
      <c r="DD26" s="411">
        <f>Manutenção!$M$21</f>
        <v>0</v>
      </c>
      <c r="DE26" s="412">
        <f ca="1">CU26</f>
        <v>0</v>
      </c>
      <c r="DF26" s="411">
        <f t="shared" ca="1" si="29"/>
        <v>3433.671072530864</v>
      </c>
      <c r="DG26" s="414">
        <f ca="1">IF(L2&gt;=1,DF26/$A$5,0)</f>
        <v>0</v>
      </c>
      <c r="DH26" s="411">
        <f>'E.T.E'!AN14</f>
        <v>0</v>
      </c>
      <c r="DI26" s="72">
        <f>'Resumo M.O'!$N$27</f>
        <v>1907.3421935185186</v>
      </c>
      <c r="DJ26" s="413">
        <f>'Resumo M.O'!$N$31</f>
        <v>1526.3288790123456</v>
      </c>
      <c r="DK26" s="413">
        <f>'Resumo Custos Variáveis'!$P$21</f>
        <v>0</v>
      </c>
      <c r="DL26" s="72">
        <f>'Outros Custos'!$N$31</f>
        <v>0</v>
      </c>
      <c r="DM26" s="72">
        <f>Transporte!$N$20</f>
        <v>0</v>
      </c>
      <c r="DN26" s="72">
        <f>Manutenção!$N$21</f>
        <v>0</v>
      </c>
      <c r="DO26" s="413">
        <f ca="1">DE26</f>
        <v>0</v>
      </c>
      <c r="DP26" s="72">
        <f t="shared" ca="1" si="30"/>
        <v>3433.671072530864</v>
      </c>
      <c r="DQ26" s="414">
        <f ca="1">IF(L2&gt;=1,DP26/$A$5,0)</f>
        <v>0</v>
      </c>
      <c r="DS26" s="411">
        <f t="shared" ca="1" si="11"/>
        <v>0</v>
      </c>
      <c r="DT26" s="411">
        <f t="shared" ca="1" si="12"/>
        <v>0</v>
      </c>
      <c r="DU26" s="411">
        <f ca="1">AE26</f>
        <v>0</v>
      </c>
      <c r="DV26" s="411">
        <f ca="1">AO26</f>
        <v>0</v>
      </c>
      <c r="DW26" s="411">
        <f t="shared" ca="1" si="15"/>
        <v>0</v>
      </c>
      <c r="DX26" s="411">
        <f t="shared" ca="1" si="16"/>
        <v>0</v>
      </c>
      <c r="DY26" s="411">
        <f t="shared" ca="1" si="17"/>
        <v>0</v>
      </c>
      <c r="DZ26" s="411">
        <f t="shared" ca="1" si="18"/>
        <v>0</v>
      </c>
      <c r="EA26" s="411">
        <f t="shared" ca="1" si="19"/>
        <v>0</v>
      </c>
      <c r="EB26" s="411">
        <f t="shared" ca="1" si="20"/>
        <v>0</v>
      </c>
      <c r="EC26" s="411">
        <f t="shared" ca="1" si="21"/>
        <v>0</v>
      </c>
      <c r="ED26" s="411">
        <f t="shared" ca="1" si="22"/>
        <v>0</v>
      </c>
      <c r="EF26" s="412">
        <f t="shared" si="49"/>
        <v>0</v>
      </c>
      <c r="EG26" s="412">
        <f t="shared" si="31"/>
        <v>0</v>
      </c>
      <c r="EH26" s="412">
        <f t="shared" si="32"/>
        <v>1.3636363636363636E-2</v>
      </c>
      <c r="EI26" s="412">
        <f t="shared" si="33"/>
        <v>0</v>
      </c>
      <c r="EJ26" s="412">
        <f t="shared" si="34"/>
        <v>0</v>
      </c>
      <c r="EK26" s="412">
        <f t="shared" si="35"/>
        <v>0</v>
      </c>
      <c r="EL26" s="412">
        <f t="shared" si="36"/>
        <v>0</v>
      </c>
      <c r="EM26" s="412">
        <f t="shared" si="37"/>
        <v>0</v>
      </c>
      <c r="EN26" s="412">
        <f t="shared" si="38"/>
        <v>0</v>
      </c>
      <c r="EO26" s="412">
        <f t="shared" si="39"/>
        <v>0</v>
      </c>
      <c r="EP26" s="412">
        <f t="shared" si="40"/>
        <v>0</v>
      </c>
      <c r="EQ26" s="412">
        <f t="shared" si="41"/>
        <v>0</v>
      </c>
    </row>
    <row r="27" spans="1:147" x14ac:dyDescent="0.3">
      <c r="A27" s="420"/>
      <c r="B27" s="411"/>
      <c r="C27" s="411"/>
      <c r="D27" s="412"/>
      <c r="E27" s="413"/>
      <c r="F27" s="411"/>
      <c r="G27" s="411"/>
      <c r="H27" s="411"/>
      <c r="I27" s="412"/>
      <c r="J27" s="411"/>
      <c r="K27" s="414"/>
      <c r="L27" s="411"/>
      <c r="M27" s="411"/>
      <c r="N27" s="412"/>
      <c r="O27" s="412"/>
      <c r="P27" s="411"/>
      <c r="Q27" s="411"/>
      <c r="R27" s="411"/>
      <c r="S27" s="412"/>
      <c r="T27" s="411"/>
      <c r="U27" s="414"/>
      <c r="V27" s="411"/>
      <c r="W27" s="413"/>
      <c r="X27" s="413"/>
      <c r="Y27" s="413"/>
      <c r="Z27" s="72"/>
      <c r="AA27" s="72"/>
      <c r="AB27" s="72"/>
      <c r="AC27" s="413"/>
      <c r="AD27" s="72"/>
      <c r="AE27" s="414"/>
      <c r="AF27" s="411"/>
      <c r="AG27" s="412"/>
      <c r="AH27" s="412"/>
      <c r="AI27" s="412"/>
      <c r="AJ27" s="412"/>
      <c r="AK27" s="412"/>
      <c r="AL27" s="412"/>
      <c r="AM27" s="412"/>
      <c r="AN27" s="411"/>
      <c r="AO27" s="414"/>
      <c r="AP27" s="411"/>
      <c r="AQ27" s="412"/>
      <c r="AR27" s="412"/>
      <c r="AS27" s="412"/>
      <c r="AT27" s="412"/>
      <c r="AU27" s="412"/>
      <c r="AV27" s="412"/>
      <c r="AW27" s="412"/>
      <c r="AX27" s="411"/>
      <c r="AY27" s="414"/>
      <c r="AZ27" s="411"/>
      <c r="BA27" s="412"/>
      <c r="BB27" s="412"/>
      <c r="BC27" s="412"/>
      <c r="BD27" s="411"/>
      <c r="BE27" s="411"/>
      <c r="BF27" s="411"/>
      <c r="BG27" s="412"/>
      <c r="BH27" s="411"/>
      <c r="BI27" s="414"/>
      <c r="BJ27" s="411"/>
      <c r="BK27" s="412"/>
      <c r="BL27" s="412"/>
      <c r="BM27" s="412"/>
      <c r="BN27" s="412"/>
      <c r="BO27" s="412"/>
      <c r="BP27" s="412"/>
      <c r="BQ27" s="412"/>
      <c r="BR27" s="411"/>
      <c r="BS27" s="414"/>
      <c r="BT27" s="411"/>
      <c r="BU27" s="412"/>
      <c r="BV27" s="412"/>
      <c r="BW27" s="412"/>
      <c r="BX27" s="411"/>
      <c r="BY27" s="411"/>
      <c r="BZ27" s="411"/>
      <c r="CA27" s="412"/>
      <c r="CB27" s="411"/>
      <c r="CC27" s="414"/>
      <c r="CD27" s="411"/>
      <c r="CE27" s="412"/>
      <c r="CF27" s="412"/>
      <c r="CG27" s="412"/>
      <c r="CH27" s="411"/>
      <c r="CI27" s="411"/>
      <c r="CJ27" s="411"/>
      <c r="CK27" s="412"/>
      <c r="CL27" s="411"/>
      <c r="CM27" s="414"/>
      <c r="CN27" s="411"/>
      <c r="CO27" s="412"/>
      <c r="CP27" s="412"/>
      <c r="CQ27" s="412"/>
      <c r="CR27" s="412"/>
      <c r="CS27" s="412"/>
      <c r="CT27" s="412"/>
      <c r="CU27" s="412"/>
      <c r="CV27" s="411"/>
      <c r="CW27" s="414"/>
      <c r="CX27" s="411"/>
      <c r="CY27" s="412"/>
      <c r="CZ27" s="412"/>
      <c r="DA27" s="412"/>
      <c r="DB27" s="411"/>
      <c r="DC27" s="411"/>
      <c r="DD27" s="411"/>
      <c r="DE27" s="412"/>
      <c r="DF27" s="411"/>
      <c r="DG27" s="414"/>
      <c r="DH27" s="411"/>
      <c r="DI27" s="413"/>
      <c r="DJ27" s="413"/>
      <c r="DK27" s="413"/>
      <c r="DL27" s="72"/>
      <c r="DM27" s="72"/>
      <c r="DN27" s="72"/>
      <c r="DO27" s="413"/>
      <c r="DP27" s="72"/>
      <c r="DQ27" s="414"/>
      <c r="DS27" s="411"/>
      <c r="DT27" s="411"/>
      <c r="DU27" s="411"/>
      <c r="DV27" s="411"/>
      <c r="DW27" s="411"/>
      <c r="DX27" s="411"/>
      <c r="DY27" s="411"/>
      <c r="DZ27" s="411"/>
      <c r="EA27" s="411"/>
      <c r="EB27" s="411"/>
      <c r="EC27" s="411"/>
      <c r="ED27" s="411"/>
      <c r="EF27" s="412"/>
      <c r="EG27" s="412"/>
      <c r="EH27" s="412"/>
      <c r="EI27" s="412"/>
      <c r="EJ27" s="412"/>
      <c r="EK27" s="412"/>
      <c r="EL27" s="412"/>
      <c r="EM27" s="412"/>
      <c r="EN27" s="412"/>
      <c r="EO27" s="412"/>
      <c r="EP27" s="412"/>
      <c r="EQ27" s="412"/>
    </row>
    <row r="28" spans="1:147" x14ac:dyDescent="0.3">
      <c r="A28" s="421"/>
      <c r="B28" s="411"/>
      <c r="C28" s="411"/>
      <c r="D28" s="412"/>
      <c r="E28" s="413"/>
      <c r="F28" s="411"/>
      <c r="G28" s="411"/>
      <c r="H28" s="411"/>
      <c r="I28" s="412"/>
      <c r="J28" s="411"/>
      <c r="K28" s="414"/>
      <c r="L28" s="411"/>
      <c r="M28" s="412"/>
      <c r="N28" s="412"/>
      <c r="O28" s="412"/>
      <c r="P28" s="412"/>
      <c r="Q28" s="412"/>
      <c r="R28" s="412"/>
      <c r="S28" s="412"/>
      <c r="T28" s="411"/>
      <c r="U28" s="414"/>
      <c r="V28" s="411"/>
      <c r="W28" s="413"/>
      <c r="X28" s="413"/>
      <c r="Y28" s="413"/>
      <c r="Z28" s="413"/>
      <c r="AA28" s="413"/>
      <c r="AB28" s="413"/>
      <c r="AC28" s="413"/>
      <c r="AD28" s="72"/>
      <c r="AE28" s="414"/>
      <c r="AF28" s="411"/>
      <c r="AG28" s="412"/>
      <c r="AH28" s="412"/>
      <c r="AI28" s="412"/>
      <c r="AJ28" s="412"/>
      <c r="AK28" s="412"/>
      <c r="AL28" s="412"/>
      <c r="AM28" s="412"/>
      <c r="AN28" s="411"/>
      <c r="AO28" s="414"/>
      <c r="AP28" s="411"/>
      <c r="AQ28" s="412"/>
      <c r="AR28" s="412"/>
      <c r="AS28" s="412"/>
      <c r="AT28" s="412"/>
      <c r="AU28" s="412"/>
      <c r="AV28" s="412"/>
      <c r="AW28" s="412"/>
      <c r="AX28" s="411"/>
      <c r="AY28" s="414"/>
      <c r="AZ28" s="411"/>
      <c r="BA28" s="412"/>
      <c r="BB28" s="412"/>
      <c r="BC28" s="412"/>
      <c r="BD28" s="412"/>
      <c r="BE28" s="412"/>
      <c r="BF28" s="412"/>
      <c r="BG28" s="412"/>
      <c r="BH28" s="411"/>
      <c r="BI28" s="414"/>
      <c r="BJ28" s="411"/>
      <c r="BK28" s="412"/>
      <c r="BL28" s="412"/>
      <c r="BM28" s="412"/>
      <c r="BN28" s="412"/>
      <c r="BO28" s="412"/>
      <c r="BP28" s="412"/>
      <c r="BQ28" s="412"/>
      <c r="BR28" s="411"/>
      <c r="BS28" s="414"/>
      <c r="BT28" s="411"/>
      <c r="BU28" s="412"/>
      <c r="BV28" s="412"/>
      <c r="BW28" s="412"/>
      <c r="BX28" s="412"/>
      <c r="BY28" s="412"/>
      <c r="BZ28" s="412"/>
      <c r="CA28" s="412"/>
      <c r="CB28" s="411"/>
      <c r="CC28" s="414"/>
      <c r="CD28" s="411"/>
      <c r="CE28" s="412"/>
      <c r="CF28" s="412"/>
      <c r="CG28" s="412"/>
      <c r="CH28" s="412"/>
      <c r="CI28" s="412"/>
      <c r="CJ28" s="412"/>
      <c r="CK28" s="412"/>
      <c r="CL28" s="411"/>
      <c r="CM28" s="414"/>
      <c r="CN28" s="411"/>
      <c r="CO28" s="412"/>
      <c r="CP28" s="412"/>
      <c r="CQ28" s="412"/>
      <c r="CR28" s="412"/>
      <c r="CS28" s="412"/>
      <c r="CT28" s="412"/>
      <c r="CU28" s="412"/>
      <c r="CV28" s="411"/>
      <c r="CW28" s="414"/>
      <c r="CX28" s="411"/>
      <c r="CY28" s="412"/>
      <c r="CZ28" s="412"/>
      <c r="DA28" s="412"/>
      <c r="DB28" s="412"/>
      <c r="DC28" s="412"/>
      <c r="DD28" s="412"/>
      <c r="DE28" s="412"/>
      <c r="DF28" s="411"/>
      <c r="DG28" s="414"/>
      <c r="DH28" s="411"/>
      <c r="DI28" s="413"/>
      <c r="DJ28" s="413"/>
      <c r="DK28" s="413"/>
      <c r="DL28" s="413"/>
      <c r="DM28" s="413"/>
      <c r="DN28" s="413"/>
      <c r="DO28" s="413"/>
      <c r="DP28" s="72"/>
      <c r="DQ28" s="414"/>
      <c r="DS28" s="411"/>
      <c r="DT28" s="411"/>
      <c r="DU28" s="411"/>
      <c r="DV28" s="411"/>
      <c r="DW28" s="411"/>
      <c r="DX28" s="411"/>
      <c r="DY28" s="411"/>
      <c r="DZ28" s="411"/>
      <c r="EA28" s="411"/>
      <c r="EB28" s="411"/>
      <c r="EC28" s="411"/>
      <c r="ED28" s="411"/>
      <c r="EF28" s="412"/>
      <c r="EG28" s="412"/>
      <c r="EH28" s="412"/>
      <c r="EI28" s="412"/>
      <c r="EJ28" s="412"/>
      <c r="EK28" s="412"/>
      <c r="EL28" s="412"/>
      <c r="EM28" s="412"/>
      <c r="EN28" s="412"/>
      <c r="EO28" s="412"/>
      <c r="EP28" s="412"/>
      <c r="EQ28" s="412"/>
    </row>
    <row r="29" spans="1:147" x14ac:dyDescent="0.3">
      <c r="A29" s="409"/>
      <c r="B29" s="411"/>
      <c r="C29" s="411"/>
      <c r="D29" s="412"/>
      <c r="E29" s="72"/>
      <c r="F29" s="411"/>
      <c r="G29" s="411"/>
      <c r="H29" s="411"/>
      <c r="I29" s="412"/>
      <c r="J29" s="411"/>
      <c r="K29" s="414"/>
      <c r="L29" s="411"/>
      <c r="M29" s="412"/>
      <c r="N29" s="412"/>
      <c r="O29" s="412"/>
      <c r="P29" s="411"/>
      <c r="Q29" s="411"/>
      <c r="R29" s="411"/>
      <c r="S29" s="412"/>
      <c r="T29" s="411"/>
      <c r="U29" s="414"/>
      <c r="V29" s="411"/>
      <c r="W29" s="413"/>
      <c r="X29" s="413"/>
      <c r="Y29" s="413"/>
      <c r="Z29" s="72"/>
      <c r="AA29" s="72"/>
      <c r="AB29" s="72"/>
      <c r="AC29" s="413"/>
      <c r="AD29" s="72"/>
      <c r="AE29" s="414"/>
      <c r="AF29" s="411"/>
      <c r="AG29" s="412"/>
      <c r="AH29" s="412"/>
      <c r="AI29" s="412"/>
      <c r="AJ29" s="411"/>
      <c r="AK29" s="411"/>
      <c r="AL29" s="411"/>
      <c r="AM29" s="412"/>
      <c r="AN29" s="411"/>
      <c r="AO29" s="414"/>
      <c r="AP29" s="411"/>
      <c r="AQ29" s="412"/>
      <c r="AR29" s="412"/>
      <c r="AS29" s="412"/>
      <c r="AT29" s="411"/>
      <c r="AU29" s="411"/>
      <c r="AV29" s="411"/>
      <c r="AW29" s="412"/>
      <c r="AX29" s="411"/>
      <c r="AY29" s="414"/>
      <c r="AZ29" s="411"/>
      <c r="BA29" s="412"/>
      <c r="BB29" s="412"/>
      <c r="BC29" s="412"/>
      <c r="BD29" s="411"/>
      <c r="BE29" s="411"/>
      <c r="BF29" s="411"/>
      <c r="BG29" s="412"/>
      <c r="BH29" s="411"/>
      <c r="BI29" s="414"/>
      <c r="BJ29" s="411"/>
      <c r="BK29" s="412"/>
      <c r="BL29" s="412"/>
      <c r="BM29" s="412"/>
      <c r="BN29" s="411"/>
      <c r="BO29" s="411"/>
      <c r="BP29" s="411"/>
      <c r="BQ29" s="412"/>
      <c r="BR29" s="411"/>
      <c r="BS29" s="414"/>
      <c r="BT29" s="411"/>
      <c r="BU29" s="412"/>
      <c r="BV29" s="412"/>
      <c r="BW29" s="412"/>
      <c r="BX29" s="411"/>
      <c r="BY29" s="411"/>
      <c r="BZ29" s="411"/>
      <c r="CA29" s="412"/>
      <c r="CB29" s="411"/>
      <c r="CC29" s="414"/>
      <c r="CD29" s="411"/>
      <c r="CE29" s="412"/>
      <c r="CF29" s="412"/>
      <c r="CG29" s="412"/>
      <c r="CH29" s="411"/>
      <c r="CI29" s="411"/>
      <c r="CJ29" s="411"/>
      <c r="CK29" s="412"/>
      <c r="CL29" s="411"/>
      <c r="CM29" s="414"/>
      <c r="CN29" s="411"/>
      <c r="CO29" s="412"/>
      <c r="CP29" s="412"/>
      <c r="CQ29" s="412"/>
      <c r="CR29" s="411"/>
      <c r="CS29" s="411"/>
      <c r="CT29" s="411"/>
      <c r="CU29" s="412"/>
      <c r="CV29" s="411"/>
      <c r="CW29" s="414"/>
      <c r="CX29" s="411"/>
      <c r="CY29" s="412"/>
      <c r="CZ29" s="412"/>
      <c r="DA29" s="412"/>
      <c r="DB29" s="411"/>
      <c r="DC29" s="411"/>
      <c r="DD29" s="411"/>
      <c r="DE29" s="412"/>
      <c r="DF29" s="411"/>
      <c r="DG29" s="414"/>
      <c r="DH29" s="422"/>
      <c r="DI29" s="413"/>
      <c r="DJ29" s="413"/>
      <c r="DK29" s="413"/>
      <c r="DL29" s="72"/>
      <c r="DM29" s="72"/>
      <c r="DN29" s="72"/>
      <c r="DO29" s="413"/>
      <c r="DP29" s="72"/>
      <c r="DQ29" s="414"/>
      <c r="DS29" s="411"/>
      <c r="DT29" s="411"/>
      <c r="DU29" s="411"/>
      <c r="DV29" s="411"/>
      <c r="DW29" s="411"/>
      <c r="DX29" s="411"/>
      <c r="DY29" s="411"/>
      <c r="DZ29" s="411"/>
      <c r="EA29" s="411"/>
      <c r="EB29" s="411"/>
      <c r="EC29" s="411"/>
      <c r="ED29" s="411"/>
      <c r="EF29" s="412"/>
      <c r="EG29" s="412"/>
      <c r="EH29" s="412"/>
      <c r="EI29" s="412"/>
      <c r="EJ29" s="412"/>
      <c r="EK29" s="412"/>
      <c r="EL29" s="412"/>
      <c r="EM29" s="412"/>
      <c r="EN29" s="412"/>
      <c r="EO29" s="412"/>
      <c r="EP29" s="412"/>
      <c r="EQ29" s="412"/>
    </row>
  </sheetData>
  <protectedRanges>
    <protectedRange sqref="A2" name="Intervalo1"/>
  </protectedRanges>
  <mergeCells count="13">
    <mergeCell ref="E2:H2"/>
    <mergeCell ref="DH6:DQ6"/>
    <mergeCell ref="B6:K6"/>
    <mergeCell ref="L6:U6"/>
    <mergeCell ref="V6:AE6"/>
    <mergeCell ref="AF6:AO6"/>
    <mergeCell ref="AP6:AY6"/>
    <mergeCell ref="AZ6:BI6"/>
    <mergeCell ref="BJ6:BS6"/>
    <mergeCell ref="BT6:CC6"/>
    <mergeCell ref="CD6:CM6"/>
    <mergeCell ref="CN6:CW6"/>
    <mergeCell ref="CX6:DG6"/>
  </mergeCells>
  <hyperlinks>
    <hyperlink ref="A2" location="Menu!A1" display="Menu" xr:uid="{00000000-0004-0000-0100-000000000000}"/>
    <hyperlink ref="A16" location="'Desplacante de Gancheira 1'!A1" display="Desplacante de Gancheira 1" xr:uid="{00000000-0004-0000-0100-000001000000}"/>
    <hyperlink ref="A18" location="'Verniz Cataforético'!A1" display=" Cobre                 Gold 15" xr:uid="{00000000-0004-0000-0100-000002000000}"/>
    <hyperlink ref="A19" location="'Verniz Cataforético'!A1" display="Preto Fosco" xr:uid="{00000000-0004-0000-0100-000003000000}"/>
    <hyperlink ref="A20" location="'Verniz Cataforético'!A1" display="Preto Brilhante" xr:uid="{00000000-0004-0000-0100-000004000000}"/>
    <hyperlink ref="A21" location="'Verniz Cataforético'!A1" display="Ouro Fosco Gold" xr:uid="{00000000-0004-0000-0100-000005000000}"/>
    <hyperlink ref="A22" location="'Verniz Cataforético'!A1" display="Champagne" xr:uid="{00000000-0004-0000-0100-000006000000}"/>
    <hyperlink ref="A24" location="'Verniz Imersão'!A1" display="Verniz Imersão" xr:uid="{00000000-0004-0000-0100-000007000000}"/>
    <hyperlink ref="A25" location="Desplacante!A1" display="Desplacante" xr:uid="{00000000-0004-0000-0100-000008000000}"/>
    <hyperlink ref="A26" location="E.T.E!A1" display="E.T.E" xr:uid="{00000000-0004-0000-0100-000009000000}"/>
  </hyperlinks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3" tint="-0.249977111117893"/>
  </sheetPr>
  <dimension ref="A1:K107"/>
  <sheetViews>
    <sheetView tabSelected="1" workbookViewId="0">
      <selection activeCell="A2" sqref="A2"/>
    </sheetView>
  </sheetViews>
  <sheetFormatPr defaultColWidth="9.109375" defaultRowHeight="14.4" x14ac:dyDescent="0.3"/>
  <cols>
    <col min="1" max="1" width="11.88671875" style="37" bestFit="1" customWidth="1"/>
    <col min="2" max="2" width="24.88671875" style="37" bestFit="1" customWidth="1"/>
    <col min="3" max="3" width="11.88671875" style="37" bestFit="1" customWidth="1"/>
    <col min="4" max="4" width="15.109375" style="37" bestFit="1" customWidth="1"/>
    <col min="5" max="5" width="9.109375" style="37"/>
    <col min="6" max="6" width="24.109375" style="37" bestFit="1" customWidth="1"/>
    <col min="7" max="7" width="11.88671875" style="37" bestFit="1" customWidth="1"/>
    <col min="8" max="8" width="9.109375" style="37"/>
    <col min="9" max="9" width="13.6640625" style="37" bestFit="1" customWidth="1"/>
    <col min="10" max="16384" width="9.109375" style="37"/>
  </cols>
  <sheetData>
    <row r="1" spans="1:11" ht="15" thickBot="1" x14ac:dyDescent="0.35"/>
    <row r="2" spans="1:11" ht="29.4" thickBot="1" x14ac:dyDescent="0.55000000000000004">
      <c r="A2" s="561" t="s">
        <v>110</v>
      </c>
      <c r="C2" s="670" t="s">
        <v>150</v>
      </c>
      <c r="D2" s="670"/>
      <c r="E2" s="670"/>
      <c r="F2" s="670"/>
      <c r="G2" s="670"/>
      <c r="H2" s="670"/>
      <c r="I2" s="670"/>
      <c r="J2" s="670"/>
      <c r="K2" s="670"/>
    </row>
    <row r="6" spans="1:11" ht="21" x14ac:dyDescent="0.4">
      <c r="E6" s="563" t="s">
        <v>76</v>
      </c>
    </row>
    <row r="7" spans="1:11" ht="15" thickBot="1" x14ac:dyDescent="0.35"/>
    <row r="8" spans="1:11" ht="15" thickBot="1" x14ac:dyDescent="0.35">
      <c r="B8" s="215" t="s">
        <v>104</v>
      </c>
      <c r="C8" s="215" t="s">
        <v>107</v>
      </c>
      <c r="D8" s="564" t="s">
        <v>108</v>
      </c>
      <c r="F8" s="216" t="s">
        <v>104</v>
      </c>
      <c r="G8" s="216" t="s">
        <v>156</v>
      </c>
      <c r="H8" s="216"/>
      <c r="I8" s="596" t="s">
        <v>155</v>
      </c>
    </row>
    <row r="9" spans="1:11" x14ac:dyDescent="0.3">
      <c r="B9" s="145" t="s">
        <v>0</v>
      </c>
      <c r="C9" s="148" t="e">
        <f ca="1">G9/'Peças por Hora Galvanoplast (2'!B11</f>
        <v>#DIV/0!</v>
      </c>
      <c r="D9" s="584" t="e">
        <f>I9/'Peças por Hora Galvanoplast (2'!B11</f>
        <v>#DIV/0!</v>
      </c>
      <c r="F9" s="166" t="s">
        <v>0</v>
      </c>
      <c r="G9" s="151">
        <f ca="1">IF(H9=1,HLOOKUP(E6,'Resumo de Custo'!DS7:ED27,2,0),0)</f>
        <v>0</v>
      </c>
      <c r="H9" s="152">
        <v>1</v>
      </c>
      <c r="I9" s="567">
        <f>IF(H9=1,HLOOKUP(E6,'Resumo de Custo'!EF7:EQ28,2,0),0)</f>
        <v>18.271590909090911</v>
      </c>
    </row>
    <row r="10" spans="1:11" x14ac:dyDescent="0.3">
      <c r="B10" s="145" t="s">
        <v>111</v>
      </c>
      <c r="C10" s="148" t="e">
        <f ca="1">G10/'Peças por Hora Galvanoplast (2'!B19</f>
        <v>#DIV/0!</v>
      </c>
      <c r="D10" s="584" t="e">
        <f>I10/'Peças por Hora Galvanoplast (2'!B19</f>
        <v>#DIV/0!</v>
      </c>
      <c r="F10" s="159" t="s">
        <v>111</v>
      </c>
      <c r="G10" s="153">
        <f ca="1">IF(H10=1,HLOOKUP(E6,'Resumo de Custo'!DS7:ED29,3,0),0)</f>
        <v>0</v>
      </c>
      <c r="H10" s="154">
        <v>1</v>
      </c>
      <c r="I10" s="569">
        <f>IF(H10=1,HLOOKUP(E6,'Resumo de Custo'!EF7:EQ28,3,0),0)</f>
        <v>63.497590909090903</v>
      </c>
    </row>
    <row r="11" spans="1:11" x14ac:dyDescent="0.3">
      <c r="B11" s="145" t="s">
        <v>10</v>
      </c>
      <c r="C11" s="148" t="e">
        <f ca="1">G11/'Peças por Hora Galvanoplast (2'!B27</f>
        <v>#DIV/0!</v>
      </c>
      <c r="D11" s="597" t="e">
        <f>I11/'Peças por Hora Galvanoplast (2'!B27</f>
        <v>#DIV/0!</v>
      </c>
      <c r="F11" s="159" t="s">
        <v>10</v>
      </c>
      <c r="G11" s="153">
        <f ca="1">IF(H11=1,HLOOKUP(E6,'Resumo de Custo'!DS7:ED26,5,0),0)</f>
        <v>0</v>
      </c>
      <c r="H11" s="154">
        <v>1</v>
      </c>
      <c r="I11" s="569">
        <f>IF(H11=1,HLOOKUP(E6,'Resumo de Custo'!EF7:EQ26,5,0),0)</f>
        <v>116.94799999999999</v>
      </c>
    </row>
    <row r="12" spans="1:11" x14ac:dyDescent="0.3">
      <c r="B12" s="145" t="s">
        <v>11</v>
      </c>
      <c r="C12" s="148" t="e">
        <f ca="1">G12/'Peças por Hora Galvanoplast (2'!B35</f>
        <v>#DIV/0!</v>
      </c>
      <c r="D12" s="565" t="e">
        <f>I12/'Peças por Hora Galvanoplast (2'!B35</f>
        <v>#DIV/0!</v>
      </c>
      <c r="F12" s="159" t="s">
        <v>11</v>
      </c>
      <c r="G12" s="153">
        <f ca="1">IF(H12=1,HLOOKUP(E6,'Resumo de Custo'!DS7:ED28,6,0),0)</f>
        <v>0</v>
      </c>
      <c r="H12" s="154">
        <v>1</v>
      </c>
      <c r="I12" s="569">
        <f>IF(H12=1,HLOOKUP(E6,'Resumo de Custo'!EF7:EQ28,6,0),0)</f>
        <v>0.26386363636363636</v>
      </c>
    </row>
    <row r="13" spans="1:11" x14ac:dyDescent="0.3">
      <c r="B13" s="145" t="s">
        <v>51</v>
      </c>
      <c r="C13" s="148" t="e">
        <f ca="1">G13/'Peças por Hora Galvanoplast (2'!B43</f>
        <v>#DIV/0!</v>
      </c>
      <c r="D13" s="597" t="e">
        <f>I13/'Peças por Hora Galvanoplast (2'!B43</f>
        <v>#DIV/0!</v>
      </c>
      <c r="F13" s="159" t="s">
        <v>51</v>
      </c>
      <c r="G13" s="153">
        <f ca="1">IF(H13=1,HLOOKUP(E6,'Resumo de Custo'!DS7:ED28,7,0),0)</f>
        <v>0</v>
      </c>
      <c r="H13" s="155">
        <v>1</v>
      </c>
      <c r="I13" s="569">
        <f>IF(H13=1,HLOOKUP(E6,'Resumo de Custo'!EF7:EQ26,7,0),0)</f>
        <v>172.03495454545455</v>
      </c>
    </row>
    <row r="14" spans="1:11" x14ac:dyDescent="0.3">
      <c r="B14" s="149" t="s">
        <v>52</v>
      </c>
      <c r="C14" s="148" t="e">
        <f ca="1">G14/'Peças por Hora Galvanoplast (2'!B51</f>
        <v>#DIV/0!</v>
      </c>
      <c r="D14" s="597" t="e">
        <f>I14/'Peças por Hora Galvanoplast (2'!B51</f>
        <v>#DIV/0!</v>
      </c>
      <c r="F14" s="159" t="s">
        <v>52</v>
      </c>
      <c r="G14" s="156">
        <f ca="1">IF(H14=1,HLOOKUP(E6,'Resumo de Custo'!DS7:ED28,9,0),0)</f>
        <v>0</v>
      </c>
      <c r="H14" s="155">
        <v>1</v>
      </c>
      <c r="I14" s="569">
        <f>IF(H14=1,HLOOKUP(E6,'Resumo de Custo'!EF7:EQ29,9,0),0)</f>
        <v>135.35686363636367</v>
      </c>
    </row>
    <row r="15" spans="1:11" x14ac:dyDescent="0.3">
      <c r="B15" s="149" t="s">
        <v>53</v>
      </c>
      <c r="C15" s="148" t="e">
        <f>G15/'Peças por Hora Galvanoplast (2'!B51</f>
        <v>#DIV/0!</v>
      </c>
      <c r="D15" s="598" t="e">
        <f>I15/'Peças por Hora Galvanoplast (2'!B51</f>
        <v>#DIV/0!</v>
      </c>
      <c r="F15" s="159" t="s">
        <v>53</v>
      </c>
      <c r="G15" s="156">
        <f>IF(H15=1,HLOOKUP(E6,'Resumo de Custo'!DS7:ED28,20,0),0)</f>
        <v>0</v>
      </c>
      <c r="H15" s="155">
        <v>0</v>
      </c>
      <c r="I15" s="569">
        <f>IF(H15=1,HLOOKUP(E6,'Resumo de Custo'!EF7:EQ28,20,0),0)</f>
        <v>0</v>
      </c>
    </row>
    <row r="16" spans="1:11" x14ac:dyDescent="0.3">
      <c r="B16" s="149"/>
      <c r="C16" s="148"/>
      <c r="D16" s="571"/>
      <c r="F16" s="159"/>
      <c r="G16" s="156"/>
      <c r="H16" s="155"/>
      <c r="I16" s="569"/>
    </row>
    <row r="17" spans="2:9" ht="15" thickBot="1" x14ac:dyDescent="0.35">
      <c r="B17" s="149"/>
      <c r="C17" s="148"/>
      <c r="D17" s="571"/>
      <c r="F17" s="159"/>
      <c r="G17" s="156"/>
      <c r="H17" s="155"/>
      <c r="I17" s="569"/>
    </row>
    <row r="18" spans="2:9" ht="15" thickBot="1" x14ac:dyDescent="0.35">
      <c r="B18" s="149"/>
      <c r="C18" s="150"/>
      <c r="D18" s="571"/>
      <c r="F18" s="162" t="s">
        <v>8</v>
      </c>
      <c r="G18" s="158">
        <f ca="1">SUM(G9:G17)</f>
        <v>0</v>
      </c>
      <c r="H18" s="103"/>
      <c r="I18" s="573">
        <f>SUM(I9:I17)</f>
        <v>506.3728636363636</v>
      </c>
    </row>
    <row r="19" spans="2:9" x14ac:dyDescent="0.3">
      <c r="B19" s="149"/>
      <c r="C19" s="147"/>
      <c r="D19" s="571"/>
    </row>
    <row r="20" spans="2:9" x14ac:dyDescent="0.3">
      <c r="B20" s="145" t="s">
        <v>8</v>
      </c>
      <c r="C20" s="148" t="e">
        <f ca="1">SUM(C9:C19)</f>
        <v>#DIV/0!</v>
      </c>
      <c r="D20" s="600" t="e">
        <f>SUM(D9:D19)</f>
        <v>#DIV/0!</v>
      </c>
    </row>
    <row r="22" spans="2:9" ht="15" thickBot="1" x14ac:dyDescent="0.35"/>
    <row r="23" spans="2:9" ht="15" thickBot="1" x14ac:dyDescent="0.35">
      <c r="B23" s="215" t="s">
        <v>112</v>
      </c>
      <c r="C23" s="215" t="s">
        <v>107</v>
      </c>
      <c r="D23" s="564" t="s">
        <v>108</v>
      </c>
      <c r="F23" s="216" t="s">
        <v>112</v>
      </c>
      <c r="G23" s="216" t="s">
        <v>156</v>
      </c>
      <c r="H23" s="216"/>
      <c r="I23" s="596" t="s">
        <v>155</v>
      </c>
    </row>
    <row r="24" spans="2:9" x14ac:dyDescent="0.3">
      <c r="B24" s="145" t="s">
        <v>0</v>
      </c>
      <c r="C24" s="148" t="e">
        <f ca="1">G24/'Peças por Hora Galvanoplast (2'!B11</f>
        <v>#DIV/0!</v>
      </c>
      <c r="D24" s="584" t="e">
        <f>I24/'Peças por Hora Galvanoplast (2'!B11</f>
        <v>#DIV/0!</v>
      </c>
      <c r="F24" s="166" t="s">
        <v>0</v>
      </c>
      <c r="G24" s="151">
        <f ca="1">IF(H24=1,HLOOKUP(E6,'Resumo de Custo'!DS7:ED29,2,0),0)</f>
        <v>0</v>
      </c>
      <c r="H24" s="152">
        <v>1</v>
      </c>
      <c r="I24" s="567">
        <f>IF(H24=1,HLOOKUP(E6,'Resumo de Custo'!EF7:EQ29,2,0),0)</f>
        <v>18.271590909090911</v>
      </c>
    </row>
    <row r="25" spans="2:9" x14ac:dyDescent="0.3">
      <c r="B25" s="145" t="s">
        <v>50</v>
      </c>
      <c r="C25" s="148" t="e">
        <f ca="1">G25/'Peças por Hora Galvanoplast (2'!B59</f>
        <v>#DIV/0!</v>
      </c>
      <c r="D25" s="584" t="e">
        <f>I25/'Peças por Hora Galvanoplast (2'!B59</f>
        <v>#DIV/0!</v>
      </c>
      <c r="F25" s="159" t="s">
        <v>50</v>
      </c>
      <c r="G25" s="153">
        <f ca="1">IF(H25=1,HLOOKUP(E6,'Resumo de Custo'!DS7:ED26,4,0),0)</f>
        <v>0</v>
      </c>
      <c r="H25" s="155">
        <v>1</v>
      </c>
      <c r="I25" s="569">
        <f>IF(H25=1,HLOOKUP(E6,'Resumo de Custo'!EF7:EQ29,4,0),0)</f>
        <v>34.847749999999998</v>
      </c>
    </row>
    <row r="26" spans="2:9" x14ac:dyDescent="0.3">
      <c r="B26" s="145" t="s">
        <v>10</v>
      </c>
      <c r="C26" s="148" t="e">
        <f ca="1">G26/'Peças por Hora Galvanoplast (2'!B27</f>
        <v>#DIV/0!</v>
      </c>
      <c r="D26" s="584" t="e">
        <f>I26/'Peças por Hora Galvanoplast (2'!B27</f>
        <v>#DIV/0!</v>
      </c>
      <c r="F26" s="159" t="s">
        <v>10</v>
      </c>
      <c r="G26" s="156">
        <f ca="1">IF(H26=1,HLOOKUP(E6,'Resumo de Custo'!DS7:ED29,5,0),0)</f>
        <v>0</v>
      </c>
      <c r="H26" s="155">
        <v>1</v>
      </c>
      <c r="I26" s="569">
        <f>IF(H26=1,HLOOKUP(E6,'Resumo de Custo'!EF7:EQ29,5,0),0)</f>
        <v>116.94799999999999</v>
      </c>
    </row>
    <row r="27" spans="2:9" x14ac:dyDescent="0.3">
      <c r="B27" s="145" t="s">
        <v>11</v>
      </c>
      <c r="C27" s="148" t="e">
        <f ca="1">G27/'Peças por Hora Galvanoplast (2'!B35</f>
        <v>#DIV/0!</v>
      </c>
      <c r="D27" s="568" t="e">
        <f>I27/'Peças por Hora Galvanoplast (2'!B35</f>
        <v>#DIV/0!</v>
      </c>
      <c r="F27" s="159" t="s">
        <v>11</v>
      </c>
      <c r="G27" s="156">
        <f ca="1">IF(H27=1,HLOOKUP(E6,'Resumo de Custo'!DS7:ED29,6,0),0)</f>
        <v>0</v>
      </c>
      <c r="H27" s="155">
        <v>1</v>
      </c>
      <c r="I27" s="569">
        <f>IF(H27=1,HLOOKUP(E6,'Resumo de Custo'!EF7:EQ29,6,0),0)</f>
        <v>0.26386363636363636</v>
      </c>
    </row>
    <row r="28" spans="2:9" x14ac:dyDescent="0.3">
      <c r="B28" s="145" t="s">
        <v>51</v>
      </c>
      <c r="C28" s="148" t="e">
        <f ca="1">G28/'Peças por Hora Galvanoplast (2'!B43</f>
        <v>#DIV/0!</v>
      </c>
      <c r="D28" s="584" t="e">
        <f>I28/'Peças por Hora Galvanoplast (2'!B43</f>
        <v>#DIV/0!</v>
      </c>
      <c r="F28" s="159" t="s">
        <v>51</v>
      </c>
      <c r="G28" s="156">
        <f ca="1">IF(H28=1,HLOOKUP(E6,'Resumo de Custo'!DS7:ED29,7,0),0)</f>
        <v>0</v>
      </c>
      <c r="H28" s="155">
        <v>1</v>
      </c>
      <c r="I28" s="569">
        <f>IF(H28=1,HLOOKUP(E6,'Resumo de Custo'!EF7:EQ29,7,0),0)</f>
        <v>172.03495454545455</v>
      </c>
    </row>
    <row r="29" spans="2:9" x14ac:dyDescent="0.3">
      <c r="B29" s="149" t="s">
        <v>52</v>
      </c>
      <c r="C29" s="148" t="e">
        <f ca="1">G29/'Peças por Hora Galvanoplast (2'!B51</f>
        <v>#DIV/0!</v>
      </c>
      <c r="D29" s="597" t="e">
        <f>I29/'Peças por Hora Galvanoplast (2'!B51</f>
        <v>#DIV/0!</v>
      </c>
      <c r="F29" s="167" t="s">
        <v>52</v>
      </c>
      <c r="G29" s="156">
        <f ca="1">IF(H29=1,HLOOKUP(E6,'Resumo de Custo'!DS7:ED29,9,0),0)</f>
        <v>0</v>
      </c>
      <c r="H29" s="155">
        <v>1</v>
      </c>
      <c r="I29" s="569">
        <f>IF(H29=1,HLOOKUP(E6,'Resumo de Custo'!EF7:EQ29,9,0),0)</f>
        <v>135.35686363636367</v>
      </c>
    </row>
    <row r="30" spans="2:9" x14ac:dyDescent="0.3">
      <c r="B30" s="149" t="s">
        <v>53</v>
      </c>
      <c r="C30" s="148" t="e">
        <f>G30/'Peças por Hora Galvanoplast (2'!B51</f>
        <v>#DIV/0!</v>
      </c>
      <c r="D30" s="598" t="e">
        <f>I30/'Peças por Hora Galvanoplast (2'!B51</f>
        <v>#DIV/0!</v>
      </c>
      <c r="F30" s="212" t="s">
        <v>53</v>
      </c>
      <c r="G30" s="156">
        <f>IF(H30=1,HLOOKUP(E6,'Resumo de Custo'!DS7:ED29,20,0),0)</f>
        <v>0</v>
      </c>
      <c r="H30" s="213">
        <v>0</v>
      </c>
      <c r="I30" s="599">
        <f>IF(H30=1,HLOOKUP(E6,'Resumo de Custo'!EF7:EQ29,20,0),0)</f>
        <v>0</v>
      </c>
    </row>
    <row r="31" spans="2:9" x14ac:dyDescent="0.3">
      <c r="B31" s="149"/>
      <c r="C31" s="148"/>
      <c r="D31" s="581"/>
      <c r="F31" s="212"/>
      <c r="G31" s="156"/>
      <c r="H31" s="213"/>
      <c r="I31" s="578"/>
    </row>
    <row r="32" spans="2:9" ht="15" thickBot="1" x14ac:dyDescent="0.35">
      <c r="B32" s="145"/>
      <c r="C32" s="148"/>
      <c r="D32" s="581"/>
      <c r="F32" s="161"/>
      <c r="G32" s="156"/>
      <c r="H32" s="157"/>
      <c r="I32" s="578"/>
    </row>
    <row r="33" spans="2:9" ht="15" thickBot="1" x14ac:dyDescent="0.35">
      <c r="B33" s="149"/>
      <c r="C33" s="222"/>
      <c r="D33" s="581"/>
      <c r="F33" s="162" t="s">
        <v>8</v>
      </c>
      <c r="G33" s="158">
        <f ca="1">SUM(G24:G32)</f>
        <v>0</v>
      </c>
      <c r="H33" s="103"/>
      <c r="I33" s="573">
        <f>SUM(I24:I32)</f>
        <v>477.72302272727268</v>
      </c>
    </row>
    <row r="34" spans="2:9" x14ac:dyDescent="0.3">
      <c r="B34" s="149"/>
      <c r="C34" s="148"/>
      <c r="D34" s="581"/>
    </row>
    <row r="35" spans="2:9" x14ac:dyDescent="0.3">
      <c r="B35" s="145" t="s">
        <v>8</v>
      </c>
      <c r="C35" s="148" t="e">
        <f ca="1">SUM(C25:C34)</f>
        <v>#DIV/0!</v>
      </c>
      <c r="D35" s="600" t="e">
        <f>SUM(D25:D34)</f>
        <v>#DIV/0!</v>
      </c>
    </row>
    <row r="36" spans="2:9" ht="15" thickBot="1" x14ac:dyDescent="0.35"/>
    <row r="37" spans="2:9" ht="15" thickBot="1" x14ac:dyDescent="0.35">
      <c r="B37" s="215" t="s">
        <v>50</v>
      </c>
      <c r="C37" s="215" t="s">
        <v>107</v>
      </c>
      <c r="D37" s="564" t="s">
        <v>108</v>
      </c>
      <c r="F37" s="216" t="s">
        <v>50</v>
      </c>
      <c r="G37" s="216" t="s">
        <v>156</v>
      </c>
      <c r="H37" s="216"/>
      <c r="I37" s="596" t="s">
        <v>155</v>
      </c>
    </row>
    <row r="38" spans="2:9" x14ac:dyDescent="0.3">
      <c r="B38" s="145" t="s">
        <v>0</v>
      </c>
      <c r="C38" s="148" t="e">
        <f ca="1">G38/'Peças por Hora Galvanoplast (2'!B11</f>
        <v>#DIV/0!</v>
      </c>
      <c r="D38" s="601" t="e">
        <f>I38/'Peças por Hora Galvanoplast (2'!B11</f>
        <v>#DIV/0!</v>
      </c>
      <c r="F38" s="166" t="s">
        <v>0</v>
      </c>
      <c r="G38" s="151">
        <f ca="1">IF(H38=1,HLOOKUP(E6,'Resumo de Custo'!DS7:ED29,2,0),0)</f>
        <v>0</v>
      </c>
      <c r="H38" s="152">
        <v>1</v>
      </c>
      <c r="I38" s="567">
        <f>IF(H38=1,HLOOKUP(E6,'Resumo de Custo'!EF7:EQ29,2,0),0)</f>
        <v>18.271590909090911</v>
      </c>
    </row>
    <row r="39" spans="2:9" x14ac:dyDescent="0.3">
      <c r="B39" s="145" t="s">
        <v>50</v>
      </c>
      <c r="C39" s="148" t="e">
        <f ca="1">G39/'Peças por Hora Galvanoplast (2'!B59</f>
        <v>#DIV/0!</v>
      </c>
      <c r="D39" s="584" t="e">
        <f>I39/'Peças por Hora Galvanoplast (2'!B59</f>
        <v>#DIV/0!</v>
      </c>
      <c r="F39" s="159" t="s">
        <v>50</v>
      </c>
      <c r="G39" s="153">
        <f ca="1">IF(H39=1,HLOOKUP(E6,'Resumo de Custo'!DS7:ED29,4,0),0)</f>
        <v>0</v>
      </c>
      <c r="H39" s="154">
        <v>1</v>
      </c>
      <c r="I39" s="569">
        <f>IF(H39=1,HLOOKUP(E6,'Resumo de Custo'!EF7:EQ29,4,0),0)</f>
        <v>34.847749999999998</v>
      </c>
    </row>
    <row r="40" spans="2:9" x14ac:dyDescent="0.3">
      <c r="B40" s="145" t="s">
        <v>10</v>
      </c>
      <c r="C40" s="148" t="e">
        <f ca="1">G40/'Peças por Hora Galvanoplast (2'!B27</f>
        <v>#DIV/0!</v>
      </c>
      <c r="D40" s="584" t="e">
        <f>I40/'Peças por Hora Galvanoplast (2'!B27</f>
        <v>#DIV/0!</v>
      </c>
      <c r="F40" s="159" t="s">
        <v>10</v>
      </c>
      <c r="G40" s="153">
        <f ca="1">IF(H40=1,HLOOKUP(E6,'Resumo de Custo'!DS7:ED29,5,0),0)</f>
        <v>0</v>
      </c>
      <c r="H40" s="155">
        <v>1</v>
      </c>
      <c r="I40" s="569">
        <f>IF(H40=1,HLOOKUP(E6,'Resumo de Custo'!EF7:EQ29,5,0),0)</f>
        <v>116.94799999999999</v>
      </c>
    </row>
    <row r="41" spans="2:9" x14ac:dyDescent="0.3">
      <c r="B41" s="145" t="s">
        <v>11</v>
      </c>
      <c r="C41" s="148" t="e">
        <f ca="1">G41/'Peças por Hora Galvanoplast (2'!B35</f>
        <v>#DIV/0!</v>
      </c>
      <c r="D41" s="568" t="e">
        <f>I41/'Peças por Hora Galvanoplast (2'!B35</f>
        <v>#DIV/0!</v>
      </c>
      <c r="F41" s="159" t="s">
        <v>11</v>
      </c>
      <c r="G41" s="156">
        <f ca="1">IF(H41=1,HLOOKUP(E6,'Resumo de Custo'!DS7:ED29,6,0),0)</f>
        <v>0</v>
      </c>
      <c r="H41" s="155">
        <v>1</v>
      </c>
      <c r="I41" s="569">
        <f>IF(H41=1,HLOOKUP(E6,'Resumo de Custo'!EF7:EQ29,6,0),0)</f>
        <v>0.26386363636363636</v>
      </c>
    </row>
    <row r="42" spans="2:9" x14ac:dyDescent="0.3">
      <c r="B42" s="145" t="s">
        <v>149</v>
      </c>
      <c r="C42" s="148" t="e">
        <f ca="1">G42/'Peças por Hora Galvanoplast (2'!B67</f>
        <v>#DIV/0!</v>
      </c>
      <c r="D42" s="597" t="e">
        <f>I42/'Peças por Hora Galvanoplast (2'!B67</f>
        <v>#DIV/0!</v>
      </c>
      <c r="F42" s="159" t="s">
        <v>149</v>
      </c>
      <c r="G42" s="156">
        <f ca="1">IF(H42=1,HLOOKUP(E6,'Resumo de Custo'!DS7:ED29,8,0),0)</f>
        <v>0</v>
      </c>
      <c r="H42" s="155">
        <v>1</v>
      </c>
      <c r="I42" s="569">
        <f>IF(H42=1,HLOOKUP(E6,'Resumo de Custo'!EF7:EQ29,8,0),0)</f>
        <v>14.251136363636364</v>
      </c>
    </row>
    <row r="43" spans="2:9" x14ac:dyDescent="0.3">
      <c r="B43" s="145" t="s">
        <v>53</v>
      </c>
      <c r="C43" s="148" t="e">
        <f>G43/'Peças por Hora Galvanoplast (2'!B51</f>
        <v>#DIV/0!</v>
      </c>
      <c r="D43" s="598" t="e">
        <f>I43/'Peças por Hora Galvanoplast (2'!B51</f>
        <v>#DIV/0!</v>
      </c>
      <c r="F43" s="160" t="s">
        <v>53</v>
      </c>
      <c r="G43" s="156">
        <f>IF(H43=1,HLOOKUP(E6,'Resumo de Custo'!DS7:ED29,20,0),0)</f>
        <v>0</v>
      </c>
      <c r="H43" s="155">
        <v>0</v>
      </c>
      <c r="I43" s="569">
        <f>IF(H43=1,HLOOKUP(E6,'Resumo de Custo'!EF7:EQ29,20,0),0)</f>
        <v>0</v>
      </c>
    </row>
    <row r="44" spans="2:9" x14ac:dyDescent="0.3">
      <c r="B44" s="145"/>
      <c r="C44" s="148"/>
      <c r="D44" s="571"/>
      <c r="F44" s="160"/>
      <c r="G44" s="156"/>
      <c r="H44" s="213"/>
      <c r="I44" s="578"/>
    </row>
    <row r="45" spans="2:9" ht="15" thickBot="1" x14ac:dyDescent="0.35">
      <c r="B45" s="149"/>
      <c r="C45" s="150"/>
      <c r="D45" s="571"/>
      <c r="F45" s="161"/>
      <c r="G45" s="156"/>
      <c r="H45" s="157"/>
      <c r="I45" s="578"/>
    </row>
    <row r="46" spans="2:9" ht="15" thickBot="1" x14ac:dyDescent="0.35">
      <c r="B46" s="149"/>
      <c r="C46" s="147"/>
      <c r="D46" s="571"/>
      <c r="F46" s="162" t="s">
        <v>8</v>
      </c>
      <c r="G46" s="158">
        <f ca="1">SUM(G38:G45)</f>
        <v>0</v>
      </c>
      <c r="H46" s="103"/>
      <c r="I46" s="573">
        <f>SUM(I38:I45)</f>
        <v>184.58234090909087</v>
      </c>
    </row>
    <row r="47" spans="2:9" x14ac:dyDescent="0.3">
      <c r="B47" s="145" t="s">
        <v>8</v>
      </c>
      <c r="C47" s="148" t="e">
        <f ca="1">SUM(C38:C46)</f>
        <v>#DIV/0!</v>
      </c>
      <c r="D47" s="600" t="e">
        <f>SUM(D38:D46)</f>
        <v>#DIV/0!</v>
      </c>
    </row>
    <row r="49" spans="2:9" x14ac:dyDescent="0.3">
      <c r="B49" s="406"/>
      <c r="C49" s="200"/>
      <c r="D49" s="602"/>
      <c r="F49" s="201"/>
      <c r="G49" s="42"/>
      <c r="H49" s="41"/>
      <c r="I49" s="603"/>
    </row>
    <row r="50" spans="2:9" x14ac:dyDescent="0.3">
      <c r="B50" s="202"/>
      <c r="C50" s="203"/>
      <c r="D50" s="583"/>
      <c r="F50" s="204"/>
      <c r="G50" s="42"/>
      <c r="H50" s="41"/>
      <c r="I50" s="603"/>
    </row>
    <row r="51" spans="2:9" x14ac:dyDescent="0.3">
      <c r="B51" s="202"/>
      <c r="C51" s="205"/>
      <c r="D51" s="583"/>
      <c r="F51" s="206"/>
      <c r="G51" s="42"/>
      <c r="H51" s="41"/>
      <c r="I51" s="603"/>
    </row>
    <row r="52" spans="2:9" x14ac:dyDescent="0.3">
      <c r="B52" s="202"/>
      <c r="C52" s="203"/>
      <c r="D52" s="583"/>
      <c r="F52" s="206"/>
      <c r="G52" s="42"/>
      <c r="H52" s="41"/>
      <c r="I52" s="603"/>
    </row>
    <row r="53" spans="2:9" x14ac:dyDescent="0.3">
      <c r="B53" s="202"/>
      <c r="C53" s="203"/>
      <c r="D53" s="583"/>
      <c r="F53" s="206"/>
      <c r="G53" s="42"/>
      <c r="H53" s="202"/>
      <c r="I53" s="603"/>
    </row>
    <row r="54" spans="2:9" x14ac:dyDescent="0.3">
      <c r="B54" s="202"/>
      <c r="C54" s="203"/>
      <c r="D54" s="583"/>
      <c r="F54" s="206"/>
      <c r="G54" s="42"/>
      <c r="H54" s="202"/>
      <c r="I54" s="603"/>
    </row>
    <row r="55" spans="2:9" x14ac:dyDescent="0.3">
      <c r="B55" s="202"/>
      <c r="C55" s="203"/>
      <c r="D55" s="583"/>
      <c r="F55" s="202"/>
      <c r="G55" s="42"/>
      <c r="H55" s="202"/>
      <c r="I55" s="603"/>
    </row>
    <row r="56" spans="2:9" x14ac:dyDescent="0.3">
      <c r="B56" s="202"/>
      <c r="C56" s="203"/>
      <c r="D56" s="583"/>
      <c r="F56" s="207"/>
      <c r="G56" s="42"/>
      <c r="H56" s="202"/>
      <c r="I56" s="603"/>
    </row>
    <row r="57" spans="2:9" x14ac:dyDescent="0.3">
      <c r="B57" s="202"/>
      <c r="C57" s="203"/>
      <c r="D57" s="583"/>
      <c r="F57" s="207"/>
      <c r="G57" s="42"/>
      <c r="H57" s="202"/>
      <c r="I57" s="41"/>
    </row>
    <row r="58" spans="2:9" x14ac:dyDescent="0.3">
      <c r="B58" s="202"/>
      <c r="C58" s="203"/>
      <c r="D58" s="583"/>
      <c r="F58" s="207"/>
      <c r="G58" s="42"/>
      <c r="H58" s="202"/>
      <c r="I58" s="41"/>
    </row>
    <row r="59" spans="2:9" x14ac:dyDescent="0.3">
      <c r="B59" s="202"/>
      <c r="C59" s="203"/>
      <c r="D59" s="583"/>
      <c r="F59" s="207"/>
      <c r="G59" s="42"/>
      <c r="H59" s="202"/>
      <c r="I59" s="41"/>
    </row>
    <row r="60" spans="2:9" x14ac:dyDescent="0.3">
      <c r="B60" s="202"/>
      <c r="C60" s="203"/>
      <c r="D60" s="583"/>
      <c r="F60" s="207"/>
      <c r="G60" s="42"/>
      <c r="H60" s="202"/>
      <c r="I60" s="41"/>
    </row>
    <row r="61" spans="2:9" x14ac:dyDescent="0.3">
      <c r="B61" s="202"/>
      <c r="C61" s="203"/>
      <c r="D61" s="583"/>
      <c r="F61" s="207"/>
      <c r="G61" s="42"/>
      <c r="H61" s="202"/>
      <c r="I61" s="41"/>
    </row>
    <row r="62" spans="2:9" x14ac:dyDescent="0.3">
      <c r="B62" s="208"/>
      <c r="C62" s="209"/>
      <c r="D62" s="103"/>
      <c r="F62" s="202"/>
      <c r="G62" s="42"/>
      <c r="H62" s="202"/>
      <c r="I62" s="41"/>
    </row>
    <row r="63" spans="2:9" x14ac:dyDescent="0.3">
      <c r="B63" s="202"/>
      <c r="C63" s="210"/>
      <c r="D63" s="103"/>
      <c r="F63" s="202"/>
      <c r="G63" s="42"/>
      <c r="H63" s="103"/>
      <c r="I63" s="41"/>
    </row>
    <row r="64" spans="2:9" x14ac:dyDescent="0.3">
      <c r="B64" s="208"/>
      <c r="C64" s="211"/>
      <c r="D64" s="103"/>
      <c r="F64" s="202"/>
      <c r="G64" s="42"/>
      <c r="H64" s="103"/>
      <c r="I64" s="603"/>
    </row>
    <row r="65" spans="2:4" x14ac:dyDescent="0.3">
      <c r="B65" s="208"/>
      <c r="C65" s="209"/>
      <c r="D65" s="103"/>
    </row>
    <row r="66" spans="2:4" x14ac:dyDescent="0.3">
      <c r="B66" s="202"/>
      <c r="C66" s="203"/>
      <c r="D66" s="604"/>
    </row>
    <row r="68" spans="2:4" x14ac:dyDescent="0.3">
      <c r="B68" s="406"/>
      <c r="C68" s="200"/>
      <c r="D68" s="602"/>
    </row>
    <row r="69" spans="2:4" x14ac:dyDescent="0.3">
      <c r="B69" s="202"/>
      <c r="C69" s="203"/>
      <c r="D69" s="583"/>
    </row>
    <row r="70" spans="2:4" x14ac:dyDescent="0.3">
      <c r="B70" s="202"/>
      <c r="C70" s="205"/>
      <c r="D70" s="583"/>
    </row>
    <row r="71" spans="2:4" x14ac:dyDescent="0.3">
      <c r="B71" s="202"/>
      <c r="C71" s="203"/>
      <c r="D71" s="583"/>
    </row>
    <row r="72" spans="2:4" x14ac:dyDescent="0.3">
      <c r="B72" s="202"/>
      <c r="C72" s="203"/>
      <c r="D72" s="583"/>
    </row>
    <row r="73" spans="2:4" x14ac:dyDescent="0.3">
      <c r="B73" s="202"/>
      <c r="C73" s="203"/>
      <c r="D73" s="583"/>
    </row>
    <row r="74" spans="2:4" x14ac:dyDescent="0.3">
      <c r="B74" s="202"/>
      <c r="C74" s="203"/>
      <c r="D74" s="583"/>
    </row>
    <row r="75" spans="2:4" x14ac:dyDescent="0.3">
      <c r="B75" s="202"/>
      <c r="C75" s="203"/>
      <c r="D75" s="583"/>
    </row>
    <row r="76" spans="2:4" x14ac:dyDescent="0.3">
      <c r="B76" s="202"/>
      <c r="C76" s="203"/>
      <c r="D76" s="583"/>
    </row>
    <row r="77" spans="2:4" x14ac:dyDescent="0.3">
      <c r="B77" s="202"/>
      <c r="C77" s="203"/>
      <c r="D77" s="583"/>
    </row>
    <row r="78" spans="2:4" x14ac:dyDescent="0.3">
      <c r="B78" s="202"/>
      <c r="C78" s="203"/>
      <c r="D78" s="583"/>
    </row>
    <row r="79" spans="2:4" x14ac:dyDescent="0.3">
      <c r="B79" s="202"/>
      <c r="C79" s="203"/>
      <c r="D79" s="583"/>
    </row>
    <row r="80" spans="2:4" x14ac:dyDescent="0.3">
      <c r="B80" s="202"/>
      <c r="C80" s="203"/>
      <c r="D80" s="583"/>
    </row>
    <row r="81" spans="1:4" x14ac:dyDescent="0.3">
      <c r="B81" s="202"/>
      <c r="C81" s="209"/>
      <c r="D81" s="103"/>
    </row>
    <row r="82" spans="1:4" x14ac:dyDescent="0.3">
      <c r="B82" s="202"/>
      <c r="C82" s="210"/>
      <c r="D82" s="103"/>
    </row>
    <row r="83" spans="1:4" x14ac:dyDescent="0.3">
      <c r="B83" s="208"/>
      <c r="C83" s="211"/>
      <c r="D83" s="103"/>
    </row>
    <row r="84" spans="1:4" x14ac:dyDescent="0.3">
      <c r="B84" s="208"/>
      <c r="C84" s="209"/>
      <c r="D84" s="103"/>
    </row>
    <row r="85" spans="1:4" x14ac:dyDescent="0.3">
      <c r="B85" s="202"/>
      <c r="C85" s="203"/>
      <c r="D85" s="604"/>
    </row>
    <row r="96" spans="1:4" x14ac:dyDescent="0.3">
      <c r="A96" s="403" t="s">
        <v>74</v>
      </c>
    </row>
    <row r="97" spans="1:1" x14ac:dyDescent="0.3">
      <c r="A97" s="403" t="s">
        <v>75</v>
      </c>
    </row>
    <row r="98" spans="1:1" x14ac:dyDescent="0.3">
      <c r="A98" s="403" t="s">
        <v>76</v>
      </c>
    </row>
    <row r="99" spans="1:1" x14ac:dyDescent="0.3">
      <c r="A99" s="403" t="s">
        <v>77</v>
      </c>
    </row>
    <row r="100" spans="1:1" x14ac:dyDescent="0.3">
      <c r="A100" s="403" t="s">
        <v>78</v>
      </c>
    </row>
    <row r="101" spans="1:1" x14ac:dyDescent="0.3">
      <c r="A101" s="403" t="s">
        <v>109</v>
      </c>
    </row>
    <row r="102" spans="1:1" x14ac:dyDescent="0.3">
      <c r="A102" s="403" t="s">
        <v>80</v>
      </c>
    </row>
    <row r="103" spans="1:1" x14ac:dyDescent="0.3">
      <c r="A103" s="403" t="s">
        <v>81</v>
      </c>
    </row>
    <row r="104" spans="1:1" x14ac:dyDescent="0.3">
      <c r="A104" s="403" t="s">
        <v>82</v>
      </c>
    </row>
    <row r="105" spans="1:1" x14ac:dyDescent="0.3">
      <c r="A105" s="403" t="s">
        <v>83</v>
      </c>
    </row>
    <row r="106" spans="1:1" x14ac:dyDescent="0.3">
      <c r="A106" s="403" t="s">
        <v>84</v>
      </c>
    </row>
    <row r="107" spans="1:1" x14ac:dyDescent="0.3">
      <c r="A107" s="403" t="s">
        <v>85</v>
      </c>
    </row>
  </sheetData>
  <protectedRanges>
    <protectedRange sqref="E6 H9:H45" name="Intervalo1"/>
  </protectedRanges>
  <mergeCells count="1">
    <mergeCell ref="C2:K2"/>
  </mergeCells>
  <dataValidations count="1">
    <dataValidation type="list" allowBlank="1" showInputMessage="1" showErrorMessage="1" sqref="E6" xr:uid="{00000000-0002-0000-0200-000000000000}">
      <formula1>$A$96:$A$107</formula1>
    </dataValidation>
  </dataValidations>
  <hyperlinks>
    <hyperlink ref="A2" location="Menu!A1" display="Menu" xr:uid="{00000000-0004-0000-0200-000000000000}"/>
  </hyperlinks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3" tint="-0.249977111117893"/>
  </sheetPr>
  <dimension ref="A1:KJ139"/>
  <sheetViews>
    <sheetView workbookViewId="0">
      <selection activeCell="A2" sqref="A2"/>
    </sheetView>
  </sheetViews>
  <sheetFormatPr defaultColWidth="9.109375" defaultRowHeight="14.4" x14ac:dyDescent="0.3"/>
  <cols>
    <col min="1" max="1" width="11" style="103" bestFit="1" customWidth="1"/>
    <col min="2" max="6" width="34.33203125" style="103" customWidth="1"/>
    <col min="7" max="16384" width="9.109375" style="103"/>
  </cols>
  <sheetData>
    <row r="1" spans="1:10" ht="15" thickBot="1" x14ac:dyDescent="0.35"/>
    <row r="2" spans="1:10" ht="29.4" thickBot="1" x14ac:dyDescent="0.6">
      <c r="A2" s="605" t="s">
        <v>110</v>
      </c>
      <c r="C2" s="666" t="s">
        <v>207</v>
      </c>
      <c r="D2" s="666"/>
      <c r="E2" s="666"/>
    </row>
    <row r="3" spans="1:10" ht="15" thickBot="1" x14ac:dyDescent="0.35"/>
    <row r="4" spans="1:10" ht="15" thickBot="1" x14ac:dyDescent="0.35">
      <c r="B4" s="671"/>
      <c r="C4" s="672"/>
      <c r="D4" s="672"/>
      <c r="E4" s="672"/>
      <c r="F4" s="673"/>
      <c r="G4" s="37"/>
      <c r="H4" s="37"/>
      <c r="I4" s="37"/>
      <c r="J4" s="37"/>
    </row>
    <row r="5" spans="1:10" ht="21.6" thickBot="1" x14ac:dyDescent="0.35">
      <c r="B5" s="674" t="s">
        <v>0</v>
      </c>
      <c r="C5" s="675"/>
      <c r="D5" s="675"/>
      <c r="E5" s="675"/>
      <c r="F5" s="676"/>
      <c r="G5" s="37"/>
      <c r="H5" s="37"/>
      <c r="I5" s="37"/>
      <c r="J5" s="37"/>
    </row>
    <row r="6" spans="1:10" ht="18" x14ac:dyDescent="0.3">
      <c r="B6" s="606" t="s">
        <v>106</v>
      </c>
      <c r="C6" s="607" t="s">
        <v>195</v>
      </c>
      <c r="D6" s="608" t="s">
        <v>196</v>
      </c>
      <c r="E6" s="609" t="s">
        <v>197</v>
      </c>
      <c r="F6" s="610" t="s">
        <v>198</v>
      </c>
      <c r="G6" s="37"/>
      <c r="H6" s="37"/>
      <c r="I6" s="37"/>
      <c r="J6" s="37"/>
    </row>
    <row r="7" spans="1:10" ht="18.600000000000001" thickBot="1" x14ac:dyDescent="0.35">
      <c r="B7" s="611">
        <v>0</v>
      </c>
      <c r="C7" s="612">
        <v>0.7</v>
      </c>
      <c r="D7" s="613">
        <v>0</v>
      </c>
      <c r="E7" s="399">
        <f>D7/C7</f>
        <v>0</v>
      </c>
      <c r="F7" s="375">
        <f>(E7*B7)*F25</f>
        <v>0</v>
      </c>
      <c r="G7" s="37"/>
      <c r="H7" s="37"/>
      <c r="I7" s="37"/>
      <c r="J7" s="37"/>
    </row>
    <row r="8" spans="1:10" ht="18" x14ac:dyDescent="0.3">
      <c r="B8" s="620" t="s">
        <v>202</v>
      </c>
      <c r="C8" s="677" t="s">
        <v>203</v>
      </c>
      <c r="D8" s="678"/>
      <c r="E8" s="609" t="s">
        <v>209</v>
      </c>
      <c r="F8" s="610" t="s">
        <v>302</v>
      </c>
      <c r="G8" s="37"/>
      <c r="H8" s="37"/>
      <c r="I8" s="37"/>
      <c r="J8" s="37"/>
    </row>
    <row r="9" spans="1:10" ht="18" x14ac:dyDescent="0.3">
      <c r="B9" s="640">
        <v>90</v>
      </c>
      <c r="C9" s="679">
        <v>4</v>
      </c>
      <c r="D9" s="680"/>
      <c r="E9" s="641">
        <v>71</v>
      </c>
      <c r="F9" s="623">
        <v>2</v>
      </c>
      <c r="G9" s="37"/>
      <c r="H9" s="37"/>
      <c r="I9" s="37"/>
      <c r="J9" s="37"/>
    </row>
    <row r="10" spans="1:10" ht="18" x14ac:dyDescent="0.3">
      <c r="B10" s="624" t="s">
        <v>199</v>
      </c>
      <c r="C10" s="681" t="s">
        <v>200</v>
      </c>
      <c r="D10" s="682"/>
      <c r="E10" s="625" t="s">
        <v>210</v>
      </c>
      <c r="F10" s="626" t="s">
        <v>205</v>
      </c>
      <c r="G10" s="37"/>
      <c r="H10" s="37"/>
      <c r="I10" s="37"/>
      <c r="J10" s="37"/>
    </row>
    <row r="11" spans="1:10" ht="18.600000000000001" thickBot="1" x14ac:dyDescent="0.35">
      <c r="B11" s="361">
        <f>(60/F11)*E7*F9</f>
        <v>0</v>
      </c>
      <c r="C11" s="683">
        <f>(60/F11)*D7*F9</f>
        <v>0</v>
      </c>
      <c r="D11" s="684"/>
      <c r="E11" s="587" t="e">
        <f>E9/F7</f>
        <v>#DIV/0!</v>
      </c>
      <c r="F11" s="588">
        <v>10</v>
      </c>
      <c r="G11" s="37"/>
      <c r="H11" s="37"/>
      <c r="I11" s="37"/>
      <c r="J11" s="37"/>
    </row>
    <row r="12" spans="1:10" ht="18.600000000000001" thickBot="1" x14ac:dyDescent="0.35">
      <c r="B12" s="614"/>
      <c r="C12" s="615"/>
      <c r="D12" s="615"/>
      <c r="E12" s="616"/>
      <c r="F12" s="617"/>
      <c r="G12" s="37"/>
      <c r="H12" s="37"/>
      <c r="I12" s="37"/>
      <c r="J12" s="37"/>
    </row>
    <row r="13" spans="1:10" ht="21.6" thickBot="1" x14ac:dyDescent="0.35">
      <c r="B13" s="685" t="s">
        <v>111</v>
      </c>
      <c r="C13" s="686"/>
      <c r="D13" s="686"/>
      <c r="E13" s="686"/>
      <c r="F13" s="687"/>
      <c r="G13" s="37"/>
      <c r="H13" s="37"/>
      <c r="I13" s="37"/>
      <c r="J13" s="37"/>
    </row>
    <row r="14" spans="1:10" ht="18" x14ac:dyDescent="0.3">
      <c r="B14" s="606" t="s">
        <v>106</v>
      </c>
      <c r="C14" s="607" t="s">
        <v>195</v>
      </c>
      <c r="D14" s="607" t="s">
        <v>206</v>
      </c>
      <c r="E14" s="608" t="s">
        <v>201</v>
      </c>
      <c r="F14" s="610" t="s">
        <v>198</v>
      </c>
      <c r="G14" s="37"/>
      <c r="H14" s="41" t="s">
        <v>157</v>
      </c>
      <c r="I14" s="37"/>
      <c r="J14" s="37"/>
    </row>
    <row r="15" spans="1:10" ht="18.600000000000001" thickBot="1" x14ac:dyDescent="0.35">
      <c r="B15" s="611">
        <v>0</v>
      </c>
      <c r="C15" s="612">
        <v>0.7</v>
      </c>
      <c r="D15" s="619">
        <v>0</v>
      </c>
      <c r="E15" s="399">
        <f>D15/C15</f>
        <v>0</v>
      </c>
      <c r="F15" s="375">
        <f>(B15*E15)*F17</f>
        <v>0</v>
      </c>
      <c r="G15" s="37"/>
      <c r="H15" s="664">
        <v>8.9</v>
      </c>
      <c r="I15" s="37"/>
      <c r="J15" s="37"/>
    </row>
    <row r="16" spans="1:10" ht="18" x14ac:dyDescent="0.3">
      <c r="B16" s="620" t="s">
        <v>202</v>
      </c>
      <c r="C16" s="677" t="s">
        <v>203</v>
      </c>
      <c r="D16" s="678"/>
      <c r="E16" s="609" t="s">
        <v>209</v>
      </c>
      <c r="F16" s="610" t="s">
        <v>302</v>
      </c>
      <c r="G16" s="37"/>
      <c r="H16" s="41" t="s">
        <v>158</v>
      </c>
      <c r="I16" s="37"/>
      <c r="J16" s="37"/>
    </row>
    <row r="17" spans="2:10" ht="18" x14ac:dyDescent="0.3">
      <c r="B17" s="640">
        <v>90</v>
      </c>
      <c r="C17" s="679">
        <v>4</v>
      </c>
      <c r="D17" s="680"/>
      <c r="E17" s="641">
        <v>71</v>
      </c>
      <c r="F17" s="623">
        <v>2</v>
      </c>
      <c r="G17" s="37"/>
      <c r="H17" s="665">
        <v>1.095</v>
      </c>
      <c r="I17" s="37"/>
      <c r="J17" s="37"/>
    </row>
    <row r="18" spans="2:10" ht="18" x14ac:dyDescent="0.3">
      <c r="B18" s="624" t="s">
        <v>199</v>
      </c>
      <c r="C18" s="681" t="s">
        <v>200</v>
      </c>
      <c r="D18" s="682"/>
      <c r="E18" s="625" t="s">
        <v>210</v>
      </c>
      <c r="F18" s="626" t="s">
        <v>205</v>
      </c>
      <c r="G18" s="37"/>
      <c r="H18" s="37"/>
      <c r="I18" s="37"/>
      <c r="J18" s="37"/>
    </row>
    <row r="19" spans="2:10" ht="18.600000000000001" thickBot="1" x14ac:dyDescent="0.35">
      <c r="B19" s="361">
        <f>(60/F19)*E15*F17</f>
        <v>0</v>
      </c>
      <c r="C19" s="683">
        <f>(60/F19)*D15*F17</f>
        <v>0</v>
      </c>
      <c r="D19" s="684"/>
      <c r="E19" s="587" t="e">
        <f>E17/F15</f>
        <v>#DIV/0!</v>
      </c>
      <c r="F19" s="588">
        <v>60</v>
      </c>
      <c r="G19" s="37"/>
      <c r="H19" s="37"/>
      <c r="I19" s="37"/>
      <c r="J19" s="37"/>
    </row>
    <row r="20" spans="2:10" ht="18.600000000000001" thickBot="1" x14ac:dyDescent="0.35">
      <c r="B20" s="362"/>
      <c r="C20" s="363"/>
      <c r="D20" s="363"/>
      <c r="E20" s="364"/>
      <c r="F20" s="380"/>
      <c r="G20" s="37"/>
      <c r="H20" s="37"/>
      <c r="I20" s="37"/>
      <c r="J20" s="37"/>
    </row>
    <row r="21" spans="2:10" ht="21.6" thickBot="1" x14ac:dyDescent="0.35">
      <c r="B21" s="685" t="s">
        <v>10</v>
      </c>
      <c r="C21" s="686"/>
      <c r="D21" s="686"/>
      <c r="E21" s="686"/>
      <c r="F21" s="687"/>
      <c r="G21" s="37"/>
      <c r="H21" s="37"/>
      <c r="I21" s="37"/>
      <c r="J21" s="37"/>
    </row>
    <row r="22" spans="2:10" ht="18" x14ac:dyDescent="0.3">
      <c r="B22" s="606" t="s">
        <v>106</v>
      </c>
      <c r="C22" s="607" t="s">
        <v>195</v>
      </c>
      <c r="D22" s="607" t="s">
        <v>206</v>
      </c>
      <c r="E22" s="608" t="s">
        <v>201</v>
      </c>
      <c r="F22" s="610" t="s">
        <v>198</v>
      </c>
      <c r="G22" s="37"/>
      <c r="H22" s="41" t="s">
        <v>157</v>
      </c>
      <c r="I22" s="37"/>
      <c r="J22" s="37"/>
    </row>
    <row r="23" spans="2:10" ht="18.600000000000001" thickBot="1" x14ac:dyDescent="0.35">
      <c r="B23" s="611">
        <v>0</v>
      </c>
      <c r="C23" s="612">
        <v>0.7</v>
      </c>
      <c r="D23" s="619">
        <v>0</v>
      </c>
      <c r="E23" s="399">
        <f>D23/C23</f>
        <v>0</v>
      </c>
      <c r="F23" s="375">
        <f>(E23*B23)*F25</f>
        <v>0</v>
      </c>
      <c r="G23" s="37"/>
      <c r="H23" s="664">
        <v>8.92</v>
      </c>
      <c r="I23" s="37"/>
      <c r="J23" s="37"/>
    </row>
    <row r="24" spans="2:10" ht="18" x14ac:dyDescent="0.3">
      <c r="B24" s="620" t="s">
        <v>202</v>
      </c>
      <c r="C24" s="677" t="s">
        <v>203</v>
      </c>
      <c r="D24" s="678"/>
      <c r="E24" s="609" t="s">
        <v>209</v>
      </c>
      <c r="F24" s="610" t="s">
        <v>302</v>
      </c>
      <c r="G24" s="37"/>
      <c r="H24" s="41" t="s">
        <v>158</v>
      </c>
      <c r="I24" s="37"/>
      <c r="J24" s="37"/>
    </row>
    <row r="25" spans="2:10" ht="18" x14ac:dyDescent="0.3">
      <c r="B25" s="640">
        <v>90</v>
      </c>
      <c r="C25" s="679">
        <v>4</v>
      </c>
      <c r="D25" s="680"/>
      <c r="E25" s="641">
        <v>66</v>
      </c>
      <c r="F25" s="623">
        <v>2</v>
      </c>
      <c r="G25" s="37"/>
      <c r="H25" s="665">
        <v>1.1859999999999999</v>
      </c>
      <c r="I25" s="37"/>
      <c r="J25" s="37"/>
    </row>
    <row r="26" spans="2:10" ht="18" x14ac:dyDescent="0.3">
      <c r="B26" s="624" t="s">
        <v>199</v>
      </c>
      <c r="C26" s="681" t="s">
        <v>200</v>
      </c>
      <c r="D26" s="682"/>
      <c r="E26" s="625" t="s">
        <v>210</v>
      </c>
      <c r="F26" s="626" t="s">
        <v>205</v>
      </c>
      <c r="G26" s="37"/>
      <c r="H26" s="37"/>
      <c r="I26" s="37"/>
      <c r="J26" s="37"/>
    </row>
    <row r="27" spans="2:10" ht="18.600000000000001" thickBot="1" x14ac:dyDescent="0.35">
      <c r="B27" s="361">
        <f>(60/F27)*E23*F25</f>
        <v>0</v>
      </c>
      <c r="C27" s="683">
        <f>(60/F27)*D23*F25</f>
        <v>0</v>
      </c>
      <c r="D27" s="684"/>
      <c r="E27" s="587" t="e">
        <f>E25/F23</f>
        <v>#DIV/0!</v>
      </c>
      <c r="F27" s="588">
        <v>60</v>
      </c>
      <c r="G27" s="37"/>
      <c r="H27" s="37"/>
      <c r="I27" s="37"/>
      <c r="J27" s="37"/>
    </row>
    <row r="28" spans="2:10" ht="18.600000000000001" thickBot="1" x14ac:dyDescent="0.35">
      <c r="B28" s="362"/>
      <c r="C28" s="363"/>
      <c r="D28" s="363"/>
      <c r="E28" s="364"/>
      <c r="F28" s="380"/>
      <c r="G28" s="37"/>
      <c r="H28" s="37"/>
      <c r="I28" s="37"/>
      <c r="J28" s="37"/>
    </row>
    <row r="29" spans="2:10" ht="21.6" thickBot="1" x14ac:dyDescent="0.35">
      <c r="B29" s="685" t="s">
        <v>11</v>
      </c>
      <c r="C29" s="686"/>
      <c r="D29" s="686"/>
      <c r="E29" s="686"/>
      <c r="F29" s="687"/>
      <c r="G29" s="37"/>
      <c r="H29" s="37"/>
      <c r="I29" s="37"/>
      <c r="J29" s="37"/>
    </row>
    <row r="30" spans="2:10" ht="18" x14ac:dyDescent="0.3">
      <c r="B30" s="606" t="s">
        <v>106</v>
      </c>
      <c r="C30" s="607" t="s">
        <v>195</v>
      </c>
      <c r="D30" s="608" t="s">
        <v>196</v>
      </c>
      <c r="E30" s="609" t="s">
        <v>197</v>
      </c>
      <c r="F30" s="610" t="s">
        <v>198</v>
      </c>
      <c r="G30" s="37"/>
      <c r="H30" s="37"/>
      <c r="I30" s="37"/>
      <c r="J30" s="37"/>
    </row>
    <row r="31" spans="2:10" ht="18.600000000000001" thickBot="1" x14ac:dyDescent="0.35">
      <c r="B31" s="611">
        <v>0</v>
      </c>
      <c r="C31" s="612">
        <v>0.7</v>
      </c>
      <c r="D31" s="613">
        <v>0</v>
      </c>
      <c r="E31" s="399">
        <f>D31/C31</f>
        <v>0</v>
      </c>
      <c r="F31" s="375">
        <f>B31*E31*F41</f>
        <v>0</v>
      </c>
      <c r="G31" s="37"/>
      <c r="H31" s="37"/>
      <c r="I31" s="37"/>
      <c r="J31" s="37"/>
    </row>
    <row r="32" spans="2:10" ht="18" x14ac:dyDescent="0.3">
      <c r="B32" s="620" t="s">
        <v>202</v>
      </c>
      <c r="C32" s="677" t="s">
        <v>203</v>
      </c>
      <c r="D32" s="678"/>
      <c r="E32" s="609" t="s">
        <v>209</v>
      </c>
      <c r="F32" s="610" t="s">
        <v>302</v>
      </c>
      <c r="G32" s="37"/>
      <c r="H32" s="37"/>
      <c r="I32" s="37"/>
      <c r="J32" s="37"/>
    </row>
    <row r="33" spans="2:10" ht="18" x14ac:dyDescent="0.3">
      <c r="B33" s="640">
        <v>90</v>
      </c>
      <c r="C33" s="679">
        <v>4</v>
      </c>
      <c r="D33" s="680"/>
      <c r="E33" s="641">
        <v>66</v>
      </c>
      <c r="F33" s="623">
        <v>2</v>
      </c>
      <c r="G33" s="37"/>
      <c r="H33" s="37"/>
      <c r="I33" s="37"/>
      <c r="J33" s="37"/>
    </row>
    <row r="34" spans="2:10" ht="18" x14ac:dyDescent="0.3">
      <c r="B34" s="624" t="s">
        <v>199</v>
      </c>
      <c r="C34" s="681" t="s">
        <v>200</v>
      </c>
      <c r="D34" s="682"/>
      <c r="E34" s="625" t="s">
        <v>210</v>
      </c>
      <c r="F34" s="626" t="s">
        <v>205</v>
      </c>
      <c r="G34" s="37"/>
      <c r="H34" s="37"/>
      <c r="I34" s="37"/>
      <c r="J34" s="37"/>
    </row>
    <row r="35" spans="2:10" ht="18" x14ac:dyDescent="0.3">
      <c r="B35" s="361">
        <f>(60/F35)*E31*F33</f>
        <v>0</v>
      </c>
      <c r="C35" s="683">
        <f>(60/F35)*D31*F33</f>
        <v>0</v>
      </c>
      <c r="D35" s="684"/>
      <c r="E35" s="587" t="e">
        <f>E33/F31</f>
        <v>#DIV/0!</v>
      </c>
      <c r="F35" s="588">
        <v>10</v>
      </c>
      <c r="G35" s="37"/>
      <c r="H35" s="37"/>
      <c r="I35" s="37"/>
      <c r="J35" s="37"/>
    </row>
    <row r="36" spans="2:10" ht="18.600000000000001" thickBot="1" x14ac:dyDescent="0.35">
      <c r="B36" s="660"/>
      <c r="C36" s="389"/>
      <c r="D36" s="389"/>
      <c r="E36" s="373"/>
      <c r="F36" s="661"/>
      <c r="G36" s="37"/>
      <c r="H36" s="37"/>
      <c r="I36" s="37"/>
      <c r="J36" s="37"/>
    </row>
    <row r="37" spans="2:10" ht="21.6" thickBot="1" x14ac:dyDescent="0.35">
      <c r="B37" s="674" t="s">
        <v>51</v>
      </c>
      <c r="C37" s="675"/>
      <c r="D37" s="675"/>
      <c r="E37" s="675"/>
      <c r="F37" s="676"/>
      <c r="G37" s="37"/>
      <c r="H37" s="37"/>
      <c r="I37" s="37"/>
      <c r="J37" s="37"/>
    </row>
    <row r="38" spans="2:10" ht="18" x14ac:dyDescent="0.3">
      <c r="B38" s="606" t="s">
        <v>106</v>
      </c>
      <c r="C38" s="607" t="s">
        <v>195</v>
      </c>
      <c r="D38" s="607" t="s">
        <v>196</v>
      </c>
      <c r="E38" s="608" t="s">
        <v>201</v>
      </c>
      <c r="F38" s="610" t="s">
        <v>198</v>
      </c>
      <c r="G38" s="37"/>
      <c r="H38" s="41" t="s">
        <v>157</v>
      </c>
      <c r="I38" s="37"/>
      <c r="J38" s="37"/>
    </row>
    <row r="39" spans="2:10" ht="18.600000000000001" thickBot="1" x14ac:dyDescent="0.35">
      <c r="B39" s="611">
        <v>0</v>
      </c>
      <c r="C39" s="612">
        <v>0.7</v>
      </c>
      <c r="D39" s="619">
        <v>0</v>
      </c>
      <c r="E39" s="399">
        <f>D39/C39</f>
        <v>0</v>
      </c>
      <c r="F39" s="375">
        <f>(E39*B39)*F41</f>
        <v>0</v>
      </c>
      <c r="G39" s="37"/>
      <c r="H39" s="664">
        <v>8.9</v>
      </c>
      <c r="I39" s="37"/>
      <c r="J39" s="37"/>
    </row>
    <row r="40" spans="2:10" ht="18" x14ac:dyDescent="0.3">
      <c r="B40" s="620" t="s">
        <v>202</v>
      </c>
      <c r="C40" s="677" t="s">
        <v>203</v>
      </c>
      <c r="D40" s="678"/>
      <c r="E40" s="609" t="s">
        <v>209</v>
      </c>
      <c r="F40" s="610" t="s">
        <v>302</v>
      </c>
      <c r="G40" s="37"/>
      <c r="H40" s="41" t="s">
        <v>158</v>
      </c>
      <c r="I40" s="37"/>
      <c r="J40" s="37"/>
    </row>
    <row r="41" spans="2:10" ht="18" x14ac:dyDescent="0.3">
      <c r="B41" s="640">
        <v>90</v>
      </c>
      <c r="C41" s="679">
        <v>4</v>
      </c>
      <c r="D41" s="680"/>
      <c r="E41" s="642">
        <v>71</v>
      </c>
      <c r="F41" s="623">
        <v>2</v>
      </c>
      <c r="G41" s="37"/>
      <c r="H41" s="665">
        <v>1.095</v>
      </c>
      <c r="I41" s="37"/>
      <c r="J41" s="37"/>
    </row>
    <row r="42" spans="2:10" ht="18" x14ac:dyDescent="0.3">
      <c r="B42" s="624" t="s">
        <v>199</v>
      </c>
      <c r="C42" s="681" t="s">
        <v>200</v>
      </c>
      <c r="D42" s="682"/>
      <c r="E42" s="625" t="s">
        <v>210</v>
      </c>
      <c r="F42" s="626" t="s">
        <v>205</v>
      </c>
      <c r="G42" s="37"/>
      <c r="H42" s="37"/>
      <c r="I42" s="37"/>
      <c r="J42" s="37"/>
    </row>
    <row r="43" spans="2:10" ht="18.600000000000001" thickBot="1" x14ac:dyDescent="0.35">
      <c r="B43" s="361" t="e">
        <f>(60/F43)*E39*F41</f>
        <v>#DIV/0!</v>
      </c>
      <c r="C43" s="683" t="e">
        <f>(60/F43)*D31*F41</f>
        <v>#DIV/0!</v>
      </c>
      <c r="D43" s="684"/>
      <c r="E43" s="587" t="e">
        <f>E41/F39</f>
        <v>#DIV/0!</v>
      </c>
      <c r="F43" s="592" t="e">
        <f>(60*C41*H39)/(H41*E43*B41)</f>
        <v>#DIV/0!</v>
      </c>
      <c r="G43" s="37"/>
      <c r="H43" s="37"/>
      <c r="I43" s="37"/>
      <c r="J43" s="37"/>
    </row>
    <row r="44" spans="2:10" ht="18.600000000000001" thickBot="1" x14ac:dyDescent="0.35">
      <c r="B44" s="362"/>
      <c r="C44" s="363"/>
      <c r="D44" s="363"/>
      <c r="E44" s="364"/>
      <c r="F44" s="381"/>
      <c r="G44" s="37"/>
      <c r="H44" s="37"/>
      <c r="I44" s="37"/>
      <c r="J44" s="37"/>
    </row>
    <row r="45" spans="2:10" ht="21.6" thickBot="1" x14ac:dyDescent="0.35">
      <c r="B45" s="685" t="s">
        <v>52</v>
      </c>
      <c r="C45" s="686"/>
      <c r="D45" s="686"/>
      <c r="E45" s="686"/>
      <c r="F45" s="687"/>
      <c r="G45" s="37"/>
      <c r="H45" s="37"/>
      <c r="I45" s="37"/>
      <c r="J45" s="37"/>
    </row>
    <row r="46" spans="2:10" ht="18" x14ac:dyDescent="0.3">
      <c r="B46" s="606" t="s">
        <v>106</v>
      </c>
      <c r="C46" s="607" t="s">
        <v>195</v>
      </c>
      <c r="D46" s="607" t="s">
        <v>196</v>
      </c>
      <c r="E46" s="608" t="s">
        <v>201</v>
      </c>
      <c r="F46" s="610" t="s">
        <v>198</v>
      </c>
      <c r="G46" s="37"/>
      <c r="H46" s="41" t="s">
        <v>157</v>
      </c>
      <c r="I46" s="37"/>
      <c r="J46" s="37"/>
    </row>
    <row r="47" spans="2:10" ht="18.600000000000001" thickBot="1" x14ac:dyDescent="0.35">
      <c r="B47" s="611">
        <v>0</v>
      </c>
      <c r="C47" s="612">
        <v>0.7</v>
      </c>
      <c r="D47" s="619">
        <v>0</v>
      </c>
      <c r="E47" s="628">
        <f>D47/C47</f>
        <v>0</v>
      </c>
      <c r="F47" s="375">
        <f>(E47*B47)*F49</f>
        <v>0</v>
      </c>
      <c r="G47" s="37"/>
      <c r="H47" s="664">
        <v>7.1</v>
      </c>
      <c r="I47" s="37"/>
      <c r="J47" s="37"/>
    </row>
    <row r="48" spans="2:10" ht="18" x14ac:dyDescent="0.3">
      <c r="B48" s="620" t="s">
        <v>202</v>
      </c>
      <c r="C48" s="677" t="s">
        <v>203</v>
      </c>
      <c r="D48" s="678"/>
      <c r="E48" s="609" t="s">
        <v>209</v>
      </c>
      <c r="F48" s="610" t="s">
        <v>302</v>
      </c>
      <c r="G48" s="37"/>
      <c r="H48" s="41" t="s">
        <v>158</v>
      </c>
      <c r="I48" s="37"/>
      <c r="J48" s="37"/>
    </row>
    <row r="49" spans="1:296" ht="18" x14ac:dyDescent="0.3">
      <c r="B49" s="640">
        <v>90</v>
      </c>
      <c r="C49" s="679">
        <v>4</v>
      </c>
      <c r="D49" s="680"/>
      <c r="E49" s="642">
        <v>192</v>
      </c>
      <c r="F49" s="623">
        <v>2</v>
      </c>
      <c r="G49" s="37"/>
      <c r="H49" s="665">
        <v>0.32300000000000001</v>
      </c>
      <c r="I49" s="37"/>
      <c r="J49" s="37"/>
    </row>
    <row r="50" spans="1:296" ht="18" x14ac:dyDescent="0.3">
      <c r="B50" s="624" t="s">
        <v>199</v>
      </c>
      <c r="C50" s="681" t="s">
        <v>200</v>
      </c>
      <c r="D50" s="682"/>
      <c r="E50" s="625" t="s">
        <v>210</v>
      </c>
      <c r="F50" s="626" t="s">
        <v>205</v>
      </c>
      <c r="G50" s="37"/>
      <c r="H50" s="37"/>
      <c r="I50" s="37"/>
      <c r="J50" s="37"/>
    </row>
    <row r="51" spans="1:296" ht="18.600000000000001" thickBot="1" x14ac:dyDescent="0.35">
      <c r="B51" s="361">
        <f>(60/F51)*E47*F49</f>
        <v>0</v>
      </c>
      <c r="C51" s="683">
        <f>(60/F51)*D47*F49</f>
        <v>0</v>
      </c>
      <c r="D51" s="684"/>
      <c r="E51" s="587" t="e">
        <f>E49/F47</f>
        <v>#DIV/0!</v>
      </c>
      <c r="F51" s="592">
        <v>60</v>
      </c>
      <c r="G51" s="37"/>
      <c r="H51" s="37"/>
      <c r="I51" s="37"/>
      <c r="J51" s="37"/>
    </row>
    <row r="52" spans="1:296" ht="18.600000000000001" thickBot="1" x14ac:dyDescent="0.35">
      <c r="B52" s="362"/>
      <c r="C52" s="363"/>
      <c r="D52" s="363"/>
      <c r="E52" s="364"/>
      <c r="F52" s="381"/>
      <c r="G52" s="37"/>
      <c r="H52" s="37"/>
      <c r="I52" s="37"/>
      <c r="J52" s="37"/>
    </row>
    <row r="53" spans="1:296" ht="21.6" thickBot="1" x14ac:dyDescent="0.35">
      <c r="B53" s="685" t="s">
        <v>50</v>
      </c>
      <c r="C53" s="686"/>
      <c r="D53" s="686"/>
      <c r="E53" s="686"/>
      <c r="F53" s="687"/>
      <c r="G53" s="37"/>
      <c r="H53" s="37"/>
      <c r="I53" s="37"/>
      <c r="J53" s="37"/>
    </row>
    <row r="54" spans="1:296" ht="18" x14ac:dyDescent="0.3">
      <c r="B54" s="606" t="s">
        <v>106</v>
      </c>
      <c r="C54" s="607" t="s">
        <v>195</v>
      </c>
      <c r="D54" s="607" t="s">
        <v>196</v>
      </c>
      <c r="E54" s="608" t="s">
        <v>201</v>
      </c>
      <c r="F54" s="610" t="s">
        <v>198</v>
      </c>
      <c r="G54" s="37"/>
      <c r="H54" s="41" t="s">
        <v>157</v>
      </c>
      <c r="I54" s="37"/>
      <c r="J54" s="37"/>
    </row>
    <row r="55" spans="1:296" ht="18.600000000000001" thickBot="1" x14ac:dyDescent="0.35">
      <c r="B55" s="611">
        <v>0</v>
      </c>
      <c r="C55" s="612">
        <v>0.7</v>
      </c>
      <c r="D55" s="619">
        <v>0</v>
      </c>
      <c r="E55" s="629">
        <f>D55/C55</f>
        <v>0</v>
      </c>
      <c r="F55" s="377">
        <f>E55*B55*F57</f>
        <v>0</v>
      </c>
      <c r="G55" s="37"/>
      <c r="H55" s="664">
        <v>8.9</v>
      </c>
      <c r="I55" s="37"/>
      <c r="J55" s="37"/>
    </row>
    <row r="56" spans="1:296" ht="18" x14ac:dyDescent="0.3">
      <c r="B56" s="620" t="s">
        <v>202</v>
      </c>
      <c r="C56" s="677" t="s">
        <v>203</v>
      </c>
      <c r="D56" s="678"/>
      <c r="E56" s="609" t="s">
        <v>209</v>
      </c>
      <c r="F56" s="610" t="s">
        <v>302</v>
      </c>
      <c r="G56" s="37"/>
      <c r="H56" s="41" t="s">
        <v>158</v>
      </c>
      <c r="I56" s="37"/>
      <c r="J56" s="37"/>
    </row>
    <row r="57" spans="1:296" ht="18" x14ac:dyDescent="0.3">
      <c r="B57" s="640">
        <v>89</v>
      </c>
      <c r="C57" s="679">
        <v>2</v>
      </c>
      <c r="D57" s="680"/>
      <c r="E57" s="642">
        <v>43</v>
      </c>
      <c r="F57" s="623">
        <v>2</v>
      </c>
      <c r="G57" s="37"/>
      <c r="H57" s="665">
        <v>1.095</v>
      </c>
      <c r="I57" s="37"/>
      <c r="J57" s="37"/>
    </row>
    <row r="58" spans="1:296" ht="18" x14ac:dyDescent="0.3">
      <c r="B58" s="624" t="s">
        <v>199</v>
      </c>
      <c r="C58" s="681" t="s">
        <v>200</v>
      </c>
      <c r="D58" s="682"/>
      <c r="E58" s="625" t="s">
        <v>210</v>
      </c>
      <c r="F58" s="626" t="s">
        <v>205</v>
      </c>
      <c r="G58" s="37"/>
      <c r="H58" s="37"/>
      <c r="I58" s="37"/>
      <c r="J58" s="37"/>
    </row>
    <row r="59" spans="1:296" ht="18.600000000000001" thickBot="1" x14ac:dyDescent="0.35">
      <c r="B59" s="361">
        <f>(60/F59)*E55*F57</f>
        <v>0</v>
      </c>
      <c r="C59" s="683">
        <f>(60/F59)*D55*F57</f>
        <v>0</v>
      </c>
      <c r="D59" s="684"/>
      <c r="E59" s="587" t="e">
        <f>E57/F55</f>
        <v>#DIV/0!</v>
      </c>
      <c r="F59" s="592">
        <v>50</v>
      </c>
      <c r="G59" s="37"/>
      <c r="H59" s="37"/>
      <c r="I59" s="37"/>
      <c r="J59" s="37"/>
    </row>
    <row r="60" spans="1:296" ht="18.600000000000001" thickBot="1" x14ac:dyDescent="0.35">
      <c r="B60" s="362"/>
      <c r="C60" s="363"/>
      <c r="D60" s="363"/>
      <c r="E60" s="364"/>
      <c r="F60" s="381"/>
      <c r="G60" s="37"/>
      <c r="H60" s="37"/>
      <c r="I60" s="37"/>
      <c r="J60" s="37"/>
    </row>
    <row r="61" spans="1:296" s="631" customFormat="1" ht="21.6" thickBot="1" x14ac:dyDescent="0.35">
      <c r="A61" s="630"/>
      <c r="B61" s="689" t="s">
        <v>208</v>
      </c>
      <c r="C61" s="690"/>
      <c r="D61" s="690"/>
      <c r="E61" s="690"/>
      <c r="F61" s="691"/>
      <c r="G61" s="37"/>
      <c r="H61" s="37"/>
      <c r="I61" s="37"/>
      <c r="J61" s="37"/>
      <c r="K61" s="103"/>
      <c r="L61" s="103"/>
      <c r="M61" s="103"/>
      <c r="N61" s="103"/>
      <c r="O61" s="103"/>
      <c r="P61" s="103"/>
      <c r="Q61" s="103"/>
      <c r="R61" s="103"/>
      <c r="S61" s="103"/>
      <c r="T61" s="103"/>
      <c r="U61" s="103"/>
      <c r="V61" s="103"/>
      <c r="W61" s="103"/>
      <c r="X61" s="103"/>
      <c r="Y61" s="103"/>
      <c r="Z61" s="103"/>
      <c r="AA61" s="103"/>
      <c r="AB61" s="103"/>
      <c r="AC61" s="103"/>
      <c r="AD61" s="103"/>
      <c r="AE61" s="103"/>
      <c r="AF61" s="103"/>
      <c r="AG61" s="103"/>
      <c r="AH61" s="103"/>
      <c r="AI61" s="103"/>
      <c r="AJ61" s="103"/>
      <c r="AK61" s="103"/>
      <c r="AL61" s="103"/>
      <c r="AM61" s="103"/>
      <c r="AN61" s="103"/>
      <c r="AO61" s="103"/>
      <c r="AP61" s="103"/>
      <c r="AQ61" s="103"/>
      <c r="AR61" s="103"/>
      <c r="AS61" s="103"/>
      <c r="AT61" s="103"/>
      <c r="AU61" s="103"/>
      <c r="AV61" s="103"/>
      <c r="AW61" s="103"/>
      <c r="AX61" s="103"/>
      <c r="AY61" s="103"/>
      <c r="AZ61" s="103"/>
      <c r="BA61" s="103"/>
      <c r="BB61" s="103"/>
      <c r="BC61" s="103"/>
      <c r="BD61" s="103"/>
      <c r="BE61" s="103"/>
      <c r="BF61" s="103"/>
      <c r="BG61" s="103"/>
      <c r="BH61" s="103"/>
      <c r="BI61" s="103"/>
      <c r="BJ61" s="103"/>
      <c r="BK61" s="103"/>
      <c r="BL61" s="103"/>
      <c r="BM61" s="103"/>
      <c r="BN61" s="103"/>
      <c r="BO61" s="103"/>
      <c r="BP61" s="103"/>
      <c r="BQ61" s="103"/>
      <c r="BR61" s="103"/>
      <c r="BS61" s="103"/>
      <c r="BT61" s="103"/>
      <c r="BU61" s="103"/>
      <c r="BV61" s="103"/>
      <c r="BW61" s="103"/>
      <c r="BX61" s="103"/>
      <c r="BY61" s="103"/>
      <c r="BZ61" s="103"/>
      <c r="CA61" s="103"/>
      <c r="CB61" s="103"/>
      <c r="CC61" s="103"/>
      <c r="CD61" s="103"/>
      <c r="CE61" s="103"/>
      <c r="CF61" s="103"/>
      <c r="CG61" s="103"/>
      <c r="CH61" s="103"/>
      <c r="CI61" s="103"/>
      <c r="CJ61" s="103"/>
      <c r="CK61" s="103"/>
      <c r="CL61" s="103"/>
      <c r="CM61" s="103"/>
      <c r="CN61" s="103"/>
      <c r="CO61" s="103"/>
      <c r="CP61" s="103"/>
      <c r="CQ61" s="103"/>
      <c r="CR61" s="103"/>
      <c r="CS61" s="103"/>
      <c r="CT61" s="103"/>
      <c r="CU61" s="103"/>
      <c r="CV61" s="103"/>
      <c r="CW61" s="103"/>
      <c r="CX61" s="103"/>
      <c r="CY61" s="103"/>
      <c r="CZ61" s="103"/>
      <c r="DA61" s="103"/>
      <c r="DB61" s="103"/>
      <c r="DC61" s="103"/>
      <c r="DD61" s="103"/>
      <c r="DE61" s="103"/>
      <c r="DF61" s="103"/>
      <c r="DG61" s="103"/>
      <c r="DH61" s="103"/>
      <c r="DI61" s="103"/>
      <c r="DJ61" s="103"/>
      <c r="DK61" s="103"/>
      <c r="DL61" s="103"/>
      <c r="DM61" s="103"/>
      <c r="DN61" s="103"/>
      <c r="DO61" s="103"/>
      <c r="DP61" s="103"/>
      <c r="DQ61" s="103"/>
      <c r="DR61" s="103"/>
      <c r="DS61" s="103"/>
      <c r="DT61" s="103"/>
      <c r="DU61" s="103"/>
      <c r="DV61" s="103"/>
      <c r="DW61" s="103"/>
      <c r="DX61" s="103"/>
      <c r="DY61" s="103"/>
      <c r="DZ61" s="103"/>
      <c r="EA61" s="103"/>
      <c r="EB61" s="103"/>
      <c r="EC61" s="103"/>
      <c r="ED61" s="103"/>
      <c r="EE61" s="103"/>
      <c r="EF61" s="103"/>
      <c r="EG61" s="103"/>
      <c r="EH61" s="103"/>
      <c r="EI61" s="103"/>
      <c r="EJ61" s="103"/>
      <c r="EK61" s="103"/>
      <c r="EL61" s="103"/>
      <c r="EM61" s="103"/>
      <c r="EN61" s="103"/>
      <c r="EO61" s="103"/>
      <c r="EP61" s="103"/>
      <c r="EQ61" s="103"/>
      <c r="ER61" s="103"/>
      <c r="ES61" s="103"/>
      <c r="ET61" s="103"/>
      <c r="EU61" s="103"/>
      <c r="EV61" s="103"/>
      <c r="EW61" s="103"/>
      <c r="EX61" s="103"/>
      <c r="EY61" s="103"/>
      <c r="EZ61" s="103"/>
      <c r="FA61" s="103"/>
      <c r="FB61" s="103"/>
      <c r="FC61" s="103"/>
      <c r="FD61" s="103"/>
      <c r="FE61" s="103"/>
      <c r="FF61" s="103"/>
      <c r="FG61" s="103"/>
      <c r="FH61" s="103"/>
      <c r="FI61" s="103"/>
      <c r="FJ61" s="103"/>
      <c r="FK61" s="103"/>
      <c r="FL61" s="103"/>
      <c r="FM61" s="103"/>
      <c r="FN61" s="103"/>
      <c r="FO61" s="103"/>
      <c r="FP61" s="103"/>
      <c r="FQ61" s="103"/>
      <c r="FR61" s="103"/>
      <c r="FS61" s="103"/>
      <c r="FT61" s="103"/>
      <c r="FU61" s="103"/>
      <c r="FV61" s="103"/>
      <c r="FW61" s="103"/>
      <c r="FX61" s="103"/>
      <c r="FY61" s="103"/>
      <c r="FZ61" s="103"/>
      <c r="GA61" s="103"/>
      <c r="GB61" s="103"/>
      <c r="GC61" s="103"/>
      <c r="GD61" s="103"/>
      <c r="GE61" s="103"/>
      <c r="GF61" s="103"/>
      <c r="GG61" s="103"/>
      <c r="GH61" s="103"/>
      <c r="GI61" s="103"/>
      <c r="GJ61" s="103"/>
      <c r="GK61" s="103"/>
      <c r="GL61" s="103"/>
      <c r="GM61" s="103"/>
      <c r="GN61" s="103"/>
      <c r="GO61" s="103"/>
      <c r="GP61" s="103"/>
      <c r="GQ61" s="103"/>
      <c r="GR61" s="103"/>
      <c r="GS61" s="103"/>
      <c r="GT61" s="103"/>
      <c r="GU61" s="103"/>
      <c r="GV61" s="103"/>
      <c r="GW61" s="103"/>
      <c r="GX61" s="103"/>
      <c r="GY61" s="103"/>
      <c r="GZ61" s="103"/>
      <c r="HA61" s="103"/>
      <c r="HB61" s="103"/>
      <c r="HC61" s="103"/>
      <c r="HD61" s="103"/>
      <c r="HE61" s="103"/>
      <c r="HF61" s="103"/>
      <c r="HG61" s="103"/>
      <c r="HH61" s="103"/>
      <c r="HI61" s="103"/>
      <c r="HJ61" s="103"/>
      <c r="HK61" s="103"/>
      <c r="HL61" s="103"/>
      <c r="HM61" s="103"/>
      <c r="HN61" s="103"/>
      <c r="HO61" s="103"/>
      <c r="HP61" s="103"/>
      <c r="HQ61" s="103"/>
      <c r="HR61" s="103"/>
      <c r="HS61" s="103"/>
      <c r="HT61" s="103"/>
      <c r="HU61" s="103"/>
      <c r="HV61" s="103"/>
      <c r="HW61" s="103"/>
      <c r="HX61" s="103"/>
      <c r="HY61" s="103"/>
      <c r="HZ61" s="103"/>
      <c r="IA61" s="103"/>
      <c r="IB61" s="103"/>
      <c r="IC61" s="103"/>
      <c r="ID61" s="103"/>
      <c r="IE61" s="103"/>
      <c r="IF61" s="103"/>
      <c r="IG61" s="103"/>
      <c r="IH61" s="103"/>
      <c r="II61" s="103"/>
      <c r="IJ61" s="103"/>
      <c r="IK61" s="103"/>
      <c r="IL61" s="103"/>
      <c r="IM61" s="103"/>
      <c r="IN61" s="103"/>
      <c r="IO61" s="103"/>
      <c r="IP61" s="103"/>
      <c r="IQ61" s="103"/>
      <c r="IR61" s="103"/>
      <c r="IS61" s="103"/>
      <c r="IT61" s="103"/>
      <c r="IU61" s="103"/>
      <c r="IV61" s="103"/>
      <c r="IW61" s="103"/>
      <c r="IX61" s="103"/>
      <c r="IY61" s="103"/>
      <c r="IZ61" s="103"/>
      <c r="JA61" s="103"/>
      <c r="JB61" s="103"/>
      <c r="JC61" s="103"/>
      <c r="JD61" s="103"/>
      <c r="JE61" s="103"/>
      <c r="JF61" s="103"/>
      <c r="JG61" s="103"/>
      <c r="JH61" s="103"/>
      <c r="JI61" s="103"/>
      <c r="JJ61" s="103"/>
      <c r="JK61" s="103"/>
      <c r="JL61" s="103"/>
      <c r="JM61" s="103"/>
      <c r="JN61" s="103"/>
      <c r="JO61" s="103"/>
      <c r="JP61" s="103"/>
      <c r="JQ61" s="103"/>
      <c r="JR61" s="103"/>
      <c r="JS61" s="103"/>
      <c r="JT61" s="103"/>
      <c r="JU61" s="103"/>
      <c r="JV61" s="103"/>
      <c r="JW61" s="103"/>
      <c r="JX61" s="103"/>
      <c r="JY61" s="103"/>
      <c r="JZ61" s="103"/>
      <c r="KA61" s="103"/>
      <c r="KB61" s="103"/>
      <c r="KC61" s="103"/>
      <c r="KD61" s="103"/>
      <c r="KE61" s="103"/>
      <c r="KF61" s="103"/>
      <c r="KG61" s="103"/>
      <c r="KH61" s="103"/>
      <c r="KI61" s="103"/>
      <c r="KJ61" s="103"/>
    </row>
    <row r="62" spans="1:296" ht="18" x14ac:dyDescent="0.3">
      <c r="B62" s="606" t="s">
        <v>106</v>
      </c>
      <c r="C62" s="607" t="s">
        <v>195</v>
      </c>
      <c r="D62" s="608" t="s">
        <v>196</v>
      </c>
      <c r="E62" s="608" t="s">
        <v>201</v>
      </c>
      <c r="F62" s="610" t="s">
        <v>198</v>
      </c>
      <c r="G62" s="37"/>
      <c r="H62" s="41" t="s">
        <v>157</v>
      </c>
      <c r="I62" s="37"/>
      <c r="J62" s="37"/>
    </row>
    <row r="63" spans="1:296" ht="18.600000000000001" thickBot="1" x14ac:dyDescent="0.35">
      <c r="B63" s="611">
        <v>0</v>
      </c>
      <c r="C63" s="612">
        <v>0.7</v>
      </c>
      <c r="D63" s="619">
        <v>0</v>
      </c>
      <c r="E63" s="629">
        <f>D63/C63</f>
        <v>0</v>
      </c>
      <c r="F63" s="377">
        <f>E63*B63*F65</f>
        <v>0</v>
      </c>
      <c r="G63" s="37"/>
      <c r="H63" s="664">
        <v>8.9</v>
      </c>
      <c r="I63" s="37"/>
      <c r="J63" s="37"/>
    </row>
    <row r="64" spans="1:296" ht="18" x14ac:dyDescent="0.3">
      <c r="B64" s="620" t="s">
        <v>202</v>
      </c>
      <c r="C64" s="677" t="s">
        <v>203</v>
      </c>
      <c r="D64" s="678"/>
      <c r="E64" s="609" t="s">
        <v>209</v>
      </c>
      <c r="F64" s="610" t="s">
        <v>302</v>
      </c>
      <c r="G64" s="37"/>
      <c r="H64" s="41" t="s">
        <v>158</v>
      </c>
      <c r="I64" s="37"/>
      <c r="J64" s="37"/>
    </row>
    <row r="65" spans="2:10" ht="18" x14ac:dyDescent="0.3">
      <c r="B65" s="640">
        <v>89</v>
      </c>
      <c r="C65" s="679">
        <v>2</v>
      </c>
      <c r="D65" s="680"/>
      <c r="E65" s="642">
        <v>43</v>
      </c>
      <c r="F65" s="623">
        <v>2</v>
      </c>
      <c r="G65" s="37"/>
      <c r="H65" s="665">
        <v>1.095</v>
      </c>
      <c r="I65" s="37"/>
      <c r="J65" s="37"/>
    </row>
    <row r="66" spans="2:10" ht="18" x14ac:dyDescent="0.3">
      <c r="B66" s="624" t="s">
        <v>199</v>
      </c>
      <c r="C66" s="681" t="s">
        <v>200</v>
      </c>
      <c r="D66" s="682"/>
      <c r="E66" s="625" t="s">
        <v>210</v>
      </c>
      <c r="F66" s="626" t="s">
        <v>205</v>
      </c>
      <c r="G66" s="37"/>
      <c r="H66" s="37"/>
      <c r="I66" s="37"/>
      <c r="J66" s="37"/>
    </row>
    <row r="67" spans="2:10" ht="18.600000000000001" thickBot="1" x14ac:dyDescent="0.35">
      <c r="B67" s="382" t="e">
        <f>(60/F67)*E63*F65</f>
        <v>#DIV/0!</v>
      </c>
      <c r="C67" s="692" t="e">
        <f>(60/F67)*D63*F65</f>
        <v>#DIV/0!</v>
      </c>
      <c r="D67" s="693"/>
      <c r="E67" s="595" t="e">
        <f>E65/F63</f>
        <v>#DIV/0!</v>
      </c>
      <c r="F67" s="594" t="e">
        <f>(60*C65*H63)/(H65*E67*B65)</f>
        <v>#DIV/0!</v>
      </c>
      <c r="G67" s="37"/>
      <c r="H67" s="37"/>
      <c r="I67" s="37"/>
      <c r="J67" s="37"/>
    </row>
    <row r="68" spans="2:10" ht="18" x14ac:dyDescent="0.3">
      <c r="B68" s="366"/>
      <c r="C68" s="366"/>
      <c r="D68" s="366"/>
      <c r="E68" s="367"/>
      <c r="F68" s="367"/>
    </row>
    <row r="69" spans="2:10" ht="21" x14ac:dyDescent="0.3">
      <c r="B69" s="694"/>
      <c r="C69" s="694"/>
      <c r="D69" s="694"/>
      <c r="E69" s="694"/>
      <c r="F69" s="694"/>
    </row>
    <row r="70" spans="2:10" ht="18" x14ac:dyDescent="0.3">
      <c r="B70" s="632"/>
      <c r="C70" s="633"/>
      <c r="D70" s="633"/>
      <c r="E70" s="633"/>
      <c r="F70" s="633"/>
    </row>
    <row r="71" spans="2:10" ht="18" x14ac:dyDescent="0.3">
      <c r="B71" s="634"/>
      <c r="C71" s="635"/>
      <c r="D71" s="636"/>
      <c r="E71" s="636"/>
      <c r="F71" s="389"/>
    </row>
    <row r="72" spans="2:10" ht="18" x14ac:dyDescent="0.3">
      <c r="B72" s="633"/>
      <c r="C72" s="695"/>
      <c r="D72" s="695"/>
      <c r="E72" s="633"/>
      <c r="F72" s="633"/>
    </row>
    <row r="73" spans="2:10" ht="18" x14ac:dyDescent="0.3">
      <c r="B73" s="637"/>
      <c r="C73" s="688"/>
      <c r="D73" s="688"/>
      <c r="E73" s="636"/>
      <c r="F73" s="638"/>
    </row>
    <row r="74" spans="2:10" ht="18" x14ac:dyDescent="0.3">
      <c r="B74" s="633"/>
      <c r="C74" s="697"/>
      <c r="D74" s="697"/>
      <c r="E74" s="633"/>
      <c r="F74" s="633"/>
    </row>
    <row r="75" spans="2:10" ht="18" x14ac:dyDescent="0.3">
      <c r="B75" s="389"/>
      <c r="C75" s="696"/>
      <c r="D75" s="696"/>
      <c r="E75" s="373"/>
      <c r="F75" s="373"/>
    </row>
    <row r="76" spans="2:10" ht="21" x14ac:dyDescent="0.3">
      <c r="B76" s="694"/>
      <c r="C76" s="694"/>
      <c r="D76" s="694"/>
      <c r="E76" s="694"/>
      <c r="F76" s="694"/>
    </row>
    <row r="77" spans="2:10" ht="18" x14ac:dyDescent="0.3">
      <c r="B77" s="632"/>
      <c r="C77" s="633"/>
      <c r="D77" s="633"/>
      <c r="E77" s="633"/>
      <c r="F77" s="633"/>
    </row>
    <row r="78" spans="2:10" ht="18" x14ac:dyDescent="0.3">
      <c r="B78" s="634"/>
      <c r="C78" s="635"/>
      <c r="D78" s="636"/>
      <c r="E78" s="636"/>
      <c r="F78" s="389"/>
    </row>
    <row r="79" spans="2:10" ht="18" x14ac:dyDescent="0.3">
      <c r="B79" s="633"/>
      <c r="C79" s="695"/>
      <c r="D79" s="695"/>
      <c r="E79" s="633"/>
      <c r="F79" s="633"/>
    </row>
    <row r="80" spans="2:10" ht="18" x14ac:dyDescent="0.3">
      <c r="B80" s="637"/>
      <c r="C80" s="688"/>
      <c r="D80" s="688"/>
      <c r="E80" s="636"/>
      <c r="F80" s="638"/>
    </row>
    <row r="81" spans="2:6" ht="18" x14ac:dyDescent="0.3">
      <c r="B81" s="633"/>
      <c r="C81" s="697"/>
      <c r="D81" s="697"/>
      <c r="E81" s="633"/>
      <c r="F81" s="633"/>
    </row>
    <row r="82" spans="2:6" ht="18" x14ac:dyDescent="0.3">
      <c r="B82" s="389"/>
      <c r="C82" s="696"/>
      <c r="D82" s="696"/>
      <c r="E82" s="373"/>
      <c r="F82" s="373"/>
    </row>
    <row r="83" spans="2:6" ht="21" x14ac:dyDescent="0.3">
      <c r="B83" s="694"/>
      <c r="C83" s="694"/>
      <c r="D83" s="694"/>
      <c r="E83" s="694"/>
      <c r="F83" s="694"/>
    </row>
    <row r="84" spans="2:6" ht="18" x14ac:dyDescent="0.3">
      <c r="B84" s="632"/>
      <c r="C84" s="633"/>
      <c r="D84" s="633"/>
      <c r="E84" s="633"/>
      <c r="F84" s="633"/>
    </row>
    <row r="85" spans="2:6" ht="18" x14ac:dyDescent="0.3">
      <c r="B85" s="634"/>
      <c r="C85" s="635"/>
      <c r="D85" s="636"/>
      <c r="E85" s="636"/>
      <c r="F85" s="389"/>
    </row>
    <row r="86" spans="2:6" ht="18" x14ac:dyDescent="0.3">
      <c r="B86" s="633"/>
      <c r="C86" s="695"/>
      <c r="D86" s="695"/>
      <c r="E86" s="633"/>
      <c r="F86" s="633"/>
    </row>
    <row r="87" spans="2:6" ht="18" x14ac:dyDescent="0.3">
      <c r="B87" s="637"/>
      <c r="C87" s="688"/>
      <c r="D87" s="688"/>
      <c r="E87" s="636"/>
      <c r="F87" s="638"/>
    </row>
    <row r="88" spans="2:6" ht="18" x14ac:dyDescent="0.3">
      <c r="B88" s="633"/>
      <c r="C88" s="697"/>
      <c r="D88" s="697"/>
      <c r="E88" s="633"/>
      <c r="F88" s="633"/>
    </row>
    <row r="89" spans="2:6" ht="18" x14ac:dyDescent="0.3">
      <c r="B89" s="389"/>
      <c r="C89" s="696"/>
      <c r="D89" s="696"/>
      <c r="E89" s="373"/>
      <c r="F89" s="373"/>
    </row>
    <row r="90" spans="2:6" ht="21" x14ac:dyDescent="0.3">
      <c r="B90" s="694"/>
      <c r="C90" s="694"/>
      <c r="D90" s="694"/>
      <c r="E90" s="694"/>
      <c r="F90" s="694"/>
    </row>
    <row r="91" spans="2:6" ht="18" x14ac:dyDescent="0.3">
      <c r="B91" s="632"/>
      <c r="C91" s="633"/>
      <c r="D91" s="633"/>
      <c r="E91" s="633"/>
      <c r="F91" s="633"/>
    </row>
    <row r="92" spans="2:6" ht="18" x14ac:dyDescent="0.3">
      <c r="B92" s="634"/>
      <c r="C92" s="635"/>
      <c r="D92" s="636"/>
      <c r="E92" s="636"/>
      <c r="F92" s="389"/>
    </row>
    <row r="93" spans="2:6" ht="18" x14ac:dyDescent="0.3">
      <c r="B93" s="633"/>
      <c r="C93" s="695"/>
      <c r="D93" s="695"/>
      <c r="E93" s="633"/>
      <c r="F93" s="633"/>
    </row>
    <row r="94" spans="2:6" ht="18" x14ac:dyDescent="0.3">
      <c r="B94" s="637"/>
      <c r="C94" s="688"/>
      <c r="D94" s="688"/>
      <c r="E94" s="636"/>
      <c r="F94" s="638"/>
    </row>
    <row r="95" spans="2:6" ht="18" x14ac:dyDescent="0.3">
      <c r="B95" s="633"/>
      <c r="C95" s="697"/>
      <c r="D95" s="697"/>
      <c r="E95" s="633"/>
      <c r="F95" s="633"/>
    </row>
    <row r="96" spans="2:6" ht="18" x14ac:dyDescent="0.3">
      <c r="B96" s="389"/>
      <c r="C96" s="696"/>
      <c r="D96" s="696"/>
      <c r="E96" s="373"/>
      <c r="F96" s="373"/>
    </row>
    <row r="97" spans="2:6" ht="21" x14ac:dyDescent="0.3">
      <c r="B97" s="694"/>
      <c r="C97" s="694"/>
      <c r="D97" s="694"/>
      <c r="E97" s="694"/>
      <c r="F97" s="694"/>
    </row>
    <row r="98" spans="2:6" ht="18" x14ac:dyDescent="0.3">
      <c r="B98" s="632"/>
      <c r="C98" s="633"/>
      <c r="D98" s="633"/>
      <c r="E98" s="633"/>
      <c r="F98" s="633"/>
    </row>
    <row r="99" spans="2:6" ht="18" x14ac:dyDescent="0.3">
      <c r="B99" s="634"/>
      <c r="C99" s="635"/>
      <c r="D99" s="636"/>
      <c r="E99" s="636"/>
      <c r="F99" s="389"/>
    </row>
    <row r="100" spans="2:6" ht="18" x14ac:dyDescent="0.3">
      <c r="B100" s="633"/>
      <c r="C100" s="695"/>
      <c r="D100" s="695"/>
      <c r="E100" s="633"/>
      <c r="F100" s="633"/>
    </row>
    <row r="101" spans="2:6" ht="18" x14ac:dyDescent="0.3">
      <c r="B101" s="637"/>
      <c r="C101" s="688"/>
      <c r="D101" s="688"/>
      <c r="E101" s="636"/>
      <c r="F101" s="638"/>
    </row>
    <row r="102" spans="2:6" ht="18" x14ac:dyDescent="0.3">
      <c r="B102" s="633"/>
      <c r="C102" s="697"/>
      <c r="D102" s="697"/>
      <c r="E102" s="633"/>
      <c r="F102" s="633"/>
    </row>
    <row r="103" spans="2:6" ht="18" x14ac:dyDescent="0.3">
      <c r="B103" s="389"/>
      <c r="C103" s="696"/>
      <c r="D103" s="696"/>
      <c r="E103" s="373"/>
      <c r="F103" s="373"/>
    </row>
    <row r="104" spans="2:6" ht="21" x14ac:dyDescent="0.3">
      <c r="B104" s="694"/>
      <c r="C104" s="694"/>
      <c r="D104" s="694"/>
      <c r="E104" s="694"/>
      <c r="F104" s="694"/>
    </row>
    <row r="105" spans="2:6" ht="18" x14ac:dyDescent="0.3">
      <c r="B105" s="632"/>
      <c r="C105" s="633"/>
      <c r="D105" s="633"/>
      <c r="E105" s="633"/>
      <c r="F105" s="633"/>
    </row>
    <row r="106" spans="2:6" ht="18" x14ac:dyDescent="0.3">
      <c r="B106" s="634"/>
      <c r="C106" s="635"/>
      <c r="D106" s="636"/>
      <c r="E106" s="636"/>
      <c r="F106" s="389"/>
    </row>
    <row r="107" spans="2:6" ht="18" x14ac:dyDescent="0.3">
      <c r="B107" s="633"/>
      <c r="C107" s="695"/>
      <c r="D107" s="695"/>
      <c r="E107" s="633"/>
      <c r="F107" s="633"/>
    </row>
    <row r="108" spans="2:6" ht="18" x14ac:dyDescent="0.3">
      <c r="B108" s="637"/>
      <c r="C108" s="688"/>
      <c r="D108" s="688"/>
      <c r="E108" s="636"/>
      <c r="F108" s="638"/>
    </row>
    <row r="109" spans="2:6" ht="18" x14ac:dyDescent="0.3">
      <c r="B109" s="633"/>
      <c r="C109" s="697"/>
      <c r="D109" s="697"/>
      <c r="E109" s="633"/>
      <c r="F109" s="633"/>
    </row>
    <row r="110" spans="2:6" ht="18" x14ac:dyDescent="0.3">
      <c r="B110" s="389"/>
      <c r="C110" s="696"/>
      <c r="D110" s="696"/>
      <c r="E110" s="373"/>
      <c r="F110" s="373"/>
    </row>
    <row r="111" spans="2:6" ht="21" x14ac:dyDescent="0.3">
      <c r="B111" s="694"/>
      <c r="C111" s="694"/>
      <c r="D111" s="694"/>
      <c r="E111" s="694"/>
      <c r="F111" s="694"/>
    </row>
    <row r="112" spans="2:6" ht="18" x14ac:dyDescent="0.3">
      <c r="B112" s="632"/>
      <c r="C112" s="633"/>
      <c r="D112" s="633"/>
      <c r="E112" s="633"/>
      <c r="F112" s="633"/>
    </row>
    <row r="113" spans="2:6" ht="18" x14ac:dyDescent="0.3">
      <c r="B113" s="634"/>
      <c r="C113" s="635"/>
      <c r="D113" s="636"/>
      <c r="E113" s="636"/>
      <c r="F113" s="389"/>
    </row>
    <row r="114" spans="2:6" ht="18" x14ac:dyDescent="0.3">
      <c r="B114" s="633"/>
      <c r="C114" s="695"/>
      <c r="D114" s="695"/>
      <c r="E114" s="633"/>
      <c r="F114" s="633"/>
    </row>
    <row r="115" spans="2:6" ht="18" x14ac:dyDescent="0.3">
      <c r="B115" s="637"/>
      <c r="C115" s="688"/>
      <c r="D115" s="688"/>
      <c r="E115" s="636"/>
      <c r="F115" s="638"/>
    </row>
    <row r="116" spans="2:6" ht="18" x14ac:dyDescent="0.3">
      <c r="B116" s="633"/>
      <c r="C116" s="697"/>
      <c r="D116" s="697"/>
      <c r="E116" s="633"/>
      <c r="F116" s="633"/>
    </row>
    <row r="117" spans="2:6" ht="18" x14ac:dyDescent="0.3">
      <c r="B117" s="389"/>
      <c r="C117" s="696"/>
      <c r="D117" s="696"/>
      <c r="E117" s="373"/>
      <c r="F117" s="373"/>
    </row>
    <row r="118" spans="2:6" ht="21" x14ac:dyDescent="0.3">
      <c r="B118" s="694"/>
      <c r="C118" s="694"/>
      <c r="D118" s="694"/>
      <c r="E118" s="694"/>
      <c r="F118" s="694"/>
    </row>
    <row r="119" spans="2:6" ht="18" x14ac:dyDescent="0.3">
      <c r="B119" s="632"/>
      <c r="C119" s="633"/>
      <c r="D119" s="633"/>
      <c r="E119" s="633"/>
      <c r="F119" s="633"/>
    </row>
    <row r="120" spans="2:6" ht="18" x14ac:dyDescent="0.3">
      <c r="B120" s="634"/>
      <c r="C120" s="635"/>
      <c r="D120" s="636"/>
      <c r="E120" s="636"/>
      <c r="F120" s="389"/>
    </row>
    <row r="121" spans="2:6" ht="18" x14ac:dyDescent="0.3">
      <c r="B121" s="633"/>
      <c r="C121" s="695"/>
      <c r="D121" s="695"/>
      <c r="E121" s="633"/>
      <c r="F121" s="633"/>
    </row>
    <row r="122" spans="2:6" ht="18" x14ac:dyDescent="0.3">
      <c r="B122" s="637"/>
      <c r="C122" s="688"/>
      <c r="D122" s="688"/>
      <c r="E122" s="636"/>
      <c r="F122" s="638"/>
    </row>
    <row r="123" spans="2:6" ht="18" x14ac:dyDescent="0.3">
      <c r="B123" s="633"/>
      <c r="C123" s="697"/>
      <c r="D123" s="697"/>
      <c r="E123" s="633"/>
      <c r="F123" s="633"/>
    </row>
    <row r="124" spans="2:6" ht="18" x14ac:dyDescent="0.3">
      <c r="B124" s="389"/>
      <c r="C124" s="696"/>
      <c r="D124" s="696"/>
      <c r="E124" s="373"/>
      <c r="F124" s="373"/>
    </row>
    <row r="125" spans="2:6" ht="21" x14ac:dyDescent="0.3">
      <c r="B125" s="694"/>
      <c r="C125" s="694"/>
      <c r="D125" s="694"/>
      <c r="E125" s="694"/>
      <c r="F125" s="694"/>
    </row>
    <row r="126" spans="2:6" ht="18" x14ac:dyDescent="0.3">
      <c r="B126" s="632"/>
      <c r="C126" s="633"/>
      <c r="D126" s="633"/>
      <c r="E126" s="633"/>
      <c r="F126" s="633"/>
    </row>
    <row r="127" spans="2:6" ht="18" x14ac:dyDescent="0.3">
      <c r="B127" s="634"/>
      <c r="C127" s="635"/>
      <c r="D127" s="636"/>
      <c r="E127" s="639"/>
      <c r="F127" s="389"/>
    </row>
    <row r="128" spans="2:6" ht="18" x14ac:dyDescent="0.3">
      <c r="B128" s="697"/>
      <c r="C128" s="697"/>
      <c r="D128" s="697"/>
      <c r="E128" s="697"/>
      <c r="F128" s="697"/>
    </row>
    <row r="129" spans="2:6" ht="18" x14ac:dyDescent="0.3">
      <c r="B129" s="698"/>
      <c r="C129" s="699"/>
      <c r="D129" s="699"/>
      <c r="E129" s="700"/>
      <c r="F129" s="700"/>
    </row>
    <row r="130" spans="2:6" ht="21" x14ac:dyDescent="0.3">
      <c r="B130" s="694"/>
      <c r="C130" s="694"/>
      <c r="D130" s="694"/>
      <c r="E130" s="694"/>
      <c r="F130" s="694"/>
    </row>
    <row r="131" spans="2:6" ht="18" x14ac:dyDescent="0.3">
      <c r="B131" s="632"/>
      <c r="C131" s="633"/>
      <c r="D131" s="633"/>
      <c r="E131" s="633"/>
      <c r="F131" s="633"/>
    </row>
    <row r="132" spans="2:6" ht="18" x14ac:dyDescent="0.3">
      <c r="B132" s="634"/>
      <c r="C132" s="635"/>
      <c r="D132" s="636"/>
      <c r="E132" s="639"/>
      <c r="F132" s="389"/>
    </row>
    <row r="133" spans="2:6" ht="18" x14ac:dyDescent="0.3">
      <c r="B133" s="697"/>
      <c r="C133" s="697"/>
      <c r="D133" s="697"/>
      <c r="E133" s="697"/>
      <c r="F133" s="697"/>
    </row>
    <row r="134" spans="2:6" ht="18" x14ac:dyDescent="0.3">
      <c r="B134" s="698"/>
      <c r="C134" s="699"/>
      <c r="D134" s="699"/>
      <c r="E134" s="700"/>
      <c r="F134" s="700"/>
    </row>
    <row r="135" spans="2:6" ht="21" x14ac:dyDescent="0.3">
      <c r="B135" s="694"/>
      <c r="C135" s="694"/>
      <c r="D135" s="694"/>
      <c r="E135" s="694"/>
      <c r="F135" s="694"/>
    </row>
    <row r="136" spans="2:6" ht="18" x14ac:dyDescent="0.3">
      <c r="B136" s="632"/>
      <c r="C136" s="633"/>
      <c r="D136" s="633"/>
      <c r="E136" s="633"/>
      <c r="F136" s="633"/>
    </row>
    <row r="137" spans="2:6" ht="18" x14ac:dyDescent="0.3">
      <c r="B137" s="634"/>
      <c r="C137" s="635"/>
      <c r="D137" s="636"/>
      <c r="E137" s="639"/>
      <c r="F137" s="389"/>
    </row>
    <row r="138" spans="2:6" ht="18" x14ac:dyDescent="0.3">
      <c r="B138" s="697"/>
      <c r="C138" s="697"/>
      <c r="D138" s="697"/>
      <c r="E138" s="697"/>
      <c r="F138" s="697"/>
    </row>
    <row r="139" spans="2:6" ht="18" x14ac:dyDescent="0.3">
      <c r="B139" s="698"/>
      <c r="C139" s="699"/>
      <c r="D139" s="699"/>
      <c r="E139" s="700"/>
      <c r="F139" s="700"/>
    </row>
  </sheetData>
  <protectedRanges>
    <protectedRange sqref="B7:D7 B15:D15 C17 F17 F19 B23:D23 C25 F25 F27 B31:D31 B39:D39 C41 F41 F43 B47:D47 C49 F49 F51 B55:D55 C57 F57 F59 B63:D63 C65 F65 F67 C9 F9 F11 C33 F33 F35:F36" name="Intervalo1"/>
  </protectedRanges>
  <mergeCells count="97">
    <mergeCell ref="B138:D138"/>
    <mergeCell ref="E138:F138"/>
    <mergeCell ref="B139:D139"/>
    <mergeCell ref="E139:F139"/>
    <mergeCell ref="B130:F130"/>
    <mergeCell ref="B133:D133"/>
    <mergeCell ref="E133:F133"/>
    <mergeCell ref="B134:D134"/>
    <mergeCell ref="E134:F134"/>
    <mergeCell ref="B135:F135"/>
    <mergeCell ref="C124:D124"/>
    <mergeCell ref="B125:F125"/>
    <mergeCell ref="B128:D128"/>
    <mergeCell ref="E128:F128"/>
    <mergeCell ref="B129:D129"/>
    <mergeCell ref="E129:F129"/>
    <mergeCell ref="C123:D123"/>
    <mergeCell ref="C108:D108"/>
    <mergeCell ref="C109:D109"/>
    <mergeCell ref="C110:D110"/>
    <mergeCell ref="B111:F111"/>
    <mergeCell ref="C114:D114"/>
    <mergeCell ref="C115:D115"/>
    <mergeCell ref="C116:D116"/>
    <mergeCell ref="C117:D117"/>
    <mergeCell ref="B118:F118"/>
    <mergeCell ref="C121:D121"/>
    <mergeCell ref="C122:D122"/>
    <mergeCell ref="C107:D107"/>
    <mergeCell ref="B90:F90"/>
    <mergeCell ref="C93:D93"/>
    <mergeCell ref="C94:D94"/>
    <mergeCell ref="C95:D95"/>
    <mergeCell ref="C96:D96"/>
    <mergeCell ref="B97:F97"/>
    <mergeCell ref="C100:D100"/>
    <mergeCell ref="C101:D101"/>
    <mergeCell ref="C102:D102"/>
    <mergeCell ref="C103:D103"/>
    <mergeCell ref="B104:F104"/>
    <mergeCell ref="C89:D89"/>
    <mergeCell ref="C74:D74"/>
    <mergeCell ref="C75:D75"/>
    <mergeCell ref="B76:F76"/>
    <mergeCell ref="C79:D79"/>
    <mergeCell ref="C80:D80"/>
    <mergeCell ref="C81:D81"/>
    <mergeCell ref="C82:D82"/>
    <mergeCell ref="B83:F83"/>
    <mergeCell ref="C86:D86"/>
    <mergeCell ref="C87:D87"/>
    <mergeCell ref="C88:D88"/>
    <mergeCell ref="C73:D73"/>
    <mergeCell ref="C56:D56"/>
    <mergeCell ref="C57:D57"/>
    <mergeCell ref="C58:D58"/>
    <mergeCell ref="C59:D59"/>
    <mergeCell ref="B61:F61"/>
    <mergeCell ref="C64:D64"/>
    <mergeCell ref="C65:D65"/>
    <mergeCell ref="C66:D66"/>
    <mergeCell ref="C67:D67"/>
    <mergeCell ref="B69:F69"/>
    <mergeCell ref="C72:D72"/>
    <mergeCell ref="C34:D34"/>
    <mergeCell ref="B53:F53"/>
    <mergeCell ref="B37:F37"/>
    <mergeCell ref="C40:D40"/>
    <mergeCell ref="C41:D41"/>
    <mergeCell ref="C42:D42"/>
    <mergeCell ref="C43:D43"/>
    <mergeCell ref="B45:F45"/>
    <mergeCell ref="C48:D48"/>
    <mergeCell ref="C49:D49"/>
    <mergeCell ref="C50:D50"/>
    <mergeCell ref="C51:D51"/>
    <mergeCell ref="C35:D35"/>
    <mergeCell ref="C26:D26"/>
    <mergeCell ref="C27:D27"/>
    <mergeCell ref="B29:F29"/>
    <mergeCell ref="C32:D32"/>
    <mergeCell ref="C33:D33"/>
    <mergeCell ref="C18:D18"/>
    <mergeCell ref="C19:D19"/>
    <mergeCell ref="B21:F21"/>
    <mergeCell ref="C24:D24"/>
    <mergeCell ref="C25:D25"/>
    <mergeCell ref="C10:D10"/>
    <mergeCell ref="C11:D11"/>
    <mergeCell ref="B13:F13"/>
    <mergeCell ref="C16:D16"/>
    <mergeCell ref="C17:D17"/>
    <mergeCell ref="C2:E2"/>
    <mergeCell ref="B4:F4"/>
    <mergeCell ref="B5:F5"/>
    <mergeCell ref="C8:D8"/>
    <mergeCell ref="C9:D9"/>
  </mergeCells>
  <hyperlinks>
    <hyperlink ref="A2" location="Menu!A1" display="Menu" xr:uid="{00000000-0004-0000-0300-000000000000}"/>
  </hyperlinks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FF00"/>
  </sheetPr>
  <dimension ref="A1:K107"/>
  <sheetViews>
    <sheetView workbookViewId="0">
      <selection activeCell="D47" sqref="D47"/>
    </sheetView>
  </sheetViews>
  <sheetFormatPr defaultColWidth="9.109375" defaultRowHeight="14.4" x14ac:dyDescent="0.3"/>
  <cols>
    <col min="1" max="1" width="11.88671875" style="37" bestFit="1" customWidth="1"/>
    <col min="2" max="2" width="24.88671875" style="37" bestFit="1" customWidth="1"/>
    <col min="3" max="3" width="11.88671875" style="37" bestFit="1" customWidth="1"/>
    <col min="4" max="4" width="15.109375" style="37" bestFit="1" customWidth="1"/>
    <col min="5" max="5" width="9.109375" style="37"/>
    <col min="6" max="6" width="24.109375" style="37" bestFit="1" customWidth="1"/>
    <col min="7" max="7" width="11.88671875" style="37" bestFit="1" customWidth="1"/>
    <col min="8" max="8" width="9.109375" style="37"/>
    <col min="9" max="9" width="13.6640625" style="37" bestFit="1" customWidth="1"/>
    <col min="10" max="16384" width="9.109375" style="37"/>
  </cols>
  <sheetData>
    <row r="1" spans="1:11" ht="15" thickBot="1" x14ac:dyDescent="0.35"/>
    <row r="2" spans="1:11" ht="29.4" thickBot="1" x14ac:dyDescent="0.55000000000000004">
      <c r="A2" s="561" t="s">
        <v>110</v>
      </c>
      <c r="C2" s="670" t="s">
        <v>150</v>
      </c>
      <c r="D2" s="670"/>
      <c r="E2" s="670"/>
      <c r="F2" s="670"/>
      <c r="G2" s="670"/>
      <c r="H2" s="670"/>
      <c r="I2" s="670"/>
      <c r="J2" s="670"/>
      <c r="K2" s="670"/>
    </row>
    <row r="6" spans="1:11" ht="21" x14ac:dyDescent="0.4">
      <c r="E6" s="563" t="s">
        <v>76</v>
      </c>
    </row>
    <row r="7" spans="1:11" ht="15" thickBot="1" x14ac:dyDescent="0.35"/>
    <row r="8" spans="1:11" ht="15" thickBot="1" x14ac:dyDescent="0.35">
      <c r="B8" s="215" t="s">
        <v>104</v>
      </c>
      <c r="C8" s="215" t="s">
        <v>107</v>
      </c>
      <c r="D8" s="564" t="s">
        <v>108</v>
      </c>
      <c r="F8" s="216" t="s">
        <v>104</v>
      </c>
      <c r="G8" s="216" t="s">
        <v>156</v>
      </c>
      <c r="H8" s="216"/>
      <c r="I8" s="596" t="s">
        <v>155</v>
      </c>
    </row>
    <row r="9" spans="1:11" x14ac:dyDescent="0.3">
      <c r="B9" s="145" t="s">
        <v>0</v>
      </c>
      <c r="C9" s="148">
        <f ca="1">G9/'Peças por Hora Galvanoplastia'!B11</f>
        <v>0</v>
      </c>
      <c r="D9" s="584">
        <f>I9/'Peças por Hora Galvanoplastia'!B11</f>
        <v>3.5528093434343433E-2</v>
      </c>
      <c r="F9" s="166" t="s">
        <v>0</v>
      </c>
      <c r="G9" s="151">
        <f ca="1">IF(H9=1,HLOOKUP(E6,'Resumo de Custo'!DS7:ED27,2,0),0)</f>
        <v>0</v>
      </c>
      <c r="H9" s="152">
        <v>1</v>
      </c>
      <c r="I9" s="567">
        <f>IF(H9=1,HLOOKUP(E6,'Resumo de Custo'!EF7:EQ28,2,0),0)</f>
        <v>18.271590909090911</v>
      </c>
    </row>
    <row r="10" spans="1:11" x14ac:dyDescent="0.3">
      <c r="B10" s="145" t="s">
        <v>111</v>
      </c>
      <c r="C10" s="148">
        <f ca="1">G10/'Peças por Hora Galvanoplastia'!B19</f>
        <v>0</v>
      </c>
      <c r="D10" s="584">
        <f>I10/'Peças por Hora Galvanoplastia'!B19</f>
        <v>0.74305353593819712</v>
      </c>
      <c r="F10" s="159" t="s">
        <v>111</v>
      </c>
      <c r="G10" s="153">
        <f ca="1">IF(H10=1,HLOOKUP(E6,'Resumo de Custo'!DS7:ED29,3,0),0)</f>
        <v>0</v>
      </c>
      <c r="H10" s="154">
        <v>1</v>
      </c>
      <c r="I10" s="569">
        <f>IF(H10=1,HLOOKUP(E6,'Resumo de Custo'!EF7:EQ28,3,0),0)</f>
        <v>63.497590909090903</v>
      </c>
    </row>
    <row r="11" spans="1:11" x14ac:dyDescent="0.3">
      <c r="B11" s="145" t="s">
        <v>10</v>
      </c>
      <c r="C11" s="148">
        <f ca="1">G11/'Peças por Hora Galvanoplastia'!B27</f>
        <v>0</v>
      </c>
      <c r="D11" s="597">
        <f>I11/'Peças por Hora Galvanoplastia'!B27</f>
        <v>1.3623049880479896</v>
      </c>
      <c r="F11" s="159" t="s">
        <v>10</v>
      </c>
      <c r="G11" s="153">
        <f ca="1">IF(H11=1,HLOOKUP(E6,'Resumo de Custo'!DS7:ED26,5,0),0)</f>
        <v>0</v>
      </c>
      <c r="H11" s="154">
        <v>1</v>
      </c>
      <c r="I11" s="569">
        <f>IF(H11=1,HLOOKUP(E6,'Resumo de Custo'!EF7:EQ26,5,0),0)</f>
        <v>116.94799999999999</v>
      </c>
    </row>
    <row r="12" spans="1:11" x14ac:dyDescent="0.3">
      <c r="B12" s="145" t="s">
        <v>11</v>
      </c>
      <c r="C12" s="148">
        <f ca="1">G12/'Peças por Hora Galvanoplastia'!B35</f>
        <v>0</v>
      </c>
      <c r="D12" s="597">
        <f>I12/'Peças por Hora Galvanoplastia'!B35</f>
        <v>5.130681818181817E-4</v>
      </c>
      <c r="F12" s="159" t="s">
        <v>11</v>
      </c>
      <c r="G12" s="153">
        <f ca="1">IF(H12=1,HLOOKUP(E6,'Resumo de Custo'!DS7:ED28,6,0),0)</f>
        <v>0</v>
      </c>
      <c r="H12" s="154">
        <v>1</v>
      </c>
      <c r="I12" s="569">
        <f>IF(H12=1,HLOOKUP(E6,'Resumo de Custo'!EF7:EQ28,6,0),0)</f>
        <v>0.26386363636363636</v>
      </c>
    </row>
    <row r="13" spans="1:11" x14ac:dyDescent="0.3">
      <c r="B13" s="145" t="s">
        <v>51</v>
      </c>
      <c r="C13" s="148">
        <f ca="1">G13/'Peças por Hora Galvanoplastia'!B42</f>
        <v>0</v>
      </c>
      <c r="D13" s="597">
        <f>I13/'Peças por Hora Galvanoplastia'!B42</f>
        <v>2.0131658453465127</v>
      </c>
      <c r="F13" s="159" t="s">
        <v>51</v>
      </c>
      <c r="G13" s="153">
        <f ca="1">IF(H13=1,HLOOKUP(E6,'Resumo de Custo'!DS7:ED28,7,0),0)</f>
        <v>0</v>
      </c>
      <c r="H13" s="155">
        <v>1</v>
      </c>
      <c r="I13" s="569">
        <f>IF(H13=1,HLOOKUP(E6,'Resumo de Custo'!EF7:EQ26,7,0),0)</f>
        <v>172.03495454545455</v>
      </c>
    </row>
    <row r="14" spans="1:11" x14ac:dyDescent="0.3">
      <c r="B14" s="149" t="s">
        <v>52</v>
      </c>
      <c r="C14" s="148">
        <f ca="1">G14/'Peças por Hora Galvanoplastia'!B50</f>
        <v>0</v>
      </c>
      <c r="D14" s="597">
        <f>I14/'Peças por Hora Galvanoplastia'!B50</f>
        <v>1.5840912618835414</v>
      </c>
      <c r="F14" s="159" t="s">
        <v>52</v>
      </c>
      <c r="G14" s="156">
        <f ca="1">IF(H14=1,HLOOKUP(E6,'Resumo de Custo'!DS7:ED28,9,0),0)</f>
        <v>0</v>
      </c>
      <c r="H14" s="155">
        <v>1</v>
      </c>
      <c r="I14" s="569">
        <f>IF(H14=1,HLOOKUP(E6,'Resumo de Custo'!EF7:EQ29,9,0),0)</f>
        <v>135.35686363636367</v>
      </c>
    </row>
    <row r="15" spans="1:11" x14ac:dyDescent="0.3">
      <c r="B15" s="149" t="s">
        <v>53</v>
      </c>
      <c r="C15" s="148">
        <f ca="1">G15/'Peças por Hora Galvanoplastia'!B50</f>
        <v>0</v>
      </c>
      <c r="D15" s="598">
        <f>I15/'Peças por Hora Galvanoplastia'!B50</f>
        <v>1.5958735966475901E-4</v>
      </c>
      <c r="F15" s="159" t="s">
        <v>53</v>
      </c>
      <c r="G15" s="156">
        <f ca="1">IF(H15=1,HLOOKUP(E6,'Resumo de Custo'!DS7:ED28,20,0),0)</f>
        <v>0</v>
      </c>
      <c r="H15" s="155">
        <v>1</v>
      </c>
      <c r="I15" s="569">
        <f>IF(H15=1,HLOOKUP(E6,'Resumo de Custo'!EF7:EQ28,20,0),0)</f>
        <v>1.3636363636363636E-2</v>
      </c>
    </row>
    <row r="16" spans="1:11" x14ac:dyDescent="0.3">
      <c r="B16" s="149"/>
      <c r="C16" s="148"/>
      <c r="D16" s="571"/>
      <c r="F16" s="159"/>
      <c r="G16" s="156"/>
      <c r="H16" s="155"/>
      <c r="I16" s="569"/>
    </row>
    <row r="17" spans="2:9" ht="15" thickBot="1" x14ac:dyDescent="0.35">
      <c r="B17" s="149"/>
      <c r="C17" s="148"/>
      <c r="D17" s="571"/>
      <c r="F17" s="159"/>
      <c r="G17" s="156"/>
      <c r="H17" s="155"/>
      <c r="I17" s="569"/>
    </row>
    <row r="18" spans="2:9" ht="15" thickBot="1" x14ac:dyDescent="0.35">
      <c r="B18" s="149"/>
      <c r="C18" s="150"/>
      <c r="D18" s="571"/>
      <c r="F18" s="162" t="s">
        <v>8</v>
      </c>
      <c r="G18" s="158">
        <f ca="1">SUM(G9:G17)</f>
        <v>0</v>
      </c>
      <c r="H18" s="103"/>
      <c r="I18" s="573">
        <f>SUM(I9:I17)</f>
        <v>506.38649999999996</v>
      </c>
    </row>
    <row r="19" spans="2:9" x14ac:dyDescent="0.3">
      <c r="B19" s="149"/>
      <c r="C19" s="147"/>
      <c r="D19" s="571"/>
    </row>
    <row r="20" spans="2:9" x14ac:dyDescent="0.3">
      <c r="B20" s="145" t="s">
        <v>8</v>
      </c>
      <c r="C20" s="148">
        <f ca="1">SUM(C9:C19)</f>
        <v>0</v>
      </c>
      <c r="D20" s="600">
        <f>SUM(D9:D19)</f>
        <v>5.7388163801920671</v>
      </c>
    </row>
    <row r="22" spans="2:9" ht="15" thickBot="1" x14ac:dyDescent="0.35"/>
    <row r="23" spans="2:9" ht="15" thickBot="1" x14ac:dyDescent="0.35">
      <c r="B23" s="215" t="s">
        <v>112</v>
      </c>
      <c r="C23" s="215" t="s">
        <v>107</v>
      </c>
      <c r="D23" s="564" t="s">
        <v>108</v>
      </c>
      <c r="F23" s="216" t="s">
        <v>112</v>
      </c>
      <c r="G23" s="216" t="s">
        <v>156</v>
      </c>
      <c r="H23" s="216"/>
      <c r="I23" s="596" t="s">
        <v>155</v>
      </c>
    </row>
    <row r="24" spans="2:9" x14ac:dyDescent="0.3">
      <c r="B24" s="145" t="s">
        <v>0</v>
      </c>
      <c r="C24" s="148">
        <f ca="1">G24/'Peças por Hora Galvanoplastia'!B11</f>
        <v>0</v>
      </c>
      <c r="D24" s="584">
        <f>I24/'Peças por Hora Galvanoplastia'!B11</f>
        <v>3.5528093434343433E-2</v>
      </c>
      <c r="F24" s="166" t="s">
        <v>0</v>
      </c>
      <c r="G24" s="151">
        <f ca="1">IF(H24=1,HLOOKUP(E6,'Resumo de Custo'!DS7:ED29,2,0),0)</f>
        <v>0</v>
      </c>
      <c r="H24" s="152">
        <v>1</v>
      </c>
      <c r="I24" s="567">
        <f>IF(H24=1,HLOOKUP(E6,'Resumo de Custo'!EF7:EQ29,2,0),0)</f>
        <v>18.271590909090911</v>
      </c>
    </row>
    <row r="25" spans="2:9" x14ac:dyDescent="0.3">
      <c r="B25" s="145" t="s">
        <v>50</v>
      </c>
      <c r="C25" s="148">
        <f ca="1">G25/'Peças por Hora Galvanoplastia'!B58</f>
        <v>0</v>
      </c>
      <c r="D25" s="584">
        <f>I25/'Peças por Hora Galvanoplastia'!B58</f>
        <v>0.3404473823935435</v>
      </c>
      <c r="F25" s="159" t="s">
        <v>50</v>
      </c>
      <c r="G25" s="153">
        <f ca="1">IF(H25=1,HLOOKUP(E6,'Resumo de Custo'!DS7:ED26,4,0),0)</f>
        <v>0</v>
      </c>
      <c r="H25" s="155">
        <v>1</v>
      </c>
      <c r="I25" s="569">
        <f>IF(H25=1,HLOOKUP(E6,'Resumo de Custo'!EF7:EQ29,4,0),0)</f>
        <v>34.847749999999998</v>
      </c>
    </row>
    <row r="26" spans="2:9" x14ac:dyDescent="0.3">
      <c r="B26" s="145" t="s">
        <v>10</v>
      </c>
      <c r="C26" s="148">
        <f ca="1">G26/'Peças por Hora Galvanoplastia'!B27</f>
        <v>0</v>
      </c>
      <c r="D26" s="584">
        <f>I26/'Peças por Hora Galvanoplastia'!B27</f>
        <v>1.3623049880479896</v>
      </c>
      <c r="F26" s="159" t="s">
        <v>10</v>
      </c>
      <c r="G26" s="156">
        <f ca="1">IF(H26=1,HLOOKUP(E6,'Resumo de Custo'!DS7:ED29,5,0),0)</f>
        <v>0</v>
      </c>
      <c r="H26" s="155">
        <v>1</v>
      </c>
      <c r="I26" s="569">
        <f>IF(H26=1,HLOOKUP(E6,'Resumo de Custo'!EF7:EQ29,5,0),0)</f>
        <v>116.94799999999999</v>
      </c>
    </row>
    <row r="27" spans="2:9" x14ac:dyDescent="0.3">
      <c r="B27" s="145" t="s">
        <v>11</v>
      </c>
      <c r="C27" s="148">
        <f ca="1">G27/'Peças por Hora Galvanoplastia'!B35</f>
        <v>0</v>
      </c>
      <c r="D27" s="575">
        <f>I27/'Peças por Hora Galvanoplastia'!B35</f>
        <v>5.130681818181817E-4</v>
      </c>
      <c r="F27" s="159" t="s">
        <v>11</v>
      </c>
      <c r="G27" s="156">
        <f ca="1">IF(H27=1,HLOOKUP(E6,'Resumo de Custo'!DS7:ED29,6,0),0)</f>
        <v>0</v>
      </c>
      <c r="H27" s="155">
        <v>1</v>
      </c>
      <c r="I27" s="569">
        <f>IF(H27=1,HLOOKUP(E6,'Resumo de Custo'!EF7:EQ29,6,0),0)</f>
        <v>0.26386363636363636</v>
      </c>
    </row>
    <row r="28" spans="2:9" x14ac:dyDescent="0.3">
      <c r="B28" s="145" t="s">
        <v>51</v>
      </c>
      <c r="C28" s="148">
        <f ca="1">G28/'Peças por Hora Galvanoplastia'!B42</f>
        <v>0</v>
      </c>
      <c r="D28" s="584">
        <f>I28/'Peças por Hora Galvanoplastia'!B42</f>
        <v>2.0131658453465127</v>
      </c>
      <c r="F28" s="159" t="s">
        <v>51</v>
      </c>
      <c r="G28" s="156">
        <f ca="1">IF(H28=1,HLOOKUP(E6,'Resumo de Custo'!DS7:ED29,7,0),0)</f>
        <v>0</v>
      </c>
      <c r="H28" s="155">
        <v>1</v>
      </c>
      <c r="I28" s="569">
        <f>IF(H28=1,HLOOKUP(E6,'Resumo de Custo'!EF7:EQ29,7,0),0)</f>
        <v>172.03495454545455</v>
      </c>
    </row>
    <row r="29" spans="2:9" x14ac:dyDescent="0.3">
      <c r="B29" s="149" t="s">
        <v>52</v>
      </c>
      <c r="C29" s="148">
        <f ca="1">G29/'Peças por Hora Galvanoplastia'!B50</f>
        <v>0</v>
      </c>
      <c r="D29" s="597">
        <f>I29/'Peças por Hora Galvanoplastia'!B50</f>
        <v>1.5840912618835414</v>
      </c>
      <c r="F29" s="167" t="s">
        <v>52</v>
      </c>
      <c r="G29" s="156">
        <f ca="1">IF(H29=1,HLOOKUP(E6,'Resumo de Custo'!DS7:ED29,9,0),0)</f>
        <v>0</v>
      </c>
      <c r="H29" s="155">
        <v>1</v>
      </c>
      <c r="I29" s="569">
        <f>IF(H29=1,HLOOKUP(E6,'Resumo de Custo'!EF7:EQ29,9,0),0)</f>
        <v>135.35686363636367</v>
      </c>
    </row>
    <row r="30" spans="2:9" x14ac:dyDescent="0.3">
      <c r="B30" s="149" t="s">
        <v>53</v>
      </c>
      <c r="C30" s="148">
        <f ca="1">G30/'Peças por Hora Galvanoplastia'!B50</f>
        <v>0</v>
      </c>
      <c r="D30" s="598">
        <f>I30/'Peças por Hora Galvanoplastia'!B50</f>
        <v>1.5958735966475901E-4</v>
      </c>
      <c r="F30" s="212" t="s">
        <v>53</v>
      </c>
      <c r="G30" s="156">
        <f ca="1">IF(H30=1,HLOOKUP(E6,'Resumo de Custo'!DS7:ED29,20,0),0)</f>
        <v>0</v>
      </c>
      <c r="H30" s="213">
        <v>1</v>
      </c>
      <c r="I30" s="599">
        <f>IF(H30=1,HLOOKUP(E6,'Resumo de Custo'!EF7:EQ29,20,0),0)</f>
        <v>1.3636363636363636E-2</v>
      </c>
    </row>
    <row r="31" spans="2:9" x14ac:dyDescent="0.3">
      <c r="B31" s="149"/>
      <c r="C31" s="148"/>
      <c r="D31" s="581"/>
      <c r="F31" s="212"/>
      <c r="G31" s="156"/>
      <c r="H31" s="213"/>
      <c r="I31" s="578"/>
    </row>
    <row r="32" spans="2:9" ht="15" thickBot="1" x14ac:dyDescent="0.35">
      <c r="B32" s="145"/>
      <c r="C32" s="148"/>
      <c r="D32" s="581"/>
      <c r="F32" s="161"/>
      <c r="G32" s="156"/>
      <c r="H32" s="157"/>
      <c r="I32" s="578"/>
    </row>
    <row r="33" spans="2:9" ht="15" thickBot="1" x14ac:dyDescent="0.35">
      <c r="B33" s="149"/>
      <c r="C33" s="222"/>
      <c r="D33" s="581"/>
      <c r="F33" s="162" t="s">
        <v>8</v>
      </c>
      <c r="G33" s="158">
        <f ca="1">SUM(G24:G32)</f>
        <v>0</v>
      </c>
      <c r="H33" s="103"/>
      <c r="I33" s="573">
        <f>SUM(I24:I32)</f>
        <v>477.73665909090903</v>
      </c>
    </row>
    <row r="34" spans="2:9" x14ac:dyDescent="0.3">
      <c r="B34" s="149"/>
      <c r="C34" s="148"/>
      <c r="D34" s="581"/>
    </row>
    <row r="35" spans="2:9" x14ac:dyDescent="0.3">
      <c r="B35" s="145" t="s">
        <v>8</v>
      </c>
      <c r="C35" s="148">
        <f ca="1">SUM(C24:C34)</f>
        <v>0</v>
      </c>
      <c r="D35" s="600">
        <f>SUM(D25:D34)</f>
        <v>5.30068213321307</v>
      </c>
    </row>
    <row r="36" spans="2:9" ht="15" thickBot="1" x14ac:dyDescent="0.35"/>
    <row r="37" spans="2:9" ht="15" thickBot="1" x14ac:dyDescent="0.35">
      <c r="B37" s="215" t="s">
        <v>50</v>
      </c>
      <c r="C37" s="215" t="s">
        <v>107</v>
      </c>
      <c r="D37" s="564" t="s">
        <v>108</v>
      </c>
      <c r="F37" s="216" t="s">
        <v>50</v>
      </c>
      <c r="G37" s="216" t="s">
        <v>156</v>
      </c>
      <c r="H37" s="216"/>
      <c r="I37" s="596" t="s">
        <v>155</v>
      </c>
    </row>
    <row r="38" spans="2:9" x14ac:dyDescent="0.3">
      <c r="B38" s="145" t="s">
        <v>0</v>
      </c>
      <c r="C38" s="148">
        <f ca="1">G38/'Peças por Hora Galvanoplastia'!B11</f>
        <v>0</v>
      </c>
      <c r="D38" s="601">
        <f>I38/'Peças por Hora Galvanoplastia'!B11</f>
        <v>3.5528093434343433E-2</v>
      </c>
      <c r="F38" s="166" t="s">
        <v>0</v>
      </c>
      <c r="G38" s="151">
        <f ca="1">IF(H38=1,HLOOKUP(E6,'Resumo de Custo'!DS7:ED29,2,0),0)</f>
        <v>0</v>
      </c>
      <c r="H38" s="152">
        <v>1</v>
      </c>
      <c r="I38" s="567">
        <f>IF(H38=1,HLOOKUP(E6,'Resumo de Custo'!EF7:EQ29,2,0),0)</f>
        <v>18.271590909090911</v>
      </c>
    </row>
    <row r="39" spans="2:9" x14ac:dyDescent="0.3">
      <c r="B39" s="145" t="s">
        <v>50</v>
      </c>
      <c r="C39" s="148">
        <f ca="1">G39/'Peças por Hora Galvanoplastia'!B58</f>
        <v>0</v>
      </c>
      <c r="D39" s="584">
        <f>I39/'Peças por Hora Galvanoplastia'!B58</f>
        <v>0.3404473823935435</v>
      </c>
      <c r="F39" s="159" t="s">
        <v>50</v>
      </c>
      <c r="G39" s="153">
        <f ca="1">IF(H39=1,HLOOKUP(E6,'Resumo de Custo'!DS7:ED29,4,0),0)</f>
        <v>0</v>
      </c>
      <c r="H39" s="154">
        <v>1</v>
      </c>
      <c r="I39" s="569">
        <f>IF(H39=1,HLOOKUP(E6,'Resumo de Custo'!EF7:EQ29,4,0),0)</f>
        <v>34.847749999999998</v>
      </c>
    </row>
    <row r="40" spans="2:9" x14ac:dyDescent="0.3">
      <c r="B40" s="145" t="s">
        <v>10</v>
      </c>
      <c r="C40" s="148">
        <f ca="1">G40/'Peças por Hora Galvanoplastia'!B27</f>
        <v>0</v>
      </c>
      <c r="D40" s="584">
        <f>I40/'Peças por Hora Galvanoplastia'!B27</f>
        <v>1.3623049880479896</v>
      </c>
      <c r="F40" s="159" t="s">
        <v>10</v>
      </c>
      <c r="G40" s="153">
        <f ca="1">IF(H40=1,HLOOKUP(E6,'Resumo de Custo'!DS7:ED29,5,0),0)</f>
        <v>0</v>
      </c>
      <c r="H40" s="155">
        <v>1</v>
      </c>
      <c r="I40" s="569">
        <f>IF(H40=1,HLOOKUP(E6,'Resumo de Custo'!EF7:EQ29,5,0),0)</f>
        <v>116.94799999999999</v>
      </c>
    </row>
    <row r="41" spans="2:9" x14ac:dyDescent="0.3">
      <c r="B41" s="145" t="s">
        <v>11</v>
      </c>
      <c r="C41" s="148">
        <f ca="1">G41/'Peças por Hora Galvanoplastia'!B35</f>
        <v>0</v>
      </c>
      <c r="D41" s="575">
        <f>I41/'Peças por Hora Galvanoplastia'!B35</f>
        <v>5.130681818181817E-4</v>
      </c>
      <c r="F41" s="159" t="s">
        <v>11</v>
      </c>
      <c r="G41" s="156">
        <f ca="1">IF(H41=1,HLOOKUP(E6,'Resumo de Custo'!DS7:ED29,6,0),0)</f>
        <v>0</v>
      </c>
      <c r="H41" s="155">
        <v>1</v>
      </c>
      <c r="I41" s="569">
        <f>IF(H41=1,HLOOKUP(E6,'Resumo de Custo'!EF7:EQ29,6,0),0)</f>
        <v>0.26386363636363636</v>
      </c>
    </row>
    <row r="42" spans="2:9" x14ac:dyDescent="0.3">
      <c r="B42" s="145" t="s">
        <v>149</v>
      </c>
      <c r="C42" s="148">
        <f ca="1">G42/'Peças por Hora Galvanoplastia'!B66</f>
        <v>0</v>
      </c>
      <c r="D42" s="597">
        <f>I42/'Peças por Hora Galvanoplastia'!B66</f>
        <v>0.1392274127062276</v>
      </c>
      <c r="F42" s="159" t="s">
        <v>149</v>
      </c>
      <c r="G42" s="156">
        <f ca="1">IF(H42=1,HLOOKUP(E6,'Resumo de Custo'!DS7:ED29,8,0),0)</f>
        <v>0</v>
      </c>
      <c r="H42" s="155">
        <v>1</v>
      </c>
      <c r="I42" s="569">
        <f>IF(H42=1,HLOOKUP(E6,'Resumo de Custo'!EF7:EQ29,8,0),0)</f>
        <v>14.251136363636364</v>
      </c>
    </row>
    <row r="43" spans="2:9" x14ac:dyDescent="0.3">
      <c r="B43" s="145" t="s">
        <v>53</v>
      </c>
      <c r="C43" s="148">
        <f ca="1">G43/'Peças por Hora Galvanoplastia'!B50</f>
        <v>0</v>
      </c>
      <c r="D43" s="598">
        <f>I43/'Peças por Hora Galvanoplastia'!B50</f>
        <v>1.5958735966475901E-4</v>
      </c>
      <c r="F43" s="160" t="s">
        <v>53</v>
      </c>
      <c r="G43" s="156">
        <f ca="1">IF(H43=1,HLOOKUP(E6,'Resumo de Custo'!DS7:ED29,20,0),0)</f>
        <v>0</v>
      </c>
      <c r="H43" s="155">
        <v>1</v>
      </c>
      <c r="I43" s="569">
        <f>IF(H43=1,HLOOKUP(E6,'Resumo de Custo'!EF7:EQ29,20,0),0)</f>
        <v>1.3636363636363636E-2</v>
      </c>
    </row>
    <row r="44" spans="2:9" x14ac:dyDescent="0.3">
      <c r="B44" s="145"/>
      <c r="C44" s="148"/>
      <c r="D44" s="571"/>
      <c r="F44" s="160"/>
      <c r="G44" s="156"/>
      <c r="H44" s="213"/>
      <c r="I44" s="578"/>
    </row>
    <row r="45" spans="2:9" ht="15" thickBot="1" x14ac:dyDescent="0.35">
      <c r="B45" s="149"/>
      <c r="C45" s="150"/>
      <c r="D45" s="571"/>
      <c r="F45" s="161"/>
      <c r="G45" s="156"/>
      <c r="H45" s="157"/>
      <c r="I45" s="578"/>
    </row>
    <row r="46" spans="2:9" ht="15" thickBot="1" x14ac:dyDescent="0.35">
      <c r="B46" s="149"/>
      <c r="C46" s="147"/>
      <c r="D46" s="571"/>
      <c r="F46" s="162" t="s">
        <v>8</v>
      </c>
      <c r="G46" s="158">
        <f ca="1">SUM(G38:G45)</f>
        <v>0</v>
      </c>
      <c r="H46" s="103"/>
      <c r="I46" s="573">
        <f>SUM(I38:I45)</f>
        <v>184.59597727272723</v>
      </c>
    </row>
    <row r="47" spans="2:9" x14ac:dyDescent="0.3">
      <c r="B47" s="145" t="s">
        <v>8</v>
      </c>
      <c r="C47" s="148">
        <f ca="1">SUM(C38:C46)</f>
        <v>0</v>
      </c>
      <c r="D47" s="600">
        <f>SUM(D38:D46)</f>
        <v>1.8781805321235869</v>
      </c>
    </row>
    <row r="49" spans="2:9" x14ac:dyDescent="0.3">
      <c r="B49" s="406"/>
      <c r="C49" s="200"/>
      <c r="D49" s="602"/>
      <c r="F49" s="201"/>
      <c r="G49" s="42"/>
      <c r="H49" s="41"/>
      <c r="I49" s="603"/>
    </row>
    <row r="50" spans="2:9" x14ac:dyDescent="0.3">
      <c r="B50" s="202"/>
      <c r="C50" s="203"/>
      <c r="D50" s="583"/>
      <c r="F50" s="204"/>
      <c r="G50" s="42"/>
      <c r="H50" s="41"/>
      <c r="I50" s="603"/>
    </row>
    <row r="51" spans="2:9" x14ac:dyDescent="0.3">
      <c r="B51" s="202"/>
      <c r="C51" s="205"/>
      <c r="D51" s="583"/>
      <c r="F51" s="206"/>
      <c r="G51" s="42"/>
      <c r="H51" s="41"/>
      <c r="I51" s="603"/>
    </row>
    <row r="52" spans="2:9" x14ac:dyDescent="0.3">
      <c r="B52" s="202"/>
      <c r="C52" s="203"/>
      <c r="D52" s="583"/>
      <c r="F52" s="206"/>
      <c r="G52" s="42"/>
      <c r="H52" s="41"/>
      <c r="I52" s="603"/>
    </row>
    <row r="53" spans="2:9" x14ac:dyDescent="0.3">
      <c r="B53" s="202"/>
      <c r="C53" s="203"/>
      <c r="D53" s="583"/>
      <c r="F53" s="206"/>
      <c r="G53" s="42"/>
      <c r="H53" s="202"/>
      <c r="I53" s="603"/>
    </row>
    <row r="54" spans="2:9" x14ac:dyDescent="0.3">
      <c r="B54" s="202"/>
      <c r="C54" s="203"/>
      <c r="D54" s="583"/>
      <c r="F54" s="206"/>
      <c r="G54" s="42"/>
      <c r="H54" s="202"/>
      <c r="I54" s="603"/>
    </row>
    <row r="55" spans="2:9" x14ac:dyDescent="0.3">
      <c r="B55" s="202"/>
      <c r="C55" s="203"/>
      <c r="D55" s="583"/>
      <c r="F55" s="202"/>
      <c r="G55" s="42"/>
      <c r="H55" s="202"/>
      <c r="I55" s="603"/>
    </row>
    <row r="56" spans="2:9" x14ac:dyDescent="0.3">
      <c r="B56" s="202"/>
      <c r="C56" s="203"/>
      <c r="D56" s="583"/>
      <c r="F56" s="207"/>
      <c r="G56" s="42"/>
      <c r="H56" s="202"/>
      <c r="I56" s="603"/>
    </row>
    <row r="57" spans="2:9" x14ac:dyDescent="0.3">
      <c r="B57" s="202"/>
      <c r="C57" s="203"/>
      <c r="D57" s="583"/>
      <c r="F57" s="207"/>
      <c r="G57" s="42"/>
      <c r="H57" s="202"/>
      <c r="I57" s="41"/>
    </row>
    <row r="58" spans="2:9" x14ac:dyDescent="0.3">
      <c r="B58" s="202"/>
      <c r="C58" s="203"/>
      <c r="D58" s="583"/>
      <c r="F58" s="207"/>
      <c r="G58" s="42"/>
      <c r="H58" s="202"/>
      <c r="I58" s="41"/>
    </row>
    <row r="59" spans="2:9" x14ac:dyDescent="0.3">
      <c r="B59" s="202"/>
      <c r="C59" s="203"/>
      <c r="D59" s="583"/>
      <c r="F59" s="207"/>
      <c r="G59" s="42"/>
      <c r="H59" s="202"/>
      <c r="I59" s="41"/>
    </row>
    <row r="60" spans="2:9" x14ac:dyDescent="0.3">
      <c r="B60" s="202"/>
      <c r="C60" s="203"/>
      <c r="D60" s="583"/>
      <c r="F60" s="207"/>
      <c r="G60" s="42"/>
      <c r="H60" s="202"/>
      <c r="I60" s="41"/>
    </row>
    <row r="61" spans="2:9" x14ac:dyDescent="0.3">
      <c r="B61" s="202"/>
      <c r="C61" s="203"/>
      <c r="D61" s="583"/>
      <c r="F61" s="207"/>
      <c r="G61" s="42"/>
      <c r="H61" s="202"/>
      <c r="I61" s="41"/>
    </row>
    <row r="62" spans="2:9" x14ac:dyDescent="0.3">
      <c r="B62" s="208"/>
      <c r="C62" s="209"/>
      <c r="D62" s="103"/>
      <c r="F62" s="202"/>
      <c r="G62" s="42"/>
      <c r="H62" s="202"/>
      <c r="I62" s="41"/>
    </row>
    <row r="63" spans="2:9" x14ac:dyDescent="0.3">
      <c r="B63" s="202"/>
      <c r="C63" s="210"/>
      <c r="D63" s="103"/>
      <c r="F63" s="202"/>
      <c r="G63" s="42"/>
      <c r="H63" s="103"/>
      <c r="I63" s="41"/>
    </row>
    <row r="64" spans="2:9" x14ac:dyDescent="0.3">
      <c r="B64" s="208"/>
      <c r="C64" s="211"/>
      <c r="D64" s="103"/>
      <c r="F64" s="202"/>
      <c r="G64" s="42"/>
      <c r="H64" s="103"/>
      <c r="I64" s="603"/>
    </row>
    <row r="65" spans="2:4" x14ac:dyDescent="0.3">
      <c r="B65" s="208"/>
      <c r="C65" s="209"/>
      <c r="D65" s="103"/>
    </row>
    <row r="66" spans="2:4" x14ac:dyDescent="0.3">
      <c r="B66" s="202"/>
      <c r="C66" s="203"/>
      <c r="D66" s="604"/>
    </row>
    <row r="68" spans="2:4" x14ac:dyDescent="0.3">
      <c r="B68" s="406"/>
      <c r="C68" s="200"/>
      <c r="D68" s="602"/>
    </row>
    <row r="69" spans="2:4" x14ac:dyDescent="0.3">
      <c r="B69" s="202"/>
      <c r="C69" s="203"/>
      <c r="D69" s="583"/>
    </row>
    <row r="70" spans="2:4" x14ac:dyDescent="0.3">
      <c r="B70" s="202"/>
      <c r="C70" s="205"/>
      <c r="D70" s="583"/>
    </row>
    <row r="71" spans="2:4" x14ac:dyDescent="0.3">
      <c r="B71" s="202"/>
      <c r="C71" s="203"/>
      <c r="D71" s="583"/>
    </row>
    <row r="72" spans="2:4" x14ac:dyDescent="0.3">
      <c r="B72" s="202"/>
      <c r="C72" s="203"/>
      <c r="D72" s="583"/>
    </row>
    <row r="73" spans="2:4" x14ac:dyDescent="0.3">
      <c r="B73" s="202"/>
      <c r="C73" s="203"/>
      <c r="D73" s="583"/>
    </row>
    <row r="74" spans="2:4" x14ac:dyDescent="0.3">
      <c r="B74" s="202"/>
      <c r="C74" s="203"/>
      <c r="D74" s="583"/>
    </row>
    <row r="75" spans="2:4" x14ac:dyDescent="0.3">
      <c r="B75" s="202"/>
      <c r="C75" s="203"/>
      <c r="D75" s="583"/>
    </row>
    <row r="76" spans="2:4" x14ac:dyDescent="0.3">
      <c r="B76" s="202"/>
      <c r="C76" s="203"/>
      <c r="D76" s="583"/>
    </row>
    <row r="77" spans="2:4" x14ac:dyDescent="0.3">
      <c r="B77" s="202"/>
      <c r="C77" s="203"/>
      <c r="D77" s="583"/>
    </row>
    <row r="78" spans="2:4" x14ac:dyDescent="0.3">
      <c r="B78" s="202"/>
      <c r="C78" s="203"/>
      <c r="D78" s="583"/>
    </row>
    <row r="79" spans="2:4" x14ac:dyDescent="0.3">
      <c r="B79" s="202"/>
      <c r="C79" s="203"/>
      <c r="D79" s="583"/>
    </row>
    <row r="80" spans="2:4" x14ac:dyDescent="0.3">
      <c r="B80" s="202"/>
      <c r="C80" s="203"/>
      <c r="D80" s="583"/>
    </row>
    <row r="81" spans="1:4" x14ac:dyDescent="0.3">
      <c r="B81" s="202"/>
      <c r="C81" s="209"/>
      <c r="D81" s="103"/>
    </row>
    <row r="82" spans="1:4" x14ac:dyDescent="0.3">
      <c r="B82" s="202"/>
      <c r="C82" s="210"/>
      <c r="D82" s="103"/>
    </row>
    <row r="83" spans="1:4" x14ac:dyDescent="0.3">
      <c r="B83" s="208"/>
      <c r="C83" s="211"/>
      <c r="D83" s="103"/>
    </row>
    <row r="84" spans="1:4" x14ac:dyDescent="0.3">
      <c r="B84" s="208"/>
      <c r="C84" s="209"/>
      <c r="D84" s="103"/>
    </row>
    <row r="85" spans="1:4" x14ac:dyDescent="0.3">
      <c r="B85" s="202"/>
      <c r="C85" s="203"/>
      <c r="D85" s="604"/>
    </row>
    <row r="96" spans="1:4" x14ac:dyDescent="0.3">
      <c r="A96" s="403" t="s">
        <v>74</v>
      </c>
    </row>
    <row r="97" spans="1:1" x14ac:dyDescent="0.3">
      <c r="A97" s="403" t="s">
        <v>75</v>
      </c>
    </row>
    <row r="98" spans="1:1" x14ac:dyDescent="0.3">
      <c r="A98" s="403" t="s">
        <v>76</v>
      </c>
    </row>
    <row r="99" spans="1:1" x14ac:dyDescent="0.3">
      <c r="A99" s="403" t="s">
        <v>77</v>
      </c>
    </row>
    <row r="100" spans="1:1" x14ac:dyDescent="0.3">
      <c r="A100" s="403" t="s">
        <v>78</v>
      </c>
    </row>
    <row r="101" spans="1:1" x14ac:dyDescent="0.3">
      <c r="A101" s="403" t="s">
        <v>109</v>
      </c>
    </row>
    <row r="102" spans="1:1" x14ac:dyDescent="0.3">
      <c r="A102" s="403" t="s">
        <v>80</v>
      </c>
    </row>
    <row r="103" spans="1:1" x14ac:dyDescent="0.3">
      <c r="A103" s="403" t="s">
        <v>81</v>
      </c>
    </row>
    <row r="104" spans="1:1" x14ac:dyDescent="0.3">
      <c r="A104" s="403" t="s">
        <v>82</v>
      </c>
    </row>
    <row r="105" spans="1:1" x14ac:dyDescent="0.3">
      <c r="A105" s="403" t="s">
        <v>83</v>
      </c>
    </row>
    <row r="106" spans="1:1" x14ac:dyDescent="0.3">
      <c r="A106" s="403" t="s">
        <v>84</v>
      </c>
    </row>
    <row r="107" spans="1:1" x14ac:dyDescent="0.3">
      <c r="A107" s="403" t="s">
        <v>85</v>
      </c>
    </row>
  </sheetData>
  <protectedRanges>
    <protectedRange sqref="E6 H9:H45" name="Intervalo1"/>
  </protectedRanges>
  <mergeCells count="1">
    <mergeCell ref="C2:K2"/>
  </mergeCells>
  <dataValidations count="1">
    <dataValidation type="list" allowBlank="1" showInputMessage="1" showErrorMessage="1" sqref="E6" xr:uid="{00000000-0002-0000-0400-000000000000}">
      <formula1>$A$96:$A$107</formula1>
    </dataValidation>
  </dataValidations>
  <hyperlinks>
    <hyperlink ref="A2" location="Menu!A1" display="Menu" xr:uid="{00000000-0004-0000-0400-000000000000}"/>
  </hyperlinks>
  <pageMargins left="0.511811024" right="0.511811024" top="0.78740157499999996" bottom="0.78740157499999996" header="0.31496062000000002" footer="0.31496062000000002"/>
  <ignoredErrors>
    <ignoredError sqref="C42:D42" formula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FF00"/>
  </sheetPr>
  <dimension ref="A1:KJ138"/>
  <sheetViews>
    <sheetView topLeftCell="A6" workbookViewId="0">
      <selection activeCell="B36" sqref="B36:F36"/>
    </sheetView>
  </sheetViews>
  <sheetFormatPr defaultColWidth="9.109375" defaultRowHeight="14.4" x14ac:dyDescent="0.3"/>
  <cols>
    <col min="1" max="1" width="11" style="103" bestFit="1" customWidth="1"/>
    <col min="2" max="6" width="34.33203125" style="103" customWidth="1"/>
    <col min="7" max="16384" width="9.109375" style="103"/>
  </cols>
  <sheetData>
    <row r="1" spans="1:8" ht="15" thickBot="1" x14ac:dyDescent="0.35"/>
    <row r="2" spans="1:8" ht="29.4" thickBot="1" x14ac:dyDescent="0.6">
      <c r="A2" s="605" t="s">
        <v>110</v>
      </c>
      <c r="C2" s="666" t="s">
        <v>207</v>
      </c>
      <c r="D2" s="666"/>
      <c r="E2" s="666"/>
    </row>
    <row r="3" spans="1:8" ht="15" thickBot="1" x14ac:dyDescent="0.35"/>
    <row r="4" spans="1:8" ht="15" thickBot="1" x14ac:dyDescent="0.35">
      <c r="B4" s="671"/>
      <c r="C4" s="672"/>
      <c r="D4" s="672"/>
      <c r="E4" s="672"/>
      <c r="F4" s="673"/>
    </row>
    <row r="5" spans="1:8" ht="21.6" thickBot="1" x14ac:dyDescent="0.35">
      <c r="B5" s="674" t="s">
        <v>0</v>
      </c>
      <c r="C5" s="675"/>
      <c r="D5" s="675"/>
      <c r="E5" s="675"/>
      <c r="F5" s="676"/>
    </row>
    <row r="6" spans="1:8" ht="18" x14ac:dyDescent="0.3">
      <c r="B6" s="606" t="s">
        <v>106</v>
      </c>
      <c r="C6" s="607" t="s">
        <v>195</v>
      </c>
      <c r="D6" s="608" t="s">
        <v>196</v>
      </c>
      <c r="E6" s="609" t="s">
        <v>197</v>
      </c>
      <c r="F6" s="610" t="s">
        <v>198</v>
      </c>
    </row>
    <row r="7" spans="1:8" ht="18.600000000000001" thickBot="1" x14ac:dyDescent="0.35">
      <c r="B7" s="611">
        <v>2.2999999999999998</v>
      </c>
      <c r="C7" s="612">
        <v>0.7</v>
      </c>
      <c r="D7" s="613">
        <v>30</v>
      </c>
      <c r="E7" s="399">
        <f>D7/C7</f>
        <v>42.857142857142861</v>
      </c>
      <c r="F7" s="375">
        <f>(E7*B7)*F25</f>
        <v>197.14285714285714</v>
      </c>
    </row>
    <row r="8" spans="1:8" ht="18" x14ac:dyDescent="0.3">
      <c r="B8" s="620" t="s">
        <v>202</v>
      </c>
      <c r="C8" s="677" t="s">
        <v>203</v>
      </c>
      <c r="D8" s="678"/>
      <c r="E8" s="609" t="s">
        <v>209</v>
      </c>
      <c r="F8" s="610" t="s">
        <v>302</v>
      </c>
    </row>
    <row r="9" spans="1:8" ht="18" x14ac:dyDescent="0.3">
      <c r="B9" s="640">
        <v>90</v>
      </c>
      <c r="C9" s="679">
        <v>4</v>
      </c>
      <c r="D9" s="680"/>
      <c r="E9" s="641">
        <v>71</v>
      </c>
      <c r="F9" s="623">
        <v>2</v>
      </c>
    </row>
    <row r="10" spans="1:8" ht="18" x14ac:dyDescent="0.3">
      <c r="B10" s="624" t="s">
        <v>199</v>
      </c>
      <c r="C10" s="681" t="s">
        <v>200</v>
      </c>
      <c r="D10" s="682"/>
      <c r="E10" s="625" t="s">
        <v>210</v>
      </c>
      <c r="F10" s="626" t="s">
        <v>205</v>
      </c>
    </row>
    <row r="11" spans="1:8" ht="18.600000000000001" thickBot="1" x14ac:dyDescent="0.35">
      <c r="B11" s="361">
        <f>(60/F11)*E7*F9</f>
        <v>514.28571428571433</v>
      </c>
      <c r="C11" s="683">
        <f>(60/F11)*D7*F9</f>
        <v>360</v>
      </c>
      <c r="D11" s="684"/>
      <c r="E11" s="587">
        <f>E9/F7</f>
        <v>0.3601449275362319</v>
      </c>
      <c r="F11" s="588">
        <v>10</v>
      </c>
    </row>
    <row r="12" spans="1:8" ht="18.600000000000001" thickBot="1" x14ac:dyDescent="0.35">
      <c r="B12" s="614"/>
      <c r="C12" s="615"/>
      <c r="D12" s="615"/>
      <c r="E12" s="616"/>
      <c r="F12" s="617"/>
    </row>
    <row r="13" spans="1:8" ht="21.6" thickBot="1" x14ac:dyDescent="0.35">
      <c r="B13" s="685" t="s">
        <v>111</v>
      </c>
      <c r="C13" s="686"/>
      <c r="D13" s="686"/>
      <c r="E13" s="686"/>
      <c r="F13" s="687"/>
    </row>
    <row r="14" spans="1:8" ht="18" x14ac:dyDescent="0.3">
      <c r="B14" s="606" t="s">
        <v>106</v>
      </c>
      <c r="C14" s="607" t="s">
        <v>195</v>
      </c>
      <c r="D14" s="607" t="s">
        <v>206</v>
      </c>
      <c r="E14" s="608" t="s">
        <v>201</v>
      </c>
      <c r="F14" s="610" t="s">
        <v>198</v>
      </c>
      <c r="H14" s="618" t="s">
        <v>157</v>
      </c>
    </row>
    <row r="15" spans="1:8" ht="18.600000000000001" thickBot="1" x14ac:dyDescent="0.35">
      <c r="B15" s="611">
        <v>2.2999999999999998</v>
      </c>
      <c r="C15" s="612">
        <v>0.7</v>
      </c>
      <c r="D15" s="619">
        <v>30</v>
      </c>
      <c r="E15" s="399">
        <f>D15/C15</f>
        <v>42.857142857142861</v>
      </c>
      <c r="F15" s="375">
        <f>(B15*E15)*F17</f>
        <v>197.14285714285714</v>
      </c>
      <c r="H15" s="218">
        <v>8.9</v>
      </c>
    </row>
    <row r="16" spans="1:8" ht="18" x14ac:dyDescent="0.3">
      <c r="B16" s="620" t="s">
        <v>202</v>
      </c>
      <c r="C16" s="677" t="s">
        <v>203</v>
      </c>
      <c r="D16" s="678"/>
      <c r="E16" s="609" t="s">
        <v>209</v>
      </c>
      <c r="F16" s="610" t="s">
        <v>204</v>
      </c>
      <c r="H16" s="618" t="s">
        <v>158</v>
      </c>
    </row>
    <row r="17" spans="2:8" ht="18" x14ac:dyDescent="0.3">
      <c r="B17" s="621">
        <v>90</v>
      </c>
      <c r="C17" s="679">
        <v>4</v>
      </c>
      <c r="D17" s="680"/>
      <c r="E17" s="622">
        <v>71</v>
      </c>
      <c r="F17" s="623">
        <v>2</v>
      </c>
      <c r="H17" s="219">
        <v>1.095</v>
      </c>
    </row>
    <row r="18" spans="2:8" ht="18" x14ac:dyDescent="0.3">
      <c r="B18" s="624" t="s">
        <v>199</v>
      </c>
      <c r="C18" s="681" t="s">
        <v>200</v>
      </c>
      <c r="D18" s="682"/>
      <c r="E18" s="625" t="s">
        <v>210</v>
      </c>
      <c r="F18" s="626" t="s">
        <v>205</v>
      </c>
      <c r="H18" s="403"/>
    </row>
    <row r="19" spans="2:8" ht="18.600000000000001" thickBot="1" x14ac:dyDescent="0.35">
      <c r="B19" s="361">
        <f>(60/F19)*(E15*F17)</f>
        <v>85.454934049829035</v>
      </c>
      <c r="C19" s="683">
        <f>(60/F19)*(D15*F17)</f>
        <v>59.818453834880316</v>
      </c>
      <c r="D19" s="684"/>
      <c r="E19" s="587">
        <f>E17/F15</f>
        <v>0.3601449275362319</v>
      </c>
      <c r="F19" s="391">
        <f>(60*C17*H15)/(H17*E19*B17)</f>
        <v>60.182097149104671</v>
      </c>
      <c r="H19" s="403"/>
    </row>
    <row r="20" spans="2:8" ht="18.600000000000001" thickBot="1" x14ac:dyDescent="0.35">
      <c r="B20" s="362"/>
      <c r="C20" s="363"/>
      <c r="D20" s="363"/>
      <c r="E20" s="364"/>
      <c r="F20" s="380"/>
      <c r="H20" s="403"/>
    </row>
    <row r="21" spans="2:8" ht="21.6" thickBot="1" x14ac:dyDescent="0.35">
      <c r="B21" s="685" t="s">
        <v>10</v>
      </c>
      <c r="C21" s="686"/>
      <c r="D21" s="686"/>
      <c r="E21" s="686"/>
      <c r="F21" s="687"/>
      <c r="H21" s="403"/>
    </row>
    <row r="22" spans="2:8" ht="18" x14ac:dyDescent="0.3">
      <c r="B22" s="606" t="s">
        <v>106</v>
      </c>
      <c r="C22" s="607" t="s">
        <v>195</v>
      </c>
      <c r="D22" s="607" t="s">
        <v>206</v>
      </c>
      <c r="E22" s="608" t="s">
        <v>201</v>
      </c>
      <c r="F22" s="610" t="s">
        <v>198</v>
      </c>
      <c r="H22" s="618" t="s">
        <v>157</v>
      </c>
    </row>
    <row r="23" spans="2:8" ht="18.600000000000001" thickBot="1" x14ac:dyDescent="0.35">
      <c r="B23" s="611">
        <v>2.2999999999999998</v>
      </c>
      <c r="C23" s="612">
        <v>0.7</v>
      </c>
      <c r="D23" s="619">
        <v>30</v>
      </c>
      <c r="E23" s="399">
        <f>D23/C23</f>
        <v>42.857142857142861</v>
      </c>
      <c r="F23" s="375">
        <f>(E23*B23)*F25</f>
        <v>197.14285714285714</v>
      </c>
      <c r="H23" s="218">
        <v>8.92</v>
      </c>
    </row>
    <row r="24" spans="2:8" ht="18" x14ac:dyDescent="0.3">
      <c r="B24" s="620" t="s">
        <v>202</v>
      </c>
      <c r="C24" s="677" t="s">
        <v>203</v>
      </c>
      <c r="D24" s="678"/>
      <c r="E24" s="609" t="s">
        <v>209</v>
      </c>
      <c r="F24" s="610" t="s">
        <v>204</v>
      </c>
      <c r="H24" s="618" t="s">
        <v>158</v>
      </c>
    </row>
    <row r="25" spans="2:8" ht="18" x14ac:dyDescent="0.3">
      <c r="B25" s="621">
        <v>90</v>
      </c>
      <c r="C25" s="679">
        <v>4</v>
      </c>
      <c r="D25" s="680"/>
      <c r="E25" s="622">
        <v>66</v>
      </c>
      <c r="F25" s="623">
        <v>2</v>
      </c>
      <c r="H25" s="219">
        <v>1.1859999999999999</v>
      </c>
    </row>
    <row r="26" spans="2:8" ht="18" x14ac:dyDescent="0.3">
      <c r="B26" s="624" t="s">
        <v>199</v>
      </c>
      <c r="C26" s="681" t="s">
        <v>200</v>
      </c>
      <c r="D26" s="682"/>
      <c r="E26" s="625" t="s">
        <v>210</v>
      </c>
      <c r="F26" s="626" t="s">
        <v>205</v>
      </c>
      <c r="H26" s="403"/>
    </row>
    <row r="27" spans="2:8" ht="18.600000000000001" thickBot="1" x14ac:dyDescent="0.35">
      <c r="B27" s="361">
        <f>(60/F27)*(E23*F25)</f>
        <v>85.84568141938</v>
      </c>
      <c r="C27" s="683">
        <f>(60/F27)*(D23*F25)</f>
        <v>60.091976993565993</v>
      </c>
      <c r="D27" s="684"/>
      <c r="E27" s="587">
        <f>E25/F23</f>
        <v>0.33478260869565218</v>
      </c>
      <c r="F27" s="391">
        <f>(60*C25*H23)/(H25*E27*B25)</f>
        <v>59.908163786747266</v>
      </c>
      <c r="H27" s="403"/>
    </row>
    <row r="28" spans="2:8" ht="18.600000000000001" thickBot="1" x14ac:dyDescent="0.35">
      <c r="B28" s="362"/>
      <c r="C28" s="363"/>
      <c r="D28" s="363"/>
      <c r="E28" s="364"/>
      <c r="F28" s="380"/>
      <c r="H28" s="403"/>
    </row>
    <row r="29" spans="2:8" ht="21.6" thickBot="1" x14ac:dyDescent="0.35">
      <c r="B29" s="685" t="s">
        <v>11</v>
      </c>
      <c r="C29" s="686"/>
      <c r="D29" s="686"/>
      <c r="E29" s="686"/>
      <c r="F29" s="687"/>
      <c r="H29" s="403"/>
    </row>
    <row r="30" spans="2:8" ht="18" x14ac:dyDescent="0.3">
      <c r="B30" s="606" t="s">
        <v>106</v>
      </c>
      <c r="C30" s="607" t="s">
        <v>195</v>
      </c>
      <c r="D30" s="608" t="s">
        <v>196</v>
      </c>
      <c r="E30" s="609" t="s">
        <v>197</v>
      </c>
      <c r="F30" s="610" t="s">
        <v>198</v>
      </c>
      <c r="H30" s="403"/>
    </row>
    <row r="31" spans="2:8" ht="18.600000000000001" thickBot="1" x14ac:dyDescent="0.35">
      <c r="B31" s="611">
        <v>2.2999999999999998</v>
      </c>
      <c r="C31" s="612">
        <v>0.7</v>
      </c>
      <c r="D31" s="613">
        <v>30</v>
      </c>
      <c r="E31" s="399">
        <f>D31/C31</f>
        <v>42.857142857142861</v>
      </c>
      <c r="F31" s="375">
        <f>B31*E31*F40</f>
        <v>197.14285714285714</v>
      </c>
      <c r="H31" s="403"/>
    </row>
    <row r="32" spans="2:8" ht="18" x14ac:dyDescent="0.3">
      <c r="B32" s="620" t="s">
        <v>202</v>
      </c>
      <c r="C32" s="677" t="s">
        <v>203</v>
      </c>
      <c r="D32" s="678"/>
      <c r="E32" s="609" t="s">
        <v>209</v>
      </c>
      <c r="F32" s="610" t="s">
        <v>302</v>
      </c>
      <c r="H32" s="403"/>
    </row>
    <row r="33" spans="2:8" ht="18" x14ac:dyDescent="0.3">
      <c r="B33" s="640">
        <v>90</v>
      </c>
      <c r="C33" s="679">
        <v>4</v>
      </c>
      <c r="D33" s="680"/>
      <c r="E33" s="641">
        <v>71</v>
      </c>
      <c r="F33" s="623">
        <v>2</v>
      </c>
      <c r="H33" s="403"/>
    </row>
    <row r="34" spans="2:8" ht="18" x14ac:dyDescent="0.3">
      <c r="B34" s="624" t="s">
        <v>199</v>
      </c>
      <c r="C34" s="681" t="s">
        <v>200</v>
      </c>
      <c r="D34" s="682"/>
      <c r="E34" s="625" t="s">
        <v>210</v>
      </c>
      <c r="F34" s="626" t="s">
        <v>205</v>
      </c>
      <c r="H34" s="403"/>
    </row>
    <row r="35" spans="2:8" ht="18.600000000000001" thickBot="1" x14ac:dyDescent="0.35">
      <c r="B35" s="361">
        <f>(60/F35)*E31*F33</f>
        <v>514.28571428571433</v>
      </c>
      <c r="C35" s="683">
        <f>(60/F35)*D31*F33</f>
        <v>360</v>
      </c>
      <c r="D35" s="684"/>
      <c r="E35" s="587">
        <f>E33/F31</f>
        <v>0.3601449275362319</v>
      </c>
      <c r="F35" s="588">
        <v>10</v>
      </c>
      <c r="H35" s="403"/>
    </row>
    <row r="36" spans="2:8" ht="21.6" thickBot="1" x14ac:dyDescent="0.35">
      <c r="B36" s="674" t="s">
        <v>51</v>
      </c>
      <c r="C36" s="675"/>
      <c r="D36" s="675"/>
      <c r="E36" s="675"/>
      <c r="F36" s="676"/>
      <c r="H36" s="403"/>
    </row>
    <row r="37" spans="2:8" ht="18" x14ac:dyDescent="0.3">
      <c r="B37" s="606" t="s">
        <v>106</v>
      </c>
      <c r="C37" s="607" t="s">
        <v>195</v>
      </c>
      <c r="D37" s="607" t="s">
        <v>196</v>
      </c>
      <c r="E37" s="608" t="s">
        <v>201</v>
      </c>
      <c r="F37" s="610" t="s">
        <v>198</v>
      </c>
      <c r="H37" s="618" t="s">
        <v>157</v>
      </c>
    </row>
    <row r="38" spans="2:8" ht="18.600000000000001" thickBot="1" x14ac:dyDescent="0.35">
      <c r="B38" s="611">
        <v>2.2999999999999998</v>
      </c>
      <c r="C38" s="612">
        <v>0.7</v>
      </c>
      <c r="D38" s="619">
        <v>30</v>
      </c>
      <c r="E38" s="399">
        <f>D38/C38</f>
        <v>42.857142857142861</v>
      </c>
      <c r="F38" s="375">
        <f>(E38*B38)*F40</f>
        <v>197.14285714285714</v>
      </c>
      <c r="H38" s="218">
        <v>8.9</v>
      </c>
    </row>
    <row r="39" spans="2:8" ht="18" x14ac:dyDescent="0.3">
      <c r="B39" s="620" t="s">
        <v>202</v>
      </c>
      <c r="C39" s="677" t="s">
        <v>203</v>
      </c>
      <c r="D39" s="678"/>
      <c r="E39" s="609" t="s">
        <v>209</v>
      </c>
      <c r="F39" s="610" t="s">
        <v>204</v>
      </c>
      <c r="H39" s="618" t="s">
        <v>158</v>
      </c>
    </row>
    <row r="40" spans="2:8" ht="18" x14ac:dyDescent="0.3">
      <c r="B40" s="621">
        <v>90</v>
      </c>
      <c r="C40" s="679">
        <v>4</v>
      </c>
      <c r="D40" s="680"/>
      <c r="E40" s="627">
        <v>71</v>
      </c>
      <c r="F40" s="623">
        <v>2</v>
      </c>
      <c r="H40" s="219">
        <v>1.095</v>
      </c>
    </row>
    <row r="41" spans="2:8" ht="18" x14ac:dyDescent="0.3">
      <c r="B41" s="624" t="s">
        <v>199</v>
      </c>
      <c r="C41" s="681" t="s">
        <v>200</v>
      </c>
      <c r="D41" s="682"/>
      <c r="E41" s="625" t="s">
        <v>210</v>
      </c>
      <c r="F41" s="626" t="s">
        <v>205</v>
      </c>
      <c r="H41" s="403"/>
    </row>
    <row r="42" spans="2:8" ht="18.600000000000001" thickBot="1" x14ac:dyDescent="0.35">
      <c r="B42" s="361">
        <f>(60/F42)*(E38*F40)</f>
        <v>85.454934049829035</v>
      </c>
      <c r="C42" s="683">
        <f>(60/F42)*(D38*F40)</f>
        <v>59.818453834880316</v>
      </c>
      <c r="D42" s="684"/>
      <c r="E42" s="587">
        <f>E40/F38</f>
        <v>0.3601449275362319</v>
      </c>
      <c r="F42" s="392">
        <f>(60*C40*H38)/(H40*E42*B40)</f>
        <v>60.182097149104671</v>
      </c>
      <c r="H42" s="403"/>
    </row>
    <row r="43" spans="2:8" ht="18.600000000000001" thickBot="1" x14ac:dyDescent="0.35">
      <c r="B43" s="362"/>
      <c r="C43" s="363"/>
      <c r="D43" s="363"/>
      <c r="E43" s="364"/>
      <c r="F43" s="381"/>
      <c r="H43" s="403"/>
    </row>
    <row r="44" spans="2:8" ht="21.6" thickBot="1" x14ac:dyDescent="0.35">
      <c r="B44" s="685" t="s">
        <v>52</v>
      </c>
      <c r="C44" s="686"/>
      <c r="D44" s="686"/>
      <c r="E44" s="686"/>
      <c r="F44" s="687"/>
      <c r="H44" s="403"/>
    </row>
    <row r="45" spans="2:8" ht="18" x14ac:dyDescent="0.3">
      <c r="B45" s="606" t="s">
        <v>106</v>
      </c>
      <c r="C45" s="607" t="s">
        <v>195</v>
      </c>
      <c r="D45" s="607" t="s">
        <v>196</v>
      </c>
      <c r="E45" s="608" t="s">
        <v>201</v>
      </c>
      <c r="F45" s="610" t="s">
        <v>198</v>
      </c>
      <c r="H45" s="618" t="s">
        <v>157</v>
      </c>
    </row>
    <row r="46" spans="2:8" ht="18.600000000000001" thickBot="1" x14ac:dyDescent="0.35">
      <c r="B46" s="611">
        <v>2.2999999999999998</v>
      </c>
      <c r="C46" s="612">
        <v>0.7</v>
      </c>
      <c r="D46" s="619">
        <v>30</v>
      </c>
      <c r="E46" s="628">
        <f>D46/C46</f>
        <v>42.857142857142861</v>
      </c>
      <c r="F46" s="375">
        <f>(E46*B46)*F48</f>
        <v>197.14285714285714</v>
      </c>
      <c r="H46" s="218">
        <v>7.1</v>
      </c>
    </row>
    <row r="47" spans="2:8" ht="18" x14ac:dyDescent="0.3">
      <c r="B47" s="620" t="s">
        <v>202</v>
      </c>
      <c r="C47" s="677" t="s">
        <v>203</v>
      </c>
      <c r="D47" s="678"/>
      <c r="E47" s="609" t="s">
        <v>209</v>
      </c>
      <c r="F47" s="610" t="s">
        <v>204</v>
      </c>
      <c r="H47" s="618" t="s">
        <v>158</v>
      </c>
    </row>
    <row r="48" spans="2:8" ht="18" x14ac:dyDescent="0.3">
      <c r="B48" s="621">
        <v>90</v>
      </c>
      <c r="C48" s="679">
        <v>4</v>
      </c>
      <c r="D48" s="680"/>
      <c r="E48" s="627">
        <v>192</v>
      </c>
      <c r="F48" s="623">
        <v>2</v>
      </c>
      <c r="H48" s="219">
        <v>0.32300000000000001</v>
      </c>
    </row>
    <row r="49" spans="1:296" ht="18" x14ac:dyDescent="0.3">
      <c r="B49" s="624" t="s">
        <v>199</v>
      </c>
      <c r="C49" s="681" t="s">
        <v>200</v>
      </c>
      <c r="D49" s="682"/>
      <c r="E49" s="625" t="s">
        <v>210</v>
      </c>
      <c r="F49" s="626" t="s">
        <v>205</v>
      </c>
      <c r="H49" s="403"/>
    </row>
    <row r="50" spans="1:296" ht="18.600000000000001" thickBot="1" x14ac:dyDescent="0.35">
      <c r="B50" s="361">
        <f>(60/F50)*(E46*F48)</f>
        <v>85.447642375995116</v>
      </c>
      <c r="C50" s="683">
        <f>(60/F50)*(D46*F48)</f>
        <v>59.813349663196568</v>
      </c>
      <c r="D50" s="684"/>
      <c r="E50" s="591">
        <f>E48/F46</f>
        <v>0.97391304347826091</v>
      </c>
      <c r="F50" s="392">
        <f>(60*C48*H46)/(H48*E50*B48)</f>
        <v>60.187232787851983</v>
      </c>
      <c r="H50" s="403"/>
    </row>
    <row r="51" spans="1:296" ht="18.600000000000001" thickBot="1" x14ac:dyDescent="0.35">
      <c r="B51" s="362"/>
      <c r="C51" s="363"/>
      <c r="D51" s="363"/>
      <c r="E51" s="364"/>
      <c r="F51" s="381"/>
      <c r="H51" s="403"/>
    </row>
    <row r="52" spans="1:296" ht="21.6" thickBot="1" x14ac:dyDescent="0.35">
      <c r="B52" s="685" t="s">
        <v>50</v>
      </c>
      <c r="C52" s="686"/>
      <c r="D52" s="686"/>
      <c r="E52" s="686"/>
      <c r="F52" s="687"/>
      <c r="H52" s="403"/>
    </row>
    <row r="53" spans="1:296" ht="18" x14ac:dyDescent="0.3">
      <c r="B53" s="606" t="s">
        <v>106</v>
      </c>
      <c r="C53" s="607" t="s">
        <v>195</v>
      </c>
      <c r="D53" s="607" t="s">
        <v>196</v>
      </c>
      <c r="E53" s="608" t="s">
        <v>201</v>
      </c>
      <c r="F53" s="610" t="s">
        <v>198</v>
      </c>
      <c r="H53" s="618" t="s">
        <v>157</v>
      </c>
    </row>
    <row r="54" spans="1:296" ht="18.600000000000001" thickBot="1" x14ac:dyDescent="0.35">
      <c r="B54" s="611">
        <v>2.2999999999999998</v>
      </c>
      <c r="C54" s="612">
        <v>0.7</v>
      </c>
      <c r="D54" s="619">
        <v>30</v>
      </c>
      <c r="E54" s="629">
        <f>D54/C54</f>
        <v>42.857142857142861</v>
      </c>
      <c r="F54" s="377">
        <f>E54*B54*F56</f>
        <v>197.14285714285714</v>
      </c>
      <c r="H54" s="218">
        <v>8.9</v>
      </c>
    </row>
    <row r="55" spans="1:296" ht="18" x14ac:dyDescent="0.3">
      <c r="B55" s="620" t="s">
        <v>202</v>
      </c>
      <c r="C55" s="677" t="s">
        <v>203</v>
      </c>
      <c r="D55" s="678"/>
      <c r="E55" s="609" t="s">
        <v>209</v>
      </c>
      <c r="F55" s="610" t="s">
        <v>204</v>
      </c>
      <c r="H55" s="618" t="s">
        <v>158</v>
      </c>
    </row>
    <row r="56" spans="1:296" ht="18" x14ac:dyDescent="0.3">
      <c r="B56" s="621">
        <v>89</v>
      </c>
      <c r="C56" s="679">
        <v>2</v>
      </c>
      <c r="D56" s="680"/>
      <c r="E56" s="627">
        <v>43</v>
      </c>
      <c r="F56" s="623">
        <v>2</v>
      </c>
      <c r="H56" s="219">
        <v>1.095</v>
      </c>
    </row>
    <row r="57" spans="1:296" ht="18" x14ac:dyDescent="0.3">
      <c r="B57" s="624" t="s">
        <v>199</v>
      </c>
      <c r="C57" s="681" t="s">
        <v>200</v>
      </c>
      <c r="D57" s="682"/>
      <c r="E57" s="625" t="s">
        <v>210</v>
      </c>
      <c r="F57" s="626" t="s">
        <v>205</v>
      </c>
      <c r="H57" s="403"/>
    </row>
    <row r="58" spans="1:296" ht="18.600000000000001" thickBot="1" x14ac:dyDescent="0.35">
      <c r="B58" s="361">
        <f>(60/F58)*(E54*F56)</f>
        <v>102.35869565217394</v>
      </c>
      <c r="C58" s="683">
        <f>(60/F58)*(D54*F56)</f>
        <v>71.651086956521752</v>
      </c>
      <c r="D58" s="684"/>
      <c r="E58" s="591">
        <f>E56/F54</f>
        <v>0.21811594202898552</v>
      </c>
      <c r="F58" s="392">
        <f>(60*C56*H54)/(H56*E58*B56)</f>
        <v>50.24348063532517</v>
      </c>
      <c r="H58" s="403"/>
    </row>
    <row r="59" spans="1:296" ht="18.600000000000001" thickBot="1" x14ac:dyDescent="0.35">
      <c r="B59" s="362"/>
      <c r="C59" s="363"/>
      <c r="D59" s="363"/>
      <c r="E59" s="364"/>
      <c r="F59" s="381"/>
      <c r="H59" s="403"/>
    </row>
    <row r="60" spans="1:296" s="631" customFormat="1" ht="21.6" thickBot="1" x14ac:dyDescent="0.35">
      <c r="A60" s="630"/>
      <c r="B60" s="689" t="s">
        <v>208</v>
      </c>
      <c r="C60" s="690"/>
      <c r="D60" s="690"/>
      <c r="E60" s="690"/>
      <c r="F60" s="691"/>
      <c r="G60" s="103"/>
      <c r="H60" s="403"/>
      <c r="I60" s="103"/>
      <c r="J60" s="103"/>
      <c r="K60" s="103"/>
      <c r="L60" s="103"/>
      <c r="M60" s="103"/>
      <c r="N60" s="103"/>
      <c r="O60" s="103"/>
      <c r="P60" s="103"/>
      <c r="Q60" s="103"/>
      <c r="R60" s="103"/>
      <c r="S60" s="103"/>
      <c r="T60" s="103"/>
      <c r="U60" s="103"/>
      <c r="V60" s="103"/>
      <c r="W60" s="103"/>
      <c r="X60" s="103"/>
      <c r="Y60" s="103"/>
      <c r="Z60" s="103"/>
      <c r="AA60" s="103"/>
      <c r="AB60" s="103"/>
      <c r="AC60" s="103"/>
      <c r="AD60" s="103"/>
      <c r="AE60" s="103"/>
      <c r="AF60" s="103"/>
      <c r="AG60" s="103"/>
      <c r="AH60" s="103"/>
      <c r="AI60" s="103"/>
      <c r="AJ60" s="103"/>
      <c r="AK60" s="103"/>
      <c r="AL60" s="103"/>
      <c r="AM60" s="103"/>
      <c r="AN60" s="103"/>
      <c r="AO60" s="103"/>
      <c r="AP60" s="103"/>
      <c r="AQ60" s="103"/>
      <c r="AR60" s="103"/>
      <c r="AS60" s="103"/>
      <c r="AT60" s="103"/>
      <c r="AU60" s="103"/>
      <c r="AV60" s="103"/>
      <c r="AW60" s="103"/>
      <c r="AX60" s="103"/>
      <c r="AY60" s="103"/>
      <c r="AZ60" s="103"/>
      <c r="BA60" s="103"/>
      <c r="BB60" s="103"/>
      <c r="BC60" s="103"/>
      <c r="BD60" s="103"/>
      <c r="BE60" s="103"/>
      <c r="BF60" s="103"/>
      <c r="BG60" s="103"/>
      <c r="BH60" s="103"/>
      <c r="BI60" s="103"/>
      <c r="BJ60" s="103"/>
      <c r="BK60" s="103"/>
      <c r="BL60" s="103"/>
      <c r="BM60" s="103"/>
      <c r="BN60" s="103"/>
      <c r="BO60" s="103"/>
      <c r="BP60" s="103"/>
      <c r="BQ60" s="103"/>
      <c r="BR60" s="103"/>
      <c r="BS60" s="103"/>
      <c r="BT60" s="103"/>
      <c r="BU60" s="103"/>
      <c r="BV60" s="103"/>
      <c r="BW60" s="103"/>
      <c r="BX60" s="103"/>
      <c r="BY60" s="103"/>
      <c r="BZ60" s="103"/>
      <c r="CA60" s="103"/>
      <c r="CB60" s="103"/>
      <c r="CC60" s="103"/>
      <c r="CD60" s="103"/>
      <c r="CE60" s="103"/>
      <c r="CF60" s="103"/>
      <c r="CG60" s="103"/>
      <c r="CH60" s="103"/>
      <c r="CI60" s="103"/>
      <c r="CJ60" s="103"/>
      <c r="CK60" s="103"/>
      <c r="CL60" s="103"/>
      <c r="CM60" s="103"/>
      <c r="CN60" s="103"/>
      <c r="CO60" s="103"/>
      <c r="CP60" s="103"/>
      <c r="CQ60" s="103"/>
      <c r="CR60" s="103"/>
      <c r="CS60" s="103"/>
      <c r="CT60" s="103"/>
      <c r="CU60" s="103"/>
      <c r="CV60" s="103"/>
      <c r="CW60" s="103"/>
      <c r="CX60" s="103"/>
      <c r="CY60" s="103"/>
      <c r="CZ60" s="103"/>
      <c r="DA60" s="103"/>
      <c r="DB60" s="103"/>
      <c r="DC60" s="103"/>
      <c r="DD60" s="103"/>
      <c r="DE60" s="103"/>
      <c r="DF60" s="103"/>
      <c r="DG60" s="103"/>
      <c r="DH60" s="103"/>
      <c r="DI60" s="103"/>
      <c r="DJ60" s="103"/>
      <c r="DK60" s="103"/>
      <c r="DL60" s="103"/>
      <c r="DM60" s="103"/>
      <c r="DN60" s="103"/>
      <c r="DO60" s="103"/>
      <c r="DP60" s="103"/>
      <c r="DQ60" s="103"/>
      <c r="DR60" s="103"/>
      <c r="DS60" s="103"/>
      <c r="DT60" s="103"/>
      <c r="DU60" s="103"/>
      <c r="DV60" s="103"/>
      <c r="DW60" s="103"/>
      <c r="DX60" s="103"/>
      <c r="DY60" s="103"/>
      <c r="DZ60" s="103"/>
      <c r="EA60" s="103"/>
      <c r="EB60" s="103"/>
      <c r="EC60" s="103"/>
      <c r="ED60" s="103"/>
      <c r="EE60" s="103"/>
      <c r="EF60" s="103"/>
      <c r="EG60" s="103"/>
      <c r="EH60" s="103"/>
      <c r="EI60" s="103"/>
      <c r="EJ60" s="103"/>
      <c r="EK60" s="103"/>
      <c r="EL60" s="103"/>
      <c r="EM60" s="103"/>
      <c r="EN60" s="103"/>
      <c r="EO60" s="103"/>
      <c r="EP60" s="103"/>
      <c r="EQ60" s="103"/>
      <c r="ER60" s="103"/>
      <c r="ES60" s="103"/>
      <c r="ET60" s="103"/>
      <c r="EU60" s="103"/>
      <c r="EV60" s="103"/>
      <c r="EW60" s="103"/>
      <c r="EX60" s="103"/>
      <c r="EY60" s="103"/>
      <c r="EZ60" s="103"/>
      <c r="FA60" s="103"/>
      <c r="FB60" s="103"/>
      <c r="FC60" s="103"/>
      <c r="FD60" s="103"/>
      <c r="FE60" s="103"/>
      <c r="FF60" s="103"/>
      <c r="FG60" s="103"/>
      <c r="FH60" s="103"/>
      <c r="FI60" s="103"/>
      <c r="FJ60" s="103"/>
      <c r="FK60" s="103"/>
      <c r="FL60" s="103"/>
      <c r="FM60" s="103"/>
      <c r="FN60" s="103"/>
      <c r="FO60" s="103"/>
      <c r="FP60" s="103"/>
      <c r="FQ60" s="103"/>
      <c r="FR60" s="103"/>
      <c r="FS60" s="103"/>
      <c r="FT60" s="103"/>
      <c r="FU60" s="103"/>
      <c r="FV60" s="103"/>
      <c r="FW60" s="103"/>
      <c r="FX60" s="103"/>
      <c r="FY60" s="103"/>
      <c r="FZ60" s="103"/>
      <c r="GA60" s="103"/>
      <c r="GB60" s="103"/>
      <c r="GC60" s="103"/>
      <c r="GD60" s="103"/>
      <c r="GE60" s="103"/>
      <c r="GF60" s="103"/>
      <c r="GG60" s="103"/>
      <c r="GH60" s="103"/>
      <c r="GI60" s="103"/>
      <c r="GJ60" s="103"/>
      <c r="GK60" s="103"/>
      <c r="GL60" s="103"/>
      <c r="GM60" s="103"/>
      <c r="GN60" s="103"/>
      <c r="GO60" s="103"/>
      <c r="GP60" s="103"/>
      <c r="GQ60" s="103"/>
      <c r="GR60" s="103"/>
      <c r="GS60" s="103"/>
      <c r="GT60" s="103"/>
      <c r="GU60" s="103"/>
      <c r="GV60" s="103"/>
      <c r="GW60" s="103"/>
      <c r="GX60" s="103"/>
      <c r="GY60" s="103"/>
      <c r="GZ60" s="103"/>
      <c r="HA60" s="103"/>
      <c r="HB60" s="103"/>
      <c r="HC60" s="103"/>
      <c r="HD60" s="103"/>
      <c r="HE60" s="103"/>
      <c r="HF60" s="103"/>
      <c r="HG60" s="103"/>
      <c r="HH60" s="103"/>
      <c r="HI60" s="103"/>
      <c r="HJ60" s="103"/>
      <c r="HK60" s="103"/>
      <c r="HL60" s="103"/>
      <c r="HM60" s="103"/>
      <c r="HN60" s="103"/>
      <c r="HO60" s="103"/>
      <c r="HP60" s="103"/>
      <c r="HQ60" s="103"/>
      <c r="HR60" s="103"/>
      <c r="HS60" s="103"/>
      <c r="HT60" s="103"/>
      <c r="HU60" s="103"/>
      <c r="HV60" s="103"/>
      <c r="HW60" s="103"/>
      <c r="HX60" s="103"/>
      <c r="HY60" s="103"/>
      <c r="HZ60" s="103"/>
      <c r="IA60" s="103"/>
      <c r="IB60" s="103"/>
      <c r="IC60" s="103"/>
      <c r="ID60" s="103"/>
      <c r="IE60" s="103"/>
      <c r="IF60" s="103"/>
      <c r="IG60" s="103"/>
      <c r="IH60" s="103"/>
      <c r="II60" s="103"/>
      <c r="IJ60" s="103"/>
      <c r="IK60" s="103"/>
      <c r="IL60" s="103"/>
      <c r="IM60" s="103"/>
      <c r="IN60" s="103"/>
      <c r="IO60" s="103"/>
      <c r="IP60" s="103"/>
      <c r="IQ60" s="103"/>
      <c r="IR60" s="103"/>
      <c r="IS60" s="103"/>
      <c r="IT60" s="103"/>
      <c r="IU60" s="103"/>
      <c r="IV60" s="103"/>
      <c r="IW60" s="103"/>
      <c r="IX60" s="103"/>
      <c r="IY60" s="103"/>
      <c r="IZ60" s="103"/>
      <c r="JA60" s="103"/>
      <c r="JB60" s="103"/>
      <c r="JC60" s="103"/>
      <c r="JD60" s="103"/>
      <c r="JE60" s="103"/>
      <c r="JF60" s="103"/>
      <c r="JG60" s="103"/>
      <c r="JH60" s="103"/>
      <c r="JI60" s="103"/>
      <c r="JJ60" s="103"/>
      <c r="JK60" s="103"/>
      <c r="JL60" s="103"/>
      <c r="JM60" s="103"/>
      <c r="JN60" s="103"/>
      <c r="JO60" s="103"/>
      <c r="JP60" s="103"/>
      <c r="JQ60" s="103"/>
      <c r="JR60" s="103"/>
      <c r="JS60" s="103"/>
      <c r="JT60" s="103"/>
      <c r="JU60" s="103"/>
      <c r="JV60" s="103"/>
      <c r="JW60" s="103"/>
      <c r="JX60" s="103"/>
      <c r="JY60" s="103"/>
      <c r="JZ60" s="103"/>
      <c r="KA60" s="103"/>
      <c r="KB60" s="103"/>
      <c r="KC60" s="103"/>
      <c r="KD60" s="103"/>
      <c r="KE60" s="103"/>
      <c r="KF60" s="103"/>
      <c r="KG60" s="103"/>
      <c r="KH60" s="103"/>
      <c r="KI60" s="103"/>
      <c r="KJ60" s="103"/>
    </row>
    <row r="61" spans="1:296" ht="18" x14ac:dyDescent="0.3">
      <c r="B61" s="606" t="s">
        <v>106</v>
      </c>
      <c r="C61" s="607" t="s">
        <v>195</v>
      </c>
      <c r="D61" s="608" t="s">
        <v>196</v>
      </c>
      <c r="E61" s="608" t="s">
        <v>201</v>
      </c>
      <c r="F61" s="610" t="s">
        <v>198</v>
      </c>
      <c r="H61" s="618" t="s">
        <v>157</v>
      </c>
    </row>
    <row r="62" spans="1:296" ht="18.600000000000001" thickBot="1" x14ac:dyDescent="0.35">
      <c r="B62" s="611">
        <v>2.2999999999999998</v>
      </c>
      <c r="C62" s="612">
        <v>0.7</v>
      </c>
      <c r="D62" s="619">
        <v>30</v>
      </c>
      <c r="E62" s="629">
        <f>D62/C62</f>
        <v>42.857142857142861</v>
      </c>
      <c r="F62" s="377">
        <f>E62*B62*F64</f>
        <v>197.14285714285714</v>
      </c>
      <c r="H62" s="218">
        <v>8.9</v>
      </c>
    </row>
    <row r="63" spans="1:296" ht="18" x14ac:dyDescent="0.3">
      <c r="B63" s="620" t="s">
        <v>202</v>
      </c>
      <c r="C63" s="677" t="s">
        <v>203</v>
      </c>
      <c r="D63" s="678"/>
      <c r="E63" s="609" t="s">
        <v>209</v>
      </c>
      <c r="F63" s="610" t="s">
        <v>204</v>
      </c>
      <c r="H63" s="618" t="s">
        <v>158</v>
      </c>
    </row>
    <row r="64" spans="1:296" ht="18" x14ac:dyDescent="0.3">
      <c r="B64" s="621">
        <v>89</v>
      </c>
      <c r="C64" s="679">
        <v>2</v>
      </c>
      <c r="D64" s="680"/>
      <c r="E64" s="627">
        <v>43</v>
      </c>
      <c r="F64" s="623">
        <v>2</v>
      </c>
      <c r="H64" s="219">
        <v>1.095</v>
      </c>
    </row>
    <row r="65" spans="2:6" ht="18" x14ac:dyDescent="0.3">
      <c r="B65" s="624" t="s">
        <v>199</v>
      </c>
      <c r="C65" s="681" t="s">
        <v>200</v>
      </c>
      <c r="D65" s="682"/>
      <c r="E65" s="625" t="s">
        <v>210</v>
      </c>
      <c r="F65" s="626" t="s">
        <v>205</v>
      </c>
    </row>
    <row r="66" spans="2:6" ht="18.600000000000001" thickBot="1" x14ac:dyDescent="0.35">
      <c r="B66" s="382">
        <f>(60/F66)*(E62*F64)</f>
        <v>102.35869565217394</v>
      </c>
      <c r="C66" s="692">
        <f>(60/F66)*(D62*F64)</f>
        <v>71.651086956521752</v>
      </c>
      <c r="D66" s="693"/>
      <c r="E66" s="595">
        <f>E64/F62</f>
        <v>0.21811594202898552</v>
      </c>
      <c r="F66" s="393">
        <f>(60*C64*H62)/(H64*E66*B64)</f>
        <v>50.24348063532517</v>
      </c>
    </row>
    <row r="67" spans="2:6" ht="18" x14ac:dyDescent="0.3">
      <c r="B67" s="366"/>
      <c r="C67" s="366"/>
      <c r="D67" s="366"/>
      <c r="E67" s="367"/>
      <c r="F67" s="367"/>
    </row>
    <row r="68" spans="2:6" ht="21" x14ac:dyDescent="0.3">
      <c r="B68" s="694"/>
      <c r="C68" s="694"/>
      <c r="D68" s="694"/>
      <c r="E68" s="694"/>
      <c r="F68" s="694"/>
    </row>
    <row r="69" spans="2:6" ht="18" x14ac:dyDescent="0.3">
      <c r="B69" s="632"/>
      <c r="C69" s="633"/>
      <c r="D69" s="633"/>
      <c r="E69" s="633"/>
      <c r="F69" s="633"/>
    </row>
    <row r="70" spans="2:6" ht="18" x14ac:dyDescent="0.3">
      <c r="B70" s="634"/>
      <c r="C70" s="635"/>
      <c r="D70" s="636"/>
      <c r="E70" s="636"/>
      <c r="F70" s="389"/>
    </row>
    <row r="71" spans="2:6" ht="18" x14ac:dyDescent="0.3">
      <c r="B71" s="633"/>
      <c r="C71" s="695"/>
      <c r="D71" s="695"/>
      <c r="E71" s="633"/>
      <c r="F71" s="633"/>
    </row>
    <row r="72" spans="2:6" ht="18" x14ac:dyDescent="0.3">
      <c r="B72" s="637"/>
      <c r="C72" s="688"/>
      <c r="D72" s="688"/>
      <c r="E72" s="636"/>
      <c r="F72" s="638"/>
    </row>
    <row r="73" spans="2:6" ht="18" x14ac:dyDescent="0.3">
      <c r="B73" s="633"/>
      <c r="C73" s="697"/>
      <c r="D73" s="697"/>
      <c r="E73" s="633"/>
      <c r="F73" s="633"/>
    </row>
    <row r="74" spans="2:6" ht="18" x14ac:dyDescent="0.3">
      <c r="B74" s="389"/>
      <c r="C74" s="696"/>
      <c r="D74" s="696"/>
      <c r="E74" s="373"/>
      <c r="F74" s="373"/>
    </row>
    <row r="75" spans="2:6" ht="21" x14ac:dyDescent="0.3">
      <c r="B75" s="694"/>
      <c r="C75" s="694"/>
      <c r="D75" s="694"/>
      <c r="E75" s="694"/>
      <c r="F75" s="694"/>
    </row>
    <row r="76" spans="2:6" ht="18" x14ac:dyDescent="0.3">
      <c r="B76" s="632"/>
      <c r="C76" s="633"/>
      <c r="D76" s="633"/>
      <c r="E76" s="633"/>
      <c r="F76" s="633"/>
    </row>
    <row r="77" spans="2:6" ht="18" x14ac:dyDescent="0.3">
      <c r="B77" s="634"/>
      <c r="C77" s="635"/>
      <c r="D77" s="636"/>
      <c r="E77" s="636"/>
      <c r="F77" s="389"/>
    </row>
    <row r="78" spans="2:6" ht="18" x14ac:dyDescent="0.3">
      <c r="B78" s="633"/>
      <c r="C78" s="695"/>
      <c r="D78" s="695"/>
      <c r="E78" s="633"/>
      <c r="F78" s="633"/>
    </row>
    <row r="79" spans="2:6" ht="18" x14ac:dyDescent="0.3">
      <c r="B79" s="637"/>
      <c r="C79" s="688"/>
      <c r="D79" s="688"/>
      <c r="E79" s="636"/>
      <c r="F79" s="638"/>
    </row>
    <row r="80" spans="2:6" ht="18" x14ac:dyDescent="0.3">
      <c r="B80" s="633"/>
      <c r="C80" s="697"/>
      <c r="D80" s="697"/>
      <c r="E80" s="633"/>
      <c r="F80" s="633"/>
    </row>
    <row r="81" spans="2:6" ht="18" x14ac:dyDescent="0.3">
      <c r="B81" s="389"/>
      <c r="C81" s="696"/>
      <c r="D81" s="696"/>
      <c r="E81" s="373"/>
      <c r="F81" s="373"/>
    </row>
    <row r="82" spans="2:6" ht="21" x14ac:dyDescent="0.3">
      <c r="B82" s="694"/>
      <c r="C82" s="694"/>
      <c r="D82" s="694"/>
      <c r="E82" s="694"/>
      <c r="F82" s="694"/>
    </row>
    <row r="83" spans="2:6" ht="18" x14ac:dyDescent="0.3">
      <c r="B83" s="632"/>
      <c r="C83" s="633"/>
      <c r="D83" s="633"/>
      <c r="E83" s="633"/>
      <c r="F83" s="633"/>
    </row>
    <row r="84" spans="2:6" ht="18" x14ac:dyDescent="0.3">
      <c r="B84" s="634"/>
      <c r="C84" s="635"/>
      <c r="D84" s="636"/>
      <c r="E84" s="636"/>
      <c r="F84" s="389"/>
    </row>
    <row r="85" spans="2:6" ht="18" x14ac:dyDescent="0.3">
      <c r="B85" s="633"/>
      <c r="C85" s="695"/>
      <c r="D85" s="695"/>
      <c r="E85" s="633"/>
      <c r="F85" s="633"/>
    </row>
    <row r="86" spans="2:6" ht="18" x14ac:dyDescent="0.3">
      <c r="B86" s="637"/>
      <c r="C86" s="688"/>
      <c r="D86" s="688"/>
      <c r="E86" s="636"/>
      <c r="F86" s="638"/>
    </row>
    <row r="87" spans="2:6" ht="18" x14ac:dyDescent="0.3">
      <c r="B87" s="633"/>
      <c r="C87" s="697"/>
      <c r="D87" s="697"/>
      <c r="E87" s="633"/>
      <c r="F87" s="633"/>
    </row>
    <row r="88" spans="2:6" ht="18" x14ac:dyDescent="0.3">
      <c r="B88" s="389"/>
      <c r="C88" s="696"/>
      <c r="D88" s="696"/>
      <c r="E88" s="373"/>
      <c r="F88" s="373"/>
    </row>
    <row r="89" spans="2:6" ht="21" x14ac:dyDescent="0.3">
      <c r="B89" s="694"/>
      <c r="C89" s="694"/>
      <c r="D89" s="694"/>
      <c r="E89" s="694"/>
      <c r="F89" s="694"/>
    </row>
    <row r="90" spans="2:6" ht="18" x14ac:dyDescent="0.3">
      <c r="B90" s="632"/>
      <c r="C90" s="633"/>
      <c r="D90" s="633"/>
      <c r="E90" s="633"/>
      <c r="F90" s="633"/>
    </row>
    <row r="91" spans="2:6" ht="18" x14ac:dyDescent="0.3">
      <c r="B91" s="634"/>
      <c r="C91" s="635"/>
      <c r="D91" s="636"/>
      <c r="E91" s="636"/>
      <c r="F91" s="389"/>
    </row>
    <row r="92" spans="2:6" ht="18" x14ac:dyDescent="0.3">
      <c r="B92" s="633"/>
      <c r="C92" s="695"/>
      <c r="D92" s="695"/>
      <c r="E92" s="633"/>
      <c r="F92" s="633"/>
    </row>
    <row r="93" spans="2:6" ht="18" x14ac:dyDescent="0.3">
      <c r="B93" s="637"/>
      <c r="C93" s="688"/>
      <c r="D93" s="688"/>
      <c r="E93" s="636"/>
      <c r="F93" s="638"/>
    </row>
    <row r="94" spans="2:6" ht="18" x14ac:dyDescent="0.3">
      <c r="B94" s="633"/>
      <c r="C94" s="697"/>
      <c r="D94" s="697"/>
      <c r="E94" s="633"/>
      <c r="F94" s="633"/>
    </row>
    <row r="95" spans="2:6" ht="18" x14ac:dyDescent="0.3">
      <c r="B95" s="389"/>
      <c r="C95" s="696"/>
      <c r="D95" s="696"/>
      <c r="E95" s="373"/>
      <c r="F95" s="373"/>
    </row>
    <row r="96" spans="2:6" ht="21" x14ac:dyDescent="0.3">
      <c r="B96" s="694"/>
      <c r="C96" s="694"/>
      <c r="D96" s="694"/>
      <c r="E96" s="694"/>
      <c r="F96" s="694"/>
    </row>
    <row r="97" spans="2:6" ht="18" x14ac:dyDescent="0.3">
      <c r="B97" s="632"/>
      <c r="C97" s="633"/>
      <c r="D97" s="633"/>
      <c r="E97" s="633"/>
      <c r="F97" s="633"/>
    </row>
    <row r="98" spans="2:6" ht="18" x14ac:dyDescent="0.3">
      <c r="B98" s="634"/>
      <c r="C98" s="635"/>
      <c r="D98" s="636"/>
      <c r="E98" s="636"/>
      <c r="F98" s="389"/>
    </row>
    <row r="99" spans="2:6" ht="18" x14ac:dyDescent="0.3">
      <c r="B99" s="633"/>
      <c r="C99" s="695"/>
      <c r="D99" s="695"/>
      <c r="E99" s="633"/>
      <c r="F99" s="633"/>
    </row>
    <row r="100" spans="2:6" ht="18" x14ac:dyDescent="0.3">
      <c r="B100" s="637"/>
      <c r="C100" s="688"/>
      <c r="D100" s="688"/>
      <c r="E100" s="636"/>
      <c r="F100" s="638"/>
    </row>
    <row r="101" spans="2:6" ht="18" x14ac:dyDescent="0.3">
      <c r="B101" s="633"/>
      <c r="C101" s="697"/>
      <c r="D101" s="697"/>
      <c r="E101" s="633"/>
      <c r="F101" s="633"/>
    </row>
    <row r="102" spans="2:6" ht="18" x14ac:dyDescent="0.3">
      <c r="B102" s="389"/>
      <c r="C102" s="696"/>
      <c r="D102" s="696"/>
      <c r="E102" s="373"/>
      <c r="F102" s="373"/>
    </row>
    <row r="103" spans="2:6" ht="21" x14ac:dyDescent="0.3">
      <c r="B103" s="694"/>
      <c r="C103" s="694"/>
      <c r="D103" s="694"/>
      <c r="E103" s="694"/>
      <c r="F103" s="694"/>
    </row>
    <row r="104" spans="2:6" ht="18" x14ac:dyDescent="0.3">
      <c r="B104" s="632"/>
      <c r="C104" s="633"/>
      <c r="D104" s="633"/>
      <c r="E104" s="633"/>
      <c r="F104" s="633"/>
    </row>
    <row r="105" spans="2:6" ht="18" x14ac:dyDescent="0.3">
      <c r="B105" s="634"/>
      <c r="C105" s="635"/>
      <c r="D105" s="636"/>
      <c r="E105" s="636"/>
      <c r="F105" s="389"/>
    </row>
    <row r="106" spans="2:6" ht="18" x14ac:dyDescent="0.3">
      <c r="B106" s="633"/>
      <c r="C106" s="695"/>
      <c r="D106" s="695"/>
      <c r="E106" s="633"/>
      <c r="F106" s="633"/>
    </row>
    <row r="107" spans="2:6" ht="18" x14ac:dyDescent="0.3">
      <c r="B107" s="637"/>
      <c r="C107" s="688"/>
      <c r="D107" s="688"/>
      <c r="E107" s="636"/>
      <c r="F107" s="638"/>
    </row>
    <row r="108" spans="2:6" ht="18" x14ac:dyDescent="0.3">
      <c r="B108" s="633"/>
      <c r="C108" s="697"/>
      <c r="D108" s="697"/>
      <c r="E108" s="633"/>
      <c r="F108" s="633"/>
    </row>
    <row r="109" spans="2:6" ht="18" x14ac:dyDescent="0.3">
      <c r="B109" s="389"/>
      <c r="C109" s="696"/>
      <c r="D109" s="696"/>
      <c r="E109" s="373"/>
      <c r="F109" s="373"/>
    </row>
    <row r="110" spans="2:6" ht="21" x14ac:dyDescent="0.3">
      <c r="B110" s="694"/>
      <c r="C110" s="694"/>
      <c r="D110" s="694"/>
      <c r="E110" s="694"/>
      <c r="F110" s="694"/>
    </row>
    <row r="111" spans="2:6" ht="18" x14ac:dyDescent="0.3">
      <c r="B111" s="632"/>
      <c r="C111" s="633"/>
      <c r="D111" s="633"/>
      <c r="E111" s="633"/>
      <c r="F111" s="633"/>
    </row>
    <row r="112" spans="2:6" ht="18" x14ac:dyDescent="0.3">
      <c r="B112" s="634"/>
      <c r="C112" s="635"/>
      <c r="D112" s="636"/>
      <c r="E112" s="636"/>
      <c r="F112" s="389"/>
    </row>
    <row r="113" spans="2:6" ht="18" x14ac:dyDescent="0.3">
      <c r="B113" s="633"/>
      <c r="C113" s="695"/>
      <c r="D113" s="695"/>
      <c r="E113" s="633"/>
      <c r="F113" s="633"/>
    </row>
    <row r="114" spans="2:6" ht="18" x14ac:dyDescent="0.3">
      <c r="B114" s="637"/>
      <c r="C114" s="688"/>
      <c r="D114" s="688"/>
      <c r="E114" s="636"/>
      <c r="F114" s="638"/>
    </row>
    <row r="115" spans="2:6" ht="18" x14ac:dyDescent="0.3">
      <c r="B115" s="633"/>
      <c r="C115" s="697"/>
      <c r="D115" s="697"/>
      <c r="E115" s="633"/>
      <c r="F115" s="633"/>
    </row>
    <row r="116" spans="2:6" ht="18" x14ac:dyDescent="0.3">
      <c r="B116" s="389"/>
      <c r="C116" s="696"/>
      <c r="D116" s="696"/>
      <c r="E116" s="373"/>
      <c r="F116" s="373"/>
    </row>
    <row r="117" spans="2:6" ht="21" x14ac:dyDescent="0.3">
      <c r="B117" s="694"/>
      <c r="C117" s="694"/>
      <c r="D117" s="694"/>
      <c r="E117" s="694"/>
      <c r="F117" s="694"/>
    </row>
    <row r="118" spans="2:6" ht="18" x14ac:dyDescent="0.3">
      <c r="B118" s="632"/>
      <c r="C118" s="633"/>
      <c r="D118" s="633"/>
      <c r="E118" s="633"/>
      <c r="F118" s="633"/>
    </row>
    <row r="119" spans="2:6" ht="18" x14ac:dyDescent="0.3">
      <c r="B119" s="634"/>
      <c r="C119" s="635"/>
      <c r="D119" s="636"/>
      <c r="E119" s="636"/>
      <c r="F119" s="389"/>
    </row>
    <row r="120" spans="2:6" ht="18" x14ac:dyDescent="0.3">
      <c r="B120" s="633"/>
      <c r="C120" s="695"/>
      <c r="D120" s="695"/>
      <c r="E120" s="633"/>
      <c r="F120" s="633"/>
    </row>
    <row r="121" spans="2:6" ht="18" x14ac:dyDescent="0.3">
      <c r="B121" s="637"/>
      <c r="C121" s="688"/>
      <c r="D121" s="688"/>
      <c r="E121" s="636"/>
      <c r="F121" s="638"/>
    </row>
    <row r="122" spans="2:6" ht="18" x14ac:dyDescent="0.3">
      <c r="B122" s="633"/>
      <c r="C122" s="697"/>
      <c r="D122" s="697"/>
      <c r="E122" s="633"/>
      <c r="F122" s="633"/>
    </row>
    <row r="123" spans="2:6" ht="18" x14ac:dyDescent="0.3">
      <c r="B123" s="389"/>
      <c r="C123" s="696"/>
      <c r="D123" s="696"/>
      <c r="E123" s="373"/>
      <c r="F123" s="373"/>
    </row>
    <row r="124" spans="2:6" ht="21" x14ac:dyDescent="0.3">
      <c r="B124" s="694"/>
      <c r="C124" s="694"/>
      <c r="D124" s="694"/>
      <c r="E124" s="694"/>
      <c r="F124" s="694"/>
    </row>
    <row r="125" spans="2:6" ht="18" x14ac:dyDescent="0.3">
      <c r="B125" s="632"/>
      <c r="C125" s="633"/>
      <c r="D125" s="633"/>
      <c r="E125" s="633"/>
      <c r="F125" s="633"/>
    </row>
    <row r="126" spans="2:6" ht="18" x14ac:dyDescent="0.3">
      <c r="B126" s="634"/>
      <c r="C126" s="635"/>
      <c r="D126" s="636"/>
      <c r="E126" s="639"/>
      <c r="F126" s="389"/>
    </row>
    <row r="127" spans="2:6" ht="18" x14ac:dyDescent="0.3">
      <c r="B127" s="697"/>
      <c r="C127" s="697"/>
      <c r="D127" s="697"/>
      <c r="E127" s="697"/>
      <c r="F127" s="697"/>
    </row>
    <row r="128" spans="2:6" ht="18" x14ac:dyDescent="0.3">
      <c r="B128" s="698"/>
      <c r="C128" s="699"/>
      <c r="D128" s="699"/>
      <c r="E128" s="700"/>
      <c r="F128" s="700"/>
    </row>
    <row r="129" spans="2:6" ht="21" x14ac:dyDescent="0.3">
      <c r="B129" s="694"/>
      <c r="C129" s="694"/>
      <c r="D129" s="694"/>
      <c r="E129" s="694"/>
      <c r="F129" s="694"/>
    </row>
    <row r="130" spans="2:6" ht="18" x14ac:dyDescent="0.3">
      <c r="B130" s="632"/>
      <c r="C130" s="633"/>
      <c r="D130" s="633"/>
      <c r="E130" s="633"/>
      <c r="F130" s="633"/>
    </row>
    <row r="131" spans="2:6" ht="18" x14ac:dyDescent="0.3">
      <c r="B131" s="634"/>
      <c r="C131" s="635"/>
      <c r="D131" s="636"/>
      <c r="E131" s="639"/>
      <c r="F131" s="389"/>
    </row>
    <row r="132" spans="2:6" ht="18" x14ac:dyDescent="0.3">
      <c r="B132" s="697"/>
      <c r="C132" s="697"/>
      <c r="D132" s="697"/>
      <c r="E132" s="697"/>
      <c r="F132" s="697"/>
    </row>
    <row r="133" spans="2:6" ht="18" x14ac:dyDescent="0.3">
      <c r="B133" s="698"/>
      <c r="C133" s="699"/>
      <c r="D133" s="699"/>
      <c r="E133" s="700"/>
      <c r="F133" s="700"/>
    </row>
    <row r="134" spans="2:6" ht="21" x14ac:dyDescent="0.3">
      <c r="B134" s="694"/>
      <c r="C134" s="694"/>
      <c r="D134" s="694"/>
      <c r="E134" s="694"/>
      <c r="F134" s="694"/>
    </row>
    <row r="135" spans="2:6" ht="18" x14ac:dyDescent="0.3">
      <c r="B135" s="632"/>
      <c r="C135" s="633"/>
      <c r="D135" s="633"/>
      <c r="E135" s="633"/>
      <c r="F135" s="633"/>
    </row>
    <row r="136" spans="2:6" ht="18" x14ac:dyDescent="0.3">
      <c r="B136" s="634"/>
      <c r="C136" s="635"/>
      <c r="D136" s="636"/>
      <c r="E136" s="639"/>
      <c r="F136" s="389"/>
    </row>
    <row r="137" spans="2:6" ht="18" x14ac:dyDescent="0.3">
      <c r="B137" s="697"/>
      <c r="C137" s="697"/>
      <c r="D137" s="697"/>
      <c r="E137" s="697"/>
      <c r="F137" s="697"/>
    </row>
    <row r="138" spans="2:6" ht="18" x14ac:dyDescent="0.3">
      <c r="B138" s="698"/>
      <c r="C138" s="699"/>
      <c r="D138" s="699"/>
      <c r="E138" s="700"/>
      <c r="F138" s="700"/>
    </row>
  </sheetData>
  <protectedRanges>
    <protectedRange sqref="B7:D7 B15:D15 B17:F17 B23:D23 B25:F25 B31:D31 B38:D38 B40:F40 B46:D46 B48:F48 B55 B54:D54 B56:F56 B62:D62 B64:F64" name="Intervalo1"/>
    <protectedRange sqref="C9 F9 F11" name="Intervalo1_1"/>
    <protectedRange sqref="C33 F33 F35" name="Intervalo1_2"/>
  </protectedRanges>
  <mergeCells count="97">
    <mergeCell ref="B4:F4"/>
    <mergeCell ref="B5:F5"/>
    <mergeCell ref="C25:D25"/>
    <mergeCell ref="C8:D8"/>
    <mergeCell ref="C9:D9"/>
    <mergeCell ref="C10:D10"/>
    <mergeCell ref="C11:D11"/>
    <mergeCell ref="C26:D26"/>
    <mergeCell ref="C24:D24"/>
    <mergeCell ref="B21:F21"/>
    <mergeCell ref="B13:F13"/>
    <mergeCell ref="C40:D40"/>
    <mergeCell ref="C41:D41"/>
    <mergeCell ref="C39:D39"/>
    <mergeCell ref="B36:F36"/>
    <mergeCell ref="C27:D27"/>
    <mergeCell ref="B29:F29"/>
    <mergeCell ref="C32:D32"/>
    <mergeCell ref="C33:D33"/>
    <mergeCell ref="C34:D34"/>
    <mergeCell ref="C35:D35"/>
    <mergeCell ref="C48:D48"/>
    <mergeCell ref="C49:D49"/>
    <mergeCell ref="C47:D47"/>
    <mergeCell ref="C42:D42"/>
    <mergeCell ref="B44:F44"/>
    <mergeCell ref="C56:D56"/>
    <mergeCell ref="C57:D57"/>
    <mergeCell ref="C55:D55"/>
    <mergeCell ref="C50:D50"/>
    <mergeCell ref="B52:F52"/>
    <mergeCell ref="C64:D64"/>
    <mergeCell ref="C65:D65"/>
    <mergeCell ref="C63:D63"/>
    <mergeCell ref="C58:D58"/>
    <mergeCell ref="B60:F60"/>
    <mergeCell ref="C72:D72"/>
    <mergeCell ref="C73:D73"/>
    <mergeCell ref="C71:D71"/>
    <mergeCell ref="C66:D66"/>
    <mergeCell ref="B68:F68"/>
    <mergeCell ref="C79:D79"/>
    <mergeCell ref="C80:D80"/>
    <mergeCell ref="C78:D78"/>
    <mergeCell ref="C74:D74"/>
    <mergeCell ref="B75:F75"/>
    <mergeCell ref="C86:D86"/>
    <mergeCell ref="C87:D87"/>
    <mergeCell ref="C85:D85"/>
    <mergeCell ref="C81:D81"/>
    <mergeCell ref="B82:F82"/>
    <mergeCell ref="C93:D93"/>
    <mergeCell ref="C94:D94"/>
    <mergeCell ref="C92:D92"/>
    <mergeCell ref="C88:D88"/>
    <mergeCell ref="B89:F89"/>
    <mergeCell ref="C100:D100"/>
    <mergeCell ref="C101:D101"/>
    <mergeCell ref="C99:D99"/>
    <mergeCell ref="C95:D95"/>
    <mergeCell ref="B96:F96"/>
    <mergeCell ref="C107:D107"/>
    <mergeCell ref="C108:D108"/>
    <mergeCell ref="C106:D106"/>
    <mergeCell ref="C102:D102"/>
    <mergeCell ref="B103:F103"/>
    <mergeCell ref="C114:D114"/>
    <mergeCell ref="C115:D115"/>
    <mergeCell ref="C113:D113"/>
    <mergeCell ref="C109:D109"/>
    <mergeCell ref="B110:F110"/>
    <mergeCell ref="C121:D121"/>
    <mergeCell ref="C122:D122"/>
    <mergeCell ref="C120:D120"/>
    <mergeCell ref="C116:D116"/>
    <mergeCell ref="B117:F117"/>
    <mergeCell ref="B129:F129"/>
    <mergeCell ref="B127:D127"/>
    <mergeCell ref="E127:F127"/>
    <mergeCell ref="C123:D123"/>
    <mergeCell ref="B124:F124"/>
    <mergeCell ref="B138:D138"/>
    <mergeCell ref="E138:F138"/>
    <mergeCell ref="C2:E2"/>
    <mergeCell ref="C16:D16"/>
    <mergeCell ref="C17:D17"/>
    <mergeCell ref="C18:D18"/>
    <mergeCell ref="C19:D19"/>
    <mergeCell ref="B137:D137"/>
    <mergeCell ref="E137:F137"/>
    <mergeCell ref="B133:D133"/>
    <mergeCell ref="E133:F133"/>
    <mergeCell ref="B134:F134"/>
    <mergeCell ref="B132:D132"/>
    <mergeCell ref="E132:F132"/>
    <mergeCell ref="B128:D128"/>
    <mergeCell ref="E128:F128"/>
  </mergeCells>
  <hyperlinks>
    <hyperlink ref="A2" location="Menu!A1" display="Menu" xr:uid="{00000000-0004-0000-0500-000000000000}"/>
  </hyperlinks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3"/>
  </sheetPr>
  <dimension ref="A1:L114"/>
  <sheetViews>
    <sheetView workbookViewId="0">
      <selection activeCell="A2" sqref="A2"/>
    </sheetView>
  </sheetViews>
  <sheetFormatPr defaultColWidth="9.109375" defaultRowHeight="14.4" x14ac:dyDescent="0.3"/>
  <cols>
    <col min="1" max="1" width="11.88671875" style="37" bestFit="1" customWidth="1"/>
    <col min="2" max="2" width="32.5546875" style="37" bestFit="1" customWidth="1"/>
    <col min="3" max="3" width="11.88671875" style="37" bestFit="1" customWidth="1"/>
    <col min="4" max="4" width="15.109375" style="37" bestFit="1" customWidth="1"/>
    <col min="5" max="5" width="9.109375" style="37"/>
    <col min="6" max="6" width="32.5546875" style="37" bestFit="1" customWidth="1"/>
    <col min="7" max="7" width="12.44140625" style="37" bestFit="1" customWidth="1"/>
    <col min="8" max="8" width="9.109375" style="37"/>
    <col min="9" max="9" width="13.6640625" style="37" bestFit="1" customWidth="1"/>
    <col min="10" max="16384" width="9.109375" style="37"/>
  </cols>
  <sheetData>
    <row r="1" spans="1:11" ht="15" thickBot="1" x14ac:dyDescent="0.35"/>
    <row r="2" spans="1:11" ht="29.4" thickBot="1" x14ac:dyDescent="0.6">
      <c r="A2" s="561" t="s">
        <v>110</v>
      </c>
      <c r="C2" s="666" t="s">
        <v>151</v>
      </c>
      <c r="D2" s="666"/>
      <c r="E2" s="666"/>
      <c r="F2" s="666"/>
      <c r="G2" s="666"/>
      <c r="H2" s="666"/>
      <c r="I2" s="666"/>
      <c r="J2" s="666"/>
      <c r="K2" s="666"/>
    </row>
    <row r="6" spans="1:11" ht="28.8" x14ac:dyDescent="0.55000000000000004">
      <c r="A6" s="299"/>
      <c r="E6" s="563" t="s">
        <v>76</v>
      </c>
    </row>
    <row r="7" spans="1:11" ht="15" thickBot="1" x14ac:dyDescent="0.35"/>
    <row r="8" spans="1:11" x14ac:dyDescent="0.3">
      <c r="B8" s="215" t="s">
        <v>118</v>
      </c>
      <c r="C8" s="215" t="s">
        <v>107</v>
      </c>
      <c r="D8" s="564" t="s">
        <v>108</v>
      </c>
      <c r="F8" s="701" t="s">
        <v>118</v>
      </c>
      <c r="G8" s="701" t="s">
        <v>152</v>
      </c>
      <c r="H8" s="703"/>
      <c r="I8" s="701" t="s">
        <v>155</v>
      </c>
    </row>
    <row r="9" spans="1:11" ht="15" thickBot="1" x14ac:dyDescent="0.35">
      <c r="B9" s="145" t="s">
        <v>50</v>
      </c>
      <c r="C9" s="560">
        <f ca="1">IF(E9=1,'Custo Galvanoplastia'!C47,0)</f>
        <v>0</v>
      </c>
      <c r="D9" s="565">
        <f>IF(E9=1,'Custo Galvanoplastia'!D47,0)</f>
        <v>1.8781805321235869</v>
      </c>
      <c r="E9" s="658">
        <v>1</v>
      </c>
      <c r="F9" s="702"/>
      <c r="G9" s="702"/>
      <c r="H9" s="704"/>
      <c r="I9" s="702"/>
    </row>
    <row r="10" spans="1:11" x14ac:dyDescent="0.3">
      <c r="B10" s="145" t="s">
        <v>0</v>
      </c>
      <c r="C10" s="148" t="e">
        <f ca="1">G10/'Peças por Hora Verniz'!B11</f>
        <v>#DIV/0!</v>
      </c>
      <c r="D10" s="566" t="e">
        <f>I10/'Peças por Hora Verniz'!B11</f>
        <v>#DIV/0!</v>
      </c>
      <c r="F10" s="166" t="s">
        <v>0</v>
      </c>
      <c r="G10" s="151">
        <f ca="1">IF(H10=1,HLOOKUP(E6,'Resumo de Custo'!DS7:ED26,11,0),0)</f>
        <v>0</v>
      </c>
      <c r="H10" s="152">
        <v>1</v>
      </c>
      <c r="I10" s="567">
        <f>IF(H10=1,HLOOKUP(E6,'Resumo de Custo'!EF7:EQ28,11,0),0)</f>
        <v>0.63636363636363635</v>
      </c>
    </row>
    <row r="11" spans="1:11" x14ac:dyDescent="0.3">
      <c r="B11" s="145" t="s">
        <v>118</v>
      </c>
      <c r="C11" s="148" t="e">
        <f ca="1">G11/'Peças por Hora Verniz'!B19</f>
        <v>#DIV/0!</v>
      </c>
      <c r="D11" s="568" t="e">
        <f>I11/'Peças por Hora Verniz'!B19</f>
        <v>#DIV/0!</v>
      </c>
      <c r="F11" s="159" t="s">
        <v>118</v>
      </c>
      <c r="G11" s="153">
        <f ca="1">IF(H11=1,HLOOKUP(E6,'Resumo de Custo'!DS7:ED28,12,0),0)</f>
        <v>0</v>
      </c>
      <c r="H11" s="154">
        <v>1</v>
      </c>
      <c r="I11" s="569">
        <f>IF(H11=1,HLOOKUP(E6,'Resumo de Custo'!EF7:EQ28,12,0),0)</f>
        <v>108.9945909090909</v>
      </c>
    </row>
    <row r="12" spans="1:11" x14ac:dyDescent="0.3">
      <c r="B12" s="145" t="s">
        <v>14</v>
      </c>
      <c r="C12" s="220" t="e">
        <f ca="1">G12/'Peças por Hora Verniz'!B67</f>
        <v>#DIV/0!</v>
      </c>
      <c r="D12" s="565" t="e">
        <f>I12/'Peças por Hora Verniz'!B67</f>
        <v>#DIV/0!</v>
      </c>
      <c r="F12" s="159" t="s">
        <v>14</v>
      </c>
      <c r="G12" s="153">
        <f ca="1">IF(H12=1,HLOOKUP(E6,'Resumo de Custo'!DS7:ED28,19,0),0)</f>
        <v>0</v>
      </c>
      <c r="H12" s="154">
        <v>1</v>
      </c>
      <c r="I12" s="569">
        <f>IF(H12=1,HLOOKUP(E6,'Resumo de Custo'!EF7:EQ28,19,0),0)</f>
        <v>38.422727272727272</v>
      </c>
    </row>
    <row r="13" spans="1:11" x14ac:dyDescent="0.3">
      <c r="B13" s="145" t="s">
        <v>53</v>
      </c>
      <c r="C13" s="148" t="e">
        <f ca="1">G13/'Peças por Hora Verniz'!B67</f>
        <v>#DIV/0!</v>
      </c>
      <c r="D13" s="570" t="e">
        <f>I13/'Peças por Hora Verniz'!B67</f>
        <v>#DIV/0!</v>
      </c>
      <c r="F13" s="159" t="s">
        <v>53</v>
      </c>
      <c r="G13" s="153">
        <f ca="1">IF(H13=1,HLOOKUP(E6,'Resumo de Custo'!DS7:ED28,20,0),0)</f>
        <v>0</v>
      </c>
      <c r="H13" s="154">
        <v>1</v>
      </c>
      <c r="I13" s="569">
        <f>IF(H13=1,HLOOKUP(E6,'Resumo de Custo'!EF7:EQ28,20,0),0)</f>
        <v>1.3636363636363636E-2</v>
      </c>
    </row>
    <row r="14" spans="1:11" x14ac:dyDescent="0.3">
      <c r="B14" s="145"/>
      <c r="C14" s="148"/>
      <c r="D14" s="571"/>
      <c r="F14" s="159"/>
      <c r="G14" s="153"/>
      <c r="H14" s="155"/>
      <c r="I14" s="572"/>
    </row>
    <row r="15" spans="1:11" x14ac:dyDescent="0.3">
      <c r="B15" s="149"/>
      <c r="C15" s="148"/>
      <c r="D15" s="571"/>
      <c r="F15" s="159"/>
      <c r="G15" s="156"/>
      <c r="H15" s="155"/>
      <c r="I15" s="572"/>
    </row>
    <row r="16" spans="1:11" x14ac:dyDescent="0.3">
      <c r="B16" s="149"/>
      <c r="C16" s="148"/>
      <c r="D16" s="571"/>
      <c r="F16" s="159"/>
      <c r="G16" s="156"/>
      <c r="H16" s="155"/>
      <c r="I16" s="572"/>
    </row>
    <row r="17" spans="2:9" x14ac:dyDescent="0.3">
      <c r="B17" s="149"/>
      <c r="C17" s="148"/>
      <c r="D17" s="571"/>
      <c r="F17" s="159"/>
      <c r="G17" s="156"/>
      <c r="H17" s="155"/>
      <c r="I17" s="572"/>
    </row>
    <row r="18" spans="2:9" ht="15" thickBot="1" x14ac:dyDescent="0.35">
      <c r="B18" s="149"/>
      <c r="C18" s="148"/>
      <c r="D18" s="571"/>
      <c r="F18" s="159"/>
      <c r="G18" s="156"/>
      <c r="H18" s="155"/>
      <c r="I18" s="572"/>
    </row>
    <row r="19" spans="2:9" ht="15" thickBot="1" x14ac:dyDescent="0.35">
      <c r="B19" s="149"/>
      <c r="C19" s="150"/>
      <c r="D19" s="571"/>
      <c r="F19" s="162" t="s">
        <v>8</v>
      </c>
      <c r="G19" s="158">
        <f ca="1">SUM(G10:G18)</f>
        <v>0</v>
      </c>
      <c r="H19" s="103"/>
      <c r="I19" s="573">
        <f>SUM(I10:I18)</f>
        <v>148.06731818181817</v>
      </c>
    </row>
    <row r="20" spans="2:9" x14ac:dyDescent="0.3">
      <c r="B20" s="149"/>
      <c r="C20" s="147"/>
      <c r="D20" s="571"/>
    </row>
    <row r="21" spans="2:9" x14ac:dyDescent="0.3">
      <c r="B21" s="145" t="s">
        <v>8</v>
      </c>
      <c r="C21" s="220" t="e">
        <f ca="1">SUM(C9:C20)</f>
        <v>#DIV/0!</v>
      </c>
      <c r="D21" s="574" t="e">
        <f>SUM(D9:D20)</f>
        <v>#DIV/0!</v>
      </c>
    </row>
    <row r="23" spans="2:9" ht="15" thickBot="1" x14ac:dyDescent="0.35"/>
    <row r="24" spans="2:9" x14ac:dyDescent="0.3">
      <c r="B24" s="215" t="s">
        <v>134</v>
      </c>
      <c r="C24" s="215" t="s">
        <v>107</v>
      </c>
      <c r="D24" s="564" t="s">
        <v>108</v>
      </c>
      <c r="F24" s="701" t="s">
        <v>134</v>
      </c>
      <c r="G24" s="701" t="s">
        <v>152</v>
      </c>
      <c r="H24" s="703"/>
      <c r="I24" s="701" t="s">
        <v>155</v>
      </c>
    </row>
    <row r="25" spans="2:9" ht="15" thickBot="1" x14ac:dyDescent="0.35">
      <c r="B25" s="145" t="s">
        <v>50</v>
      </c>
      <c r="C25" s="221">
        <f ca="1">IF(E25=1,'Custo Galvanoplastia'!C47,0)</f>
        <v>0</v>
      </c>
      <c r="D25" s="565">
        <f>IF(E25=1,'Custo Galvanoplastia'!D47,0)</f>
        <v>1.8781805321235869</v>
      </c>
      <c r="E25" s="658">
        <v>1</v>
      </c>
      <c r="F25" s="702"/>
      <c r="G25" s="702"/>
      <c r="H25" s="704"/>
      <c r="I25" s="702"/>
    </row>
    <row r="26" spans="2:9" x14ac:dyDescent="0.3">
      <c r="B26" s="145" t="s">
        <v>0</v>
      </c>
      <c r="C26" s="148" t="e">
        <f ca="1">G26/'Peças por Hora Verniz'!B11</f>
        <v>#DIV/0!</v>
      </c>
      <c r="D26" s="575" t="e">
        <f>I26/'Peças por Hora Verniz'!B11</f>
        <v>#DIV/0!</v>
      </c>
      <c r="F26" s="166" t="s">
        <v>0</v>
      </c>
      <c r="G26" s="151">
        <f ca="1">IF(H26=1,HLOOKUP(E6,'Resumo de Custo'!DS7:ED28,11,0),0)</f>
        <v>0</v>
      </c>
      <c r="H26" s="152">
        <v>1</v>
      </c>
      <c r="I26" s="567">
        <f>IF(H26=1,HLOOKUP(E6,'Resumo de Custo'!EF7:EQ28,11,0),0)</f>
        <v>0.63636363636363635</v>
      </c>
    </row>
    <row r="27" spans="2:9" x14ac:dyDescent="0.3">
      <c r="B27" s="145" t="s">
        <v>134</v>
      </c>
      <c r="C27" s="148" t="e">
        <f ca="1">G27/'Peças por Hora Verniz'!B27</f>
        <v>#DIV/0!</v>
      </c>
      <c r="D27" s="566" t="e">
        <f>I27/'Peças por Hora Verniz'!B27</f>
        <v>#DIV/0!</v>
      </c>
      <c r="F27" s="159" t="s">
        <v>134</v>
      </c>
      <c r="G27" s="153">
        <f ca="1">IF(H27=1,HLOOKUP(E6,'Resumo de Custo'!DS7:ED28,13,0),0)</f>
        <v>0</v>
      </c>
      <c r="H27" s="155">
        <v>1</v>
      </c>
      <c r="I27" s="569">
        <f>IF(H27=1,HLOOKUP(E6,'Resumo de Custo'!EF7:EQ28,13,0),0)</f>
        <v>181.40345454545451</v>
      </c>
    </row>
    <row r="28" spans="2:9" x14ac:dyDescent="0.3">
      <c r="B28" s="145" t="s">
        <v>14</v>
      </c>
      <c r="C28" s="220" t="e">
        <f ca="1">G28/'Peças por Hora Verniz'!B67</f>
        <v>#DIV/0!</v>
      </c>
      <c r="D28" s="566" t="e">
        <f>I28/'Peças por Hora Verniz'!B67</f>
        <v>#DIV/0!</v>
      </c>
      <c r="F28" s="159" t="s">
        <v>14</v>
      </c>
      <c r="G28" s="156">
        <f ca="1">IF(H28=1,HLOOKUP(E6,'Resumo de Custo'!DS7:ED28,19,0),0)</f>
        <v>0</v>
      </c>
      <c r="H28" s="155">
        <v>1</v>
      </c>
      <c r="I28" s="569">
        <f>IF(H28=1,HLOOKUP(E6,'Resumo de Custo'!EF7:EQ28,19,0),0)</f>
        <v>38.422727272727272</v>
      </c>
    </row>
    <row r="29" spans="2:9" x14ac:dyDescent="0.3">
      <c r="B29" s="145" t="s">
        <v>53</v>
      </c>
      <c r="C29" s="147" t="e">
        <f ca="1">G29/'Peças por Hora Verniz'!B67</f>
        <v>#DIV/0!</v>
      </c>
      <c r="D29" s="566" t="e">
        <f>I29/'Peças por Hora Verniz'!B67</f>
        <v>#DIV/0!</v>
      </c>
      <c r="F29" s="159" t="s">
        <v>53</v>
      </c>
      <c r="G29" s="156">
        <f ca="1">IF(H29=1,HLOOKUP(E6,'Resumo de Custo'!DS7:ED28,20,0),0)</f>
        <v>0</v>
      </c>
      <c r="H29" s="155">
        <v>1</v>
      </c>
      <c r="I29" s="569">
        <f>IF(H29=1,HLOOKUP(E6,'Resumo de Custo'!EF7:EQ28,20,0),0)</f>
        <v>1.3636363636363636E-2</v>
      </c>
    </row>
    <row r="30" spans="2:9" x14ac:dyDescent="0.3">
      <c r="B30" s="145"/>
      <c r="C30" s="146"/>
      <c r="D30" s="576"/>
      <c r="F30" s="159"/>
      <c r="G30" s="156"/>
      <c r="H30" s="155"/>
      <c r="I30" s="577"/>
    </row>
    <row r="31" spans="2:9" x14ac:dyDescent="0.3">
      <c r="B31" s="149"/>
      <c r="C31" s="147"/>
      <c r="D31" s="571"/>
      <c r="F31" s="167"/>
      <c r="G31" s="156"/>
      <c r="H31" s="155"/>
      <c r="I31" s="577"/>
    </row>
    <row r="32" spans="2:9" x14ac:dyDescent="0.3">
      <c r="B32" s="149"/>
      <c r="C32" s="147"/>
      <c r="D32" s="571"/>
      <c r="F32" s="212"/>
      <c r="G32" s="156"/>
      <c r="H32" s="213"/>
      <c r="I32" s="578"/>
    </row>
    <row r="33" spans="2:9" x14ac:dyDescent="0.3">
      <c r="B33" s="149"/>
      <c r="C33" s="147"/>
      <c r="D33" s="571"/>
      <c r="F33" s="212"/>
      <c r="G33" s="156"/>
      <c r="H33" s="213"/>
      <c r="I33" s="578"/>
    </row>
    <row r="34" spans="2:9" ht="15" thickBot="1" x14ac:dyDescent="0.35">
      <c r="B34" s="145"/>
      <c r="C34" s="148"/>
      <c r="D34" s="571"/>
      <c r="F34" s="161"/>
      <c r="G34" s="156"/>
      <c r="H34" s="157"/>
      <c r="I34" s="578"/>
    </row>
    <row r="35" spans="2:9" ht="15" thickBot="1" x14ac:dyDescent="0.35">
      <c r="B35" s="149"/>
      <c r="C35" s="150"/>
      <c r="D35" s="571"/>
      <c r="F35" s="162" t="s">
        <v>8</v>
      </c>
      <c r="G35" s="158">
        <f ca="1">SUM(G26:G34)</f>
        <v>0</v>
      </c>
      <c r="H35" s="103"/>
      <c r="I35" s="573">
        <f>SUM(I26:I34)</f>
        <v>220.47618181818177</v>
      </c>
    </row>
    <row r="36" spans="2:9" x14ac:dyDescent="0.3">
      <c r="B36" s="149"/>
      <c r="C36" s="147"/>
      <c r="D36" s="571"/>
    </row>
    <row r="37" spans="2:9" x14ac:dyDescent="0.3">
      <c r="B37" s="145" t="s">
        <v>8</v>
      </c>
      <c r="C37" s="220" t="e">
        <f ca="1">SUM(C25:C36)</f>
        <v>#DIV/0!</v>
      </c>
      <c r="D37" s="574" t="e">
        <f>SUM(D25:D36)</f>
        <v>#DIV/0!</v>
      </c>
    </row>
    <row r="38" spans="2:9" ht="15" thickBot="1" x14ac:dyDescent="0.35"/>
    <row r="39" spans="2:9" x14ac:dyDescent="0.3">
      <c r="B39" s="215" t="s">
        <v>135</v>
      </c>
      <c r="C39" s="215" t="s">
        <v>107</v>
      </c>
      <c r="D39" s="564" t="s">
        <v>108</v>
      </c>
      <c r="F39" s="701" t="s">
        <v>135</v>
      </c>
      <c r="G39" s="701" t="s">
        <v>152</v>
      </c>
      <c r="H39" s="703"/>
      <c r="I39" s="701" t="s">
        <v>155</v>
      </c>
    </row>
    <row r="40" spans="2:9" ht="15" thickBot="1" x14ac:dyDescent="0.35">
      <c r="B40" s="145" t="s">
        <v>50</v>
      </c>
      <c r="C40" s="221">
        <f ca="1">IF(E40=1,'Custo Galvanoplastia'!C47,0)</f>
        <v>0</v>
      </c>
      <c r="D40" s="565">
        <f>IF(E40=1,'Custo Galvanoplastia'!D47,0)</f>
        <v>1.8781805321235869</v>
      </c>
      <c r="E40" s="658">
        <v>1</v>
      </c>
      <c r="F40" s="702"/>
      <c r="G40" s="702"/>
      <c r="H40" s="704"/>
      <c r="I40" s="702"/>
    </row>
    <row r="41" spans="2:9" x14ac:dyDescent="0.3">
      <c r="B41" s="145" t="s">
        <v>0</v>
      </c>
      <c r="C41" s="220" t="e">
        <f ca="1">G41/'Peças por Hora Verniz'!B11</f>
        <v>#DIV/0!</v>
      </c>
      <c r="D41" s="580" t="e">
        <f>I41/'Peças por Hora Verniz'!B11</f>
        <v>#DIV/0!</v>
      </c>
      <c r="F41" s="166" t="s">
        <v>0</v>
      </c>
      <c r="G41" s="151">
        <f ca="1">IF(H41=1,HLOOKUP(E6,'Resumo de Custo'!DS7:ED28,11,0),0)</f>
        <v>0</v>
      </c>
      <c r="H41" s="152">
        <v>1</v>
      </c>
      <c r="I41" s="567">
        <f>IF(H41=1,HLOOKUP(E6,'Resumo de Custo'!EF7:EQ28,11,0),0)</f>
        <v>0.63636363636363635</v>
      </c>
    </row>
    <row r="42" spans="2:9" x14ac:dyDescent="0.3">
      <c r="B42" s="145" t="s">
        <v>135</v>
      </c>
      <c r="C42" s="148" t="e">
        <f ca="1">G42/'Peças por Hora Verniz'!B35</f>
        <v>#DIV/0!</v>
      </c>
      <c r="D42" s="566" t="e">
        <f>I42/'Peças por Hora Verniz'!B35</f>
        <v>#DIV/0!</v>
      </c>
      <c r="F42" s="159" t="s">
        <v>135</v>
      </c>
      <c r="G42" s="153">
        <f ca="1">IF(H42=1,HLOOKUP(E6,'Resumo de Custo'!DS7:ED28,14,0),0)</f>
        <v>0</v>
      </c>
      <c r="H42" s="154">
        <v>1</v>
      </c>
      <c r="I42" s="569">
        <f>IF(H42=1,HLOOKUP(E6,'Resumo de Custo'!EF7:EQ28,14,0),0)</f>
        <v>17.291090909090908</v>
      </c>
    </row>
    <row r="43" spans="2:9" x14ac:dyDescent="0.3">
      <c r="B43" s="145" t="s">
        <v>14</v>
      </c>
      <c r="C43" s="148" t="e">
        <f ca="1">G43/'Peças por Hora Verniz'!B67</f>
        <v>#DIV/0!</v>
      </c>
      <c r="D43" s="566" t="e">
        <f>I43/'Peças por Hora Verniz'!B67</f>
        <v>#DIV/0!</v>
      </c>
      <c r="F43" s="159" t="s">
        <v>14</v>
      </c>
      <c r="G43" s="153">
        <f ca="1">IF(H43=1,HLOOKUP(E6,'Resumo de Custo'!DS7:ED28,19,0),0)</f>
        <v>0</v>
      </c>
      <c r="H43" s="155">
        <v>1</v>
      </c>
      <c r="I43" s="569">
        <f>IF(H43=1,HLOOKUP(E6,'Resumo de Custo'!EF7:EQ28,19,0),0)</f>
        <v>38.422727272727272</v>
      </c>
    </row>
    <row r="44" spans="2:9" x14ac:dyDescent="0.3">
      <c r="B44" s="145" t="s">
        <v>53</v>
      </c>
      <c r="C44" s="148" t="e">
        <f ca="1">G44/'Peças por Hora Verniz'!B67</f>
        <v>#DIV/0!</v>
      </c>
      <c r="D44" s="566" t="e">
        <f>I44/'Peças por Hora Verniz'!B67</f>
        <v>#DIV/0!</v>
      </c>
      <c r="F44" s="159" t="s">
        <v>53</v>
      </c>
      <c r="G44" s="156">
        <f ca="1">IF(H44=1,HLOOKUP(E6,'Resumo de Custo'!DS7:ED28,20,0),0)</f>
        <v>0</v>
      </c>
      <c r="H44" s="155">
        <v>1</v>
      </c>
      <c r="I44" s="569">
        <f>IF(H44=1,HLOOKUP(E6,'Resumo de Custo'!EF7:EQ28,20,0),0)</f>
        <v>1.3636363636363636E-2</v>
      </c>
    </row>
    <row r="45" spans="2:9" x14ac:dyDescent="0.3">
      <c r="B45" s="145"/>
      <c r="C45" s="148"/>
      <c r="D45" s="581"/>
      <c r="F45" s="159"/>
      <c r="G45" s="156"/>
      <c r="H45" s="155"/>
      <c r="I45" s="577"/>
    </row>
    <row r="46" spans="2:9" x14ac:dyDescent="0.3">
      <c r="B46" s="145"/>
      <c r="C46" s="148"/>
      <c r="D46" s="581"/>
      <c r="F46" s="160"/>
      <c r="G46" s="156"/>
      <c r="H46" s="155"/>
      <c r="I46" s="577"/>
    </row>
    <row r="47" spans="2:9" x14ac:dyDescent="0.3">
      <c r="B47" s="145"/>
      <c r="C47" s="148"/>
      <c r="D47" s="581"/>
      <c r="F47" s="160"/>
      <c r="G47" s="156"/>
      <c r="H47" s="213"/>
      <c r="I47" s="578"/>
    </row>
    <row r="48" spans="2:9" ht="15" thickBot="1" x14ac:dyDescent="0.35">
      <c r="B48" s="149"/>
      <c r="C48" s="222"/>
      <c r="D48" s="581"/>
      <c r="F48" s="161"/>
      <c r="G48" s="156"/>
      <c r="H48" s="157"/>
      <c r="I48" s="578"/>
    </row>
    <row r="49" spans="2:9" ht="15" thickBot="1" x14ac:dyDescent="0.35">
      <c r="B49" s="149"/>
      <c r="C49" s="147"/>
      <c r="D49" s="582"/>
      <c r="F49" s="162" t="s">
        <v>8</v>
      </c>
      <c r="G49" s="158">
        <f ca="1">SUM(G41:G48)</f>
        <v>0</v>
      </c>
      <c r="H49" s="103"/>
      <c r="I49" s="573">
        <f>SUM(I41:I48)</f>
        <v>56.363818181818182</v>
      </c>
    </row>
    <row r="50" spans="2:9" x14ac:dyDescent="0.3">
      <c r="B50" s="145" t="s">
        <v>8</v>
      </c>
      <c r="C50" s="148" t="e">
        <f ca="1">SUM(C40:C49)</f>
        <v>#DIV/0!</v>
      </c>
      <c r="D50" s="574" t="e">
        <f>SUM(D40:D49)</f>
        <v>#DIV/0!</v>
      </c>
    </row>
    <row r="51" spans="2:9" ht="15" thickBot="1" x14ac:dyDescent="0.35"/>
    <row r="52" spans="2:9" ht="15.75" customHeight="1" x14ac:dyDescent="0.3">
      <c r="B52" s="215" t="s">
        <v>119</v>
      </c>
      <c r="C52" s="215" t="s">
        <v>107</v>
      </c>
      <c r="D52" s="564" t="s">
        <v>108</v>
      </c>
      <c r="F52" s="701" t="s">
        <v>153</v>
      </c>
      <c r="G52" s="701" t="s">
        <v>152</v>
      </c>
      <c r="H52" s="703"/>
      <c r="I52" s="701" t="s">
        <v>155</v>
      </c>
    </row>
    <row r="53" spans="2:9" ht="15.75" customHeight="1" thickBot="1" x14ac:dyDescent="0.35">
      <c r="B53" s="145" t="s">
        <v>50</v>
      </c>
      <c r="C53" s="221">
        <f ca="1">IF(E53=1,'Custo Galvanoplastia'!C47,0)</f>
        <v>0</v>
      </c>
      <c r="D53" s="565">
        <f>IF(E53=1,'Custo Galvanoplastia'!D47,0)</f>
        <v>1.8781805321235869</v>
      </c>
      <c r="E53" s="658">
        <v>1</v>
      </c>
      <c r="F53" s="702"/>
      <c r="G53" s="702"/>
      <c r="H53" s="704"/>
      <c r="I53" s="702"/>
    </row>
    <row r="54" spans="2:9" x14ac:dyDescent="0.3">
      <c r="B54" s="145" t="s">
        <v>0</v>
      </c>
      <c r="C54" s="220" t="e">
        <f ca="1">G54/'Peças por Hora Verniz'!B11</f>
        <v>#DIV/0!</v>
      </c>
      <c r="D54" s="580" t="e">
        <f>I54/'Peças por Hora Verniz'!B11</f>
        <v>#DIV/0!</v>
      </c>
      <c r="F54" s="166" t="s">
        <v>0</v>
      </c>
      <c r="G54" s="151">
        <f ca="1">IF(H54=1,HLOOKUP(E6,'Resumo de Custo'!DS7:ED28,11,0),0)</f>
        <v>0</v>
      </c>
      <c r="H54" s="152">
        <v>1</v>
      </c>
      <c r="I54" s="567">
        <f>IF(H54=1,HLOOKUP(E6,'Resumo de Custo'!EF7:EQ28,11,0),0)</f>
        <v>0.63636363636363635</v>
      </c>
    </row>
    <row r="55" spans="2:9" x14ac:dyDescent="0.3">
      <c r="B55" s="145" t="s">
        <v>119</v>
      </c>
      <c r="C55" s="220" t="e">
        <f ca="1">G55/'Peças por Hora Verniz'!B43</f>
        <v>#DIV/0!</v>
      </c>
      <c r="D55" s="566" t="e">
        <f>I55/'Peças por Hora Verniz'!B43</f>
        <v>#DIV/0!</v>
      </c>
      <c r="F55" s="159" t="s">
        <v>119</v>
      </c>
      <c r="G55" s="153">
        <f ca="1">IF(H55=1,HLOOKUP(E6,'Resumo de Custo'!DS7:ED28,15,0),0)</f>
        <v>0</v>
      </c>
      <c r="H55" s="154">
        <v>1</v>
      </c>
      <c r="I55" s="569">
        <f>IF(H55=1,HLOOKUP(E6,'Resumo de Custo'!EF7:EQ28,15,0),0)</f>
        <v>101.29495454545454</v>
      </c>
    </row>
    <row r="56" spans="2:9" x14ac:dyDescent="0.3">
      <c r="B56" s="145" t="s">
        <v>14</v>
      </c>
      <c r="C56" s="148" t="e">
        <f ca="1">G56/'Peças por Hora Verniz'!B67</f>
        <v>#DIV/0!</v>
      </c>
      <c r="D56" s="566" t="e">
        <f>I56/'Peças por Hora Verniz'!B67</f>
        <v>#DIV/0!</v>
      </c>
      <c r="F56" s="159" t="s">
        <v>14</v>
      </c>
      <c r="G56" s="153">
        <f ca="1">IF(H56=1,HLOOKUP(E6,'Resumo de Custo'!DS7:ED28,19,0),0)</f>
        <v>0</v>
      </c>
      <c r="H56" s="155">
        <v>1</v>
      </c>
      <c r="I56" s="569">
        <f>IF(H56=1,HLOOKUP(E6,'Resumo de Custo'!EF7:EQ28,19,0),0)</f>
        <v>38.422727272727272</v>
      </c>
    </row>
    <row r="57" spans="2:9" x14ac:dyDescent="0.3">
      <c r="B57" s="145" t="s">
        <v>53</v>
      </c>
      <c r="C57" s="148" t="e">
        <f ca="1">G57/'Peças por Hora Verniz'!B67</f>
        <v>#DIV/0!</v>
      </c>
      <c r="D57" s="566" t="e">
        <f>I57/'Peças por Hora Verniz'!B67</f>
        <v>#DIV/0!</v>
      </c>
      <c r="F57" s="159" t="s">
        <v>53</v>
      </c>
      <c r="G57" s="156">
        <f ca="1">IF(H57=1,HLOOKUP(E6,'Resumo de Custo'!DS7:ED28,20,0),0)</f>
        <v>0</v>
      </c>
      <c r="H57" s="155">
        <v>1</v>
      </c>
      <c r="I57" s="569">
        <f>IF(H57=1,HLOOKUP(E6,'Resumo de Custo'!EF7:EQ28,20,0),0)</f>
        <v>1.3636363636363636E-2</v>
      </c>
    </row>
    <row r="58" spans="2:9" x14ac:dyDescent="0.3">
      <c r="B58" s="145"/>
      <c r="C58" s="148"/>
      <c r="D58" s="581"/>
      <c r="F58" s="159"/>
      <c r="G58" s="156"/>
      <c r="H58" s="155"/>
      <c r="I58" s="577"/>
    </row>
    <row r="59" spans="2:9" x14ac:dyDescent="0.3">
      <c r="B59" s="145"/>
      <c r="C59" s="148"/>
      <c r="D59" s="581"/>
      <c r="F59" s="160"/>
      <c r="G59" s="156"/>
      <c r="H59" s="155"/>
      <c r="I59" s="577"/>
    </row>
    <row r="60" spans="2:9" x14ac:dyDescent="0.3">
      <c r="B60" s="145"/>
      <c r="C60" s="148"/>
      <c r="D60" s="581"/>
      <c r="F60" s="160"/>
      <c r="G60" s="156"/>
      <c r="H60" s="213"/>
      <c r="I60" s="578"/>
    </row>
    <row r="61" spans="2:9" ht="15" thickBot="1" x14ac:dyDescent="0.35">
      <c r="B61" s="149"/>
      <c r="C61" s="222"/>
      <c r="D61" s="581"/>
      <c r="F61" s="161"/>
      <c r="G61" s="156"/>
      <c r="H61" s="157"/>
      <c r="I61" s="578"/>
    </row>
    <row r="62" spans="2:9" ht="15" thickBot="1" x14ac:dyDescent="0.35">
      <c r="B62" s="149"/>
      <c r="C62" s="148"/>
      <c r="D62" s="581"/>
      <c r="F62" s="162" t="s">
        <v>8</v>
      </c>
      <c r="G62" s="158">
        <f ca="1">SUM(G54:G61)</f>
        <v>0</v>
      </c>
      <c r="H62" s="103"/>
      <c r="I62" s="573">
        <f>SUM(I54:I61)</f>
        <v>140.36768181818181</v>
      </c>
    </row>
    <row r="63" spans="2:9" x14ac:dyDescent="0.3">
      <c r="B63" s="145" t="s">
        <v>8</v>
      </c>
      <c r="C63" s="146" t="e">
        <f ca="1">SUM(C53:C62)</f>
        <v>#DIV/0!</v>
      </c>
      <c r="D63" s="579" t="e">
        <f>SUM(D53:D62)</f>
        <v>#DIV/0!</v>
      </c>
    </row>
    <row r="64" spans="2:9" ht="15" thickBot="1" x14ac:dyDescent="0.35">
      <c r="B64" s="202"/>
      <c r="C64" s="203"/>
      <c r="D64" s="583"/>
      <c r="F64" s="207"/>
      <c r="G64" s="42"/>
      <c r="H64" s="202"/>
      <c r="I64" s="41"/>
    </row>
    <row r="65" spans="2:9" ht="15.75" customHeight="1" x14ac:dyDescent="0.3">
      <c r="B65" s="215" t="s">
        <v>137</v>
      </c>
      <c r="C65" s="215" t="s">
        <v>107</v>
      </c>
      <c r="D65" s="564" t="s">
        <v>108</v>
      </c>
      <c r="F65" s="701" t="s">
        <v>137</v>
      </c>
      <c r="G65" s="701" t="s">
        <v>152</v>
      </c>
      <c r="H65" s="703"/>
      <c r="I65" s="701" t="s">
        <v>155</v>
      </c>
    </row>
    <row r="66" spans="2:9" ht="15.75" customHeight="1" thickBot="1" x14ac:dyDescent="0.35">
      <c r="B66" s="145" t="s">
        <v>50</v>
      </c>
      <c r="C66" s="221">
        <f ca="1">IF(E66=1,'Custo Galvanoplastia'!C47,0)</f>
        <v>0</v>
      </c>
      <c r="D66" s="565">
        <f>'Custo Galvanoplastia'!D47</f>
        <v>1.8781805321235869</v>
      </c>
      <c r="E66" s="658">
        <v>1</v>
      </c>
      <c r="F66" s="702"/>
      <c r="G66" s="702"/>
      <c r="H66" s="704"/>
      <c r="I66" s="702"/>
    </row>
    <row r="67" spans="2:9" x14ac:dyDescent="0.3">
      <c r="B67" s="145" t="s">
        <v>0</v>
      </c>
      <c r="C67" s="220" t="e">
        <f ca="1">G67/'Peças por Hora Verniz'!B11</f>
        <v>#DIV/0!</v>
      </c>
      <c r="D67" s="580" t="e">
        <f>I67/'Peças por Hora Verniz'!B11</f>
        <v>#DIV/0!</v>
      </c>
      <c r="F67" s="166" t="s">
        <v>0</v>
      </c>
      <c r="G67" s="151">
        <f ca="1">IF(H67=1,HLOOKUP(E6,'Resumo de Custo'!DS7:ED28,11,0),0)</f>
        <v>0</v>
      </c>
      <c r="H67" s="152">
        <v>1</v>
      </c>
      <c r="I67" s="567">
        <f>IF(H67=1,HLOOKUP(E6,'Resumo de Custo'!EF7:EQ28,11,0),0)</f>
        <v>0.63636363636363635</v>
      </c>
    </row>
    <row r="68" spans="2:9" x14ac:dyDescent="0.3">
      <c r="B68" s="145" t="s">
        <v>137</v>
      </c>
      <c r="C68" s="220" t="e">
        <f ca="1">G68/'Peças por Hora Verniz'!B51</f>
        <v>#DIV/0!</v>
      </c>
      <c r="D68" s="566" t="e">
        <f>I68/'Peças por Hora Verniz'!B51</f>
        <v>#DIV/0!</v>
      </c>
      <c r="F68" s="159" t="s">
        <v>137</v>
      </c>
      <c r="G68" s="153">
        <f ca="1">IF(H68=1,HLOOKUP(E6,'Resumo de Custo'!DS7:ED28,16,0),0)</f>
        <v>0</v>
      </c>
      <c r="H68" s="154">
        <v>1</v>
      </c>
      <c r="I68" s="569">
        <f>IF(H68=1,HLOOKUP(E6,'Resumo de Custo'!EF7:EQ28,16,0),0)</f>
        <v>62.442227272727266</v>
      </c>
    </row>
    <row r="69" spans="2:9" x14ac:dyDescent="0.3">
      <c r="B69" s="145" t="s">
        <v>14</v>
      </c>
      <c r="C69" s="148" t="e">
        <f ca="1">G69/'Peças por Hora Verniz'!B67</f>
        <v>#DIV/0!</v>
      </c>
      <c r="D69" s="566" t="e">
        <f>I69/'Peças por Hora Verniz'!B67</f>
        <v>#DIV/0!</v>
      </c>
      <c r="F69" s="159" t="s">
        <v>14</v>
      </c>
      <c r="G69" s="153">
        <f ca="1">IF(H69=1,HLOOKUP(E6,'Resumo de Custo'!DS7:ED28,19,0),0)</f>
        <v>0</v>
      </c>
      <c r="H69" s="155">
        <v>1</v>
      </c>
      <c r="I69" s="569">
        <f>IF(H69=1,HLOOKUP(E6,'Resumo de Custo'!EF7:EQ28,19,0),0)</f>
        <v>38.422727272727272</v>
      </c>
    </row>
    <row r="70" spans="2:9" x14ac:dyDescent="0.3">
      <c r="B70" s="145" t="s">
        <v>53</v>
      </c>
      <c r="C70" s="148" t="e">
        <f ca="1">G70/'Peças por Hora Verniz'!B67</f>
        <v>#DIV/0!</v>
      </c>
      <c r="D70" s="566" t="e">
        <f>I70/'Peças por Hora Verniz'!B67</f>
        <v>#DIV/0!</v>
      </c>
      <c r="F70" s="159" t="s">
        <v>53</v>
      </c>
      <c r="G70" s="156">
        <f ca="1">IF(H70=1,HLOOKUP(E6,'Resumo de Custo'!DS7:ED28,20,0),0)</f>
        <v>0</v>
      </c>
      <c r="H70" s="155">
        <v>1</v>
      </c>
      <c r="I70" s="569">
        <f>IF(H70=1,HLOOKUP(E6,'Resumo de Custo'!EF7:EQ28,20,0),0)</f>
        <v>1.3636363636363636E-2</v>
      </c>
    </row>
    <row r="71" spans="2:9" x14ac:dyDescent="0.3">
      <c r="B71" s="145"/>
      <c r="C71" s="148"/>
      <c r="D71" s="581"/>
      <c r="F71" s="159"/>
      <c r="G71" s="156"/>
      <c r="H71" s="155"/>
      <c r="I71" s="577"/>
    </row>
    <row r="72" spans="2:9" x14ac:dyDescent="0.3">
      <c r="B72" s="145"/>
      <c r="C72" s="148"/>
      <c r="D72" s="581"/>
      <c r="F72" s="160"/>
      <c r="G72" s="156"/>
      <c r="H72" s="155"/>
      <c r="I72" s="577"/>
    </row>
    <row r="73" spans="2:9" x14ac:dyDescent="0.3">
      <c r="B73" s="145"/>
      <c r="C73" s="148"/>
      <c r="D73" s="581"/>
      <c r="F73" s="160"/>
      <c r="G73" s="156"/>
      <c r="H73" s="213"/>
      <c r="I73" s="578"/>
    </row>
    <row r="74" spans="2:9" ht="15" thickBot="1" x14ac:dyDescent="0.35">
      <c r="B74" s="149"/>
      <c r="C74" s="222"/>
      <c r="D74" s="581"/>
      <c r="F74" s="161"/>
      <c r="G74" s="156"/>
      <c r="H74" s="157"/>
      <c r="I74" s="578"/>
    </row>
    <row r="75" spans="2:9" ht="15" thickBot="1" x14ac:dyDescent="0.35">
      <c r="B75" s="149"/>
      <c r="C75" s="148"/>
      <c r="D75" s="581"/>
      <c r="F75" s="162" t="s">
        <v>8</v>
      </c>
      <c r="G75" s="158">
        <f ca="1">SUM(G67:G74)</f>
        <v>0</v>
      </c>
      <c r="H75" s="103"/>
      <c r="I75" s="573">
        <f>SUM(I67:I74)</f>
        <v>101.51495454545453</v>
      </c>
    </row>
    <row r="76" spans="2:9" x14ac:dyDescent="0.3">
      <c r="B76" s="145" t="s">
        <v>8</v>
      </c>
      <c r="C76" s="146" t="e">
        <f ca="1">SUM(C66:C75)</f>
        <v>#DIV/0!</v>
      </c>
      <c r="D76" s="579" t="e">
        <f>SUM(D66:D75)</f>
        <v>#DIV/0!</v>
      </c>
    </row>
    <row r="77" spans="2:9" ht="15" thickBot="1" x14ac:dyDescent="0.35">
      <c r="B77" s="202"/>
      <c r="C77" s="203"/>
      <c r="D77" s="583"/>
    </row>
    <row r="78" spans="2:9" x14ac:dyDescent="0.3">
      <c r="B78" s="215" t="s">
        <v>138</v>
      </c>
      <c r="C78" s="215" t="s">
        <v>107</v>
      </c>
      <c r="D78" s="564" t="s">
        <v>108</v>
      </c>
      <c r="F78" s="701" t="s">
        <v>138</v>
      </c>
      <c r="G78" s="701" t="s">
        <v>152</v>
      </c>
      <c r="H78" s="701"/>
      <c r="I78" s="701" t="s">
        <v>155</v>
      </c>
    </row>
    <row r="79" spans="2:9" ht="15" thickBot="1" x14ac:dyDescent="0.35">
      <c r="B79" s="145" t="s">
        <v>50</v>
      </c>
      <c r="C79" s="221">
        <f ca="1">IF(E79=1,'Custo Galvanoplastia'!C47,0)</f>
        <v>0</v>
      </c>
      <c r="D79" s="565">
        <f>IF(E79=1,'Custo Galvanoplastia'!D47,0)</f>
        <v>1.8781805321235869</v>
      </c>
      <c r="E79" s="658">
        <v>1</v>
      </c>
      <c r="F79" s="702"/>
      <c r="G79" s="702"/>
      <c r="H79" s="702"/>
      <c r="I79" s="702"/>
    </row>
    <row r="80" spans="2:9" x14ac:dyDescent="0.3">
      <c r="B80" s="145" t="s">
        <v>0</v>
      </c>
      <c r="C80" s="220" t="e">
        <f ca="1">G80/'Peças por Hora Verniz'!B11</f>
        <v>#DIV/0!</v>
      </c>
      <c r="D80" s="580" t="e">
        <f>I80/'Peças por Hora Verniz'!B11</f>
        <v>#DIV/0!</v>
      </c>
      <c r="F80" s="166" t="s">
        <v>0</v>
      </c>
      <c r="G80" s="151">
        <f ca="1">IF(H80=1,HLOOKUP(E6,'Resumo de Custo'!DS7:ED28,11,0),0)</f>
        <v>0</v>
      </c>
      <c r="H80" s="152">
        <v>1</v>
      </c>
      <c r="I80" s="567">
        <f>IF(H80=1,HLOOKUP(E6,'Resumo de Custo'!EF7:EQ28,11,0),0)</f>
        <v>0.63636363636363635</v>
      </c>
    </row>
    <row r="81" spans="2:9" x14ac:dyDescent="0.3">
      <c r="B81" s="145" t="s">
        <v>138</v>
      </c>
      <c r="C81" s="220" t="e">
        <f ca="1">G81/'Peças por Hora Verniz'!B59</f>
        <v>#DIV/0!</v>
      </c>
      <c r="D81" s="584" t="e">
        <f>I81/'Peças por Hora Verniz'!B59</f>
        <v>#DIV/0!</v>
      </c>
      <c r="F81" s="159" t="s">
        <v>138</v>
      </c>
      <c r="G81" s="153">
        <f ca="1">IF(H81=1,HLOOKUP(E6,'Resumo de Custo'!DS7:ED28,17,0),0)</f>
        <v>0</v>
      </c>
      <c r="H81" s="154">
        <v>1</v>
      </c>
      <c r="I81" s="569">
        <f>IF(H81=1,HLOOKUP(E6,'Resumo de Custo'!EF7:EQ28,17,0),0)</f>
        <v>9.401136363636363</v>
      </c>
    </row>
    <row r="82" spans="2:9" x14ac:dyDescent="0.3">
      <c r="B82" s="145" t="s">
        <v>14</v>
      </c>
      <c r="C82" s="148" t="e">
        <f ca="1">G82/'Peças por Hora Verniz'!B67</f>
        <v>#DIV/0!</v>
      </c>
      <c r="D82" s="566" t="e">
        <f>I82/'Peças por Hora Verniz'!B67</f>
        <v>#DIV/0!</v>
      </c>
      <c r="F82" s="159" t="s">
        <v>14</v>
      </c>
      <c r="G82" s="153">
        <f ca="1">IF(H82=1,HLOOKUP(E6,'Resumo de Custo'!DS7:ED28,19,0),0)</f>
        <v>0</v>
      </c>
      <c r="H82" s="155">
        <v>1</v>
      </c>
      <c r="I82" s="569">
        <f>IF(H82=1,HLOOKUP(E6,'Resumo de Custo'!EF7:EQ28,19,0),0)</f>
        <v>38.422727272727272</v>
      </c>
    </row>
    <row r="83" spans="2:9" x14ac:dyDescent="0.3">
      <c r="B83" s="145" t="s">
        <v>53</v>
      </c>
      <c r="C83" s="148" t="e">
        <f ca="1">G83/'Peças por Hora Verniz'!B67</f>
        <v>#DIV/0!</v>
      </c>
      <c r="D83" s="566" t="e">
        <f>I83/'Peças por Hora Verniz'!B67</f>
        <v>#DIV/0!</v>
      </c>
      <c r="F83" s="159" t="s">
        <v>53</v>
      </c>
      <c r="G83" s="156">
        <f ca="1">IF(H83=1,HLOOKUP(E6,'Resumo de Custo'!DS7:ED28,20,0),0)</f>
        <v>0</v>
      </c>
      <c r="H83" s="155">
        <v>1</v>
      </c>
      <c r="I83" s="569">
        <f>IF(H83=1,HLOOKUP(E6,'Resumo de Custo'!EF7:EQ28,20,0),0)</f>
        <v>1.3636363636363636E-2</v>
      </c>
    </row>
    <row r="84" spans="2:9" x14ac:dyDescent="0.3">
      <c r="B84" s="145"/>
      <c r="C84" s="148"/>
      <c r="D84" s="581"/>
      <c r="F84" s="159"/>
      <c r="G84" s="156"/>
      <c r="H84" s="155"/>
      <c r="I84" s="577"/>
    </row>
    <row r="85" spans="2:9" x14ac:dyDescent="0.3">
      <c r="B85" s="145"/>
      <c r="C85" s="148"/>
      <c r="D85" s="581"/>
      <c r="F85" s="160"/>
      <c r="G85" s="156"/>
      <c r="H85" s="155"/>
      <c r="I85" s="577"/>
    </row>
    <row r="86" spans="2:9" x14ac:dyDescent="0.3">
      <c r="B86" s="145"/>
      <c r="C86" s="148"/>
      <c r="D86" s="581"/>
      <c r="F86" s="160"/>
      <c r="G86" s="156"/>
      <c r="H86" s="213"/>
      <c r="I86" s="578"/>
    </row>
    <row r="87" spans="2:9" ht="15" thickBot="1" x14ac:dyDescent="0.35">
      <c r="B87" s="149"/>
      <c r="C87" s="222"/>
      <c r="D87" s="581"/>
      <c r="F87" s="161"/>
      <c r="G87" s="156"/>
      <c r="H87" s="157"/>
      <c r="I87" s="578"/>
    </row>
    <row r="88" spans="2:9" ht="15" thickBot="1" x14ac:dyDescent="0.35">
      <c r="B88" s="149"/>
      <c r="C88" s="148"/>
      <c r="D88" s="581"/>
      <c r="F88" s="162" t="s">
        <v>8</v>
      </c>
      <c r="G88" s="158">
        <f ca="1">SUM(G80:G87)</f>
        <v>0</v>
      </c>
      <c r="H88" s="103"/>
      <c r="I88" s="573">
        <f>SUM(I80:I87)</f>
        <v>48.473863636363639</v>
      </c>
    </row>
    <row r="89" spans="2:9" x14ac:dyDescent="0.3">
      <c r="B89" s="145" t="s">
        <v>8</v>
      </c>
      <c r="C89" s="220" t="e">
        <f ca="1">SUM(C79:C88)</f>
        <v>#DIV/0!</v>
      </c>
      <c r="D89" s="574" t="e">
        <f>SUM(D79:D88)</f>
        <v>#DIV/0!</v>
      </c>
    </row>
    <row r="90" spans="2:9" ht="15" thickBot="1" x14ac:dyDescent="0.35">
      <c r="B90" s="208"/>
      <c r="C90" s="209"/>
      <c r="D90" s="103"/>
    </row>
    <row r="91" spans="2:9" x14ac:dyDescent="0.3">
      <c r="B91" s="215" t="s">
        <v>15</v>
      </c>
      <c r="C91" s="215" t="s">
        <v>107</v>
      </c>
      <c r="D91" s="564" t="s">
        <v>108</v>
      </c>
      <c r="F91" s="701" t="s">
        <v>154</v>
      </c>
      <c r="G91" s="701" t="s">
        <v>152</v>
      </c>
      <c r="H91" s="703"/>
      <c r="I91" s="701" t="s">
        <v>155</v>
      </c>
    </row>
    <row r="92" spans="2:9" ht="15" thickBot="1" x14ac:dyDescent="0.35">
      <c r="B92" s="145" t="s">
        <v>50</v>
      </c>
      <c r="C92" s="221">
        <f ca="1">IF(E92=1,'Custo Galvanoplastia'!C47,0)</f>
        <v>0</v>
      </c>
      <c r="D92" s="565">
        <f>IF(E92=1,'Custo Galvanoplastia'!D47,0)</f>
        <v>1.8781805321235869</v>
      </c>
      <c r="E92" s="658">
        <v>1</v>
      </c>
      <c r="F92" s="702"/>
      <c r="G92" s="702"/>
      <c r="H92" s="704"/>
      <c r="I92" s="702"/>
    </row>
    <row r="93" spans="2:9" x14ac:dyDescent="0.3">
      <c r="B93" s="145" t="s">
        <v>0</v>
      </c>
      <c r="C93" s="220" t="e">
        <f ca="1">G93/'Peças por Hora Verniz'!B11</f>
        <v>#DIV/0!</v>
      </c>
      <c r="D93" s="580" t="e">
        <f>I93/'Peças por Hora Verniz'!B11</f>
        <v>#DIV/0!</v>
      </c>
      <c r="F93" s="166" t="s">
        <v>0</v>
      </c>
      <c r="G93" s="151">
        <f ca="1">IF(H93=1,HLOOKUP(E6,'Resumo de Custo'!DS7:ED28,11,0),0)</f>
        <v>0</v>
      </c>
      <c r="H93" s="152">
        <v>1</v>
      </c>
      <c r="I93" s="567">
        <f>IF(H93=1,HLOOKUP(E6,'Resumo de Custo'!EF7:EQ28,11,0),0)</f>
        <v>0.63636363636363635</v>
      </c>
    </row>
    <row r="94" spans="2:9" x14ac:dyDescent="0.3">
      <c r="B94" s="145" t="s">
        <v>15</v>
      </c>
      <c r="C94" s="148" t="e">
        <f ca="1">G94/'Peças por Hora Verniz'!B75</f>
        <v>#DIV/0!</v>
      </c>
      <c r="D94" s="566" t="e">
        <f>I94/'Peças por Hora Verniz'!B75</f>
        <v>#DIV/0!</v>
      </c>
      <c r="F94" s="159" t="s">
        <v>15</v>
      </c>
      <c r="G94" s="153">
        <f ca="1">IF(H94=1,HLOOKUP(E6,'Resumo de Custo'!DS7:ED28,18,0),0)</f>
        <v>0</v>
      </c>
      <c r="H94" s="154">
        <v>1</v>
      </c>
      <c r="I94" s="569">
        <f>IF(H94=1,HLOOKUP(E6,'Resumo de Custo'!EF7:EQ28,18,0),0)</f>
        <v>16.538636363636364</v>
      </c>
    </row>
    <row r="95" spans="2:9" x14ac:dyDescent="0.3">
      <c r="B95" s="145" t="s">
        <v>14</v>
      </c>
      <c r="C95" s="148" t="e">
        <f ca="1">G95/'Peças por Hora Verniz'!B67</f>
        <v>#DIV/0!</v>
      </c>
      <c r="D95" s="566" t="e">
        <f>I95/'Peças por Hora Verniz'!B67</f>
        <v>#DIV/0!</v>
      </c>
      <c r="F95" s="159" t="s">
        <v>14</v>
      </c>
      <c r="G95" s="153">
        <f ca="1">IF(H95=1,HLOOKUP(E6,'Resumo de Custo'!DS7:ED28,19,0),0)</f>
        <v>0</v>
      </c>
      <c r="H95" s="155">
        <v>1</v>
      </c>
      <c r="I95" s="569">
        <f>IF(H95=1,HLOOKUP(E6,'Resumo de Custo'!EF7:EQ28,19,0),0)</f>
        <v>38.422727272727272</v>
      </c>
    </row>
    <row r="96" spans="2:9" x14ac:dyDescent="0.3">
      <c r="B96" s="145" t="s">
        <v>53</v>
      </c>
      <c r="C96" s="148" t="e">
        <f ca="1">G96/'Peças por Hora Verniz'!B67</f>
        <v>#DIV/0!</v>
      </c>
      <c r="D96" s="566" t="e">
        <f>I96/'Peças por Hora Verniz'!B75</f>
        <v>#DIV/0!</v>
      </c>
      <c r="F96" s="159" t="s">
        <v>53</v>
      </c>
      <c r="G96" s="156">
        <f ca="1">IF(H96=1,HLOOKUP(E6,'Resumo de Custo'!DS7:ED28,20,0),0)</f>
        <v>0</v>
      </c>
      <c r="H96" s="155">
        <v>1</v>
      </c>
      <c r="I96" s="569">
        <f>IF(H96=1,HLOOKUP(E6,'Resumo de Custo'!EF7:EQ28,20,0),0)</f>
        <v>1.3636363636363636E-2</v>
      </c>
    </row>
    <row r="97" spans="1:12" x14ac:dyDescent="0.3">
      <c r="B97" s="145"/>
      <c r="C97" s="148"/>
      <c r="D97" s="581"/>
      <c r="F97" s="159"/>
      <c r="G97" s="156"/>
      <c r="H97" s="155"/>
      <c r="I97" s="577"/>
    </row>
    <row r="98" spans="1:12" x14ac:dyDescent="0.3">
      <c r="B98" s="145"/>
      <c r="C98" s="148"/>
      <c r="D98" s="581"/>
      <c r="F98" s="160"/>
      <c r="G98" s="156"/>
      <c r="H98" s="155"/>
      <c r="I98" s="577"/>
    </row>
    <row r="99" spans="1:12" x14ac:dyDescent="0.3">
      <c r="B99" s="145"/>
      <c r="C99" s="148"/>
      <c r="D99" s="581"/>
      <c r="F99" s="160"/>
      <c r="G99" s="156"/>
      <c r="H99" s="213"/>
      <c r="I99" s="578"/>
      <c r="L99" s="585"/>
    </row>
    <row r="100" spans="1:12" ht="15" thickBot="1" x14ac:dyDescent="0.35">
      <c r="B100" s="149"/>
      <c r="C100" s="222"/>
      <c r="D100" s="581"/>
      <c r="F100" s="161"/>
      <c r="G100" s="156"/>
      <c r="H100" s="157"/>
      <c r="I100" s="578"/>
    </row>
    <row r="101" spans="1:12" ht="15" thickBot="1" x14ac:dyDescent="0.35">
      <c r="B101" s="149"/>
      <c r="C101" s="148"/>
      <c r="D101" s="581"/>
      <c r="F101" s="162" t="s">
        <v>8</v>
      </c>
      <c r="G101" s="158">
        <f ca="1">SUM(G93:G100)</f>
        <v>0</v>
      </c>
      <c r="H101" s="103"/>
      <c r="I101" s="573">
        <f>SUM(I93:I100)</f>
        <v>55.611363636363635</v>
      </c>
    </row>
    <row r="102" spans="1:12" x14ac:dyDescent="0.3">
      <c r="B102" s="145" t="s">
        <v>8</v>
      </c>
      <c r="C102" s="220" t="e">
        <f ca="1">SUM(C92:C101)</f>
        <v>#DIV/0!</v>
      </c>
      <c r="D102" s="574" t="e">
        <f>SUM(D92:D101)</f>
        <v>#DIV/0!</v>
      </c>
    </row>
    <row r="103" spans="1:12" x14ac:dyDescent="0.3">
      <c r="A103" s="403" t="s">
        <v>74</v>
      </c>
    </row>
    <row r="104" spans="1:12" x14ac:dyDescent="0.3">
      <c r="A104" s="403" t="s">
        <v>75</v>
      </c>
    </row>
    <row r="105" spans="1:12" x14ac:dyDescent="0.3">
      <c r="A105" s="403" t="s">
        <v>76</v>
      </c>
    </row>
    <row r="106" spans="1:12" x14ac:dyDescent="0.3">
      <c r="A106" s="403" t="s">
        <v>77</v>
      </c>
    </row>
    <row r="107" spans="1:12" x14ac:dyDescent="0.3">
      <c r="A107" s="403" t="s">
        <v>78</v>
      </c>
    </row>
    <row r="108" spans="1:12" x14ac:dyDescent="0.3">
      <c r="A108" s="403" t="s">
        <v>109</v>
      </c>
    </row>
    <row r="109" spans="1:12" x14ac:dyDescent="0.3">
      <c r="A109" s="403" t="s">
        <v>80</v>
      </c>
    </row>
    <row r="110" spans="1:12" x14ac:dyDescent="0.3">
      <c r="A110" s="403" t="s">
        <v>81</v>
      </c>
    </row>
    <row r="111" spans="1:12" x14ac:dyDescent="0.3">
      <c r="A111" s="403" t="s">
        <v>82</v>
      </c>
    </row>
    <row r="112" spans="1:12" x14ac:dyDescent="0.3">
      <c r="A112" s="403" t="s">
        <v>83</v>
      </c>
    </row>
    <row r="113" spans="1:1" x14ac:dyDescent="0.3">
      <c r="A113" s="403" t="s">
        <v>84</v>
      </c>
    </row>
    <row r="114" spans="1:1" x14ac:dyDescent="0.3">
      <c r="A114" s="403" t="s">
        <v>85</v>
      </c>
    </row>
  </sheetData>
  <protectedRanges>
    <protectedRange sqref="E9 E25 E40 E53 E66 E79 E92" name="Intervalo2"/>
    <protectedRange sqref="E6 H10:H101" name="Intervalo1"/>
  </protectedRanges>
  <mergeCells count="29">
    <mergeCell ref="C2:K2"/>
    <mergeCell ref="F8:F9"/>
    <mergeCell ref="G8:G9"/>
    <mergeCell ref="H8:H9"/>
    <mergeCell ref="I8:I9"/>
    <mergeCell ref="F24:F25"/>
    <mergeCell ref="G24:G25"/>
    <mergeCell ref="H24:H25"/>
    <mergeCell ref="I24:I25"/>
    <mergeCell ref="F39:F40"/>
    <mergeCell ref="G39:G40"/>
    <mergeCell ref="H39:H40"/>
    <mergeCell ref="I39:I40"/>
    <mergeCell ref="F52:F53"/>
    <mergeCell ref="G52:G53"/>
    <mergeCell ref="H52:H53"/>
    <mergeCell ref="I52:I53"/>
    <mergeCell ref="F65:F66"/>
    <mergeCell ref="G65:G66"/>
    <mergeCell ref="H65:H66"/>
    <mergeCell ref="I65:I66"/>
    <mergeCell ref="F78:F79"/>
    <mergeCell ref="G78:G79"/>
    <mergeCell ref="H78:H79"/>
    <mergeCell ref="I78:I79"/>
    <mergeCell ref="F91:F92"/>
    <mergeCell ref="G91:G92"/>
    <mergeCell ref="H91:H92"/>
    <mergeCell ref="I91:I92"/>
  </mergeCells>
  <dataValidations count="1">
    <dataValidation type="list" allowBlank="1" showInputMessage="1" showErrorMessage="1" sqref="E6" xr:uid="{00000000-0002-0000-0600-000000000000}">
      <formula1>$A$103:$A$114</formula1>
    </dataValidation>
  </dataValidations>
  <hyperlinks>
    <hyperlink ref="A2" location="Menu!A1" display="Menu" xr:uid="{00000000-0004-0000-0600-000000000000}"/>
  </hyperlinks>
  <pageMargins left="0.511811024" right="0.511811024" top="0.78740157499999996" bottom="0.78740157499999996" header="0.31496062000000002" footer="0.31496062000000002"/>
  <ignoredErrors>
    <ignoredError sqref="D95" formula="1"/>
  </ignoredError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4" tint="-0.249977111117893"/>
  </sheetPr>
  <dimension ref="A1:KJ139"/>
  <sheetViews>
    <sheetView workbookViewId="0">
      <selection activeCell="A2" sqref="A2"/>
    </sheetView>
  </sheetViews>
  <sheetFormatPr defaultColWidth="9.109375" defaultRowHeight="14.4" x14ac:dyDescent="0.3"/>
  <cols>
    <col min="1" max="1" width="11" style="1" bestFit="1" customWidth="1"/>
    <col min="2" max="6" width="34.33203125" style="1" customWidth="1"/>
    <col min="7" max="16384" width="9.109375" style="1"/>
  </cols>
  <sheetData>
    <row r="1" spans="1:8" ht="15" thickBot="1" x14ac:dyDescent="0.35"/>
    <row r="2" spans="1:8" ht="29.4" thickBot="1" x14ac:dyDescent="0.6">
      <c r="A2" s="262" t="s">
        <v>110</v>
      </c>
      <c r="C2" s="708" t="s">
        <v>211</v>
      </c>
      <c r="D2" s="708"/>
      <c r="E2" s="708"/>
    </row>
    <row r="3" spans="1:8" ht="15" thickBot="1" x14ac:dyDescent="0.35"/>
    <row r="4" spans="1:8" ht="15" thickBot="1" x14ac:dyDescent="0.35">
      <c r="B4" s="709"/>
      <c r="C4" s="710"/>
      <c r="D4" s="710"/>
      <c r="E4" s="710"/>
      <c r="F4" s="711"/>
    </row>
    <row r="5" spans="1:8" ht="21.6" thickBot="1" x14ac:dyDescent="0.35">
      <c r="B5" s="712" t="s">
        <v>212</v>
      </c>
      <c r="C5" s="713"/>
      <c r="D5" s="713"/>
      <c r="E5" s="713"/>
      <c r="F5" s="714"/>
      <c r="G5" s="93"/>
      <c r="H5" s="93"/>
    </row>
    <row r="6" spans="1:8" ht="18" x14ac:dyDescent="0.3">
      <c r="B6" s="347" t="s">
        <v>106</v>
      </c>
      <c r="C6" s="348" t="s">
        <v>195</v>
      </c>
      <c r="D6" s="357" t="s">
        <v>196</v>
      </c>
      <c r="E6" s="384" t="s">
        <v>197</v>
      </c>
      <c r="F6" s="374" t="s">
        <v>198</v>
      </c>
      <c r="G6" s="93"/>
      <c r="H6" s="93"/>
    </row>
    <row r="7" spans="1:8" ht="18.600000000000001" thickBot="1" x14ac:dyDescent="0.35">
      <c r="B7" s="349">
        <v>0</v>
      </c>
      <c r="C7" s="350">
        <v>0.7</v>
      </c>
      <c r="D7" s="351">
        <v>0</v>
      </c>
      <c r="E7" s="394">
        <f>D7/C7</f>
        <v>0</v>
      </c>
      <c r="F7" s="375">
        <f>(B7*E7)*F17</f>
        <v>0</v>
      </c>
      <c r="G7" s="93"/>
      <c r="H7" s="93"/>
    </row>
    <row r="8" spans="1:8" ht="18" x14ac:dyDescent="0.3">
      <c r="B8" s="383" t="s">
        <v>202</v>
      </c>
      <c r="C8" s="715" t="s">
        <v>203</v>
      </c>
      <c r="D8" s="716"/>
      <c r="E8" s="384" t="s">
        <v>209</v>
      </c>
      <c r="F8" s="374" t="s">
        <v>308</v>
      </c>
      <c r="G8" s="93"/>
      <c r="H8" s="93"/>
    </row>
    <row r="9" spans="1:8" ht="18" x14ac:dyDescent="0.3">
      <c r="B9" s="586">
        <v>90</v>
      </c>
      <c r="C9" s="717">
        <v>4</v>
      </c>
      <c r="D9" s="718"/>
      <c r="E9" s="590">
        <v>71</v>
      </c>
      <c r="F9" s="378">
        <v>2</v>
      </c>
      <c r="G9" s="93"/>
      <c r="H9" s="93"/>
    </row>
    <row r="10" spans="1:8" ht="18" x14ac:dyDescent="0.3">
      <c r="B10" s="354" t="s">
        <v>199</v>
      </c>
      <c r="C10" s="719" t="s">
        <v>200</v>
      </c>
      <c r="D10" s="720"/>
      <c r="E10" s="355" t="s">
        <v>210</v>
      </c>
      <c r="F10" s="379" t="s">
        <v>205</v>
      </c>
      <c r="G10" s="93"/>
      <c r="H10" s="93"/>
    </row>
    <row r="11" spans="1:8" ht="18.600000000000001" thickBot="1" x14ac:dyDescent="0.35">
      <c r="B11" s="361">
        <f>(60/F11)*(E7*F17)</f>
        <v>0</v>
      </c>
      <c r="C11" s="683">
        <f>(60/F11)*(D7*F9)</f>
        <v>0</v>
      </c>
      <c r="D11" s="684"/>
      <c r="E11" s="587" t="e">
        <f>E9/F7</f>
        <v>#DIV/0!</v>
      </c>
      <c r="F11" s="588">
        <v>2</v>
      </c>
      <c r="G11" s="93"/>
      <c r="H11" s="93"/>
    </row>
    <row r="12" spans="1:8" ht="18.600000000000001" thickBot="1" x14ac:dyDescent="0.35">
      <c r="B12" s="358"/>
      <c r="C12" s="359"/>
      <c r="D12" s="359"/>
      <c r="E12" s="360"/>
      <c r="F12" s="376"/>
      <c r="G12" s="93"/>
      <c r="H12" s="93"/>
    </row>
    <row r="13" spans="1:8" ht="21.6" thickBot="1" x14ac:dyDescent="0.35">
      <c r="B13" s="705" t="s">
        <v>118</v>
      </c>
      <c r="C13" s="706"/>
      <c r="D13" s="706"/>
      <c r="E13" s="706"/>
      <c r="F13" s="707"/>
      <c r="G13" s="93"/>
      <c r="H13" s="93"/>
    </row>
    <row r="14" spans="1:8" ht="18" x14ac:dyDescent="0.3">
      <c r="B14" s="347" t="s">
        <v>106</v>
      </c>
      <c r="C14" s="348" t="s">
        <v>195</v>
      </c>
      <c r="D14" s="348" t="s">
        <v>206</v>
      </c>
      <c r="E14" s="357" t="s">
        <v>201</v>
      </c>
      <c r="F14" s="374" t="s">
        <v>198</v>
      </c>
      <c r="G14" s="93"/>
      <c r="H14" s="19"/>
    </row>
    <row r="15" spans="1:8" ht="18.600000000000001" thickBot="1" x14ac:dyDescent="0.35">
      <c r="B15" s="349">
        <v>0</v>
      </c>
      <c r="C15" s="350">
        <v>0.7</v>
      </c>
      <c r="D15" s="352">
        <v>0</v>
      </c>
      <c r="E15" s="394">
        <f>D15/C15</f>
        <v>0</v>
      </c>
      <c r="F15" s="375">
        <f>B15*E15*F17</f>
        <v>0</v>
      </c>
      <c r="G15" s="93"/>
      <c r="H15" s="664"/>
    </row>
    <row r="16" spans="1:8" ht="18" x14ac:dyDescent="0.3">
      <c r="B16" s="383" t="s">
        <v>202</v>
      </c>
      <c r="C16" s="715" t="s">
        <v>203</v>
      </c>
      <c r="D16" s="716"/>
      <c r="E16" s="384" t="s">
        <v>209</v>
      </c>
      <c r="F16" s="374" t="s">
        <v>308</v>
      </c>
      <c r="G16" s="93"/>
      <c r="H16" s="19"/>
    </row>
    <row r="17" spans="2:8" ht="18" x14ac:dyDescent="0.3">
      <c r="B17" s="586">
        <v>90</v>
      </c>
      <c r="C17" s="717">
        <v>4</v>
      </c>
      <c r="D17" s="718"/>
      <c r="E17" s="590">
        <v>71</v>
      </c>
      <c r="F17" s="378">
        <v>2</v>
      </c>
      <c r="G17" s="93"/>
      <c r="H17" s="665"/>
    </row>
    <row r="18" spans="2:8" ht="18" x14ac:dyDescent="0.3">
      <c r="B18" s="354" t="s">
        <v>199</v>
      </c>
      <c r="C18" s="719" t="s">
        <v>200</v>
      </c>
      <c r="D18" s="720"/>
      <c r="E18" s="355" t="s">
        <v>210</v>
      </c>
      <c r="F18" s="379" t="s">
        <v>205</v>
      </c>
      <c r="G18" s="93"/>
      <c r="H18" s="93"/>
    </row>
    <row r="19" spans="2:8" ht="18.600000000000001" thickBot="1" x14ac:dyDescent="0.35">
      <c r="B19" s="361">
        <f>(60/F19)*(E15*F17)</f>
        <v>0</v>
      </c>
      <c r="C19" s="683">
        <f>(60/F19)*(D15*F17)</f>
        <v>0</v>
      </c>
      <c r="D19" s="684"/>
      <c r="E19" s="587" t="e">
        <f>E17/F15</f>
        <v>#DIV/0!</v>
      </c>
      <c r="F19" s="588">
        <v>2</v>
      </c>
      <c r="G19" s="93"/>
      <c r="H19" s="93"/>
    </row>
    <row r="20" spans="2:8" ht="18.600000000000001" thickBot="1" x14ac:dyDescent="0.35">
      <c r="B20" s="362"/>
      <c r="C20" s="363"/>
      <c r="D20" s="363"/>
      <c r="E20" s="364"/>
      <c r="F20" s="380"/>
      <c r="G20" s="93"/>
      <c r="H20" s="93"/>
    </row>
    <row r="21" spans="2:8" ht="21.6" thickBot="1" x14ac:dyDescent="0.35">
      <c r="B21" s="705" t="s">
        <v>134</v>
      </c>
      <c r="C21" s="706"/>
      <c r="D21" s="706"/>
      <c r="E21" s="706"/>
      <c r="F21" s="707"/>
      <c r="G21" s="93"/>
      <c r="H21" s="93"/>
    </row>
    <row r="22" spans="2:8" ht="18" x14ac:dyDescent="0.3">
      <c r="B22" s="347" t="s">
        <v>106</v>
      </c>
      <c r="C22" s="348" t="s">
        <v>195</v>
      </c>
      <c r="D22" s="348" t="s">
        <v>206</v>
      </c>
      <c r="E22" s="357" t="s">
        <v>201</v>
      </c>
      <c r="F22" s="374" t="s">
        <v>198</v>
      </c>
      <c r="G22" s="93"/>
      <c r="H22" s="19"/>
    </row>
    <row r="23" spans="2:8" ht="18.600000000000001" thickBot="1" x14ac:dyDescent="0.35">
      <c r="B23" s="349">
        <v>0</v>
      </c>
      <c r="C23" s="350">
        <v>0.7</v>
      </c>
      <c r="D23" s="352">
        <v>0</v>
      </c>
      <c r="E23" s="394">
        <f>D23/C23</f>
        <v>0</v>
      </c>
      <c r="F23" s="375">
        <f>E23*B23*F25</f>
        <v>0</v>
      </c>
      <c r="G23" s="93"/>
      <c r="H23" s="664"/>
    </row>
    <row r="24" spans="2:8" ht="18" x14ac:dyDescent="0.3">
      <c r="B24" s="383" t="s">
        <v>202</v>
      </c>
      <c r="C24" s="386" t="s">
        <v>203</v>
      </c>
      <c r="D24" s="397" t="s">
        <v>201</v>
      </c>
      <c r="E24" s="384" t="s">
        <v>209</v>
      </c>
      <c r="F24" s="374" t="s">
        <v>308</v>
      </c>
      <c r="G24" s="93"/>
      <c r="H24" s="19"/>
    </row>
    <row r="25" spans="2:8" ht="18" x14ac:dyDescent="0.3">
      <c r="B25" s="589">
        <v>90</v>
      </c>
      <c r="C25" s="385">
        <v>4</v>
      </c>
      <c r="D25" s="396">
        <f>E23*F25</f>
        <v>0</v>
      </c>
      <c r="E25" s="353">
        <v>66</v>
      </c>
      <c r="F25" s="378">
        <v>1</v>
      </c>
      <c r="G25" s="93"/>
      <c r="H25" s="665"/>
    </row>
    <row r="26" spans="2:8" ht="18" x14ac:dyDescent="0.3">
      <c r="B26" s="354" t="s">
        <v>199</v>
      </c>
      <c r="C26" s="719" t="s">
        <v>200</v>
      </c>
      <c r="D26" s="720"/>
      <c r="E26" s="355" t="s">
        <v>210</v>
      </c>
      <c r="F26" s="379" t="s">
        <v>205</v>
      </c>
      <c r="G26" s="93"/>
      <c r="H26" s="93"/>
    </row>
    <row r="27" spans="2:8" ht="18.600000000000001" thickBot="1" x14ac:dyDescent="0.35">
      <c r="B27" s="361">
        <f>(60/F27)*(E23*F25)</f>
        <v>0</v>
      </c>
      <c r="C27" s="683">
        <f>(60/F27)*(D23*F25)</f>
        <v>0</v>
      </c>
      <c r="D27" s="684"/>
      <c r="E27" s="591" t="e">
        <f>E25/F23</f>
        <v>#DIV/0!</v>
      </c>
      <c r="F27" s="588">
        <v>2</v>
      </c>
      <c r="G27" s="93"/>
      <c r="H27" s="93"/>
    </row>
    <row r="28" spans="2:8" ht="18.600000000000001" thickBot="1" x14ac:dyDescent="0.35">
      <c r="B28" s="362"/>
      <c r="C28" s="363"/>
      <c r="D28" s="363"/>
      <c r="E28" s="364"/>
      <c r="F28" s="380"/>
      <c r="G28" s="93"/>
      <c r="H28" s="93"/>
    </row>
    <row r="29" spans="2:8" ht="21.6" thickBot="1" x14ac:dyDescent="0.35">
      <c r="B29" s="705" t="s">
        <v>135</v>
      </c>
      <c r="C29" s="706"/>
      <c r="D29" s="706"/>
      <c r="E29" s="706"/>
      <c r="F29" s="707"/>
      <c r="G29" s="93"/>
      <c r="H29" s="93"/>
    </row>
    <row r="30" spans="2:8" ht="18" x14ac:dyDescent="0.3">
      <c r="B30" s="347" t="s">
        <v>106</v>
      </c>
      <c r="C30" s="348" t="s">
        <v>195</v>
      </c>
      <c r="D30" s="357" t="s">
        <v>196</v>
      </c>
      <c r="E30" s="384" t="s">
        <v>197</v>
      </c>
      <c r="F30" s="374" t="s">
        <v>198</v>
      </c>
      <c r="G30" s="93"/>
      <c r="H30" s="93"/>
    </row>
    <row r="31" spans="2:8" ht="18.600000000000001" thickBot="1" x14ac:dyDescent="0.35">
      <c r="B31" s="349">
        <v>0</v>
      </c>
      <c r="C31" s="350">
        <v>0.7</v>
      </c>
      <c r="D31" s="351">
        <v>0</v>
      </c>
      <c r="E31" s="394">
        <f>D31/C31</f>
        <v>0</v>
      </c>
      <c r="F31" s="375">
        <f>(B31*E31)*F33</f>
        <v>0</v>
      </c>
      <c r="G31" s="93"/>
      <c r="H31" s="93"/>
    </row>
    <row r="32" spans="2:8" ht="18" x14ac:dyDescent="0.3">
      <c r="B32" s="383" t="s">
        <v>202</v>
      </c>
      <c r="C32" s="386" t="s">
        <v>203</v>
      </c>
      <c r="D32" s="397" t="s">
        <v>201</v>
      </c>
      <c r="E32" s="384" t="s">
        <v>209</v>
      </c>
      <c r="F32" s="374" t="s">
        <v>308</v>
      </c>
      <c r="G32" s="93"/>
      <c r="H32" s="93"/>
    </row>
    <row r="33" spans="2:8" ht="18" x14ac:dyDescent="0.3">
      <c r="B33" s="586">
        <v>90</v>
      </c>
      <c r="C33" s="385">
        <v>4</v>
      </c>
      <c r="D33" s="396">
        <f>E31*F33</f>
        <v>0</v>
      </c>
      <c r="E33" s="353">
        <v>66</v>
      </c>
      <c r="F33" s="378">
        <v>1</v>
      </c>
      <c r="G33" s="93"/>
      <c r="H33" s="93"/>
    </row>
    <row r="34" spans="2:8" ht="18" x14ac:dyDescent="0.3">
      <c r="B34" s="354" t="s">
        <v>199</v>
      </c>
      <c r="C34" s="719" t="s">
        <v>200</v>
      </c>
      <c r="D34" s="720"/>
      <c r="E34" s="355" t="s">
        <v>210</v>
      </c>
      <c r="F34" s="379" t="s">
        <v>205</v>
      </c>
      <c r="G34" s="93"/>
      <c r="H34" s="93"/>
    </row>
    <row r="35" spans="2:8" ht="18.600000000000001" thickBot="1" x14ac:dyDescent="0.35">
      <c r="B35" s="361">
        <f>(60/F35)*(E31*F33)</f>
        <v>0</v>
      </c>
      <c r="C35" s="683">
        <f>(60/F35)*(D31*F33)</f>
        <v>0</v>
      </c>
      <c r="D35" s="684"/>
      <c r="E35" s="587" t="e">
        <f>E33/F31</f>
        <v>#DIV/0!</v>
      </c>
      <c r="F35" s="588">
        <v>2</v>
      </c>
      <c r="G35" s="93"/>
      <c r="H35" s="93"/>
    </row>
    <row r="36" spans="2:8" ht="18.600000000000001" thickBot="1" x14ac:dyDescent="0.35">
      <c r="B36" s="362"/>
      <c r="C36" s="363"/>
      <c r="D36" s="363"/>
      <c r="E36" s="364"/>
      <c r="F36" s="395"/>
      <c r="G36" s="93"/>
      <c r="H36" s="93"/>
    </row>
    <row r="37" spans="2:8" ht="21.6" thickBot="1" x14ac:dyDescent="0.35">
      <c r="B37" s="705" t="s">
        <v>119</v>
      </c>
      <c r="C37" s="706"/>
      <c r="D37" s="706"/>
      <c r="E37" s="706"/>
      <c r="F37" s="707"/>
      <c r="G37" s="93"/>
      <c r="H37" s="93"/>
    </row>
    <row r="38" spans="2:8" ht="18" x14ac:dyDescent="0.3">
      <c r="B38" s="347" t="s">
        <v>106</v>
      </c>
      <c r="C38" s="348" t="s">
        <v>195</v>
      </c>
      <c r="D38" s="348" t="s">
        <v>196</v>
      </c>
      <c r="E38" s="357" t="s">
        <v>201</v>
      </c>
      <c r="F38" s="374" t="s">
        <v>198</v>
      </c>
      <c r="G38" s="93"/>
      <c r="H38" s="19"/>
    </row>
    <row r="39" spans="2:8" ht="18.600000000000001" thickBot="1" x14ac:dyDescent="0.35">
      <c r="B39" s="349">
        <v>0</v>
      </c>
      <c r="C39" s="350">
        <v>0.7</v>
      </c>
      <c r="D39" s="352">
        <v>0</v>
      </c>
      <c r="E39" s="394">
        <f>D39/C39</f>
        <v>0</v>
      </c>
      <c r="F39" s="375">
        <f>(E39*B39)*F41</f>
        <v>0</v>
      </c>
      <c r="G39" s="93"/>
      <c r="H39" s="664"/>
    </row>
    <row r="40" spans="2:8" ht="18" x14ac:dyDescent="0.3">
      <c r="B40" s="383" t="s">
        <v>202</v>
      </c>
      <c r="C40" s="715" t="s">
        <v>203</v>
      </c>
      <c r="D40" s="716"/>
      <c r="E40" s="384" t="s">
        <v>209</v>
      </c>
      <c r="F40" s="374" t="s">
        <v>308</v>
      </c>
      <c r="G40" s="93"/>
      <c r="H40" s="19"/>
    </row>
    <row r="41" spans="2:8" ht="18" x14ac:dyDescent="0.3">
      <c r="B41" s="586">
        <v>90</v>
      </c>
      <c r="C41" s="717">
        <v>4</v>
      </c>
      <c r="D41" s="718"/>
      <c r="E41" s="356">
        <v>71</v>
      </c>
      <c r="F41" s="378">
        <v>1</v>
      </c>
      <c r="G41" s="93"/>
      <c r="H41" s="665"/>
    </row>
    <row r="42" spans="2:8" ht="18" x14ac:dyDescent="0.3">
      <c r="B42" s="354" t="s">
        <v>199</v>
      </c>
      <c r="C42" s="719" t="s">
        <v>200</v>
      </c>
      <c r="D42" s="720"/>
      <c r="E42" s="355" t="s">
        <v>210</v>
      </c>
      <c r="F42" s="379" t="s">
        <v>205</v>
      </c>
      <c r="G42" s="93"/>
      <c r="H42" s="93"/>
    </row>
    <row r="43" spans="2:8" ht="18.600000000000001" thickBot="1" x14ac:dyDescent="0.35">
      <c r="B43" s="361">
        <f>(60/F43)*(E39*F41)</f>
        <v>0</v>
      </c>
      <c r="C43" s="683">
        <f>(60/F43)*(D39*F41)</f>
        <v>0</v>
      </c>
      <c r="D43" s="684"/>
      <c r="E43" s="587" t="e">
        <f>E41/F39</f>
        <v>#DIV/0!</v>
      </c>
      <c r="F43" s="592">
        <v>2</v>
      </c>
      <c r="G43" s="93"/>
      <c r="H43" s="93"/>
    </row>
    <row r="44" spans="2:8" ht="18.600000000000001" thickBot="1" x14ac:dyDescent="0.35">
      <c r="B44" s="362"/>
      <c r="C44" s="363"/>
      <c r="D44" s="363"/>
      <c r="E44" s="364"/>
      <c r="F44" s="381"/>
      <c r="G44" s="93"/>
      <c r="H44" s="93"/>
    </row>
    <row r="45" spans="2:8" ht="21.6" thickBot="1" x14ac:dyDescent="0.35">
      <c r="B45" s="705" t="s">
        <v>137</v>
      </c>
      <c r="C45" s="706"/>
      <c r="D45" s="706"/>
      <c r="E45" s="706"/>
      <c r="F45" s="707"/>
      <c r="G45" s="93"/>
      <c r="H45" s="93"/>
    </row>
    <row r="46" spans="2:8" ht="18" x14ac:dyDescent="0.3">
      <c r="B46" s="347" t="s">
        <v>106</v>
      </c>
      <c r="C46" s="348" t="s">
        <v>195</v>
      </c>
      <c r="D46" s="348" t="s">
        <v>196</v>
      </c>
      <c r="E46" s="357" t="s">
        <v>201</v>
      </c>
      <c r="F46" s="374" t="s">
        <v>198</v>
      </c>
      <c r="G46" s="93"/>
      <c r="H46" s="19"/>
    </row>
    <row r="47" spans="2:8" ht="18.600000000000001" thickBot="1" x14ac:dyDescent="0.35">
      <c r="B47" s="349">
        <v>0</v>
      </c>
      <c r="C47" s="350">
        <v>0.7</v>
      </c>
      <c r="D47" s="352">
        <v>0</v>
      </c>
      <c r="E47" s="398">
        <f>D47/C47</f>
        <v>0</v>
      </c>
      <c r="F47" s="399">
        <f>E47*B47*F49</f>
        <v>0</v>
      </c>
      <c r="G47" s="93"/>
      <c r="H47" s="664"/>
    </row>
    <row r="48" spans="2:8" ht="18" x14ac:dyDescent="0.3">
      <c r="B48" s="383" t="s">
        <v>202</v>
      </c>
      <c r="C48" s="715" t="s">
        <v>203</v>
      </c>
      <c r="D48" s="716"/>
      <c r="E48" s="384" t="s">
        <v>209</v>
      </c>
      <c r="F48" s="374" t="s">
        <v>308</v>
      </c>
      <c r="G48" s="93"/>
      <c r="H48" s="19"/>
    </row>
    <row r="49" spans="1:296" ht="18" x14ac:dyDescent="0.3">
      <c r="B49" s="586">
        <v>90</v>
      </c>
      <c r="C49" s="717">
        <v>4</v>
      </c>
      <c r="D49" s="718"/>
      <c r="E49" s="356">
        <v>192</v>
      </c>
      <c r="F49" s="378">
        <v>1</v>
      </c>
      <c r="G49" s="93"/>
      <c r="H49" s="665"/>
    </row>
    <row r="50" spans="1:296" ht="18" x14ac:dyDescent="0.3">
      <c r="B50" s="354" t="s">
        <v>199</v>
      </c>
      <c r="C50" s="719" t="s">
        <v>200</v>
      </c>
      <c r="D50" s="720"/>
      <c r="E50" s="355" t="s">
        <v>210</v>
      </c>
      <c r="F50" s="379" t="s">
        <v>205</v>
      </c>
      <c r="G50" s="93"/>
      <c r="H50" s="93"/>
    </row>
    <row r="51" spans="1:296" ht="18.600000000000001" thickBot="1" x14ac:dyDescent="0.35">
      <c r="B51" s="361">
        <f>(60/F51)*(E47*F49)</f>
        <v>0</v>
      </c>
      <c r="C51" s="683">
        <f>(60/F51)*(D47*F49)</f>
        <v>0</v>
      </c>
      <c r="D51" s="684"/>
      <c r="E51" s="587" t="e">
        <f>E49/F47</f>
        <v>#DIV/0!</v>
      </c>
      <c r="F51" s="592">
        <v>2</v>
      </c>
      <c r="G51" s="93"/>
      <c r="H51" s="93"/>
    </row>
    <row r="52" spans="1:296" ht="18.600000000000001" thickBot="1" x14ac:dyDescent="0.35">
      <c r="B52" s="362"/>
      <c r="C52" s="363"/>
      <c r="D52" s="363"/>
      <c r="E52" s="364"/>
      <c r="F52" s="381"/>
      <c r="G52" s="93"/>
      <c r="H52" s="93"/>
    </row>
    <row r="53" spans="1:296" ht="21.6" thickBot="1" x14ac:dyDescent="0.35">
      <c r="B53" s="705" t="s">
        <v>138</v>
      </c>
      <c r="C53" s="706"/>
      <c r="D53" s="706"/>
      <c r="E53" s="706"/>
      <c r="F53" s="707"/>
      <c r="G53" s="93"/>
      <c r="H53" s="93"/>
    </row>
    <row r="54" spans="1:296" ht="18" x14ac:dyDescent="0.3">
      <c r="B54" s="347" t="s">
        <v>106</v>
      </c>
      <c r="C54" s="348" t="s">
        <v>195</v>
      </c>
      <c r="D54" s="348" t="s">
        <v>196</v>
      </c>
      <c r="E54" s="357" t="s">
        <v>201</v>
      </c>
      <c r="F54" s="374" t="s">
        <v>198</v>
      </c>
      <c r="G54" s="93"/>
      <c r="H54" s="19"/>
    </row>
    <row r="55" spans="1:296" ht="18.600000000000001" thickBot="1" x14ac:dyDescent="0.35">
      <c r="B55" s="349">
        <v>0</v>
      </c>
      <c r="C55" s="350">
        <v>0.7</v>
      </c>
      <c r="D55" s="352">
        <v>0</v>
      </c>
      <c r="E55" s="394">
        <f>D55/C55</f>
        <v>0</v>
      </c>
      <c r="F55" s="375">
        <f>E55*B55*F57</f>
        <v>0</v>
      </c>
      <c r="G55" s="93"/>
      <c r="H55" s="664"/>
    </row>
    <row r="56" spans="1:296" ht="18" x14ac:dyDescent="0.3">
      <c r="B56" s="383" t="s">
        <v>202</v>
      </c>
      <c r="C56" s="715" t="s">
        <v>203</v>
      </c>
      <c r="D56" s="716"/>
      <c r="E56" s="384" t="s">
        <v>209</v>
      </c>
      <c r="F56" s="374" t="s">
        <v>308</v>
      </c>
      <c r="G56" s="93"/>
      <c r="H56" s="19"/>
    </row>
    <row r="57" spans="1:296" ht="18" x14ac:dyDescent="0.3">
      <c r="B57" s="586">
        <v>89</v>
      </c>
      <c r="C57" s="717">
        <v>2</v>
      </c>
      <c r="D57" s="718"/>
      <c r="E57" s="356">
        <v>43</v>
      </c>
      <c r="F57" s="378">
        <v>1</v>
      </c>
      <c r="G57" s="93"/>
      <c r="H57" s="665"/>
    </row>
    <row r="58" spans="1:296" ht="18" x14ac:dyDescent="0.3">
      <c r="B58" s="354" t="s">
        <v>199</v>
      </c>
      <c r="C58" s="719" t="s">
        <v>200</v>
      </c>
      <c r="D58" s="720"/>
      <c r="E58" s="355" t="s">
        <v>210</v>
      </c>
      <c r="F58" s="379" t="s">
        <v>205</v>
      </c>
      <c r="G58" s="93"/>
      <c r="H58" s="93"/>
    </row>
    <row r="59" spans="1:296" ht="18.600000000000001" thickBot="1" x14ac:dyDescent="0.35">
      <c r="B59" s="361">
        <f>(60/F59)*(E55*F57)</f>
        <v>0</v>
      </c>
      <c r="C59" s="683">
        <f>(60/F59)*(D55*F57)</f>
        <v>0</v>
      </c>
      <c r="D59" s="684"/>
      <c r="E59" s="587" t="e">
        <f>E57/F55</f>
        <v>#DIV/0!</v>
      </c>
      <c r="F59" s="592">
        <v>2</v>
      </c>
      <c r="G59" s="93"/>
      <c r="H59" s="93"/>
    </row>
    <row r="60" spans="1:296" ht="18.600000000000001" thickBot="1" x14ac:dyDescent="0.35">
      <c r="B60" s="362"/>
      <c r="C60" s="363"/>
      <c r="D60" s="363"/>
      <c r="E60" s="364"/>
      <c r="F60" s="381"/>
      <c r="G60" s="93"/>
      <c r="H60" s="93"/>
    </row>
    <row r="61" spans="1:296" s="365" customFormat="1" ht="21.6" thickBot="1" x14ac:dyDescent="0.35">
      <c r="A61" s="346"/>
      <c r="B61" s="721" t="s">
        <v>14</v>
      </c>
      <c r="C61" s="722"/>
      <c r="D61" s="722"/>
      <c r="E61" s="722"/>
      <c r="F61" s="723"/>
      <c r="G61" s="93"/>
      <c r="H61" s="93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  <c r="CB61" s="1"/>
      <c r="CC61" s="1"/>
      <c r="CD61" s="1"/>
      <c r="CE61" s="1"/>
      <c r="CF61" s="1"/>
      <c r="CG61" s="1"/>
      <c r="CH61" s="1"/>
      <c r="CI61" s="1"/>
      <c r="CJ61" s="1"/>
      <c r="CK61" s="1"/>
      <c r="CL61" s="1"/>
      <c r="CM61" s="1"/>
      <c r="CN61" s="1"/>
      <c r="CO61" s="1"/>
      <c r="CP61" s="1"/>
      <c r="CQ61" s="1"/>
      <c r="CR61" s="1"/>
      <c r="CS61" s="1"/>
      <c r="CT61" s="1"/>
      <c r="CU61" s="1"/>
      <c r="CV61" s="1"/>
      <c r="CW61" s="1"/>
      <c r="CX61" s="1"/>
      <c r="CY61" s="1"/>
      <c r="CZ61" s="1"/>
      <c r="DA61" s="1"/>
      <c r="DB61" s="1"/>
      <c r="DC61" s="1"/>
      <c r="DD61" s="1"/>
      <c r="DE61" s="1"/>
      <c r="DF61" s="1"/>
      <c r="DG61" s="1"/>
      <c r="DH61" s="1"/>
      <c r="DI61" s="1"/>
      <c r="DJ61" s="1"/>
      <c r="DK61" s="1"/>
      <c r="DL61" s="1"/>
      <c r="DM61" s="1"/>
      <c r="DN61" s="1"/>
      <c r="DO61" s="1"/>
      <c r="DP61" s="1"/>
      <c r="DQ61" s="1"/>
      <c r="DR61" s="1"/>
      <c r="DS61" s="1"/>
      <c r="DT61" s="1"/>
      <c r="DU61" s="1"/>
      <c r="DV61" s="1"/>
      <c r="DW61" s="1"/>
      <c r="DX61" s="1"/>
      <c r="DY61" s="1"/>
      <c r="DZ61" s="1"/>
      <c r="EA61" s="1"/>
      <c r="EB61" s="1"/>
      <c r="EC61" s="1"/>
      <c r="ED61" s="1"/>
      <c r="EE61" s="1"/>
      <c r="EF61" s="1"/>
      <c r="EG61" s="1"/>
      <c r="EH61" s="1"/>
      <c r="EI61" s="1"/>
      <c r="EJ61" s="1"/>
      <c r="EK61" s="1"/>
      <c r="EL61" s="1"/>
      <c r="EM61" s="1"/>
      <c r="EN61" s="1"/>
      <c r="EO61" s="1"/>
      <c r="EP61" s="1"/>
      <c r="EQ61" s="1"/>
      <c r="ER61" s="1"/>
      <c r="ES61" s="1"/>
      <c r="ET61" s="1"/>
      <c r="EU61" s="1"/>
      <c r="EV61" s="1"/>
      <c r="EW61" s="1"/>
      <c r="EX61" s="1"/>
      <c r="EY61" s="1"/>
      <c r="EZ61" s="1"/>
      <c r="FA61" s="1"/>
      <c r="FB61" s="1"/>
      <c r="FC61" s="1"/>
      <c r="FD61" s="1"/>
      <c r="FE61" s="1"/>
      <c r="FF61" s="1"/>
      <c r="FG61" s="1"/>
      <c r="FH61" s="1"/>
      <c r="FI61" s="1"/>
      <c r="FJ61" s="1"/>
      <c r="FK61" s="1"/>
      <c r="FL61" s="1"/>
      <c r="FM61" s="1"/>
      <c r="FN61" s="1"/>
      <c r="FO61" s="1"/>
      <c r="FP61" s="1"/>
      <c r="FQ61" s="1"/>
      <c r="FR61" s="1"/>
      <c r="FS61" s="1"/>
      <c r="FT61" s="1"/>
      <c r="FU61" s="1"/>
      <c r="FV61" s="1"/>
      <c r="FW61" s="1"/>
      <c r="FX61" s="1"/>
      <c r="FY61" s="1"/>
      <c r="FZ61" s="1"/>
      <c r="GA61" s="1"/>
      <c r="GB61" s="1"/>
      <c r="GC61" s="1"/>
      <c r="GD61" s="1"/>
      <c r="GE61" s="1"/>
      <c r="GF61" s="1"/>
      <c r="GG61" s="1"/>
      <c r="GH61" s="1"/>
      <c r="GI61" s="1"/>
      <c r="GJ61" s="1"/>
      <c r="GK61" s="1"/>
      <c r="GL61" s="1"/>
      <c r="GM61" s="1"/>
      <c r="GN61" s="1"/>
      <c r="GO61" s="1"/>
      <c r="GP61" s="1"/>
      <c r="GQ61" s="1"/>
      <c r="GR61" s="1"/>
      <c r="GS61" s="1"/>
      <c r="GT61" s="1"/>
      <c r="GU61" s="1"/>
      <c r="GV61" s="1"/>
      <c r="GW61" s="1"/>
      <c r="GX61" s="1"/>
      <c r="GY61" s="1"/>
      <c r="GZ61" s="1"/>
      <c r="HA61" s="1"/>
      <c r="HB61" s="1"/>
      <c r="HC61" s="1"/>
      <c r="HD61" s="1"/>
      <c r="HE61" s="1"/>
      <c r="HF61" s="1"/>
      <c r="HG61" s="1"/>
      <c r="HH61" s="1"/>
      <c r="HI61" s="1"/>
      <c r="HJ61" s="1"/>
      <c r="HK61" s="1"/>
      <c r="HL61" s="1"/>
      <c r="HM61" s="1"/>
      <c r="HN61" s="1"/>
      <c r="HO61" s="1"/>
      <c r="HP61" s="1"/>
      <c r="HQ61" s="1"/>
      <c r="HR61" s="1"/>
      <c r="HS61" s="1"/>
      <c r="HT61" s="1"/>
      <c r="HU61" s="1"/>
      <c r="HV61" s="1"/>
      <c r="HW61" s="1"/>
      <c r="HX61" s="1"/>
      <c r="HY61" s="1"/>
      <c r="HZ61" s="1"/>
      <c r="IA61" s="1"/>
      <c r="IB61" s="1"/>
      <c r="IC61" s="1"/>
      <c r="ID61" s="1"/>
      <c r="IE61" s="1"/>
      <c r="IF61" s="1"/>
      <c r="IG61" s="1"/>
      <c r="IH61" s="1"/>
      <c r="II61" s="1"/>
      <c r="IJ61" s="1"/>
      <c r="IK61" s="1"/>
      <c r="IL61" s="1"/>
      <c r="IM61" s="1"/>
      <c r="IN61" s="1"/>
      <c r="IO61" s="1"/>
      <c r="IP61" s="1"/>
      <c r="IQ61" s="1"/>
      <c r="IR61" s="1"/>
      <c r="IS61" s="1"/>
      <c r="IT61" s="1"/>
      <c r="IU61" s="1"/>
      <c r="IV61" s="1"/>
      <c r="IW61" s="1"/>
      <c r="IX61" s="1"/>
      <c r="IY61" s="1"/>
      <c r="IZ61" s="1"/>
      <c r="JA61" s="1"/>
      <c r="JB61" s="1"/>
      <c r="JC61" s="1"/>
      <c r="JD61" s="1"/>
      <c r="JE61" s="1"/>
      <c r="JF61" s="1"/>
      <c r="JG61" s="1"/>
      <c r="JH61" s="1"/>
      <c r="JI61" s="1"/>
      <c r="JJ61" s="1"/>
      <c r="JK61" s="1"/>
      <c r="JL61" s="1"/>
      <c r="JM61" s="1"/>
      <c r="JN61" s="1"/>
      <c r="JO61" s="1"/>
      <c r="JP61" s="1"/>
      <c r="JQ61" s="1"/>
      <c r="JR61" s="1"/>
      <c r="JS61" s="1"/>
      <c r="JT61" s="1"/>
      <c r="JU61" s="1"/>
      <c r="JV61" s="1"/>
      <c r="JW61" s="1"/>
      <c r="JX61" s="1"/>
      <c r="JY61" s="1"/>
      <c r="JZ61" s="1"/>
      <c r="KA61" s="1"/>
      <c r="KB61" s="1"/>
      <c r="KC61" s="1"/>
      <c r="KD61" s="1"/>
      <c r="KE61" s="1"/>
      <c r="KF61" s="1"/>
      <c r="KG61" s="1"/>
      <c r="KH61" s="1"/>
      <c r="KI61" s="1"/>
      <c r="KJ61" s="1"/>
    </row>
    <row r="62" spans="1:296" ht="18" x14ac:dyDescent="0.3">
      <c r="B62" s="347" t="s">
        <v>106</v>
      </c>
      <c r="C62" s="348" t="s">
        <v>195</v>
      </c>
      <c r="D62" s="357" t="s">
        <v>196</v>
      </c>
      <c r="E62" s="357" t="s">
        <v>201</v>
      </c>
      <c r="F62" s="374" t="s">
        <v>198</v>
      </c>
      <c r="G62" s="93"/>
      <c r="H62" s="19"/>
    </row>
    <row r="63" spans="1:296" ht="18.600000000000001" thickBot="1" x14ac:dyDescent="0.35">
      <c r="B63" s="349">
        <v>0</v>
      </c>
      <c r="C63" s="350">
        <v>0.7</v>
      </c>
      <c r="D63" s="352">
        <v>0</v>
      </c>
      <c r="E63" s="394">
        <f>D63/C63</f>
        <v>0</v>
      </c>
      <c r="F63" s="375">
        <f>E63*B63*F65</f>
        <v>0</v>
      </c>
      <c r="G63" s="93"/>
      <c r="H63" s="664"/>
    </row>
    <row r="64" spans="1:296" ht="18" x14ac:dyDescent="0.3">
      <c r="B64" s="383" t="s">
        <v>202</v>
      </c>
      <c r="C64" s="715" t="s">
        <v>203</v>
      </c>
      <c r="D64" s="716"/>
      <c r="E64" s="384" t="s">
        <v>209</v>
      </c>
      <c r="F64" s="374" t="s">
        <v>308</v>
      </c>
      <c r="G64" s="93"/>
      <c r="H64" s="19"/>
    </row>
    <row r="65" spans="2:8" ht="18" x14ac:dyDescent="0.3">
      <c r="B65" s="589">
        <v>89</v>
      </c>
      <c r="C65" s="717">
        <v>2</v>
      </c>
      <c r="D65" s="718"/>
      <c r="E65" s="356">
        <v>43</v>
      </c>
      <c r="F65" s="378">
        <v>1</v>
      </c>
      <c r="G65" s="93"/>
      <c r="H65" s="665"/>
    </row>
    <row r="66" spans="2:8" ht="18" x14ac:dyDescent="0.3">
      <c r="B66" s="354" t="s">
        <v>199</v>
      </c>
      <c r="C66" s="719" t="s">
        <v>200</v>
      </c>
      <c r="D66" s="720"/>
      <c r="E66" s="355" t="s">
        <v>210</v>
      </c>
      <c r="F66" s="379" t="s">
        <v>205</v>
      </c>
      <c r="G66" s="93"/>
      <c r="H66" s="93"/>
    </row>
    <row r="67" spans="2:8" ht="18.600000000000001" thickBot="1" x14ac:dyDescent="0.35">
      <c r="B67" s="382">
        <f>(60/F67)*(E63*F65)</f>
        <v>0</v>
      </c>
      <c r="C67" s="692">
        <f>(60/F67)*(D63*F65)</f>
        <v>0</v>
      </c>
      <c r="D67" s="693"/>
      <c r="E67" s="593" t="e">
        <f>E65/F63</f>
        <v>#DIV/0!</v>
      </c>
      <c r="F67" s="594">
        <v>2</v>
      </c>
      <c r="G67" s="93"/>
      <c r="H67" s="93"/>
    </row>
    <row r="68" spans="2:8" ht="18.600000000000001" thickBot="1" x14ac:dyDescent="0.35">
      <c r="B68" s="362"/>
      <c r="C68" s="363"/>
      <c r="D68" s="363"/>
      <c r="E68" s="364"/>
      <c r="F68" s="381"/>
      <c r="G68" s="93"/>
      <c r="H68" s="93"/>
    </row>
    <row r="69" spans="2:8" ht="21.6" thickBot="1" x14ac:dyDescent="0.35">
      <c r="B69" s="721" t="s">
        <v>159</v>
      </c>
      <c r="C69" s="722"/>
      <c r="D69" s="722"/>
      <c r="E69" s="722"/>
      <c r="F69" s="723"/>
      <c r="G69" s="93"/>
      <c r="H69" s="93"/>
    </row>
    <row r="70" spans="2:8" ht="18" x14ac:dyDescent="0.3">
      <c r="B70" s="347" t="s">
        <v>106</v>
      </c>
      <c r="C70" s="348" t="s">
        <v>195</v>
      </c>
      <c r="D70" s="357" t="s">
        <v>196</v>
      </c>
      <c r="E70" s="357" t="s">
        <v>201</v>
      </c>
      <c r="F70" s="374" t="s">
        <v>198</v>
      </c>
      <c r="G70" s="93"/>
      <c r="H70" s="93"/>
    </row>
    <row r="71" spans="2:8" ht="18.600000000000001" thickBot="1" x14ac:dyDescent="0.35">
      <c r="B71" s="349">
        <v>0</v>
      </c>
      <c r="C71" s="350">
        <v>0.7</v>
      </c>
      <c r="D71" s="352">
        <v>0</v>
      </c>
      <c r="E71" s="394">
        <f>D71/C71</f>
        <v>0</v>
      </c>
      <c r="F71" s="375">
        <f>E71*B71*F73</f>
        <v>0</v>
      </c>
      <c r="G71" s="93"/>
      <c r="H71" s="93"/>
    </row>
    <row r="72" spans="2:8" ht="18" x14ac:dyDescent="0.3">
      <c r="B72" s="383" t="s">
        <v>202</v>
      </c>
      <c r="C72" s="715" t="s">
        <v>203</v>
      </c>
      <c r="D72" s="716"/>
      <c r="E72" s="384" t="s">
        <v>209</v>
      </c>
      <c r="F72" s="374" t="s">
        <v>308</v>
      </c>
      <c r="G72" s="93"/>
      <c r="H72" s="93"/>
    </row>
    <row r="73" spans="2:8" ht="18" x14ac:dyDescent="0.3">
      <c r="B73" s="586">
        <v>89</v>
      </c>
      <c r="C73" s="717">
        <v>2</v>
      </c>
      <c r="D73" s="718"/>
      <c r="E73" s="356">
        <v>43</v>
      </c>
      <c r="F73" s="378">
        <v>1</v>
      </c>
      <c r="G73" s="93"/>
      <c r="H73" s="93"/>
    </row>
    <row r="74" spans="2:8" ht="18" x14ac:dyDescent="0.3">
      <c r="B74" s="354" t="s">
        <v>199</v>
      </c>
      <c r="C74" s="719" t="s">
        <v>200</v>
      </c>
      <c r="D74" s="720"/>
      <c r="E74" s="355" t="s">
        <v>210</v>
      </c>
      <c r="F74" s="379" t="s">
        <v>205</v>
      </c>
      <c r="G74" s="93"/>
      <c r="H74" s="93"/>
    </row>
    <row r="75" spans="2:8" ht="18.600000000000001" thickBot="1" x14ac:dyDescent="0.35">
      <c r="B75" s="382">
        <f>(60/F75)*(E71*F73)</f>
        <v>0</v>
      </c>
      <c r="C75" s="692">
        <f>(60/F75)*(D71*F73)</f>
        <v>0</v>
      </c>
      <c r="D75" s="693"/>
      <c r="E75" s="595" t="e">
        <f>E73/F71</f>
        <v>#DIV/0!</v>
      </c>
      <c r="F75" s="594">
        <v>2</v>
      </c>
      <c r="G75" s="93"/>
      <c r="H75" s="93"/>
    </row>
    <row r="76" spans="2:8" ht="21" x14ac:dyDescent="0.3">
      <c r="B76" s="725"/>
      <c r="C76" s="725"/>
      <c r="D76" s="725"/>
      <c r="E76" s="725"/>
      <c r="F76" s="725"/>
    </row>
    <row r="77" spans="2:8" ht="18" x14ac:dyDescent="0.3">
      <c r="B77" s="368"/>
      <c r="C77" s="388"/>
      <c r="D77" s="388"/>
      <c r="E77" s="388"/>
      <c r="F77" s="388"/>
    </row>
    <row r="78" spans="2:8" ht="18" x14ac:dyDescent="0.3">
      <c r="B78" s="369"/>
      <c r="C78" s="370"/>
      <c r="D78" s="371"/>
      <c r="E78" s="371"/>
      <c r="F78" s="389"/>
    </row>
    <row r="79" spans="2:8" ht="18" x14ac:dyDescent="0.3">
      <c r="B79" s="388"/>
      <c r="C79" s="726"/>
      <c r="D79" s="726"/>
      <c r="E79" s="388"/>
      <c r="F79" s="388"/>
    </row>
    <row r="80" spans="2:8" ht="18" x14ac:dyDescent="0.3">
      <c r="B80" s="372"/>
      <c r="C80" s="727"/>
      <c r="D80" s="727"/>
      <c r="E80" s="371"/>
      <c r="F80" s="387"/>
    </row>
    <row r="81" spans="2:6" ht="18" x14ac:dyDescent="0.3">
      <c r="B81" s="388"/>
      <c r="C81" s="724"/>
      <c r="D81" s="724"/>
      <c r="E81" s="388"/>
      <c r="F81" s="388"/>
    </row>
    <row r="82" spans="2:6" ht="18" x14ac:dyDescent="0.3">
      <c r="B82" s="389"/>
      <c r="C82" s="696"/>
      <c r="D82" s="696"/>
      <c r="E82" s="373"/>
      <c r="F82" s="373"/>
    </row>
    <row r="83" spans="2:6" ht="21" x14ac:dyDescent="0.3">
      <c r="B83" s="725"/>
      <c r="C83" s="725"/>
      <c r="D83" s="725"/>
      <c r="E83" s="725"/>
      <c r="F83" s="725"/>
    </row>
    <row r="84" spans="2:6" ht="18" x14ac:dyDescent="0.3">
      <c r="B84" s="368"/>
      <c r="C84" s="388"/>
      <c r="D84" s="388"/>
      <c r="E84" s="388"/>
      <c r="F84" s="388"/>
    </row>
    <row r="85" spans="2:6" ht="18" x14ac:dyDescent="0.3">
      <c r="B85" s="369"/>
      <c r="C85" s="370"/>
      <c r="D85" s="371"/>
      <c r="E85" s="371"/>
      <c r="F85" s="389"/>
    </row>
    <row r="86" spans="2:6" ht="18" x14ac:dyDescent="0.3">
      <c r="B86" s="388"/>
      <c r="C86" s="726"/>
      <c r="D86" s="726"/>
      <c r="E86" s="388"/>
      <c r="F86" s="388"/>
    </row>
    <row r="87" spans="2:6" ht="18" x14ac:dyDescent="0.3">
      <c r="B87" s="372"/>
      <c r="C87" s="727"/>
      <c r="D87" s="727"/>
      <c r="E87" s="371"/>
      <c r="F87" s="387"/>
    </row>
    <row r="88" spans="2:6" ht="18" x14ac:dyDescent="0.3">
      <c r="B88" s="388"/>
      <c r="C88" s="724"/>
      <c r="D88" s="724"/>
      <c r="E88" s="388"/>
      <c r="F88" s="388"/>
    </row>
    <row r="89" spans="2:6" ht="18" x14ac:dyDescent="0.3">
      <c r="B89" s="389"/>
      <c r="C89" s="696"/>
      <c r="D89" s="696"/>
      <c r="E89" s="373"/>
      <c r="F89" s="373"/>
    </row>
    <row r="90" spans="2:6" ht="21" x14ac:dyDescent="0.3">
      <c r="B90" s="725"/>
      <c r="C90" s="725"/>
      <c r="D90" s="725"/>
      <c r="E90" s="725"/>
      <c r="F90" s="725"/>
    </row>
    <row r="91" spans="2:6" ht="18" x14ac:dyDescent="0.3">
      <c r="B91" s="368"/>
      <c r="C91" s="388"/>
      <c r="D91" s="388"/>
      <c r="E91" s="388"/>
      <c r="F91" s="388"/>
    </row>
    <row r="92" spans="2:6" ht="18" x14ac:dyDescent="0.3">
      <c r="B92" s="369"/>
      <c r="C92" s="370"/>
      <c r="D92" s="371"/>
      <c r="E92" s="371"/>
      <c r="F92" s="389"/>
    </row>
    <row r="93" spans="2:6" ht="18" x14ac:dyDescent="0.3">
      <c r="B93" s="388"/>
      <c r="C93" s="726"/>
      <c r="D93" s="726"/>
      <c r="E93" s="388"/>
      <c r="F93" s="388"/>
    </row>
    <row r="94" spans="2:6" ht="18" x14ac:dyDescent="0.3">
      <c r="B94" s="372"/>
      <c r="C94" s="727"/>
      <c r="D94" s="727"/>
      <c r="E94" s="371"/>
      <c r="F94" s="387"/>
    </row>
    <row r="95" spans="2:6" ht="18" x14ac:dyDescent="0.3">
      <c r="B95" s="388"/>
      <c r="C95" s="724"/>
      <c r="D95" s="724"/>
      <c r="E95" s="388"/>
      <c r="F95" s="388"/>
    </row>
    <row r="96" spans="2:6" ht="18" x14ac:dyDescent="0.3">
      <c r="B96" s="389"/>
      <c r="C96" s="696"/>
      <c r="D96" s="696"/>
      <c r="E96" s="373"/>
      <c r="F96" s="373"/>
    </row>
    <row r="97" spans="2:6" ht="21" x14ac:dyDescent="0.3">
      <c r="B97" s="725"/>
      <c r="C97" s="725"/>
      <c r="D97" s="725"/>
      <c r="E97" s="725"/>
      <c r="F97" s="725"/>
    </row>
    <row r="98" spans="2:6" ht="18" x14ac:dyDescent="0.3">
      <c r="B98" s="368"/>
      <c r="C98" s="388"/>
      <c r="D98" s="388"/>
      <c r="E98" s="388"/>
      <c r="F98" s="388"/>
    </row>
    <row r="99" spans="2:6" ht="18" x14ac:dyDescent="0.3">
      <c r="B99" s="369"/>
      <c r="C99" s="370"/>
      <c r="D99" s="371"/>
      <c r="E99" s="371"/>
      <c r="F99" s="389"/>
    </row>
    <row r="100" spans="2:6" ht="18" x14ac:dyDescent="0.3">
      <c r="B100" s="388"/>
      <c r="C100" s="726"/>
      <c r="D100" s="726"/>
      <c r="E100" s="388"/>
      <c r="F100" s="388"/>
    </row>
    <row r="101" spans="2:6" ht="18" x14ac:dyDescent="0.3">
      <c r="B101" s="372"/>
      <c r="C101" s="727"/>
      <c r="D101" s="727"/>
      <c r="E101" s="371"/>
      <c r="F101" s="387"/>
    </row>
    <row r="102" spans="2:6" ht="18" x14ac:dyDescent="0.3">
      <c r="B102" s="388"/>
      <c r="C102" s="724"/>
      <c r="D102" s="724"/>
      <c r="E102" s="388"/>
      <c r="F102" s="388"/>
    </row>
    <row r="103" spans="2:6" ht="18" x14ac:dyDescent="0.3">
      <c r="B103" s="389"/>
      <c r="C103" s="696"/>
      <c r="D103" s="696"/>
      <c r="E103" s="373"/>
      <c r="F103" s="373"/>
    </row>
    <row r="104" spans="2:6" ht="21" x14ac:dyDescent="0.3">
      <c r="B104" s="725"/>
      <c r="C104" s="725"/>
      <c r="D104" s="725"/>
      <c r="E104" s="725"/>
      <c r="F104" s="725"/>
    </row>
    <row r="105" spans="2:6" ht="18" x14ac:dyDescent="0.3">
      <c r="B105" s="368"/>
      <c r="C105" s="388"/>
      <c r="D105" s="388"/>
      <c r="E105" s="388"/>
      <c r="F105" s="388"/>
    </row>
    <row r="106" spans="2:6" ht="18" x14ac:dyDescent="0.3">
      <c r="B106" s="369"/>
      <c r="C106" s="370"/>
      <c r="D106" s="371"/>
      <c r="E106" s="371"/>
      <c r="F106" s="389"/>
    </row>
    <row r="107" spans="2:6" ht="18" x14ac:dyDescent="0.3">
      <c r="B107" s="388"/>
      <c r="C107" s="726"/>
      <c r="D107" s="726"/>
      <c r="E107" s="388"/>
      <c r="F107" s="388"/>
    </row>
    <row r="108" spans="2:6" ht="18" x14ac:dyDescent="0.3">
      <c r="B108" s="372"/>
      <c r="C108" s="727"/>
      <c r="D108" s="727"/>
      <c r="E108" s="371"/>
      <c r="F108" s="387"/>
    </row>
    <row r="109" spans="2:6" ht="18" x14ac:dyDescent="0.3">
      <c r="B109" s="388"/>
      <c r="C109" s="724"/>
      <c r="D109" s="724"/>
      <c r="E109" s="388"/>
      <c r="F109" s="388"/>
    </row>
    <row r="110" spans="2:6" ht="18" x14ac:dyDescent="0.3">
      <c r="B110" s="389"/>
      <c r="C110" s="696"/>
      <c r="D110" s="696"/>
      <c r="E110" s="373"/>
      <c r="F110" s="373"/>
    </row>
    <row r="111" spans="2:6" ht="21" x14ac:dyDescent="0.3">
      <c r="B111" s="725"/>
      <c r="C111" s="725"/>
      <c r="D111" s="725"/>
      <c r="E111" s="725"/>
      <c r="F111" s="725"/>
    </row>
    <row r="112" spans="2:6" ht="18" x14ac:dyDescent="0.3">
      <c r="B112" s="368"/>
      <c r="C112" s="388"/>
      <c r="D112" s="388"/>
      <c r="E112" s="388"/>
      <c r="F112" s="388"/>
    </row>
    <row r="113" spans="2:6" ht="18" x14ac:dyDescent="0.3">
      <c r="B113" s="369"/>
      <c r="C113" s="370"/>
      <c r="D113" s="371"/>
      <c r="E113" s="371"/>
      <c r="F113" s="389"/>
    </row>
    <row r="114" spans="2:6" ht="18" x14ac:dyDescent="0.3">
      <c r="B114" s="388"/>
      <c r="C114" s="726"/>
      <c r="D114" s="726"/>
      <c r="E114" s="388"/>
      <c r="F114" s="388"/>
    </row>
    <row r="115" spans="2:6" ht="18" x14ac:dyDescent="0.3">
      <c r="B115" s="372"/>
      <c r="C115" s="727"/>
      <c r="D115" s="727"/>
      <c r="E115" s="371"/>
      <c r="F115" s="387"/>
    </row>
    <row r="116" spans="2:6" ht="18" x14ac:dyDescent="0.3">
      <c r="B116" s="388"/>
      <c r="C116" s="724"/>
      <c r="D116" s="724"/>
      <c r="E116" s="388"/>
      <c r="F116" s="388"/>
    </row>
    <row r="117" spans="2:6" ht="18" x14ac:dyDescent="0.3">
      <c r="B117" s="389"/>
      <c r="C117" s="696"/>
      <c r="D117" s="696"/>
      <c r="E117" s="373"/>
      <c r="F117" s="373"/>
    </row>
    <row r="118" spans="2:6" ht="21" x14ac:dyDescent="0.3">
      <c r="B118" s="725"/>
      <c r="C118" s="725"/>
      <c r="D118" s="725"/>
      <c r="E118" s="725"/>
      <c r="F118" s="725"/>
    </row>
    <row r="119" spans="2:6" ht="18" x14ac:dyDescent="0.3">
      <c r="B119" s="368"/>
      <c r="C119" s="388"/>
      <c r="D119" s="388"/>
      <c r="E119" s="388"/>
      <c r="F119" s="388"/>
    </row>
    <row r="120" spans="2:6" ht="18" x14ac:dyDescent="0.3">
      <c r="B120" s="369"/>
      <c r="C120" s="370"/>
      <c r="D120" s="371"/>
      <c r="E120" s="371"/>
      <c r="F120" s="389"/>
    </row>
    <row r="121" spans="2:6" ht="18" x14ac:dyDescent="0.3">
      <c r="B121" s="388"/>
      <c r="C121" s="726"/>
      <c r="D121" s="726"/>
      <c r="E121" s="388"/>
      <c r="F121" s="388"/>
    </row>
    <row r="122" spans="2:6" ht="18" x14ac:dyDescent="0.3">
      <c r="B122" s="372"/>
      <c r="C122" s="727"/>
      <c r="D122" s="727"/>
      <c r="E122" s="371"/>
      <c r="F122" s="387"/>
    </row>
    <row r="123" spans="2:6" ht="18" x14ac:dyDescent="0.3">
      <c r="B123" s="388"/>
      <c r="C123" s="724"/>
      <c r="D123" s="724"/>
      <c r="E123" s="388"/>
      <c r="F123" s="388"/>
    </row>
    <row r="124" spans="2:6" ht="18" x14ac:dyDescent="0.3">
      <c r="B124" s="389"/>
      <c r="C124" s="696"/>
      <c r="D124" s="696"/>
      <c r="E124" s="373"/>
      <c r="F124" s="373"/>
    </row>
    <row r="125" spans="2:6" ht="21" x14ac:dyDescent="0.3">
      <c r="B125" s="725"/>
      <c r="C125" s="725"/>
      <c r="D125" s="725"/>
      <c r="E125" s="725"/>
      <c r="F125" s="725"/>
    </row>
    <row r="126" spans="2:6" ht="18" x14ac:dyDescent="0.3">
      <c r="B126" s="368"/>
      <c r="C126" s="388"/>
      <c r="D126" s="388"/>
      <c r="E126" s="388"/>
      <c r="F126" s="388"/>
    </row>
    <row r="127" spans="2:6" ht="18" x14ac:dyDescent="0.3">
      <c r="B127" s="369"/>
      <c r="C127" s="370"/>
      <c r="D127" s="371"/>
      <c r="E127" s="390"/>
      <c r="F127" s="389"/>
    </row>
    <row r="128" spans="2:6" ht="18" x14ac:dyDescent="0.3">
      <c r="B128" s="724"/>
      <c r="C128" s="724"/>
      <c r="D128" s="724"/>
      <c r="E128" s="724"/>
      <c r="F128" s="724"/>
    </row>
    <row r="129" spans="2:6" ht="18" x14ac:dyDescent="0.3">
      <c r="B129" s="728"/>
      <c r="C129" s="729"/>
      <c r="D129" s="729"/>
      <c r="E129" s="730"/>
      <c r="F129" s="730"/>
    </row>
    <row r="130" spans="2:6" ht="21" x14ac:dyDescent="0.3">
      <c r="B130" s="725"/>
      <c r="C130" s="725"/>
      <c r="D130" s="725"/>
      <c r="E130" s="725"/>
      <c r="F130" s="725"/>
    </row>
    <row r="131" spans="2:6" ht="18" x14ac:dyDescent="0.3">
      <c r="B131" s="368"/>
      <c r="C131" s="388"/>
      <c r="D131" s="388"/>
      <c r="E131" s="388"/>
      <c r="F131" s="388"/>
    </row>
    <row r="132" spans="2:6" ht="18" x14ac:dyDescent="0.3">
      <c r="B132" s="369"/>
      <c r="C132" s="370"/>
      <c r="D132" s="371"/>
      <c r="E132" s="390"/>
      <c r="F132" s="389"/>
    </row>
    <row r="133" spans="2:6" ht="18" x14ac:dyDescent="0.3">
      <c r="B133" s="724"/>
      <c r="C133" s="724"/>
      <c r="D133" s="724"/>
      <c r="E133" s="724"/>
      <c r="F133" s="724"/>
    </row>
    <row r="134" spans="2:6" ht="18" x14ac:dyDescent="0.3">
      <c r="B134" s="728"/>
      <c r="C134" s="729"/>
      <c r="D134" s="729"/>
      <c r="E134" s="730"/>
      <c r="F134" s="730"/>
    </row>
    <row r="135" spans="2:6" ht="21" x14ac:dyDescent="0.3">
      <c r="B135" s="725"/>
      <c r="C135" s="725"/>
      <c r="D135" s="725"/>
      <c r="E135" s="725"/>
      <c r="F135" s="725"/>
    </row>
    <row r="136" spans="2:6" ht="18" x14ac:dyDescent="0.3">
      <c r="B136" s="368"/>
      <c r="C136" s="388"/>
      <c r="D136" s="388"/>
      <c r="E136" s="388"/>
      <c r="F136" s="388"/>
    </row>
    <row r="137" spans="2:6" ht="18" x14ac:dyDescent="0.3">
      <c r="B137" s="369"/>
      <c r="C137" s="370"/>
      <c r="D137" s="371"/>
      <c r="E137" s="390"/>
      <c r="F137" s="389"/>
    </row>
    <row r="138" spans="2:6" ht="18" x14ac:dyDescent="0.3">
      <c r="B138" s="724"/>
      <c r="C138" s="724"/>
      <c r="D138" s="724"/>
      <c r="E138" s="724"/>
      <c r="F138" s="724"/>
    </row>
    <row r="139" spans="2:6" ht="18" x14ac:dyDescent="0.3">
      <c r="B139" s="728"/>
      <c r="C139" s="729"/>
      <c r="D139" s="729"/>
      <c r="E139" s="730"/>
      <c r="F139" s="730"/>
    </row>
  </sheetData>
  <protectedRanges>
    <protectedRange sqref="B7:D7 C9 F9 F11 B15:D15 C17 F17 F19 B23:D23 C25:D25 F25 F27 B31:D31 C33:D33 F33 F35 B39:D39 C41 F41 F43 B48 B47:D47 C49 F49 F51 B55:D55 C57 F57 F59 B63:D63 C65 F65 F67 B71:D71 C73 F73 F75" name="Intervalo1"/>
  </protectedRanges>
  <mergeCells count="93">
    <mergeCell ref="B138:D138"/>
    <mergeCell ref="E138:F138"/>
    <mergeCell ref="B139:D139"/>
    <mergeCell ref="E139:F139"/>
    <mergeCell ref="C8:D8"/>
    <mergeCell ref="C9:D9"/>
    <mergeCell ref="C10:D10"/>
    <mergeCell ref="C11:D11"/>
    <mergeCell ref="B130:F130"/>
    <mergeCell ref="B133:D133"/>
    <mergeCell ref="E133:F133"/>
    <mergeCell ref="B134:D134"/>
    <mergeCell ref="E134:F134"/>
    <mergeCell ref="B135:F135"/>
    <mergeCell ref="C123:D123"/>
    <mergeCell ref="C124:D124"/>
    <mergeCell ref="B125:F125"/>
    <mergeCell ref="B128:D128"/>
    <mergeCell ref="E128:F128"/>
    <mergeCell ref="B129:D129"/>
    <mergeCell ref="E129:F129"/>
    <mergeCell ref="C122:D122"/>
    <mergeCell ref="C107:D107"/>
    <mergeCell ref="C108:D108"/>
    <mergeCell ref="C109:D109"/>
    <mergeCell ref="C110:D110"/>
    <mergeCell ref="B111:F111"/>
    <mergeCell ref="C114:D114"/>
    <mergeCell ref="C115:D115"/>
    <mergeCell ref="C116:D116"/>
    <mergeCell ref="C117:D117"/>
    <mergeCell ref="B118:F118"/>
    <mergeCell ref="C121:D121"/>
    <mergeCell ref="B104:F104"/>
    <mergeCell ref="C89:D89"/>
    <mergeCell ref="B90:F90"/>
    <mergeCell ref="C93:D93"/>
    <mergeCell ref="C94:D94"/>
    <mergeCell ref="C95:D95"/>
    <mergeCell ref="C96:D96"/>
    <mergeCell ref="B97:F97"/>
    <mergeCell ref="C100:D100"/>
    <mergeCell ref="C101:D101"/>
    <mergeCell ref="C102:D102"/>
    <mergeCell ref="C103:D103"/>
    <mergeCell ref="C88:D88"/>
    <mergeCell ref="C73:D73"/>
    <mergeCell ref="C74:D74"/>
    <mergeCell ref="C75:D75"/>
    <mergeCell ref="B76:F76"/>
    <mergeCell ref="C79:D79"/>
    <mergeCell ref="C80:D80"/>
    <mergeCell ref="C81:D81"/>
    <mergeCell ref="C82:D82"/>
    <mergeCell ref="B83:F83"/>
    <mergeCell ref="C86:D86"/>
    <mergeCell ref="C87:D87"/>
    <mergeCell ref="C72:D72"/>
    <mergeCell ref="B53:F53"/>
    <mergeCell ref="C56:D56"/>
    <mergeCell ref="C57:D57"/>
    <mergeCell ref="C58:D58"/>
    <mergeCell ref="C59:D59"/>
    <mergeCell ref="B61:F61"/>
    <mergeCell ref="C64:D64"/>
    <mergeCell ref="C65:D65"/>
    <mergeCell ref="C66:D66"/>
    <mergeCell ref="C67:D67"/>
    <mergeCell ref="B69:F69"/>
    <mergeCell ref="C51:D51"/>
    <mergeCell ref="B37:F37"/>
    <mergeCell ref="C40:D40"/>
    <mergeCell ref="C41:D41"/>
    <mergeCell ref="C42:D42"/>
    <mergeCell ref="C43:D43"/>
    <mergeCell ref="B45:F45"/>
    <mergeCell ref="C48:D48"/>
    <mergeCell ref="C49:D49"/>
    <mergeCell ref="C50:D50"/>
    <mergeCell ref="C35:D35"/>
    <mergeCell ref="C26:D26"/>
    <mergeCell ref="C27:D27"/>
    <mergeCell ref="B29:F29"/>
    <mergeCell ref="C34:D34"/>
    <mergeCell ref="B21:F21"/>
    <mergeCell ref="C2:E2"/>
    <mergeCell ref="B4:F4"/>
    <mergeCell ref="B5:F5"/>
    <mergeCell ref="B13:F13"/>
    <mergeCell ref="C16:D16"/>
    <mergeCell ref="C17:D17"/>
    <mergeCell ref="C18:D18"/>
    <mergeCell ref="C19:D19"/>
  </mergeCells>
  <hyperlinks>
    <hyperlink ref="A2" location="Menu!A1" display="Menu" xr:uid="{00000000-0004-0000-0700-000000000000}"/>
  </hyperlinks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Plan13"/>
  <dimension ref="A1:AN15"/>
  <sheetViews>
    <sheetView workbookViewId="0">
      <pane xSplit="1" topLeftCell="N1" activePane="topRight" state="frozen"/>
      <selection pane="topRight" activeCell="A2" sqref="A2"/>
    </sheetView>
  </sheetViews>
  <sheetFormatPr defaultColWidth="9.109375" defaultRowHeight="14.4" x14ac:dyDescent="0.3"/>
  <cols>
    <col min="1" max="1" width="29.33203125" style="1" bestFit="1" customWidth="1"/>
    <col min="2" max="2" width="10.109375" style="1" customWidth="1"/>
    <col min="3" max="3" width="18.88671875" style="1" bestFit="1" customWidth="1"/>
    <col min="4" max="4" width="16.6640625" style="1" bestFit="1" customWidth="1"/>
    <col min="5" max="5" width="14.109375" style="1" bestFit="1" customWidth="1"/>
    <col min="6" max="6" width="9.5546875" style="1" bestFit="1" customWidth="1"/>
    <col min="7" max="7" width="12.109375" style="1" bestFit="1" customWidth="1"/>
    <col min="8" max="8" width="14.109375" style="1" bestFit="1" customWidth="1"/>
    <col min="9" max="9" width="9.109375" style="1"/>
    <col min="10" max="10" width="10.88671875" style="1" bestFit="1" customWidth="1"/>
    <col min="11" max="11" width="14.109375" style="1" bestFit="1" customWidth="1"/>
    <col min="12" max="12" width="10.6640625" style="1" bestFit="1" customWidth="1"/>
    <col min="13" max="13" width="12.109375" style="1" bestFit="1" customWidth="1"/>
    <col min="14" max="14" width="14.109375" style="1" bestFit="1" customWidth="1"/>
    <col min="15" max="15" width="9.109375" style="1"/>
    <col min="16" max="16" width="10.88671875" style="1" bestFit="1" customWidth="1"/>
    <col min="17" max="17" width="14.109375" style="1" bestFit="1" customWidth="1"/>
    <col min="18" max="18" width="9.109375" style="1"/>
    <col min="19" max="19" width="10.88671875" style="1" bestFit="1" customWidth="1"/>
    <col min="20" max="20" width="14.109375" style="1" bestFit="1" customWidth="1"/>
    <col min="21" max="21" width="9.109375" style="1"/>
    <col min="22" max="22" width="10.88671875" style="1" bestFit="1" customWidth="1"/>
    <col min="23" max="23" width="14.109375" style="1" bestFit="1" customWidth="1"/>
    <col min="24" max="24" width="9.109375" style="1"/>
    <col min="25" max="25" width="10.88671875" style="1" bestFit="1" customWidth="1"/>
    <col min="26" max="26" width="14.109375" style="1" bestFit="1" customWidth="1"/>
    <col min="27" max="27" width="9.109375" style="1"/>
    <col min="28" max="28" width="10.88671875" style="1" bestFit="1" customWidth="1"/>
    <col min="29" max="29" width="14.109375" style="1" bestFit="1" customWidth="1"/>
    <col min="30" max="30" width="9.109375" style="1"/>
    <col min="31" max="31" width="10.88671875" style="1" bestFit="1" customWidth="1"/>
    <col min="32" max="32" width="14.109375" style="1" bestFit="1" customWidth="1"/>
    <col min="33" max="33" width="9.109375" style="1"/>
    <col min="34" max="34" width="10.88671875" style="1" bestFit="1" customWidth="1"/>
    <col min="35" max="35" width="14.109375" style="1" bestFit="1" customWidth="1"/>
    <col min="36" max="36" width="9.5546875" style="1" bestFit="1" customWidth="1"/>
    <col min="37" max="37" width="10.88671875" style="1" bestFit="1" customWidth="1"/>
    <col min="38" max="38" width="14.109375" style="1" bestFit="1" customWidth="1"/>
    <col min="39" max="39" width="9.5546875" style="1" bestFit="1" customWidth="1"/>
    <col min="40" max="40" width="10.88671875" style="1" bestFit="1" customWidth="1"/>
    <col min="41" max="16384" width="9.109375" style="1"/>
  </cols>
  <sheetData>
    <row r="1" spans="1:40" ht="21.6" thickBot="1" x14ac:dyDescent="0.45">
      <c r="A1" s="217"/>
      <c r="B1" s="217"/>
    </row>
    <row r="2" spans="1:40" ht="29.4" thickBot="1" x14ac:dyDescent="0.35">
      <c r="A2" s="262" t="s">
        <v>110</v>
      </c>
      <c r="B2" s="177"/>
    </row>
    <row r="3" spans="1:40" ht="29.4" thickBot="1" x14ac:dyDescent="0.35">
      <c r="A3" s="256" t="s">
        <v>0</v>
      </c>
      <c r="B3" s="244"/>
      <c r="C3" s="164"/>
      <c r="D3" s="164"/>
      <c r="E3" s="164"/>
      <c r="F3" s="164"/>
      <c r="G3" s="164"/>
    </row>
    <row r="4" spans="1:40" ht="15" customHeight="1" x14ac:dyDescent="0.3">
      <c r="A4" s="165"/>
      <c r="B4" s="165"/>
      <c r="C4" s="165"/>
      <c r="D4" s="165"/>
      <c r="E4" s="165"/>
      <c r="F4" s="165"/>
      <c r="G4" s="165"/>
    </row>
    <row r="5" spans="1:40" x14ac:dyDescent="0.3">
      <c r="A5" s="7"/>
      <c r="B5" s="7"/>
      <c r="C5" s="7"/>
      <c r="D5" s="7"/>
      <c r="E5" s="4">
        <v>45292</v>
      </c>
      <c r="F5" s="4">
        <v>45292</v>
      </c>
      <c r="G5" s="29">
        <v>45292</v>
      </c>
      <c r="H5" s="11">
        <v>45323</v>
      </c>
      <c r="I5" s="11">
        <v>45323</v>
      </c>
      <c r="J5" s="11">
        <v>45323</v>
      </c>
      <c r="K5" s="11">
        <v>45352</v>
      </c>
      <c r="L5" s="11">
        <v>45352</v>
      </c>
      <c r="M5" s="11">
        <v>45352</v>
      </c>
      <c r="N5" s="11">
        <v>45383</v>
      </c>
      <c r="O5" s="11">
        <v>45383</v>
      </c>
      <c r="P5" s="11">
        <v>45383</v>
      </c>
      <c r="Q5" s="11">
        <v>45413</v>
      </c>
      <c r="R5" s="11">
        <v>45413</v>
      </c>
      <c r="S5" s="11">
        <v>45413</v>
      </c>
      <c r="T5" s="11">
        <v>45444</v>
      </c>
      <c r="U5" s="11">
        <v>45444</v>
      </c>
      <c r="V5" s="11">
        <v>45444</v>
      </c>
      <c r="W5" s="11">
        <v>45474</v>
      </c>
      <c r="X5" s="11">
        <v>45474</v>
      </c>
      <c r="Y5" s="11">
        <v>45474</v>
      </c>
      <c r="Z5" s="11">
        <v>45505</v>
      </c>
      <c r="AA5" s="11">
        <v>45505</v>
      </c>
      <c r="AB5" s="11">
        <v>45505</v>
      </c>
      <c r="AC5" s="11">
        <v>45536</v>
      </c>
      <c r="AD5" s="11">
        <v>45536</v>
      </c>
      <c r="AE5" s="11">
        <v>45536</v>
      </c>
      <c r="AF5" s="11">
        <v>45566</v>
      </c>
      <c r="AG5" s="11">
        <v>45566</v>
      </c>
      <c r="AH5" s="11">
        <v>45566</v>
      </c>
      <c r="AI5" s="11">
        <v>45597</v>
      </c>
      <c r="AJ5" s="11">
        <v>45597</v>
      </c>
      <c r="AK5" s="11">
        <v>45597</v>
      </c>
      <c r="AL5" s="11">
        <v>45627</v>
      </c>
      <c r="AM5" s="11">
        <v>45627</v>
      </c>
      <c r="AN5" s="11">
        <v>45627</v>
      </c>
    </row>
    <row r="6" spans="1:40" x14ac:dyDescent="0.3">
      <c r="A6" s="5" t="s">
        <v>1</v>
      </c>
      <c r="B6" s="5" t="s">
        <v>2</v>
      </c>
      <c r="C6" s="5" t="s">
        <v>3</v>
      </c>
      <c r="D6" s="5" t="s">
        <v>9</v>
      </c>
      <c r="E6" s="5" t="s">
        <v>5</v>
      </c>
      <c r="F6" s="5" t="s">
        <v>6</v>
      </c>
      <c r="G6" s="23" t="s">
        <v>7</v>
      </c>
      <c r="H6" s="13" t="s">
        <v>5</v>
      </c>
      <c r="I6" s="13" t="s">
        <v>6</v>
      </c>
      <c r="J6" s="26" t="s">
        <v>7</v>
      </c>
      <c r="K6" s="13" t="s">
        <v>5</v>
      </c>
      <c r="L6" s="13" t="s">
        <v>116</v>
      </c>
      <c r="M6" s="26" t="s">
        <v>7</v>
      </c>
      <c r="N6" s="13" t="s">
        <v>5</v>
      </c>
      <c r="O6" s="13" t="s">
        <v>6</v>
      </c>
      <c r="P6" s="26" t="s">
        <v>7</v>
      </c>
      <c r="Q6" s="13" t="s">
        <v>5</v>
      </c>
      <c r="R6" s="13" t="s">
        <v>6</v>
      </c>
      <c r="S6" s="26" t="s">
        <v>7</v>
      </c>
      <c r="T6" s="13" t="s">
        <v>5</v>
      </c>
      <c r="U6" s="13" t="s">
        <v>6</v>
      </c>
      <c r="V6" s="26" t="s">
        <v>7</v>
      </c>
      <c r="W6" s="13" t="s">
        <v>5</v>
      </c>
      <c r="X6" s="13" t="s">
        <v>6</v>
      </c>
      <c r="Y6" s="26" t="s">
        <v>7</v>
      </c>
      <c r="Z6" s="13" t="s">
        <v>5</v>
      </c>
      <c r="AA6" s="13" t="s">
        <v>6</v>
      </c>
      <c r="AB6" s="26" t="s">
        <v>7</v>
      </c>
      <c r="AC6" s="13" t="s">
        <v>5</v>
      </c>
      <c r="AD6" s="13" t="s">
        <v>6</v>
      </c>
      <c r="AE6" s="26" t="s">
        <v>7</v>
      </c>
      <c r="AF6" s="13" t="s">
        <v>5</v>
      </c>
      <c r="AG6" s="13" t="s">
        <v>6</v>
      </c>
      <c r="AH6" s="26" t="s">
        <v>7</v>
      </c>
      <c r="AI6" s="13" t="s">
        <v>5</v>
      </c>
      <c r="AJ6" s="13" t="s">
        <v>6</v>
      </c>
      <c r="AK6" s="26" t="s">
        <v>7</v>
      </c>
      <c r="AL6" s="13" t="s">
        <v>5</v>
      </c>
      <c r="AM6" s="13" t="s">
        <v>6</v>
      </c>
      <c r="AN6" s="26" t="s">
        <v>7</v>
      </c>
    </row>
    <row r="7" spans="1:40" x14ac:dyDescent="0.3">
      <c r="A7" s="170" t="s">
        <v>222</v>
      </c>
      <c r="B7" s="169">
        <v>5643</v>
      </c>
      <c r="C7" s="8">
        <v>3000</v>
      </c>
      <c r="D7" s="5">
        <v>0</v>
      </c>
      <c r="E7" s="9">
        <v>0</v>
      </c>
      <c r="F7" s="223">
        <v>0</v>
      </c>
      <c r="G7" s="229">
        <f>F7*E7</f>
        <v>0</v>
      </c>
      <c r="H7" s="14">
        <v>0</v>
      </c>
      <c r="I7" s="231">
        <v>0</v>
      </c>
      <c r="J7" s="233">
        <f t="shared" ref="J7:J13" si="0">I7*H7</f>
        <v>0</v>
      </c>
      <c r="K7" s="25">
        <v>125</v>
      </c>
      <c r="L7" s="223">
        <v>5.16</v>
      </c>
      <c r="M7" s="233">
        <f t="shared" ref="M7:M13" si="1">L7*K7</f>
        <v>645</v>
      </c>
      <c r="N7" s="14">
        <v>75</v>
      </c>
      <c r="O7" s="231">
        <v>5.16</v>
      </c>
      <c r="P7" s="233">
        <f t="shared" ref="P7:P13" si="2">O7*N7</f>
        <v>387</v>
      </c>
      <c r="Q7" s="14">
        <v>25</v>
      </c>
      <c r="R7" s="231">
        <v>5.16</v>
      </c>
      <c r="S7" s="233">
        <f t="shared" ref="S7:S13" si="3">R7*Q7</f>
        <v>129</v>
      </c>
      <c r="T7" s="14">
        <v>50</v>
      </c>
      <c r="U7" s="231">
        <v>5.16</v>
      </c>
      <c r="V7" s="233">
        <f t="shared" ref="V7:V13" si="4">U7*T7</f>
        <v>258</v>
      </c>
      <c r="W7" s="14">
        <v>0</v>
      </c>
      <c r="X7" s="231">
        <v>0</v>
      </c>
      <c r="Y7" s="233">
        <f t="shared" ref="Y7:Y13" si="5">X7*W7</f>
        <v>0</v>
      </c>
      <c r="Z7" s="14">
        <v>0</v>
      </c>
      <c r="AA7" s="231">
        <v>0</v>
      </c>
      <c r="AB7" s="233">
        <f t="shared" ref="AB7:AB13" si="6">AA7*Z7</f>
        <v>0</v>
      </c>
      <c r="AC7" s="14">
        <v>0</v>
      </c>
      <c r="AD7" s="231">
        <v>0</v>
      </c>
      <c r="AE7" s="233">
        <f t="shared" ref="AE7:AE13" si="7">AD7*AC7</f>
        <v>0</v>
      </c>
      <c r="AF7" s="14">
        <v>0</v>
      </c>
      <c r="AG7" s="231">
        <v>0</v>
      </c>
      <c r="AH7" s="233">
        <f t="shared" ref="AH7:AH13" si="8">AG7*AF7</f>
        <v>0</v>
      </c>
      <c r="AI7" s="14">
        <v>0</v>
      </c>
      <c r="AJ7" s="231">
        <v>0</v>
      </c>
      <c r="AK7" s="233">
        <f t="shared" ref="AK7:AK13" si="9">AJ7*AI7</f>
        <v>0</v>
      </c>
      <c r="AL7" s="14">
        <v>0</v>
      </c>
      <c r="AM7" s="231">
        <v>0</v>
      </c>
      <c r="AN7" s="233">
        <f t="shared" ref="AN7:AN13" si="10">AM7*AL7</f>
        <v>0</v>
      </c>
    </row>
    <row r="8" spans="1:40" x14ac:dyDescent="0.3">
      <c r="A8" s="170" t="s">
        <v>223</v>
      </c>
      <c r="B8" s="245"/>
      <c r="C8" s="8">
        <v>0</v>
      </c>
      <c r="D8" s="5">
        <v>0</v>
      </c>
      <c r="E8" s="9">
        <v>0</v>
      </c>
      <c r="F8" s="223">
        <v>0</v>
      </c>
      <c r="G8" s="229">
        <f t="shared" ref="G8:G13" si="11">F8*E8</f>
        <v>0</v>
      </c>
      <c r="H8" s="14">
        <v>0</v>
      </c>
      <c r="I8" s="231">
        <v>0</v>
      </c>
      <c r="J8" s="233">
        <f t="shared" si="0"/>
        <v>0</v>
      </c>
      <c r="K8" s="25">
        <v>75</v>
      </c>
      <c r="L8" s="223">
        <v>10.5</v>
      </c>
      <c r="M8" s="233">
        <f t="shared" si="1"/>
        <v>787.5</v>
      </c>
      <c r="N8" s="14">
        <v>75</v>
      </c>
      <c r="O8" s="231">
        <v>10.5</v>
      </c>
      <c r="P8" s="233">
        <f t="shared" si="2"/>
        <v>787.5</v>
      </c>
      <c r="Q8" s="14">
        <v>25</v>
      </c>
      <c r="R8" s="231">
        <v>0</v>
      </c>
      <c r="S8" s="233">
        <f t="shared" si="3"/>
        <v>0</v>
      </c>
      <c r="T8" s="14">
        <v>50</v>
      </c>
      <c r="U8" s="231">
        <v>0</v>
      </c>
      <c r="V8" s="233">
        <f t="shared" si="4"/>
        <v>0</v>
      </c>
      <c r="W8" s="14">
        <v>0</v>
      </c>
      <c r="X8" s="231">
        <v>0</v>
      </c>
      <c r="Y8" s="233">
        <f t="shared" si="5"/>
        <v>0</v>
      </c>
      <c r="Z8" s="14">
        <v>0</v>
      </c>
      <c r="AA8" s="231">
        <v>0</v>
      </c>
      <c r="AB8" s="233">
        <f t="shared" si="6"/>
        <v>0</v>
      </c>
      <c r="AC8" s="14">
        <v>0</v>
      </c>
      <c r="AD8" s="231">
        <v>0</v>
      </c>
      <c r="AE8" s="233">
        <f t="shared" si="7"/>
        <v>0</v>
      </c>
      <c r="AF8" s="14">
        <v>0</v>
      </c>
      <c r="AG8" s="231">
        <v>0</v>
      </c>
      <c r="AH8" s="233">
        <f t="shared" si="8"/>
        <v>0</v>
      </c>
      <c r="AI8" s="14">
        <v>0</v>
      </c>
      <c r="AJ8" s="231">
        <v>0</v>
      </c>
      <c r="AK8" s="233">
        <f t="shared" si="9"/>
        <v>0</v>
      </c>
      <c r="AL8" s="14">
        <v>0</v>
      </c>
      <c r="AM8" s="231">
        <v>0</v>
      </c>
      <c r="AN8" s="233">
        <f t="shared" si="10"/>
        <v>0</v>
      </c>
    </row>
    <row r="9" spans="1:40" x14ac:dyDescent="0.3">
      <c r="A9" s="170" t="s">
        <v>224</v>
      </c>
      <c r="B9" s="245"/>
      <c r="C9" s="8">
        <v>0</v>
      </c>
      <c r="D9" s="5">
        <v>0</v>
      </c>
      <c r="E9" s="9">
        <v>0</v>
      </c>
      <c r="F9" s="223">
        <v>0</v>
      </c>
      <c r="G9" s="229">
        <f t="shared" si="11"/>
        <v>0</v>
      </c>
      <c r="H9" s="14">
        <v>0</v>
      </c>
      <c r="I9" s="231">
        <v>0</v>
      </c>
      <c r="J9" s="233">
        <f t="shared" si="0"/>
        <v>0</v>
      </c>
      <c r="K9" s="25">
        <v>0</v>
      </c>
      <c r="L9" s="223">
        <v>0</v>
      </c>
      <c r="M9" s="233">
        <f t="shared" si="1"/>
        <v>0</v>
      </c>
      <c r="N9" s="14">
        <v>0</v>
      </c>
      <c r="O9" s="231">
        <v>48.59</v>
      </c>
      <c r="P9" s="233">
        <f t="shared" si="2"/>
        <v>0</v>
      </c>
      <c r="Q9" s="14">
        <v>0</v>
      </c>
      <c r="R9" s="231">
        <v>0</v>
      </c>
      <c r="S9" s="233">
        <f t="shared" si="3"/>
        <v>0</v>
      </c>
      <c r="T9" s="14">
        <v>0</v>
      </c>
      <c r="U9" s="231">
        <v>0</v>
      </c>
      <c r="V9" s="233">
        <f t="shared" si="4"/>
        <v>0</v>
      </c>
      <c r="W9" s="14">
        <v>0</v>
      </c>
      <c r="X9" s="231">
        <v>0</v>
      </c>
      <c r="Y9" s="233">
        <f t="shared" si="5"/>
        <v>0</v>
      </c>
      <c r="Z9" s="14">
        <v>0</v>
      </c>
      <c r="AA9" s="231">
        <v>0</v>
      </c>
      <c r="AB9" s="233">
        <f t="shared" si="6"/>
        <v>0</v>
      </c>
      <c r="AC9" s="14">
        <v>0</v>
      </c>
      <c r="AD9" s="231">
        <v>0</v>
      </c>
      <c r="AE9" s="233">
        <f t="shared" si="7"/>
        <v>0</v>
      </c>
      <c r="AF9" s="14">
        <v>0</v>
      </c>
      <c r="AG9" s="231">
        <v>0</v>
      </c>
      <c r="AH9" s="233">
        <f t="shared" si="8"/>
        <v>0</v>
      </c>
      <c r="AI9" s="14">
        <v>0</v>
      </c>
      <c r="AJ9" s="231">
        <v>0</v>
      </c>
      <c r="AK9" s="233">
        <f t="shared" si="9"/>
        <v>0</v>
      </c>
      <c r="AL9" s="14">
        <v>0</v>
      </c>
      <c r="AM9" s="231">
        <v>0</v>
      </c>
      <c r="AN9" s="233">
        <f t="shared" si="10"/>
        <v>0</v>
      </c>
    </row>
    <row r="10" spans="1:40" x14ac:dyDescent="0.3">
      <c r="A10" s="170" t="s">
        <v>225</v>
      </c>
      <c r="C10" s="8">
        <v>0</v>
      </c>
      <c r="D10" s="5">
        <v>0</v>
      </c>
      <c r="E10" s="9">
        <v>0</v>
      </c>
      <c r="F10" s="223">
        <v>0</v>
      </c>
      <c r="G10" s="229">
        <f t="shared" si="11"/>
        <v>0</v>
      </c>
      <c r="H10" s="14">
        <v>0</v>
      </c>
      <c r="I10" s="231">
        <v>0</v>
      </c>
      <c r="J10" s="233">
        <f t="shared" si="0"/>
        <v>0</v>
      </c>
      <c r="K10" s="25">
        <v>50</v>
      </c>
      <c r="L10" s="223">
        <v>11.11</v>
      </c>
      <c r="M10" s="233">
        <f t="shared" si="1"/>
        <v>555.5</v>
      </c>
      <c r="N10" s="14">
        <v>25</v>
      </c>
      <c r="O10" s="231">
        <v>11.11</v>
      </c>
      <c r="P10" s="233">
        <f t="shared" si="2"/>
        <v>277.75</v>
      </c>
      <c r="Q10" s="14">
        <v>25</v>
      </c>
      <c r="R10" s="231">
        <v>0</v>
      </c>
      <c r="S10" s="233">
        <f t="shared" si="3"/>
        <v>0</v>
      </c>
      <c r="T10" s="14">
        <v>0</v>
      </c>
      <c r="U10" s="231">
        <v>0</v>
      </c>
      <c r="V10" s="233">
        <f t="shared" si="4"/>
        <v>0</v>
      </c>
      <c r="W10" s="14">
        <v>0</v>
      </c>
      <c r="X10" s="231">
        <v>0</v>
      </c>
      <c r="Y10" s="233">
        <f t="shared" si="5"/>
        <v>0</v>
      </c>
      <c r="Z10" s="14">
        <v>0</v>
      </c>
      <c r="AA10" s="231">
        <v>0</v>
      </c>
      <c r="AB10" s="233">
        <f t="shared" si="6"/>
        <v>0</v>
      </c>
      <c r="AC10" s="14">
        <v>0</v>
      </c>
      <c r="AD10" s="231">
        <v>0</v>
      </c>
      <c r="AE10" s="233">
        <f t="shared" si="7"/>
        <v>0</v>
      </c>
      <c r="AF10" s="14">
        <v>0</v>
      </c>
      <c r="AG10" s="231">
        <v>0</v>
      </c>
      <c r="AH10" s="233">
        <f t="shared" si="8"/>
        <v>0</v>
      </c>
      <c r="AI10" s="14">
        <v>0</v>
      </c>
      <c r="AJ10" s="231">
        <v>0</v>
      </c>
      <c r="AK10" s="233">
        <f t="shared" si="9"/>
        <v>0</v>
      </c>
      <c r="AL10" s="14">
        <v>0</v>
      </c>
      <c r="AM10" s="231">
        <v>0</v>
      </c>
      <c r="AN10" s="233">
        <f t="shared" si="10"/>
        <v>0</v>
      </c>
    </row>
    <row r="11" spans="1:40" x14ac:dyDescent="0.3">
      <c r="A11" s="170" t="s">
        <v>226</v>
      </c>
      <c r="B11" s="5">
        <v>65073</v>
      </c>
      <c r="C11" s="8">
        <v>600</v>
      </c>
      <c r="D11" s="5">
        <v>0</v>
      </c>
      <c r="E11" s="9">
        <v>0</v>
      </c>
      <c r="F11" s="223">
        <v>0</v>
      </c>
      <c r="G11" s="229">
        <f t="shared" si="11"/>
        <v>0</v>
      </c>
      <c r="H11" s="14">
        <v>0</v>
      </c>
      <c r="I11" s="231">
        <v>0</v>
      </c>
      <c r="J11" s="236">
        <f t="shared" si="0"/>
        <v>0</v>
      </c>
      <c r="K11" s="25">
        <v>175</v>
      </c>
      <c r="L11" s="223">
        <v>11.61</v>
      </c>
      <c r="M11" s="236">
        <f t="shared" si="1"/>
        <v>2031.75</v>
      </c>
      <c r="N11" s="14">
        <v>125</v>
      </c>
      <c r="O11" s="231">
        <v>11.61</v>
      </c>
      <c r="P11" s="236">
        <f t="shared" si="2"/>
        <v>1451.25</v>
      </c>
      <c r="Q11" s="14">
        <v>125</v>
      </c>
      <c r="R11" s="231">
        <v>0</v>
      </c>
      <c r="S11" s="236">
        <f t="shared" si="3"/>
        <v>0</v>
      </c>
      <c r="T11" s="14">
        <v>25</v>
      </c>
      <c r="U11" s="231">
        <v>0</v>
      </c>
      <c r="V11" s="236">
        <f t="shared" si="4"/>
        <v>0</v>
      </c>
      <c r="W11" s="14">
        <v>0</v>
      </c>
      <c r="X11" s="231">
        <v>0</v>
      </c>
      <c r="Y11" s="236">
        <f t="shared" si="5"/>
        <v>0</v>
      </c>
      <c r="Z11" s="14">
        <v>0</v>
      </c>
      <c r="AA11" s="231">
        <v>0</v>
      </c>
      <c r="AB11" s="236">
        <f t="shared" si="6"/>
        <v>0</v>
      </c>
      <c r="AC11" s="14">
        <v>0</v>
      </c>
      <c r="AD11" s="231">
        <v>0</v>
      </c>
      <c r="AE11" s="236">
        <f t="shared" si="7"/>
        <v>0</v>
      </c>
      <c r="AF11" s="14">
        <v>0</v>
      </c>
      <c r="AG11" s="231">
        <v>0</v>
      </c>
      <c r="AH11" s="236">
        <f t="shared" si="8"/>
        <v>0</v>
      </c>
      <c r="AI11" s="14">
        <v>0</v>
      </c>
      <c r="AJ11" s="231">
        <v>0</v>
      </c>
      <c r="AK11" s="236">
        <f t="shared" si="9"/>
        <v>0</v>
      </c>
      <c r="AL11" s="14">
        <v>0</v>
      </c>
      <c r="AM11" s="231">
        <v>0</v>
      </c>
      <c r="AN11" s="236">
        <f t="shared" si="10"/>
        <v>0</v>
      </c>
    </row>
    <row r="12" spans="1:40" x14ac:dyDescent="0.3">
      <c r="A12" s="199" t="s">
        <v>227</v>
      </c>
      <c r="B12" s="5">
        <v>64965</v>
      </c>
      <c r="C12" s="5">
        <v>300</v>
      </c>
      <c r="D12" s="5">
        <v>0</v>
      </c>
      <c r="E12" s="5">
        <v>0</v>
      </c>
      <c r="F12" s="223">
        <v>0</v>
      </c>
      <c r="G12" s="229">
        <f t="shared" si="11"/>
        <v>0</v>
      </c>
      <c r="H12" s="13">
        <v>0</v>
      </c>
      <c r="I12" s="231">
        <v>0</v>
      </c>
      <c r="J12" s="235">
        <f t="shared" si="0"/>
        <v>0</v>
      </c>
      <c r="K12" s="31">
        <v>0</v>
      </c>
      <c r="L12" s="223">
        <v>3.5</v>
      </c>
      <c r="M12" s="235">
        <f t="shared" si="1"/>
        <v>0</v>
      </c>
      <c r="N12" s="13">
        <v>0</v>
      </c>
      <c r="O12" s="231">
        <v>3.5</v>
      </c>
      <c r="P12" s="235">
        <f t="shared" si="2"/>
        <v>0</v>
      </c>
      <c r="Q12" s="13">
        <v>0</v>
      </c>
      <c r="R12" s="231">
        <v>0</v>
      </c>
      <c r="S12" s="235">
        <f t="shared" si="3"/>
        <v>0</v>
      </c>
      <c r="T12" s="13">
        <v>0</v>
      </c>
      <c r="U12" s="231">
        <v>0</v>
      </c>
      <c r="V12" s="235">
        <f t="shared" si="4"/>
        <v>0</v>
      </c>
      <c r="W12" s="13">
        <v>0</v>
      </c>
      <c r="X12" s="231">
        <v>0</v>
      </c>
      <c r="Y12" s="235">
        <f t="shared" si="5"/>
        <v>0</v>
      </c>
      <c r="Z12" s="13">
        <v>0</v>
      </c>
      <c r="AA12" s="231">
        <v>0</v>
      </c>
      <c r="AB12" s="235">
        <f t="shared" si="6"/>
        <v>0</v>
      </c>
      <c r="AC12" s="13">
        <v>0</v>
      </c>
      <c r="AD12" s="231">
        <v>0</v>
      </c>
      <c r="AE12" s="235">
        <f t="shared" si="7"/>
        <v>0</v>
      </c>
      <c r="AF12" s="13">
        <v>0</v>
      </c>
      <c r="AG12" s="231">
        <v>0</v>
      </c>
      <c r="AH12" s="235">
        <f t="shared" si="8"/>
        <v>0</v>
      </c>
      <c r="AI12" s="13">
        <v>0</v>
      </c>
      <c r="AJ12" s="231">
        <v>0</v>
      </c>
      <c r="AK12" s="235">
        <f t="shared" si="9"/>
        <v>0</v>
      </c>
      <c r="AL12" s="13">
        <v>0</v>
      </c>
      <c r="AM12" s="231">
        <v>0</v>
      </c>
      <c r="AN12" s="235">
        <f t="shared" si="10"/>
        <v>0</v>
      </c>
    </row>
    <row r="13" spans="1:40" x14ac:dyDescent="0.3">
      <c r="A13" s="5" t="s">
        <v>228</v>
      </c>
      <c r="B13" s="5">
        <v>67567</v>
      </c>
      <c r="C13" s="24">
        <v>400</v>
      </c>
      <c r="D13" s="5">
        <v>0</v>
      </c>
      <c r="E13" s="5">
        <v>0</v>
      </c>
      <c r="F13" s="223">
        <v>0</v>
      </c>
      <c r="G13" s="229">
        <f t="shared" si="11"/>
        <v>0</v>
      </c>
      <c r="H13" s="13">
        <v>0</v>
      </c>
      <c r="I13" s="231">
        <v>0</v>
      </c>
      <c r="J13" s="235">
        <f t="shared" si="0"/>
        <v>0</v>
      </c>
      <c r="K13" s="32"/>
      <c r="L13" s="558"/>
      <c r="M13" s="235">
        <f t="shared" si="1"/>
        <v>0</v>
      </c>
      <c r="N13" s="13">
        <v>0</v>
      </c>
      <c r="O13" s="231">
        <v>0</v>
      </c>
      <c r="P13" s="235">
        <f t="shared" si="2"/>
        <v>0</v>
      </c>
      <c r="Q13" s="13">
        <v>0</v>
      </c>
      <c r="R13" s="231">
        <v>0</v>
      </c>
      <c r="S13" s="235">
        <f t="shared" si="3"/>
        <v>0</v>
      </c>
      <c r="T13" s="13">
        <v>0</v>
      </c>
      <c r="U13" s="231">
        <v>0</v>
      </c>
      <c r="V13" s="235">
        <f t="shared" si="4"/>
        <v>0</v>
      </c>
      <c r="W13" s="13">
        <v>0</v>
      </c>
      <c r="X13" s="231">
        <v>0</v>
      </c>
      <c r="Y13" s="235">
        <f t="shared" si="5"/>
        <v>0</v>
      </c>
      <c r="Z13" s="13">
        <v>0</v>
      </c>
      <c r="AA13" s="231">
        <v>0</v>
      </c>
      <c r="AB13" s="235">
        <f t="shared" si="6"/>
        <v>0</v>
      </c>
      <c r="AC13" s="13">
        <v>0</v>
      </c>
      <c r="AD13" s="231">
        <v>0</v>
      </c>
      <c r="AE13" s="235">
        <f t="shared" si="7"/>
        <v>0</v>
      </c>
      <c r="AF13" s="13">
        <v>0</v>
      </c>
      <c r="AG13" s="231">
        <v>0</v>
      </c>
      <c r="AH13" s="235">
        <f t="shared" si="8"/>
        <v>0</v>
      </c>
      <c r="AI13" s="13">
        <v>0</v>
      </c>
      <c r="AJ13" s="231">
        <v>0</v>
      </c>
      <c r="AK13" s="235">
        <f t="shared" si="9"/>
        <v>0</v>
      </c>
      <c r="AL13" s="13">
        <v>0</v>
      </c>
      <c r="AM13" s="231">
        <v>0</v>
      </c>
      <c r="AN13" s="235">
        <f t="shared" si="10"/>
        <v>0</v>
      </c>
    </row>
    <row r="14" spans="1:40" x14ac:dyDescent="0.3">
      <c r="A14" s="22"/>
      <c r="B14" s="22"/>
      <c r="C14" s="8">
        <v>0</v>
      </c>
      <c r="D14" s="5">
        <v>0</v>
      </c>
      <c r="E14" s="5">
        <v>0</v>
      </c>
      <c r="F14" s="223"/>
      <c r="G14" s="230"/>
      <c r="H14" s="12"/>
      <c r="I14" s="232"/>
      <c r="J14" s="233"/>
      <c r="K14" s="12"/>
      <c r="L14" s="232"/>
      <c r="M14" s="233"/>
      <c r="N14" s="12"/>
      <c r="O14" s="232"/>
      <c r="P14" s="233"/>
      <c r="Q14" s="12"/>
      <c r="R14" s="232"/>
      <c r="S14" s="233"/>
      <c r="T14" s="12"/>
      <c r="U14" s="232"/>
      <c r="V14" s="233"/>
      <c r="W14" s="12"/>
      <c r="X14" s="232"/>
      <c r="Y14" s="233"/>
      <c r="Z14" s="12"/>
      <c r="AA14" s="232"/>
      <c r="AB14" s="233"/>
      <c r="AC14" s="12"/>
      <c r="AD14" s="232"/>
      <c r="AE14" s="233"/>
      <c r="AF14" s="12"/>
      <c r="AG14" s="232"/>
      <c r="AH14" s="233"/>
      <c r="AI14" s="12"/>
      <c r="AJ14" s="232"/>
      <c r="AK14" s="233"/>
      <c r="AL14" s="12"/>
      <c r="AM14" s="232"/>
      <c r="AN14" s="233"/>
    </row>
    <row r="15" spans="1:40" ht="16.2" x14ac:dyDescent="0.45">
      <c r="A15" s="22"/>
      <c r="B15" s="22"/>
      <c r="C15" s="8"/>
      <c r="D15" s="5"/>
      <c r="E15" s="5"/>
      <c r="F15" s="189" t="s">
        <v>8</v>
      </c>
      <c r="G15" s="239">
        <f>SUM(G7:G14)</f>
        <v>0</v>
      </c>
      <c r="H15" s="12"/>
      <c r="I15" s="191" t="s">
        <v>8</v>
      </c>
      <c r="J15" s="238">
        <f>SUM(J7:J14)</f>
        <v>0</v>
      </c>
      <c r="K15" s="12"/>
      <c r="L15" s="191" t="s">
        <v>8</v>
      </c>
      <c r="M15" s="238">
        <f>SUM(M7:M14)</f>
        <v>4019.75</v>
      </c>
      <c r="N15" s="12"/>
      <c r="O15" s="191" t="s">
        <v>8</v>
      </c>
      <c r="P15" s="238">
        <f>SUM(P7:P14)</f>
        <v>2903.5</v>
      </c>
      <c r="Q15" s="12"/>
      <c r="R15" s="191" t="s">
        <v>8</v>
      </c>
      <c r="S15" s="238">
        <f>SUM(S7:S14)</f>
        <v>129</v>
      </c>
      <c r="T15" s="12"/>
      <c r="U15" s="191" t="s">
        <v>8</v>
      </c>
      <c r="V15" s="238">
        <f>SUM(V7:V14)</f>
        <v>258</v>
      </c>
      <c r="W15" s="12"/>
      <c r="X15" s="191" t="s">
        <v>8</v>
      </c>
      <c r="Y15" s="238">
        <f>SUM(Y7:Y14)</f>
        <v>0</v>
      </c>
      <c r="Z15" s="12"/>
      <c r="AA15" s="191" t="s">
        <v>8</v>
      </c>
      <c r="AB15" s="238">
        <f>SUM(AB7:AB14)</f>
        <v>0</v>
      </c>
      <c r="AC15" s="12"/>
      <c r="AD15" s="191" t="s">
        <v>8</v>
      </c>
      <c r="AE15" s="238">
        <f>SUM(AE7:AE14)</f>
        <v>0</v>
      </c>
      <c r="AF15" s="12"/>
      <c r="AG15" s="191" t="s">
        <v>8</v>
      </c>
      <c r="AH15" s="238">
        <f>SUM(AH7:AH14)</f>
        <v>0</v>
      </c>
      <c r="AI15" s="12"/>
      <c r="AJ15" s="191" t="s">
        <v>8</v>
      </c>
      <c r="AK15" s="238">
        <f>SUM(AK7:AK14)</f>
        <v>0</v>
      </c>
      <c r="AL15" s="12"/>
      <c r="AM15" s="191" t="s">
        <v>8</v>
      </c>
      <c r="AN15" s="238">
        <f>SUM(AN7:AN14)</f>
        <v>0</v>
      </c>
    </row>
  </sheetData>
  <hyperlinks>
    <hyperlink ref="A2" location="Menu!A1" display="Menu" xr:uid="{00000000-0004-0000-0800-000000000000}"/>
  </hyperlinks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Plan1"/>
  <dimension ref="A1:AN16"/>
  <sheetViews>
    <sheetView workbookViewId="0">
      <pane xSplit="1" topLeftCell="Q1" activePane="topRight" state="frozen"/>
      <selection pane="topRight" activeCell="A2" sqref="A2"/>
    </sheetView>
  </sheetViews>
  <sheetFormatPr defaultColWidth="9.109375" defaultRowHeight="14.4" x14ac:dyDescent="0.3"/>
  <cols>
    <col min="1" max="1" width="26.88671875" style="1" bestFit="1" customWidth="1"/>
    <col min="2" max="2" width="9.109375" style="1"/>
    <col min="3" max="3" width="18.88671875" style="1" bestFit="1" customWidth="1"/>
    <col min="4" max="4" width="16" style="1" bestFit="1" customWidth="1"/>
    <col min="5" max="5" width="14.109375" style="1" bestFit="1" customWidth="1"/>
    <col min="6" max="6" width="9.5546875" style="1" bestFit="1" customWidth="1"/>
    <col min="7" max="7" width="12.109375" style="1" bestFit="1" customWidth="1"/>
    <col min="8" max="8" width="14.109375" style="1" bestFit="1" customWidth="1"/>
    <col min="9" max="10" width="12.109375" style="1" bestFit="1" customWidth="1"/>
    <col min="11" max="11" width="14.109375" style="1" bestFit="1" customWidth="1"/>
    <col min="12" max="12" width="10.6640625" style="1" bestFit="1" customWidth="1"/>
    <col min="13" max="13" width="12.109375" style="1" bestFit="1" customWidth="1"/>
    <col min="14" max="14" width="14.109375" style="1" bestFit="1" customWidth="1"/>
    <col min="15" max="15" width="9.109375" style="1"/>
    <col min="16" max="16" width="11.6640625" style="1" bestFit="1" customWidth="1"/>
    <col min="17" max="17" width="14.109375" style="1" bestFit="1" customWidth="1"/>
    <col min="18" max="18" width="9.109375" style="1"/>
    <col min="19" max="19" width="10.88671875" style="1" bestFit="1" customWidth="1"/>
    <col min="20" max="20" width="14.109375" style="1" bestFit="1" customWidth="1"/>
    <col min="21" max="21" width="9.109375" style="1"/>
    <col min="22" max="22" width="10.88671875" style="1" bestFit="1" customWidth="1"/>
    <col min="23" max="23" width="14.109375" style="1" bestFit="1" customWidth="1"/>
    <col min="24" max="24" width="9.5546875" style="1" bestFit="1" customWidth="1"/>
    <col min="25" max="25" width="12.109375" style="1" bestFit="1" customWidth="1"/>
    <col min="26" max="26" width="14.109375" style="1" bestFit="1" customWidth="1"/>
    <col min="27" max="27" width="9.109375" style="1"/>
    <col min="28" max="28" width="10.88671875" style="1" bestFit="1" customWidth="1"/>
    <col min="29" max="29" width="14.109375" style="1" bestFit="1" customWidth="1"/>
    <col min="30" max="30" width="9.109375" style="1"/>
    <col min="31" max="31" width="10.88671875" style="1" bestFit="1" customWidth="1"/>
    <col min="32" max="32" width="14.109375" style="1" bestFit="1" customWidth="1"/>
    <col min="33" max="33" width="9.109375" style="1"/>
    <col min="34" max="34" width="10.88671875" style="1" bestFit="1" customWidth="1"/>
    <col min="35" max="35" width="14.109375" style="1" bestFit="1" customWidth="1"/>
    <col min="36" max="36" width="9.109375" style="1"/>
    <col min="37" max="37" width="10.88671875" style="1" bestFit="1" customWidth="1"/>
    <col min="38" max="38" width="14.109375" style="1" bestFit="1" customWidth="1"/>
    <col min="39" max="39" width="9.109375" style="1"/>
    <col min="40" max="40" width="10.88671875" style="1" bestFit="1" customWidth="1"/>
    <col min="41" max="16384" width="9.109375" style="1"/>
  </cols>
  <sheetData>
    <row r="1" spans="1:40" ht="15" thickBot="1" x14ac:dyDescent="0.35"/>
    <row r="2" spans="1:40" ht="21.75" customHeight="1" thickBot="1" x14ac:dyDescent="0.35">
      <c r="A2" s="262" t="s">
        <v>110</v>
      </c>
    </row>
    <row r="3" spans="1:40" ht="29.4" thickBot="1" x14ac:dyDescent="0.6">
      <c r="A3" s="257" t="s">
        <v>111</v>
      </c>
      <c r="B3" s="164"/>
      <c r="C3" s="164"/>
      <c r="D3" s="164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2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</row>
    <row r="4" spans="1:40" ht="15" customHeight="1" thickBot="1" x14ac:dyDescent="0.6">
      <c r="A4" s="174"/>
      <c r="B4" s="164"/>
      <c r="C4" s="164"/>
      <c r="D4" s="164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2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</row>
    <row r="5" spans="1:40" x14ac:dyDescent="0.3">
      <c r="A5" s="7"/>
      <c r="B5" s="5"/>
      <c r="C5" s="7"/>
      <c r="D5" s="7"/>
      <c r="E5" s="4">
        <v>45292</v>
      </c>
      <c r="F5" s="4">
        <v>45292</v>
      </c>
      <c r="G5" s="4">
        <v>45292</v>
      </c>
      <c r="H5" s="33">
        <v>45323</v>
      </c>
      <c r="I5" s="34">
        <v>45323</v>
      </c>
      <c r="J5" s="34">
        <v>45323</v>
      </c>
      <c r="K5" s="34">
        <v>45352</v>
      </c>
      <c r="L5" s="34">
        <v>45352</v>
      </c>
      <c r="M5" s="34">
        <v>45352</v>
      </c>
      <c r="N5" s="34">
        <v>45383</v>
      </c>
      <c r="O5" s="34">
        <v>45383</v>
      </c>
      <c r="P5" s="34">
        <v>45383</v>
      </c>
      <c r="Q5" s="34">
        <v>45413</v>
      </c>
      <c r="R5" s="34">
        <v>45413</v>
      </c>
      <c r="S5" s="34">
        <v>45413</v>
      </c>
      <c r="T5" s="34">
        <v>45444</v>
      </c>
      <c r="U5" s="34">
        <v>45444</v>
      </c>
      <c r="V5" s="34">
        <v>45444</v>
      </c>
      <c r="W5" s="34">
        <v>45474</v>
      </c>
      <c r="X5" s="34">
        <v>45474</v>
      </c>
      <c r="Y5" s="34">
        <v>45474</v>
      </c>
      <c r="Z5" s="34">
        <v>45505</v>
      </c>
      <c r="AA5" s="34">
        <v>45505</v>
      </c>
      <c r="AB5" s="34">
        <v>45505</v>
      </c>
      <c r="AC5" s="34">
        <v>45536</v>
      </c>
      <c r="AD5" s="34">
        <v>45536</v>
      </c>
      <c r="AE5" s="34">
        <v>45536</v>
      </c>
      <c r="AF5" s="34">
        <v>45566</v>
      </c>
      <c r="AG5" s="34">
        <v>45566</v>
      </c>
      <c r="AH5" s="34">
        <v>45566</v>
      </c>
      <c r="AI5" s="34">
        <v>45597</v>
      </c>
      <c r="AJ5" s="34">
        <v>45597</v>
      </c>
      <c r="AK5" s="34">
        <v>45597</v>
      </c>
      <c r="AL5" s="34">
        <v>45627</v>
      </c>
      <c r="AM5" s="34">
        <v>45627</v>
      </c>
      <c r="AN5" s="35">
        <v>45627</v>
      </c>
    </row>
    <row r="6" spans="1:40" ht="15" customHeight="1" x14ac:dyDescent="0.3">
      <c r="A6" s="10" t="s">
        <v>1</v>
      </c>
      <c r="B6" s="5" t="s">
        <v>2</v>
      </c>
      <c r="C6" s="5" t="s">
        <v>3</v>
      </c>
      <c r="D6" s="5" t="s">
        <v>4</v>
      </c>
      <c r="E6" s="5" t="s">
        <v>5</v>
      </c>
      <c r="F6" s="5" t="s">
        <v>6</v>
      </c>
      <c r="G6" s="30" t="s">
        <v>7</v>
      </c>
      <c r="H6" s="31" t="s">
        <v>5</v>
      </c>
      <c r="I6" s="5" t="s">
        <v>6</v>
      </c>
      <c r="J6" s="23" t="s">
        <v>7</v>
      </c>
      <c r="K6" s="31" t="s">
        <v>5</v>
      </c>
      <c r="L6" s="5" t="s">
        <v>116</v>
      </c>
      <c r="M6" s="23" t="s">
        <v>7</v>
      </c>
      <c r="N6" s="31" t="s">
        <v>5</v>
      </c>
      <c r="O6" s="5" t="s">
        <v>6</v>
      </c>
      <c r="P6" s="23" t="s">
        <v>7</v>
      </c>
      <c r="Q6" s="31" t="s">
        <v>5</v>
      </c>
      <c r="R6" s="5" t="s">
        <v>6</v>
      </c>
      <c r="S6" s="23" t="s">
        <v>7</v>
      </c>
      <c r="T6" s="31" t="s">
        <v>5</v>
      </c>
      <c r="U6" s="5" t="s">
        <v>6</v>
      </c>
      <c r="V6" s="23" t="s">
        <v>7</v>
      </c>
      <c r="W6" s="31" t="s">
        <v>5</v>
      </c>
      <c r="X6" s="5" t="s">
        <v>6</v>
      </c>
      <c r="Y6" s="23" t="s">
        <v>7</v>
      </c>
      <c r="Z6" s="31" t="s">
        <v>5</v>
      </c>
      <c r="AA6" s="5" t="s">
        <v>6</v>
      </c>
      <c r="AB6" s="23" t="s">
        <v>7</v>
      </c>
      <c r="AC6" s="31" t="s">
        <v>5</v>
      </c>
      <c r="AD6" s="5" t="s">
        <v>6</v>
      </c>
      <c r="AE6" s="23" t="s">
        <v>7</v>
      </c>
      <c r="AF6" s="31" t="s">
        <v>5</v>
      </c>
      <c r="AG6" s="5" t="s">
        <v>6</v>
      </c>
      <c r="AH6" s="23" t="s">
        <v>7</v>
      </c>
      <c r="AI6" s="31" t="s">
        <v>5</v>
      </c>
      <c r="AJ6" s="5" t="s">
        <v>6</v>
      </c>
      <c r="AK6" s="23" t="s">
        <v>7</v>
      </c>
      <c r="AL6" s="31" t="s">
        <v>5</v>
      </c>
      <c r="AM6" s="5" t="s">
        <v>6</v>
      </c>
      <c r="AN6" s="23" t="s">
        <v>7</v>
      </c>
    </row>
    <row r="7" spans="1:40" x14ac:dyDescent="0.3">
      <c r="A7" s="25" t="s">
        <v>229</v>
      </c>
      <c r="B7" s="13">
        <v>56574</v>
      </c>
      <c r="C7" s="15">
        <v>2500</v>
      </c>
      <c r="D7" s="13">
        <v>250</v>
      </c>
      <c r="E7" s="3">
        <v>0</v>
      </c>
      <c r="F7" s="223">
        <v>0</v>
      </c>
      <c r="G7" s="225">
        <f t="shared" ref="G7:G14" si="0">F7*E7</f>
        <v>0</v>
      </c>
      <c r="H7" s="241">
        <v>0</v>
      </c>
      <c r="I7" s="223">
        <v>0</v>
      </c>
      <c r="J7" s="230">
        <f>I7*H7</f>
        <v>0</v>
      </c>
      <c r="K7" s="14">
        <v>10</v>
      </c>
      <c r="L7" s="557">
        <v>66.98</v>
      </c>
      <c r="M7" s="230">
        <f>L7*K7</f>
        <v>669.80000000000007</v>
      </c>
      <c r="N7" s="31">
        <v>10</v>
      </c>
      <c r="O7" s="223">
        <v>66.98</v>
      </c>
      <c r="P7" s="230">
        <f>O7*N7</f>
        <v>669.80000000000007</v>
      </c>
      <c r="Q7" s="31">
        <v>10</v>
      </c>
      <c r="R7" s="223">
        <v>66.98</v>
      </c>
      <c r="S7" s="230">
        <f>R7*Q7</f>
        <v>669.80000000000007</v>
      </c>
      <c r="T7" s="31">
        <v>10</v>
      </c>
      <c r="U7" s="223">
        <v>66.98</v>
      </c>
      <c r="V7" s="230">
        <f>U7*T7</f>
        <v>669.80000000000007</v>
      </c>
      <c r="W7" s="31">
        <v>0</v>
      </c>
      <c r="X7" s="223">
        <v>0</v>
      </c>
      <c r="Y7" s="230">
        <f>X7*W7</f>
        <v>0</v>
      </c>
      <c r="Z7" s="31">
        <v>0</v>
      </c>
      <c r="AA7" s="223">
        <v>0</v>
      </c>
      <c r="AB7" s="230">
        <f>AA7*Z7</f>
        <v>0</v>
      </c>
      <c r="AC7" s="31">
        <v>0</v>
      </c>
      <c r="AD7" s="223">
        <v>0</v>
      </c>
      <c r="AE7" s="230">
        <f>AD7*AC7</f>
        <v>0</v>
      </c>
      <c r="AF7" s="31">
        <v>0</v>
      </c>
      <c r="AG7" s="223">
        <v>0</v>
      </c>
      <c r="AH7" s="230">
        <f>AG7*AF7</f>
        <v>0</v>
      </c>
      <c r="AI7" s="31">
        <v>0</v>
      </c>
      <c r="AJ7" s="223">
        <v>0</v>
      </c>
      <c r="AK7" s="230">
        <f>AJ7*AI7</f>
        <v>0</v>
      </c>
      <c r="AL7" s="31">
        <v>0</v>
      </c>
      <c r="AM7" s="223">
        <v>0</v>
      </c>
      <c r="AN7" s="230">
        <f>AM7*AL7</f>
        <v>0</v>
      </c>
    </row>
    <row r="8" spans="1:40" x14ac:dyDescent="0.3">
      <c r="A8" s="25" t="s">
        <v>230</v>
      </c>
      <c r="B8" s="13"/>
      <c r="C8" s="15">
        <v>2500</v>
      </c>
      <c r="D8" s="13">
        <v>1</v>
      </c>
      <c r="E8" s="9">
        <v>0</v>
      </c>
      <c r="F8" s="223">
        <v>0</v>
      </c>
      <c r="G8" s="225">
        <f t="shared" si="0"/>
        <v>0</v>
      </c>
      <c r="H8" s="241">
        <v>0</v>
      </c>
      <c r="I8" s="223">
        <v>0</v>
      </c>
      <c r="J8" s="230">
        <f t="shared" ref="J8:J15" si="1">I8*H8</f>
        <v>0</v>
      </c>
      <c r="K8" s="171">
        <v>16</v>
      </c>
      <c r="L8" s="557">
        <v>10.11</v>
      </c>
      <c r="M8" s="230">
        <f t="shared" ref="M8:M15" si="2">L8*K8</f>
        <v>161.76</v>
      </c>
      <c r="N8" s="31">
        <v>15</v>
      </c>
      <c r="O8" s="223">
        <v>10.11</v>
      </c>
      <c r="P8" s="230">
        <f t="shared" ref="P8:P15" si="3">O8*N8</f>
        <v>151.64999999999998</v>
      </c>
      <c r="Q8" s="31">
        <v>18</v>
      </c>
      <c r="R8" s="223">
        <v>0</v>
      </c>
      <c r="S8" s="230">
        <f t="shared" ref="S8:S15" si="4">R8*Q8</f>
        <v>0</v>
      </c>
      <c r="T8" s="31">
        <v>15</v>
      </c>
      <c r="U8" s="223">
        <v>0</v>
      </c>
      <c r="V8" s="230">
        <f t="shared" ref="V8:V15" si="5">U8*T8</f>
        <v>0</v>
      </c>
      <c r="W8" s="31">
        <v>0</v>
      </c>
      <c r="X8" s="223">
        <v>0</v>
      </c>
      <c r="Y8" s="230">
        <f t="shared" ref="Y8:Y15" si="6">X8*W8</f>
        <v>0</v>
      </c>
      <c r="Z8" s="31">
        <v>0</v>
      </c>
      <c r="AA8" s="223">
        <v>0</v>
      </c>
      <c r="AB8" s="230">
        <f t="shared" ref="AB8:AB15" si="7">AA8*Z8</f>
        <v>0</v>
      </c>
      <c r="AC8" s="31">
        <v>0</v>
      </c>
      <c r="AD8" s="223">
        <v>0</v>
      </c>
      <c r="AE8" s="230">
        <f t="shared" ref="AE8:AE15" si="8">AD8*AC8</f>
        <v>0</v>
      </c>
      <c r="AF8" s="31">
        <v>0</v>
      </c>
      <c r="AG8" s="223">
        <v>0</v>
      </c>
      <c r="AH8" s="230">
        <f t="shared" ref="AH8:AH15" si="9">AG8*AF8</f>
        <v>0</v>
      </c>
      <c r="AI8" s="31">
        <v>0</v>
      </c>
      <c r="AJ8" s="223">
        <v>0</v>
      </c>
      <c r="AK8" s="230">
        <f t="shared" ref="AK8:AK15" si="10">AJ8*AI8</f>
        <v>0</v>
      </c>
      <c r="AL8" s="31">
        <v>0</v>
      </c>
      <c r="AM8" s="223">
        <v>0</v>
      </c>
      <c r="AN8" s="230">
        <f t="shared" ref="AN8:AN15" si="11">AM8*AL8</f>
        <v>0</v>
      </c>
    </row>
    <row r="9" spans="1:40" x14ac:dyDescent="0.3">
      <c r="A9" s="25" t="s">
        <v>231</v>
      </c>
      <c r="B9" s="13">
        <v>56579</v>
      </c>
      <c r="C9" s="15">
        <v>2500</v>
      </c>
      <c r="D9" s="13">
        <v>1</v>
      </c>
      <c r="E9" s="9">
        <v>0</v>
      </c>
      <c r="F9" s="223">
        <v>0</v>
      </c>
      <c r="G9" s="225">
        <f t="shared" si="0"/>
        <v>0</v>
      </c>
      <c r="H9" s="241">
        <v>0</v>
      </c>
      <c r="I9" s="223">
        <v>0</v>
      </c>
      <c r="J9" s="230">
        <f t="shared" si="1"/>
        <v>0</v>
      </c>
      <c r="K9" s="171">
        <v>8</v>
      </c>
      <c r="L9" s="557">
        <v>8.6300000000000008</v>
      </c>
      <c r="M9" s="230">
        <f t="shared" si="2"/>
        <v>69.040000000000006</v>
      </c>
      <c r="N9" s="31">
        <v>7</v>
      </c>
      <c r="O9" s="223">
        <v>8.6300000000000008</v>
      </c>
      <c r="P9" s="230">
        <f t="shared" si="3"/>
        <v>60.410000000000004</v>
      </c>
      <c r="Q9" s="31">
        <v>9</v>
      </c>
      <c r="R9" s="223">
        <v>0</v>
      </c>
      <c r="S9" s="230">
        <f t="shared" si="4"/>
        <v>0</v>
      </c>
      <c r="T9" s="31">
        <v>10</v>
      </c>
      <c r="U9" s="223">
        <v>0</v>
      </c>
      <c r="V9" s="230">
        <f t="shared" si="5"/>
        <v>0</v>
      </c>
      <c r="W9" s="31">
        <v>0</v>
      </c>
      <c r="X9" s="223">
        <v>0</v>
      </c>
      <c r="Y9" s="230">
        <f t="shared" si="6"/>
        <v>0</v>
      </c>
      <c r="Z9" s="31">
        <v>0</v>
      </c>
      <c r="AA9" s="223">
        <v>0</v>
      </c>
      <c r="AB9" s="230">
        <f t="shared" si="7"/>
        <v>0</v>
      </c>
      <c r="AC9" s="31">
        <v>0</v>
      </c>
      <c r="AD9" s="223">
        <v>0</v>
      </c>
      <c r="AE9" s="230">
        <f t="shared" si="8"/>
        <v>0</v>
      </c>
      <c r="AF9" s="31">
        <v>0</v>
      </c>
      <c r="AG9" s="223">
        <v>0</v>
      </c>
      <c r="AH9" s="230">
        <f t="shared" si="9"/>
        <v>0</v>
      </c>
      <c r="AI9" s="31">
        <v>0</v>
      </c>
      <c r="AJ9" s="223">
        <v>0</v>
      </c>
      <c r="AK9" s="230">
        <f t="shared" si="10"/>
        <v>0</v>
      </c>
      <c r="AL9" s="31">
        <v>0</v>
      </c>
      <c r="AM9" s="223">
        <v>0</v>
      </c>
      <c r="AN9" s="230">
        <f t="shared" si="11"/>
        <v>0</v>
      </c>
    </row>
    <row r="10" spans="1:40" x14ac:dyDescent="0.3">
      <c r="A10" s="25" t="s">
        <v>232</v>
      </c>
      <c r="B10" s="13"/>
      <c r="C10" s="15">
        <v>0</v>
      </c>
      <c r="D10" s="13">
        <v>0</v>
      </c>
      <c r="E10" s="9">
        <v>0</v>
      </c>
      <c r="F10" s="223">
        <v>0</v>
      </c>
      <c r="G10" s="225">
        <f t="shared" si="0"/>
        <v>0</v>
      </c>
      <c r="H10" s="241">
        <v>0</v>
      </c>
      <c r="I10" s="223">
        <v>0</v>
      </c>
      <c r="J10" s="230">
        <f t="shared" si="1"/>
        <v>0</v>
      </c>
      <c r="K10" s="171">
        <v>40</v>
      </c>
      <c r="L10" s="557">
        <v>81.66</v>
      </c>
      <c r="M10" s="230">
        <f t="shared" si="2"/>
        <v>3266.3999999999996</v>
      </c>
      <c r="N10" s="31">
        <v>38</v>
      </c>
      <c r="O10" s="223">
        <v>81.66</v>
      </c>
      <c r="P10" s="230">
        <f t="shared" si="3"/>
        <v>3103.08</v>
      </c>
      <c r="Q10" s="31">
        <v>42</v>
      </c>
      <c r="R10" s="223">
        <v>0</v>
      </c>
      <c r="S10" s="230">
        <f t="shared" si="4"/>
        <v>0</v>
      </c>
      <c r="T10" s="31">
        <v>35</v>
      </c>
      <c r="U10" s="223">
        <v>0</v>
      </c>
      <c r="V10" s="230">
        <f t="shared" si="5"/>
        <v>0</v>
      </c>
      <c r="W10" s="31">
        <v>0</v>
      </c>
      <c r="X10" s="223">
        <v>0</v>
      </c>
      <c r="Y10" s="230">
        <f t="shared" si="6"/>
        <v>0</v>
      </c>
      <c r="Z10" s="31">
        <v>0</v>
      </c>
      <c r="AA10" s="223">
        <v>0</v>
      </c>
      <c r="AB10" s="230">
        <f t="shared" si="7"/>
        <v>0</v>
      </c>
      <c r="AC10" s="31">
        <v>0</v>
      </c>
      <c r="AD10" s="223">
        <v>0</v>
      </c>
      <c r="AE10" s="230">
        <f t="shared" si="8"/>
        <v>0</v>
      </c>
      <c r="AF10" s="31">
        <v>0</v>
      </c>
      <c r="AG10" s="223">
        <v>0</v>
      </c>
      <c r="AH10" s="230">
        <f t="shared" si="9"/>
        <v>0</v>
      </c>
      <c r="AI10" s="31">
        <v>0</v>
      </c>
      <c r="AJ10" s="223">
        <v>0</v>
      </c>
      <c r="AK10" s="230">
        <f t="shared" si="10"/>
        <v>0</v>
      </c>
      <c r="AL10" s="31">
        <v>0</v>
      </c>
      <c r="AM10" s="223">
        <v>0</v>
      </c>
      <c r="AN10" s="230">
        <f t="shared" si="11"/>
        <v>0</v>
      </c>
    </row>
    <row r="11" spans="1:40" x14ac:dyDescent="0.3">
      <c r="A11" s="25" t="s">
        <v>233</v>
      </c>
      <c r="B11" s="13">
        <v>64964</v>
      </c>
      <c r="C11" s="15">
        <v>0</v>
      </c>
      <c r="D11" s="13">
        <v>0</v>
      </c>
      <c r="E11" s="9">
        <v>0</v>
      </c>
      <c r="F11" s="223">
        <v>0</v>
      </c>
      <c r="G11" s="228">
        <f t="shared" si="0"/>
        <v>0</v>
      </c>
      <c r="H11" s="241">
        <v>0</v>
      </c>
      <c r="I11" s="223">
        <v>0</v>
      </c>
      <c r="J11" s="230">
        <f t="shared" si="1"/>
        <v>0</v>
      </c>
      <c r="K11" s="171">
        <v>25</v>
      </c>
      <c r="L11" s="557">
        <v>85.68</v>
      </c>
      <c r="M11" s="230">
        <f t="shared" si="2"/>
        <v>2142</v>
      </c>
      <c r="N11" s="31">
        <v>24</v>
      </c>
      <c r="O11" s="223">
        <v>85.68</v>
      </c>
      <c r="P11" s="230">
        <f t="shared" si="3"/>
        <v>2056.3200000000002</v>
      </c>
      <c r="Q11" s="31">
        <v>26</v>
      </c>
      <c r="R11" s="223">
        <v>0</v>
      </c>
      <c r="S11" s="230">
        <f t="shared" si="4"/>
        <v>0</v>
      </c>
      <c r="T11" s="31">
        <v>30</v>
      </c>
      <c r="U11" s="223">
        <v>0</v>
      </c>
      <c r="V11" s="230">
        <f t="shared" si="5"/>
        <v>0</v>
      </c>
      <c r="W11" s="31">
        <v>0</v>
      </c>
      <c r="X11" s="223">
        <v>0</v>
      </c>
      <c r="Y11" s="230">
        <f t="shared" si="6"/>
        <v>0</v>
      </c>
      <c r="Z11" s="31">
        <v>0</v>
      </c>
      <c r="AA11" s="223">
        <v>0</v>
      </c>
      <c r="AB11" s="230">
        <f t="shared" si="7"/>
        <v>0</v>
      </c>
      <c r="AC11" s="31">
        <v>0</v>
      </c>
      <c r="AD11" s="223">
        <v>0</v>
      </c>
      <c r="AE11" s="230">
        <f t="shared" si="8"/>
        <v>0</v>
      </c>
      <c r="AF11" s="31">
        <v>0</v>
      </c>
      <c r="AG11" s="223">
        <v>0</v>
      </c>
      <c r="AH11" s="230">
        <f t="shared" si="9"/>
        <v>0</v>
      </c>
      <c r="AI11" s="31">
        <v>0</v>
      </c>
      <c r="AJ11" s="223">
        <v>0</v>
      </c>
      <c r="AK11" s="230">
        <f t="shared" si="10"/>
        <v>0</v>
      </c>
      <c r="AL11" s="31">
        <v>0</v>
      </c>
      <c r="AM11" s="223">
        <v>0</v>
      </c>
      <c r="AN11" s="230">
        <f t="shared" si="11"/>
        <v>0</v>
      </c>
    </row>
    <row r="12" spans="1:40" x14ac:dyDescent="0.3">
      <c r="A12" s="25" t="s">
        <v>234</v>
      </c>
      <c r="B12" s="5"/>
      <c r="C12" s="15">
        <v>0</v>
      </c>
      <c r="D12" s="13">
        <v>0</v>
      </c>
      <c r="E12" s="5">
        <v>0</v>
      </c>
      <c r="F12" s="223">
        <v>0</v>
      </c>
      <c r="G12" s="226">
        <f t="shared" si="0"/>
        <v>0</v>
      </c>
      <c r="H12" s="241">
        <v>0</v>
      </c>
      <c r="I12" s="223">
        <v>0</v>
      </c>
      <c r="J12" s="230">
        <f t="shared" si="1"/>
        <v>0</v>
      </c>
      <c r="K12" s="25">
        <v>180</v>
      </c>
      <c r="L12" s="557">
        <v>42.43</v>
      </c>
      <c r="M12" s="230">
        <f t="shared" si="2"/>
        <v>7637.4</v>
      </c>
      <c r="N12" s="31">
        <v>175</v>
      </c>
      <c r="O12" s="223">
        <v>42.43</v>
      </c>
      <c r="P12" s="230">
        <f t="shared" si="3"/>
        <v>7425.25</v>
      </c>
      <c r="Q12" s="31">
        <v>200</v>
      </c>
      <c r="R12" s="223">
        <v>0</v>
      </c>
      <c r="S12" s="230">
        <f t="shared" si="4"/>
        <v>0</v>
      </c>
      <c r="T12" s="31">
        <v>175</v>
      </c>
      <c r="U12" s="223">
        <v>0</v>
      </c>
      <c r="V12" s="230">
        <f t="shared" si="5"/>
        <v>0</v>
      </c>
      <c r="W12" s="31">
        <v>0</v>
      </c>
      <c r="X12" s="223">
        <v>0</v>
      </c>
      <c r="Y12" s="230">
        <f t="shared" si="6"/>
        <v>0</v>
      </c>
      <c r="Z12" s="31">
        <v>0</v>
      </c>
      <c r="AA12" s="223">
        <v>0</v>
      </c>
      <c r="AB12" s="230">
        <f t="shared" si="7"/>
        <v>0</v>
      </c>
      <c r="AC12" s="31">
        <v>0</v>
      </c>
      <c r="AD12" s="223">
        <v>0</v>
      </c>
      <c r="AE12" s="230">
        <f t="shared" si="8"/>
        <v>0</v>
      </c>
      <c r="AF12" s="31">
        <v>0</v>
      </c>
      <c r="AG12" s="223">
        <v>0</v>
      </c>
      <c r="AH12" s="230">
        <f t="shared" si="9"/>
        <v>0</v>
      </c>
      <c r="AI12" s="31">
        <v>0</v>
      </c>
      <c r="AJ12" s="223">
        <v>0</v>
      </c>
      <c r="AK12" s="230">
        <f t="shared" si="10"/>
        <v>0</v>
      </c>
      <c r="AL12" s="31">
        <v>0</v>
      </c>
      <c r="AM12" s="223">
        <v>0</v>
      </c>
      <c r="AN12" s="230">
        <f t="shared" si="11"/>
        <v>0</v>
      </c>
    </row>
    <row r="13" spans="1:40" x14ac:dyDescent="0.3">
      <c r="A13" s="25" t="s">
        <v>235</v>
      </c>
      <c r="B13" s="5"/>
      <c r="C13" s="5">
        <v>0</v>
      </c>
      <c r="D13" s="10">
        <v>0</v>
      </c>
      <c r="E13" s="10">
        <v>0</v>
      </c>
      <c r="F13" s="224">
        <v>0</v>
      </c>
      <c r="G13" s="227">
        <f t="shared" si="0"/>
        <v>0</v>
      </c>
      <c r="H13" s="242">
        <v>0</v>
      </c>
      <c r="I13" s="224">
        <v>0</v>
      </c>
      <c r="J13" s="230">
        <f t="shared" si="1"/>
        <v>0</v>
      </c>
      <c r="K13" s="25">
        <v>3</v>
      </c>
      <c r="L13" s="558">
        <v>7.69</v>
      </c>
      <c r="M13" s="230">
        <f t="shared" si="2"/>
        <v>23.07</v>
      </c>
      <c r="N13" s="32">
        <v>2</v>
      </c>
      <c r="O13" s="224">
        <v>7.69</v>
      </c>
      <c r="P13" s="230">
        <f t="shared" si="3"/>
        <v>15.38</v>
      </c>
      <c r="Q13" s="32">
        <v>3</v>
      </c>
      <c r="R13" s="224">
        <v>0</v>
      </c>
      <c r="S13" s="230">
        <f t="shared" si="4"/>
        <v>0</v>
      </c>
      <c r="T13" s="32">
        <v>2</v>
      </c>
      <c r="U13" s="224">
        <v>0</v>
      </c>
      <c r="V13" s="230">
        <f t="shared" si="5"/>
        <v>0</v>
      </c>
      <c r="W13" s="32">
        <v>0</v>
      </c>
      <c r="X13" s="224">
        <v>0</v>
      </c>
      <c r="Y13" s="230">
        <f t="shared" si="6"/>
        <v>0</v>
      </c>
      <c r="Z13" s="32">
        <v>0</v>
      </c>
      <c r="AA13" s="224">
        <v>0</v>
      </c>
      <c r="AB13" s="230">
        <f t="shared" si="7"/>
        <v>0</v>
      </c>
      <c r="AC13" s="32">
        <v>0</v>
      </c>
      <c r="AD13" s="224">
        <v>0</v>
      </c>
      <c r="AE13" s="230">
        <f t="shared" si="8"/>
        <v>0</v>
      </c>
      <c r="AF13" s="32">
        <v>0</v>
      </c>
      <c r="AG13" s="224">
        <v>0</v>
      </c>
      <c r="AH13" s="230">
        <f t="shared" si="9"/>
        <v>0</v>
      </c>
      <c r="AI13" s="32">
        <v>0</v>
      </c>
      <c r="AJ13" s="224">
        <v>0</v>
      </c>
      <c r="AK13" s="230">
        <f t="shared" si="10"/>
        <v>0</v>
      </c>
      <c r="AL13" s="32">
        <v>0</v>
      </c>
      <c r="AM13" s="224">
        <v>0</v>
      </c>
      <c r="AN13" s="230">
        <f t="shared" si="11"/>
        <v>0</v>
      </c>
    </row>
    <row r="14" spans="1:40" x14ac:dyDescent="0.3">
      <c r="A14" s="22"/>
      <c r="B14" s="5"/>
      <c r="C14" s="24">
        <v>0</v>
      </c>
      <c r="D14" s="10">
        <v>0</v>
      </c>
      <c r="E14" s="10">
        <v>0</v>
      </c>
      <c r="F14" s="224">
        <v>0</v>
      </c>
      <c r="G14" s="227">
        <f t="shared" si="0"/>
        <v>0</v>
      </c>
      <c r="H14" s="242">
        <v>0</v>
      </c>
      <c r="I14" s="224">
        <v>0</v>
      </c>
      <c r="J14" s="230">
        <f t="shared" si="1"/>
        <v>0</v>
      </c>
      <c r="K14" s="12"/>
      <c r="L14" s="13"/>
      <c r="M14" s="230">
        <f t="shared" si="2"/>
        <v>0</v>
      </c>
      <c r="N14" s="32">
        <v>0</v>
      </c>
      <c r="O14" s="224">
        <v>0</v>
      </c>
      <c r="P14" s="230">
        <f t="shared" si="3"/>
        <v>0</v>
      </c>
      <c r="Q14" s="32">
        <v>0</v>
      </c>
      <c r="R14" s="224">
        <v>0</v>
      </c>
      <c r="S14" s="230">
        <f t="shared" si="4"/>
        <v>0</v>
      </c>
      <c r="T14" s="32">
        <v>0</v>
      </c>
      <c r="U14" s="224">
        <v>0</v>
      </c>
      <c r="V14" s="230">
        <f t="shared" si="5"/>
        <v>0</v>
      </c>
      <c r="W14" s="32">
        <v>0</v>
      </c>
      <c r="X14" s="224">
        <v>0</v>
      </c>
      <c r="Y14" s="230">
        <f t="shared" si="6"/>
        <v>0</v>
      </c>
      <c r="Z14" s="32">
        <v>0</v>
      </c>
      <c r="AA14" s="224">
        <v>0</v>
      </c>
      <c r="AB14" s="230">
        <f t="shared" si="7"/>
        <v>0</v>
      </c>
      <c r="AC14" s="32">
        <v>0</v>
      </c>
      <c r="AD14" s="224">
        <v>0</v>
      </c>
      <c r="AE14" s="230">
        <f t="shared" si="8"/>
        <v>0</v>
      </c>
      <c r="AF14" s="32">
        <v>0</v>
      </c>
      <c r="AG14" s="224">
        <v>0</v>
      </c>
      <c r="AH14" s="230">
        <f t="shared" si="9"/>
        <v>0</v>
      </c>
      <c r="AI14" s="32">
        <v>0</v>
      </c>
      <c r="AJ14" s="224">
        <v>0</v>
      </c>
      <c r="AK14" s="230">
        <f t="shared" si="10"/>
        <v>0</v>
      </c>
      <c r="AL14" s="32">
        <v>0</v>
      </c>
      <c r="AM14" s="224">
        <v>0</v>
      </c>
      <c r="AN14" s="230">
        <f t="shared" si="11"/>
        <v>0</v>
      </c>
    </row>
    <row r="15" spans="1:40" x14ac:dyDescent="0.3">
      <c r="A15" s="5"/>
      <c r="B15" s="5"/>
      <c r="C15" s="8">
        <v>0</v>
      </c>
      <c r="D15" s="5">
        <v>0</v>
      </c>
      <c r="E15" s="9">
        <v>0</v>
      </c>
      <c r="F15" s="223">
        <v>0</v>
      </c>
      <c r="G15" s="225">
        <f>F15*E15</f>
        <v>0</v>
      </c>
      <c r="H15" s="241">
        <v>0</v>
      </c>
      <c r="I15" s="223">
        <v>0</v>
      </c>
      <c r="J15" s="230">
        <f t="shared" si="1"/>
        <v>0</v>
      </c>
      <c r="K15" s="31">
        <v>0</v>
      </c>
      <c r="L15" s="223">
        <v>0</v>
      </c>
      <c r="M15" s="230">
        <f t="shared" si="2"/>
        <v>0</v>
      </c>
      <c r="N15" s="31">
        <v>0</v>
      </c>
      <c r="O15" s="223">
        <v>0</v>
      </c>
      <c r="P15" s="230">
        <f t="shared" si="3"/>
        <v>0</v>
      </c>
      <c r="Q15" s="31">
        <v>0</v>
      </c>
      <c r="R15" s="223">
        <v>0</v>
      </c>
      <c r="S15" s="230">
        <f t="shared" si="4"/>
        <v>0</v>
      </c>
      <c r="T15" s="31">
        <v>0</v>
      </c>
      <c r="U15" s="223">
        <v>0</v>
      </c>
      <c r="V15" s="230">
        <f t="shared" si="5"/>
        <v>0</v>
      </c>
      <c r="W15" s="31">
        <v>0</v>
      </c>
      <c r="X15" s="223">
        <v>0</v>
      </c>
      <c r="Y15" s="230">
        <f t="shared" si="6"/>
        <v>0</v>
      </c>
      <c r="Z15" s="31">
        <v>0</v>
      </c>
      <c r="AA15" s="223">
        <v>0</v>
      </c>
      <c r="AB15" s="230">
        <f t="shared" si="7"/>
        <v>0</v>
      </c>
      <c r="AC15" s="31">
        <v>0</v>
      </c>
      <c r="AD15" s="223">
        <v>0</v>
      </c>
      <c r="AE15" s="230">
        <f t="shared" si="8"/>
        <v>0</v>
      </c>
      <c r="AF15" s="31">
        <v>0</v>
      </c>
      <c r="AG15" s="223">
        <v>0</v>
      </c>
      <c r="AH15" s="230">
        <f t="shared" si="9"/>
        <v>0</v>
      </c>
      <c r="AI15" s="31">
        <v>0</v>
      </c>
      <c r="AJ15" s="223">
        <v>0</v>
      </c>
      <c r="AK15" s="230">
        <f t="shared" si="10"/>
        <v>0</v>
      </c>
      <c r="AL15" s="31">
        <v>0</v>
      </c>
      <c r="AM15" s="223">
        <v>0</v>
      </c>
      <c r="AN15" s="230">
        <f t="shared" si="11"/>
        <v>0</v>
      </c>
    </row>
    <row r="16" spans="1:40" ht="16.2" x14ac:dyDescent="0.45">
      <c r="A16" s="5"/>
      <c r="B16" s="5"/>
      <c r="C16" s="8"/>
      <c r="D16" s="5"/>
      <c r="E16" s="5"/>
      <c r="F16" s="189" t="s">
        <v>8</v>
      </c>
      <c r="G16" s="240">
        <f>SUM(G7:G15)</f>
        <v>0</v>
      </c>
      <c r="H16" s="31"/>
      <c r="I16" s="189" t="s">
        <v>8</v>
      </c>
      <c r="J16" s="239">
        <f>SUM(J7:J15)</f>
        <v>0</v>
      </c>
      <c r="K16" s="31"/>
      <c r="L16" s="189" t="s">
        <v>8</v>
      </c>
      <c r="M16" s="239">
        <f>SUM(M7:M15)</f>
        <v>13969.47</v>
      </c>
      <c r="N16" s="31"/>
      <c r="O16" s="189" t="s">
        <v>8</v>
      </c>
      <c r="P16" s="239">
        <f>SUM(P7:P15)</f>
        <v>13481.89</v>
      </c>
      <c r="Q16" s="31"/>
      <c r="R16" s="189" t="s">
        <v>8</v>
      </c>
      <c r="S16" s="239">
        <f>SUM(S7:S15)</f>
        <v>669.80000000000007</v>
      </c>
      <c r="T16" s="31"/>
      <c r="U16" s="189" t="s">
        <v>8</v>
      </c>
      <c r="V16" s="239">
        <f>SUM(V7:V15)</f>
        <v>669.80000000000007</v>
      </c>
      <c r="W16" s="31"/>
      <c r="X16" s="189" t="s">
        <v>8</v>
      </c>
      <c r="Y16" s="239">
        <f>SUM(Y7:Y15)</f>
        <v>0</v>
      </c>
      <c r="Z16" s="31"/>
      <c r="AA16" s="189" t="s">
        <v>8</v>
      </c>
      <c r="AB16" s="239">
        <f>SUM(AB7:AB15)</f>
        <v>0</v>
      </c>
      <c r="AC16" s="31"/>
      <c r="AD16" s="189" t="s">
        <v>8</v>
      </c>
      <c r="AE16" s="239">
        <f>SUM(AE7:AE15)</f>
        <v>0</v>
      </c>
      <c r="AF16" s="31"/>
      <c r="AG16" s="189" t="s">
        <v>8</v>
      </c>
      <c r="AH16" s="239">
        <f>SUM(AH7:AH15)</f>
        <v>0</v>
      </c>
      <c r="AI16" s="31"/>
      <c r="AJ16" s="189" t="s">
        <v>8</v>
      </c>
      <c r="AK16" s="239">
        <f>SUM(AK7:AK15)</f>
        <v>0</v>
      </c>
      <c r="AL16" s="31"/>
      <c r="AM16" s="189" t="s">
        <v>8</v>
      </c>
      <c r="AN16" s="239">
        <f>SUM(AN7:AN15)</f>
        <v>0</v>
      </c>
    </row>
  </sheetData>
  <hyperlinks>
    <hyperlink ref="A2" location="Menu!A1" display="Menu" xr:uid="{00000000-0004-0000-0900-000000000000}"/>
  </hyperlinks>
  <pageMargins left="0.511811024" right="0.511811024" top="0.78740157499999996" bottom="0.78740157499999996" header="0.31496062000000002" footer="0.3149606200000000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Plan2"/>
  <dimension ref="A1:AN15"/>
  <sheetViews>
    <sheetView workbookViewId="0">
      <pane xSplit="1" topLeftCell="Q1" activePane="topRight" state="frozen"/>
      <selection pane="topRight" activeCell="A2" sqref="A2"/>
    </sheetView>
  </sheetViews>
  <sheetFormatPr defaultColWidth="9.109375" defaultRowHeight="14.4" x14ac:dyDescent="0.3"/>
  <cols>
    <col min="1" max="1" width="32.5546875" style="1" bestFit="1" customWidth="1"/>
    <col min="2" max="2" width="11" style="1" bestFit="1" customWidth="1"/>
    <col min="3" max="3" width="18.88671875" style="1" bestFit="1" customWidth="1"/>
    <col min="4" max="4" width="16.6640625" style="1" bestFit="1" customWidth="1"/>
    <col min="5" max="5" width="14.109375" style="1" bestFit="1" customWidth="1"/>
    <col min="6" max="6" width="9.5546875" style="1" bestFit="1" customWidth="1"/>
    <col min="7" max="7" width="12.109375" style="1" bestFit="1" customWidth="1"/>
    <col min="8" max="8" width="14.109375" style="1" bestFit="1" customWidth="1"/>
    <col min="9" max="9" width="9.5546875" style="1" bestFit="1" customWidth="1"/>
    <col min="10" max="10" width="12.109375" style="1" bestFit="1" customWidth="1"/>
    <col min="11" max="11" width="14.109375" style="1" bestFit="1" customWidth="1"/>
    <col min="12" max="12" width="10.6640625" style="1" bestFit="1" customWidth="1"/>
    <col min="13" max="13" width="13.33203125" style="1" bestFit="1" customWidth="1"/>
    <col min="14" max="14" width="14.109375" style="1" bestFit="1" customWidth="1"/>
    <col min="15" max="15" width="9.109375" style="1"/>
    <col min="16" max="16" width="10.88671875" style="1" bestFit="1" customWidth="1"/>
    <col min="17" max="17" width="14.109375" style="1" bestFit="1" customWidth="1"/>
    <col min="18" max="18" width="9.109375" style="1"/>
    <col min="19" max="19" width="10.88671875" style="1" bestFit="1" customWidth="1"/>
    <col min="20" max="20" width="14.109375" style="1" bestFit="1" customWidth="1"/>
    <col min="21" max="21" width="9.109375" style="1"/>
    <col min="22" max="22" width="10.88671875" style="1" bestFit="1" customWidth="1"/>
    <col min="23" max="23" width="14.109375" style="1" bestFit="1" customWidth="1"/>
    <col min="24" max="24" width="9.109375" style="1"/>
    <col min="25" max="25" width="10.88671875" style="1" bestFit="1" customWidth="1"/>
    <col min="26" max="26" width="14.109375" style="1" bestFit="1" customWidth="1"/>
    <col min="27" max="27" width="9.109375" style="1"/>
    <col min="28" max="28" width="10.88671875" style="1" bestFit="1" customWidth="1"/>
    <col min="29" max="29" width="14.109375" style="1" bestFit="1" customWidth="1"/>
    <col min="30" max="30" width="9.109375" style="1"/>
    <col min="31" max="31" width="10.88671875" style="1" bestFit="1" customWidth="1"/>
    <col min="32" max="32" width="14.109375" style="1" bestFit="1" customWidth="1"/>
    <col min="33" max="33" width="9.109375" style="1"/>
    <col min="34" max="34" width="10.88671875" style="1" bestFit="1" customWidth="1"/>
    <col min="35" max="35" width="14.109375" style="1" bestFit="1" customWidth="1"/>
    <col min="36" max="36" width="9.109375" style="1"/>
    <col min="37" max="37" width="10.88671875" style="1" bestFit="1" customWidth="1"/>
    <col min="38" max="38" width="14.109375" style="1" bestFit="1" customWidth="1"/>
    <col min="39" max="39" width="9.109375" style="1"/>
    <col min="40" max="40" width="10.88671875" style="1" bestFit="1" customWidth="1"/>
    <col min="41" max="16384" width="9.109375" style="1"/>
  </cols>
  <sheetData>
    <row r="1" spans="1:40" ht="15" thickBot="1" x14ac:dyDescent="0.35"/>
    <row r="2" spans="1:40" ht="21.75" customHeight="1" thickBot="1" x14ac:dyDescent="0.35">
      <c r="A2" s="262" t="s">
        <v>110</v>
      </c>
      <c r="M2" s="135"/>
    </row>
    <row r="3" spans="1:40" ht="29.4" thickBot="1" x14ac:dyDescent="0.6">
      <c r="A3" s="257" t="s">
        <v>50</v>
      </c>
      <c r="B3" s="172"/>
      <c r="C3" s="172"/>
      <c r="D3" s="731"/>
      <c r="E3" s="6"/>
      <c r="F3" s="6"/>
      <c r="G3" s="6"/>
    </row>
    <row r="4" spans="1:40" ht="15" customHeight="1" x14ac:dyDescent="0.55000000000000004">
      <c r="A4" s="172"/>
      <c r="B4" s="173"/>
      <c r="C4" s="173"/>
      <c r="D4" s="731"/>
      <c r="E4" s="6"/>
      <c r="F4" s="6"/>
      <c r="G4" s="6"/>
    </row>
    <row r="5" spans="1:40" ht="15" customHeight="1" x14ac:dyDescent="0.3">
      <c r="A5" s="12"/>
      <c r="B5" s="12"/>
      <c r="C5" s="12"/>
      <c r="D5" s="12"/>
      <c r="E5" s="11">
        <v>45292</v>
      </c>
      <c r="F5" s="11">
        <v>45292</v>
      </c>
      <c r="G5" s="11">
        <v>45292</v>
      </c>
      <c r="H5" s="11">
        <v>45323</v>
      </c>
      <c r="I5" s="11">
        <v>45323</v>
      </c>
      <c r="J5" s="11">
        <v>45323</v>
      </c>
      <c r="K5" s="11">
        <v>45352</v>
      </c>
      <c r="L5" s="11">
        <v>45352</v>
      </c>
      <c r="M5" s="11">
        <v>45352</v>
      </c>
      <c r="N5" s="11">
        <v>45383</v>
      </c>
      <c r="O5" s="11">
        <v>45383</v>
      </c>
      <c r="P5" s="11">
        <v>45383</v>
      </c>
      <c r="Q5" s="11">
        <v>45413</v>
      </c>
      <c r="R5" s="11">
        <v>45413</v>
      </c>
      <c r="S5" s="11">
        <v>45413</v>
      </c>
      <c r="T5" s="11">
        <v>45444</v>
      </c>
      <c r="U5" s="11">
        <v>45444</v>
      </c>
      <c r="V5" s="11">
        <v>45444</v>
      </c>
      <c r="W5" s="11">
        <v>45474</v>
      </c>
      <c r="X5" s="11">
        <v>45474</v>
      </c>
      <c r="Y5" s="11">
        <v>45474</v>
      </c>
      <c r="Z5" s="11">
        <v>45505</v>
      </c>
      <c r="AA5" s="11">
        <v>45505</v>
      </c>
      <c r="AB5" s="11">
        <v>45505</v>
      </c>
      <c r="AC5" s="11">
        <v>45536</v>
      </c>
      <c r="AD5" s="11">
        <v>45536</v>
      </c>
      <c r="AE5" s="11">
        <v>45536</v>
      </c>
      <c r="AF5" s="11">
        <v>45566</v>
      </c>
      <c r="AG5" s="11">
        <v>45566</v>
      </c>
      <c r="AH5" s="11">
        <v>45566</v>
      </c>
      <c r="AI5" s="11">
        <v>45597</v>
      </c>
      <c r="AJ5" s="11">
        <v>45597</v>
      </c>
      <c r="AK5" s="11">
        <v>45597</v>
      </c>
      <c r="AL5" s="11">
        <v>45627</v>
      </c>
      <c r="AM5" s="11">
        <v>45627</v>
      </c>
      <c r="AN5" s="11">
        <v>45627</v>
      </c>
    </row>
    <row r="6" spans="1:40" x14ac:dyDescent="0.3">
      <c r="A6" s="13" t="s">
        <v>1</v>
      </c>
      <c r="B6" s="13" t="s">
        <v>2</v>
      </c>
      <c r="C6" s="13" t="s">
        <v>3</v>
      </c>
      <c r="D6" s="13" t="s">
        <v>9</v>
      </c>
      <c r="E6" s="13" t="s">
        <v>5</v>
      </c>
      <c r="F6" s="13" t="s">
        <v>6</v>
      </c>
      <c r="G6" s="26" t="s">
        <v>7</v>
      </c>
      <c r="H6" s="13" t="s">
        <v>5</v>
      </c>
      <c r="I6" s="13" t="s">
        <v>6</v>
      </c>
      <c r="J6" s="26" t="s">
        <v>7</v>
      </c>
      <c r="K6" s="13" t="s">
        <v>5</v>
      </c>
      <c r="L6" s="13" t="s">
        <v>116</v>
      </c>
      <c r="M6" s="26" t="s">
        <v>7</v>
      </c>
      <c r="N6" s="13" t="s">
        <v>5</v>
      </c>
      <c r="O6" s="13" t="s">
        <v>6</v>
      </c>
      <c r="P6" s="26" t="s">
        <v>7</v>
      </c>
      <c r="Q6" s="13" t="s">
        <v>5</v>
      </c>
      <c r="R6" s="13" t="s">
        <v>6</v>
      </c>
      <c r="S6" s="26" t="s">
        <v>7</v>
      </c>
      <c r="T6" s="13" t="s">
        <v>5</v>
      </c>
      <c r="U6" s="13" t="s">
        <v>6</v>
      </c>
      <c r="V6" s="26" t="s">
        <v>7</v>
      </c>
      <c r="W6" s="13" t="s">
        <v>5</v>
      </c>
      <c r="X6" s="13" t="s">
        <v>6</v>
      </c>
      <c r="Y6" s="26" t="s">
        <v>7</v>
      </c>
      <c r="Z6" s="13" t="s">
        <v>5</v>
      </c>
      <c r="AA6" s="13" t="s">
        <v>6</v>
      </c>
      <c r="AB6" s="26" t="s">
        <v>7</v>
      </c>
      <c r="AC6" s="13" t="s">
        <v>5</v>
      </c>
      <c r="AD6" s="13" t="s">
        <v>6</v>
      </c>
      <c r="AE6" s="26" t="s">
        <v>7</v>
      </c>
      <c r="AF6" s="13" t="s">
        <v>5</v>
      </c>
      <c r="AG6" s="13" t="s">
        <v>6</v>
      </c>
      <c r="AH6" s="26" t="s">
        <v>7</v>
      </c>
      <c r="AI6" s="13" t="s">
        <v>5</v>
      </c>
      <c r="AJ6" s="13" t="s">
        <v>6</v>
      </c>
      <c r="AK6" s="26" t="s">
        <v>7</v>
      </c>
      <c r="AL6" s="13" t="s">
        <v>5</v>
      </c>
      <c r="AM6" s="13" t="s">
        <v>6</v>
      </c>
      <c r="AN6" s="26" t="s">
        <v>7</v>
      </c>
    </row>
    <row r="7" spans="1:40" x14ac:dyDescent="0.3">
      <c r="A7" s="25" t="s">
        <v>236</v>
      </c>
      <c r="B7" s="5">
        <v>56944</v>
      </c>
      <c r="C7" s="8">
        <v>3500</v>
      </c>
      <c r="D7" s="5">
        <v>275</v>
      </c>
      <c r="E7" s="14">
        <v>0</v>
      </c>
      <c r="F7" s="231">
        <v>0</v>
      </c>
      <c r="G7" s="233">
        <f t="shared" ref="G7:G13" si="0">F7*E7</f>
        <v>0</v>
      </c>
      <c r="H7" s="14">
        <v>0</v>
      </c>
      <c r="I7" s="231">
        <v>5</v>
      </c>
      <c r="J7" s="233">
        <f t="shared" ref="J7:J13" si="1">I7*H7</f>
        <v>0</v>
      </c>
      <c r="K7" s="171">
        <v>40</v>
      </c>
      <c r="L7" s="223">
        <v>141.9</v>
      </c>
      <c r="M7" s="233">
        <f t="shared" ref="M7:M14" si="2">L7*K7</f>
        <v>5676</v>
      </c>
      <c r="N7" s="14">
        <v>15</v>
      </c>
      <c r="O7" s="231">
        <v>141.9</v>
      </c>
      <c r="P7" s="233">
        <f t="shared" ref="P7:P13" si="3">O7*N7</f>
        <v>2128.5</v>
      </c>
      <c r="Q7" s="14">
        <v>42</v>
      </c>
      <c r="R7" s="231">
        <v>141.9</v>
      </c>
      <c r="S7" s="233">
        <f t="shared" ref="S7:S13" si="4">R7*Q7</f>
        <v>5959.8</v>
      </c>
      <c r="T7" s="14">
        <v>42</v>
      </c>
      <c r="U7" s="231">
        <v>141.9</v>
      </c>
      <c r="V7" s="233">
        <f t="shared" ref="V7:V13" si="5">U7*T7</f>
        <v>5959.8</v>
      </c>
      <c r="W7" s="14">
        <v>0</v>
      </c>
      <c r="X7" s="231">
        <v>5</v>
      </c>
      <c r="Y7" s="233">
        <f t="shared" ref="Y7:Y13" si="6">X7*W7</f>
        <v>0</v>
      </c>
      <c r="Z7" s="14">
        <v>0</v>
      </c>
      <c r="AA7" s="231">
        <v>0</v>
      </c>
      <c r="AB7" s="233">
        <f t="shared" ref="AB7:AB13" si="7">AA7*Z7</f>
        <v>0</v>
      </c>
      <c r="AC7" s="14">
        <v>0</v>
      </c>
      <c r="AD7" s="231">
        <v>0</v>
      </c>
      <c r="AE7" s="233">
        <f t="shared" ref="AE7:AE13" si="8">AD7*AC7</f>
        <v>0</v>
      </c>
      <c r="AF7" s="14">
        <v>0</v>
      </c>
      <c r="AG7" s="231">
        <v>0</v>
      </c>
      <c r="AH7" s="233">
        <f t="shared" ref="AH7:AH13" si="9">AG7*AF7</f>
        <v>0</v>
      </c>
      <c r="AI7" s="14">
        <v>0</v>
      </c>
      <c r="AJ7" s="231">
        <v>0</v>
      </c>
      <c r="AK7" s="233">
        <f t="shared" ref="AK7:AK13" si="10">AJ7*AI7</f>
        <v>0</v>
      </c>
      <c r="AL7" s="14">
        <v>0</v>
      </c>
      <c r="AM7" s="231">
        <v>0</v>
      </c>
      <c r="AN7" s="233">
        <f t="shared" ref="AN7:AN13" si="11">AM7*AL7</f>
        <v>0</v>
      </c>
    </row>
    <row r="8" spans="1:40" x14ac:dyDescent="0.3">
      <c r="A8" s="25" t="s">
        <v>237</v>
      </c>
      <c r="B8" s="5">
        <v>73191</v>
      </c>
      <c r="C8" s="8">
        <v>3500</v>
      </c>
      <c r="D8" s="5">
        <v>70</v>
      </c>
      <c r="E8" s="14">
        <v>0</v>
      </c>
      <c r="F8" s="231">
        <v>0</v>
      </c>
      <c r="G8" s="233">
        <f t="shared" si="0"/>
        <v>0</v>
      </c>
      <c r="H8" s="14">
        <v>0</v>
      </c>
      <c r="I8" s="231">
        <v>0</v>
      </c>
      <c r="J8" s="233">
        <f t="shared" si="1"/>
        <v>0</v>
      </c>
      <c r="K8" s="171">
        <v>6</v>
      </c>
      <c r="L8" s="223">
        <v>30.78</v>
      </c>
      <c r="M8" s="233">
        <f t="shared" si="2"/>
        <v>184.68</v>
      </c>
      <c r="N8" s="14">
        <v>4</v>
      </c>
      <c r="O8" s="231">
        <v>30.78</v>
      </c>
      <c r="P8" s="233">
        <f t="shared" si="3"/>
        <v>123.12</v>
      </c>
      <c r="Q8" s="14">
        <v>6</v>
      </c>
      <c r="R8" s="231">
        <v>0</v>
      </c>
      <c r="S8" s="233">
        <f t="shared" si="4"/>
        <v>0</v>
      </c>
      <c r="T8" s="14">
        <v>6</v>
      </c>
      <c r="U8" s="231">
        <v>0</v>
      </c>
      <c r="V8" s="233">
        <f t="shared" si="5"/>
        <v>0</v>
      </c>
      <c r="W8" s="14">
        <v>0</v>
      </c>
      <c r="X8" s="231">
        <v>0</v>
      </c>
      <c r="Y8" s="233">
        <f t="shared" si="6"/>
        <v>0</v>
      </c>
      <c r="Z8" s="14">
        <v>0</v>
      </c>
      <c r="AA8" s="231">
        <v>0</v>
      </c>
      <c r="AB8" s="233">
        <f t="shared" si="7"/>
        <v>0</v>
      </c>
      <c r="AC8" s="14">
        <v>0</v>
      </c>
      <c r="AD8" s="231">
        <v>0</v>
      </c>
      <c r="AE8" s="233">
        <f t="shared" si="8"/>
        <v>0</v>
      </c>
      <c r="AF8" s="14">
        <v>0</v>
      </c>
      <c r="AG8" s="231">
        <v>0</v>
      </c>
      <c r="AH8" s="233">
        <f t="shared" si="9"/>
        <v>0</v>
      </c>
      <c r="AI8" s="14">
        <v>0</v>
      </c>
      <c r="AJ8" s="231">
        <v>0</v>
      </c>
      <c r="AK8" s="233">
        <f t="shared" si="10"/>
        <v>0</v>
      </c>
      <c r="AL8" s="14">
        <v>0</v>
      </c>
      <c r="AM8" s="231">
        <v>0</v>
      </c>
      <c r="AN8" s="233">
        <f t="shared" si="11"/>
        <v>0</v>
      </c>
    </row>
    <row r="9" spans="1:40" x14ac:dyDescent="0.3">
      <c r="A9" s="25" t="s">
        <v>238</v>
      </c>
      <c r="B9" s="5">
        <v>100490</v>
      </c>
      <c r="C9" s="8">
        <v>3500</v>
      </c>
      <c r="D9" s="5">
        <v>45</v>
      </c>
      <c r="E9" s="14">
        <v>0</v>
      </c>
      <c r="F9" s="231">
        <v>0</v>
      </c>
      <c r="G9" s="233">
        <f t="shared" si="0"/>
        <v>0</v>
      </c>
      <c r="H9" s="14">
        <v>0</v>
      </c>
      <c r="I9" s="231">
        <v>0</v>
      </c>
      <c r="J9" s="233">
        <f t="shared" si="1"/>
        <v>0</v>
      </c>
      <c r="K9" s="171">
        <v>50</v>
      </c>
      <c r="L9" s="223">
        <v>35.1</v>
      </c>
      <c r="M9" s="233">
        <f t="shared" si="2"/>
        <v>1755</v>
      </c>
      <c r="N9" s="14">
        <v>30</v>
      </c>
      <c r="O9" s="231">
        <v>35.1</v>
      </c>
      <c r="P9" s="233">
        <f t="shared" si="3"/>
        <v>1053</v>
      </c>
      <c r="Q9" s="14">
        <v>8</v>
      </c>
      <c r="R9" s="231">
        <v>0</v>
      </c>
      <c r="S9" s="233">
        <f t="shared" si="4"/>
        <v>0</v>
      </c>
      <c r="T9" s="14">
        <v>5</v>
      </c>
      <c r="U9" s="231">
        <v>0</v>
      </c>
      <c r="V9" s="233">
        <f t="shared" si="5"/>
        <v>0</v>
      </c>
      <c r="W9" s="14">
        <v>0</v>
      </c>
      <c r="X9" s="231">
        <v>0</v>
      </c>
      <c r="Y9" s="233">
        <f t="shared" si="6"/>
        <v>0</v>
      </c>
      <c r="Z9" s="14">
        <v>0</v>
      </c>
      <c r="AA9" s="231">
        <v>0</v>
      </c>
      <c r="AB9" s="233">
        <f t="shared" si="7"/>
        <v>0</v>
      </c>
      <c r="AC9" s="14">
        <v>0</v>
      </c>
      <c r="AD9" s="231">
        <v>0</v>
      </c>
      <c r="AE9" s="233">
        <f t="shared" si="8"/>
        <v>0</v>
      </c>
      <c r="AF9" s="14">
        <v>0</v>
      </c>
      <c r="AG9" s="231">
        <v>0</v>
      </c>
      <c r="AH9" s="233">
        <f t="shared" si="9"/>
        <v>0</v>
      </c>
      <c r="AI9" s="14">
        <v>0</v>
      </c>
      <c r="AJ9" s="231">
        <v>0</v>
      </c>
      <c r="AK9" s="233">
        <f t="shared" si="10"/>
        <v>0</v>
      </c>
      <c r="AL9" s="14">
        <v>0</v>
      </c>
      <c r="AM9" s="231">
        <v>0</v>
      </c>
      <c r="AN9" s="233">
        <f t="shared" si="11"/>
        <v>0</v>
      </c>
    </row>
    <row r="10" spans="1:40" x14ac:dyDescent="0.3">
      <c r="A10" s="25" t="s">
        <v>239</v>
      </c>
      <c r="B10" s="5">
        <v>56563</v>
      </c>
      <c r="C10" s="8">
        <v>3500</v>
      </c>
      <c r="D10" s="5">
        <v>0.75</v>
      </c>
      <c r="E10" s="14">
        <v>0</v>
      </c>
      <c r="F10" s="231">
        <v>0</v>
      </c>
      <c r="G10" s="233">
        <f t="shared" si="0"/>
        <v>0</v>
      </c>
      <c r="H10" s="14">
        <v>0</v>
      </c>
      <c r="I10" s="231">
        <v>0</v>
      </c>
      <c r="J10" s="233">
        <f t="shared" si="1"/>
        <v>0</v>
      </c>
      <c r="K10" s="171">
        <v>2.5</v>
      </c>
      <c r="L10" s="223">
        <v>9.08</v>
      </c>
      <c r="M10" s="233">
        <f t="shared" si="2"/>
        <v>22.7</v>
      </c>
      <c r="N10" s="14">
        <v>2</v>
      </c>
      <c r="O10" s="231">
        <v>9.08</v>
      </c>
      <c r="P10" s="233">
        <f t="shared" si="3"/>
        <v>18.16</v>
      </c>
      <c r="Q10" s="14">
        <v>2</v>
      </c>
      <c r="R10" s="231">
        <v>0</v>
      </c>
      <c r="S10" s="233">
        <f t="shared" si="4"/>
        <v>0</v>
      </c>
      <c r="T10" s="14">
        <v>3</v>
      </c>
      <c r="U10" s="231">
        <v>0</v>
      </c>
      <c r="V10" s="233">
        <f t="shared" si="5"/>
        <v>0</v>
      </c>
      <c r="W10" s="14">
        <v>0</v>
      </c>
      <c r="X10" s="231">
        <v>0</v>
      </c>
      <c r="Y10" s="233">
        <f t="shared" si="6"/>
        <v>0</v>
      </c>
      <c r="Z10" s="14">
        <v>0</v>
      </c>
      <c r="AA10" s="231">
        <v>0</v>
      </c>
      <c r="AB10" s="233">
        <f t="shared" si="7"/>
        <v>0</v>
      </c>
      <c r="AC10" s="14">
        <v>0</v>
      </c>
      <c r="AD10" s="231">
        <v>0</v>
      </c>
      <c r="AE10" s="233">
        <f t="shared" si="8"/>
        <v>0</v>
      </c>
      <c r="AF10" s="14">
        <v>0</v>
      </c>
      <c r="AG10" s="231">
        <v>0</v>
      </c>
      <c r="AH10" s="233">
        <f t="shared" si="9"/>
        <v>0</v>
      </c>
      <c r="AI10" s="14">
        <v>0</v>
      </c>
      <c r="AJ10" s="231">
        <v>0</v>
      </c>
      <c r="AK10" s="233">
        <f t="shared" si="10"/>
        <v>0</v>
      </c>
      <c r="AL10" s="14">
        <v>0</v>
      </c>
      <c r="AM10" s="231">
        <v>0</v>
      </c>
      <c r="AN10" s="233">
        <f t="shared" si="11"/>
        <v>0</v>
      </c>
    </row>
    <row r="11" spans="1:40" x14ac:dyDescent="0.3">
      <c r="A11" s="25" t="s">
        <v>240</v>
      </c>
      <c r="B11" s="5">
        <v>56566</v>
      </c>
      <c r="C11" s="8">
        <v>3500</v>
      </c>
      <c r="D11" s="5">
        <v>10</v>
      </c>
      <c r="E11" s="14">
        <v>0</v>
      </c>
      <c r="F11" s="231">
        <v>0</v>
      </c>
      <c r="G11" s="236">
        <f t="shared" si="0"/>
        <v>0</v>
      </c>
      <c r="H11" s="14">
        <v>0</v>
      </c>
      <c r="I11" s="231">
        <v>0</v>
      </c>
      <c r="J11" s="236">
        <f t="shared" si="1"/>
        <v>0</v>
      </c>
      <c r="K11" s="171">
        <v>1.5</v>
      </c>
      <c r="L11" s="223">
        <v>18.75</v>
      </c>
      <c r="M11" s="236">
        <f t="shared" si="2"/>
        <v>28.125</v>
      </c>
      <c r="N11" s="14">
        <v>1</v>
      </c>
      <c r="O11" s="231">
        <v>28.5</v>
      </c>
      <c r="P11" s="236">
        <f t="shared" si="3"/>
        <v>28.5</v>
      </c>
      <c r="Q11" s="14">
        <v>1</v>
      </c>
      <c r="R11" s="231">
        <v>0</v>
      </c>
      <c r="S11" s="236">
        <f t="shared" si="4"/>
        <v>0</v>
      </c>
      <c r="T11" s="14">
        <v>2</v>
      </c>
      <c r="U11" s="231">
        <v>0</v>
      </c>
      <c r="V11" s="236">
        <f t="shared" si="5"/>
        <v>0</v>
      </c>
      <c r="W11" s="14">
        <v>0</v>
      </c>
      <c r="X11" s="231">
        <v>0</v>
      </c>
      <c r="Y11" s="236">
        <f t="shared" si="6"/>
        <v>0</v>
      </c>
      <c r="Z11" s="14">
        <v>0</v>
      </c>
      <c r="AA11" s="231">
        <v>0</v>
      </c>
      <c r="AB11" s="236">
        <f t="shared" si="7"/>
        <v>0</v>
      </c>
      <c r="AC11" s="14">
        <v>0</v>
      </c>
      <c r="AD11" s="231">
        <v>0</v>
      </c>
      <c r="AE11" s="236">
        <f t="shared" si="8"/>
        <v>0</v>
      </c>
      <c r="AF11" s="14">
        <v>0</v>
      </c>
      <c r="AG11" s="231">
        <v>0</v>
      </c>
      <c r="AH11" s="236">
        <f t="shared" si="9"/>
        <v>0</v>
      </c>
      <c r="AI11" s="14">
        <v>0</v>
      </c>
      <c r="AJ11" s="231">
        <v>0</v>
      </c>
      <c r="AK11" s="234">
        <f t="shared" si="10"/>
        <v>0</v>
      </c>
      <c r="AL11" s="14">
        <v>0</v>
      </c>
      <c r="AM11" s="231">
        <v>0</v>
      </c>
      <c r="AN11" s="234">
        <f t="shared" si="11"/>
        <v>0</v>
      </c>
    </row>
    <row r="12" spans="1:40" x14ac:dyDescent="0.3">
      <c r="A12" s="25"/>
      <c r="B12" s="5">
        <v>65078</v>
      </c>
      <c r="C12" s="8">
        <v>3500</v>
      </c>
      <c r="D12" s="5">
        <v>10</v>
      </c>
      <c r="E12" s="13">
        <v>0</v>
      </c>
      <c r="F12" s="231">
        <v>0</v>
      </c>
      <c r="G12" s="235">
        <f t="shared" si="0"/>
        <v>0</v>
      </c>
      <c r="H12" s="13">
        <v>0</v>
      </c>
      <c r="I12" s="231">
        <v>0</v>
      </c>
      <c r="J12" s="235">
        <f t="shared" si="1"/>
        <v>0</v>
      </c>
      <c r="K12" s="13">
        <v>0</v>
      </c>
      <c r="L12" s="255">
        <v>0</v>
      </c>
      <c r="M12" s="235">
        <f t="shared" si="2"/>
        <v>0</v>
      </c>
      <c r="N12" s="13">
        <v>0</v>
      </c>
      <c r="O12" s="231">
        <v>0</v>
      </c>
      <c r="P12" s="235">
        <f t="shared" si="3"/>
        <v>0</v>
      </c>
      <c r="Q12" s="13">
        <v>0</v>
      </c>
      <c r="R12" s="231">
        <v>0</v>
      </c>
      <c r="S12" s="235">
        <f t="shared" si="4"/>
        <v>0</v>
      </c>
      <c r="T12" s="13">
        <v>0</v>
      </c>
      <c r="U12" s="231">
        <v>0</v>
      </c>
      <c r="V12" s="235">
        <f t="shared" si="5"/>
        <v>0</v>
      </c>
      <c r="W12" s="13">
        <v>0</v>
      </c>
      <c r="X12" s="231">
        <v>0</v>
      </c>
      <c r="Y12" s="235">
        <f t="shared" si="6"/>
        <v>0</v>
      </c>
      <c r="Z12" s="13">
        <v>0</v>
      </c>
      <c r="AA12" s="231">
        <v>0</v>
      </c>
      <c r="AB12" s="235">
        <f t="shared" si="7"/>
        <v>0</v>
      </c>
      <c r="AC12" s="13">
        <v>0</v>
      </c>
      <c r="AD12" s="231">
        <v>0</v>
      </c>
      <c r="AE12" s="235">
        <f t="shared" si="8"/>
        <v>0</v>
      </c>
      <c r="AF12" s="13">
        <v>0</v>
      </c>
      <c r="AG12" s="231">
        <v>0</v>
      </c>
      <c r="AH12" s="235">
        <f t="shared" si="9"/>
        <v>0</v>
      </c>
      <c r="AI12" s="13">
        <v>0</v>
      </c>
      <c r="AJ12" s="231">
        <v>0</v>
      </c>
      <c r="AK12" s="235">
        <f t="shared" si="10"/>
        <v>0</v>
      </c>
      <c r="AL12" s="13">
        <v>0</v>
      </c>
      <c r="AM12" s="231">
        <v>0</v>
      </c>
      <c r="AN12" s="235">
        <f t="shared" si="11"/>
        <v>0</v>
      </c>
    </row>
    <row r="13" spans="1:40" x14ac:dyDescent="0.3">
      <c r="A13" s="25"/>
      <c r="B13" s="10">
        <v>56317</v>
      </c>
      <c r="C13" s="13">
        <v>0</v>
      </c>
      <c r="D13" s="13">
        <v>0</v>
      </c>
      <c r="E13" s="13">
        <v>0</v>
      </c>
      <c r="F13" s="231">
        <v>0</v>
      </c>
      <c r="G13" s="235">
        <f t="shared" si="0"/>
        <v>0</v>
      </c>
      <c r="H13" s="13">
        <v>0</v>
      </c>
      <c r="I13" s="231">
        <v>0</v>
      </c>
      <c r="J13" s="235">
        <f t="shared" si="1"/>
        <v>0</v>
      </c>
      <c r="K13" s="13">
        <v>0</v>
      </c>
      <c r="L13" s="255">
        <v>0</v>
      </c>
      <c r="M13" s="235">
        <f t="shared" si="2"/>
        <v>0</v>
      </c>
      <c r="N13" s="13">
        <v>0</v>
      </c>
      <c r="O13" s="231">
        <v>0</v>
      </c>
      <c r="P13" s="235">
        <f t="shared" si="3"/>
        <v>0</v>
      </c>
      <c r="Q13" s="13">
        <v>0</v>
      </c>
      <c r="R13" s="231">
        <v>0</v>
      </c>
      <c r="S13" s="235">
        <f t="shared" si="4"/>
        <v>0</v>
      </c>
      <c r="T13" s="13">
        <v>0</v>
      </c>
      <c r="U13" s="231">
        <v>0</v>
      </c>
      <c r="V13" s="235">
        <f t="shared" si="5"/>
        <v>0</v>
      </c>
      <c r="W13" s="13">
        <v>0</v>
      </c>
      <c r="X13" s="231">
        <v>0</v>
      </c>
      <c r="Y13" s="235">
        <f t="shared" si="6"/>
        <v>0</v>
      </c>
      <c r="Z13" s="13">
        <v>0</v>
      </c>
      <c r="AA13" s="231">
        <v>0</v>
      </c>
      <c r="AB13" s="235">
        <f t="shared" si="7"/>
        <v>0</v>
      </c>
      <c r="AC13" s="13">
        <v>0</v>
      </c>
      <c r="AD13" s="231">
        <v>0</v>
      </c>
      <c r="AE13" s="235">
        <f t="shared" si="8"/>
        <v>0</v>
      </c>
      <c r="AF13" s="13">
        <v>0</v>
      </c>
      <c r="AG13" s="231">
        <v>0</v>
      </c>
      <c r="AH13" s="235">
        <f t="shared" si="9"/>
        <v>0</v>
      </c>
      <c r="AI13" s="13">
        <v>0</v>
      </c>
      <c r="AJ13" s="231">
        <v>0</v>
      </c>
      <c r="AK13" s="235">
        <f t="shared" si="10"/>
        <v>0</v>
      </c>
      <c r="AL13" s="13">
        <v>0</v>
      </c>
      <c r="AM13" s="231">
        <v>0</v>
      </c>
      <c r="AN13" s="235">
        <f t="shared" si="11"/>
        <v>0</v>
      </c>
    </row>
    <row r="14" spans="1:40" x14ac:dyDescent="0.3">
      <c r="A14" s="13"/>
      <c r="B14" s="10">
        <v>56576</v>
      </c>
      <c r="C14" s="13">
        <v>0</v>
      </c>
      <c r="D14" s="13">
        <v>0</v>
      </c>
      <c r="E14" s="13">
        <v>0</v>
      </c>
      <c r="F14" s="232"/>
      <c r="G14" s="233"/>
      <c r="H14" s="13">
        <v>0</v>
      </c>
      <c r="I14" s="232"/>
      <c r="J14" s="233"/>
      <c r="K14" s="13">
        <v>0</v>
      </c>
      <c r="L14" s="232">
        <v>0</v>
      </c>
      <c r="M14" s="233">
        <f t="shared" si="2"/>
        <v>0</v>
      </c>
      <c r="N14" s="13">
        <v>0</v>
      </c>
      <c r="O14" s="232"/>
      <c r="P14" s="233"/>
      <c r="Q14" s="12"/>
      <c r="R14" s="232"/>
      <c r="S14" s="233"/>
      <c r="T14" s="12"/>
      <c r="U14" s="232"/>
      <c r="V14" s="233"/>
      <c r="W14" s="12"/>
      <c r="X14" s="232"/>
      <c r="Y14" s="233"/>
      <c r="Z14" s="12"/>
      <c r="AA14" s="232"/>
      <c r="AB14" s="233"/>
      <c r="AC14" s="12"/>
      <c r="AD14" s="232"/>
      <c r="AE14" s="233"/>
      <c r="AF14" s="12"/>
      <c r="AG14" s="232"/>
      <c r="AH14" s="233"/>
      <c r="AI14" s="12"/>
      <c r="AJ14" s="232"/>
      <c r="AK14" s="233"/>
      <c r="AL14" s="12"/>
      <c r="AM14" s="232"/>
      <c r="AN14" s="233"/>
    </row>
    <row r="15" spans="1:40" ht="16.2" x14ac:dyDescent="0.45">
      <c r="A15" s="13"/>
      <c r="B15" s="12"/>
      <c r="C15" s="12"/>
      <c r="D15" s="12"/>
      <c r="E15" s="12"/>
      <c r="F15" s="191" t="s">
        <v>8</v>
      </c>
      <c r="G15" s="238">
        <f>SUM(G7:G14)</f>
        <v>0</v>
      </c>
      <c r="H15" s="12"/>
      <c r="I15" s="191" t="s">
        <v>8</v>
      </c>
      <c r="J15" s="238">
        <f>SUM(J7:J14)</f>
        <v>0</v>
      </c>
      <c r="K15" s="12"/>
      <c r="L15" s="191" t="s">
        <v>8</v>
      </c>
      <c r="M15" s="238">
        <f>SUM(M7:M14)</f>
        <v>7666.5050000000001</v>
      </c>
      <c r="N15" s="12"/>
      <c r="O15" s="191" t="s">
        <v>8</v>
      </c>
      <c r="P15" s="238">
        <f>SUM(P7:P14)</f>
        <v>3351.2799999999997</v>
      </c>
      <c r="Q15" s="12"/>
      <c r="R15" s="191" t="s">
        <v>8</v>
      </c>
      <c r="S15" s="238">
        <f>SUM(S7:S14)</f>
        <v>5959.8</v>
      </c>
      <c r="T15" s="12"/>
      <c r="U15" s="191" t="s">
        <v>8</v>
      </c>
      <c r="V15" s="238">
        <f>SUM(V7:V14)</f>
        <v>5959.8</v>
      </c>
      <c r="W15" s="12"/>
      <c r="X15" s="191" t="s">
        <v>8</v>
      </c>
      <c r="Y15" s="238">
        <f>SUM(Y7:Y14)</f>
        <v>0</v>
      </c>
      <c r="Z15" s="12"/>
      <c r="AA15" s="191" t="s">
        <v>8</v>
      </c>
      <c r="AB15" s="238">
        <f>SUM(AB7:AB14)</f>
        <v>0</v>
      </c>
      <c r="AC15" s="12"/>
      <c r="AD15" s="190" t="s">
        <v>8</v>
      </c>
      <c r="AE15" s="238">
        <f>SUM(AE7:AE14)</f>
        <v>0</v>
      </c>
      <c r="AF15" s="12"/>
      <c r="AG15" s="191" t="s">
        <v>8</v>
      </c>
      <c r="AH15" s="238">
        <f>SUM(AH7:AH14)</f>
        <v>0</v>
      </c>
      <c r="AI15" s="12"/>
      <c r="AJ15" s="191" t="s">
        <v>8</v>
      </c>
      <c r="AK15" s="238">
        <f>SUM(AK7:AK14)</f>
        <v>0</v>
      </c>
      <c r="AL15" s="12"/>
      <c r="AM15" s="191" t="s">
        <v>8</v>
      </c>
      <c r="AN15" s="238">
        <f>SUM(AN7:AN14)</f>
        <v>0</v>
      </c>
    </row>
  </sheetData>
  <mergeCells count="1">
    <mergeCell ref="D3:D4"/>
  </mergeCells>
  <hyperlinks>
    <hyperlink ref="A2" location="Menu!A1" display="Menu" xr:uid="{00000000-0004-0000-0A00-000000000000}"/>
  </hyperlinks>
  <pageMargins left="0.511811024" right="0.511811024" top="0.78740157499999996" bottom="0.78740157499999996" header="0.31496062000000002" footer="0.3149606200000000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Plan3"/>
  <dimension ref="A1:AN15"/>
  <sheetViews>
    <sheetView workbookViewId="0">
      <pane xSplit="1" topLeftCell="Q1" activePane="topRight" state="frozen"/>
      <selection pane="topRight" activeCell="A2" sqref="A2"/>
    </sheetView>
  </sheetViews>
  <sheetFormatPr defaultColWidth="9.109375" defaultRowHeight="14.4" x14ac:dyDescent="0.3"/>
  <cols>
    <col min="1" max="1" width="34.109375" style="1" bestFit="1" customWidth="1"/>
    <col min="2" max="2" width="11" style="1" bestFit="1" customWidth="1"/>
    <col min="3" max="3" width="18.88671875" style="1" bestFit="1" customWidth="1"/>
    <col min="4" max="4" width="16.6640625" style="1" bestFit="1" customWidth="1"/>
    <col min="5" max="5" width="14.109375" style="1" bestFit="1" customWidth="1"/>
    <col min="6" max="6" width="10.5546875" style="1" bestFit="1" customWidth="1"/>
    <col min="7" max="7" width="14.33203125" style="1" bestFit="1" customWidth="1"/>
    <col min="8" max="8" width="14.109375" style="1" bestFit="1" customWidth="1"/>
    <col min="9" max="9" width="9" style="1" bestFit="1" customWidth="1"/>
    <col min="10" max="10" width="10.88671875" style="1" bestFit="1" customWidth="1"/>
    <col min="11" max="11" width="14.109375" style="1" bestFit="1" customWidth="1"/>
    <col min="12" max="12" width="10.6640625" style="1" bestFit="1" customWidth="1"/>
    <col min="13" max="13" width="12.109375" style="1" bestFit="1" customWidth="1"/>
    <col min="14" max="14" width="14.109375" style="1" bestFit="1" customWidth="1"/>
    <col min="15" max="15" width="9.109375" style="1"/>
    <col min="16" max="16" width="11.6640625" style="1" bestFit="1" customWidth="1"/>
    <col min="17" max="17" width="14.109375" style="1" bestFit="1" customWidth="1"/>
    <col min="18" max="18" width="9.109375" style="1"/>
    <col min="19" max="19" width="10.88671875" style="1" bestFit="1" customWidth="1"/>
    <col min="20" max="20" width="14.109375" style="1" bestFit="1" customWidth="1"/>
    <col min="21" max="21" width="9.109375" style="1"/>
    <col min="22" max="22" width="11.6640625" style="1" bestFit="1" customWidth="1"/>
    <col min="23" max="23" width="14.109375" style="1" bestFit="1" customWidth="1"/>
    <col min="24" max="24" width="9.109375" style="1"/>
    <col min="25" max="25" width="10.88671875" style="1" bestFit="1" customWidth="1"/>
    <col min="26" max="26" width="14.109375" style="1" bestFit="1" customWidth="1"/>
    <col min="27" max="27" width="9.109375" style="1"/>
    <col min="28" max="28" width="10.88671875" style="1" bestFit="1" customWidth="1"/>
    <col min="29" max="29" width="14.109375" style="1" bestFit="1" customWidth="1"/>
    <col min="30" max="30" width="9.109375" style="1"/>
    <col min="31" max="31" width="10.88671875" style="1" bestFit="1" customWidth="1"/>
    <col min="32" max="32" width="14.109375" style="1" bestFit="1" customWidth="1"/>
    <col min="33" max="33" width="9" style="1" bestFit="1" customWidth="1"/>
    <col min="34" max="34" width="10.88671875" style="1" bestFit="1" customWidth="1"/>
    <col min="35" max="35" width="14.109375" style="1" bestFit="1" customWidth="1"/>
    <col min="36" max="36" width="9.109375" style="1"/>
    <col min="37" max="37" width="10.88671875" style="1" bestFit="1" customWidth="1"/>
    <col min="38" max="38" width="14.109375" style="1" bestFit="1" customWidth="1"/>
    <col min="39" max="39" width="9.109375" style="1"/>
    <col min="40" max="40" width="10.88671875" style="1" bestFit="1" customWidth="1"/>
    <col min="41" max="16384" width="9.109375" style="1"/>
  </cols>
  <sheetData>
    <row r="1" spans="1:40" ht="15" thickBot="1" x14ac:dyDescent="0.35"/>
    <row r="2" spans="1:40" ht="29.4" thickBot="1" x14ac:dyDescent="0.35">
      <c r="A2" s="262" t="s">
        <v>110</v>
      </c>
    </row>
    <row r="3" spans="1:40" ht="29.4" thickBot="1" x14ac:dyDescent="0.6">
      <c r="A3" s="257" t="s">
        <v>10</v>
      </c>
      <c r="B3" s="246"/>
      <c r="C3" s="246"/>
      <c r="D3" s="732"/>
      <c r="E3" s="6"/>
      <c r="F3" s="6"/>
      <c r="G3" s="6"/>
    </row>
    <row r="4" spans="1:40" ht="15" customHeight="1" x14ac:dyDescent="0.55000000000000004">
      <c r="A4" s="247"/>
      <c r="B4" s="247"/>
      <c r="C4" s="247"/>
      <c r="D4" s="733"/>
      <c r="E4" s="6"/>
      <c r="F4" s="6"/>
      <c r="G4" s="6"/>
    </row>
    <row r="5" spans="1:40" ht="15" customHeight="1" x14ac:dyDescent="0.3">
      <c r="A5" s="7"/>
      <c r="B5" s="7"/>
      <c r="C5" s="7"/>
      <c r="D5" s="7"/>
      <c r="E5" s="4">
        <v>45292</v>
      </c>
      <c r="F5" s="4">
        <v>45292</v>
      </c>
      <c r="G5" s="29">
        <v>45292</v>
      </c>
      <c r="H5" s="11">
        <v>45323</v>
      </c>
      <c r="I5" s="11">
        <v>45323</v>
      </c>
      <c r="J5" s="11">
        <v>45323</v>
      </c>
      <c r="K5" s="11">
        <v>45352</v>
      </c>
      <c r="L5" s="11">
        <v>45352</v>
      </c>
      <c r="M5" s="11">
        <v>45352</v>
      </c>
      <c r="N5" s="11">
        <v>45383</v>
      </c>
      <c r="O5" s="11">
        <v>45383</v>
      </c>
      <c r="P5" s="11">
        <v>45383</v>
      </c>
      <c r="Q5" s="11">
        <v>45413</v>
      </c>
      <c r="R5" s="11">
        <v>45413</v>
      </c>
      <c r="S5" s="11">
        <v>45413</v>
      </c>
      <c r="T5" s="11">
        <v>45444</v>
      </c>
      <c r="U5" s="11">
        <v>45444</v>
      </c>
      <c r="V5" s="11">
        <v>45444</v>
      </c>
      <c r="W5" s="11">
        <v>45474</v>
      </c>
      <c r="X5" s="11">
        <v>45474</v>
      </c>
      <c r="Y5" s="11">
        <v>45474</v>
      </c>
      <c r="Z5" s="11">
        <v>45505</v>
      </c>
      <c r="AA5" s="11">
        <v>45505</v>
      </c>
      <c r="AB5" s="11">
        <v>45505</v>
      </c>
      <c r="AC5" s="11">
        <v>45536</v>
      </c>
      <c r="AD5" s="11">
        <v>45536</v>
      </c>
      <c r="AE5" s="11">
        <v>45536</v>
      </c>
      <c r="AF5" s="11">
        <v>45566</v>
      </c>
      <c r="AG5" s="11">
        <v>45566</v>
      </c>
      <c r="AH5" s="11">
        <v>45566</v>
      </c>
      <c r="AI5" s="11">
        <v>45597</v>
      </c>
      <c r="AJ5" s="11">
        <v>45597</v>
      </c>
      <c r="AK5" s="11">
        <v>45597</v>
      </c>
      <c r="AL5" s="11">
        <v>45627</v>
      </c>
      <c r="AM5" s="11">
        <v>45627</v>
      </c>
      <c r="AN5" s="11">
        <v>45627</v>
      </c>
    </row>
    <row r="6" spans="1:40" x14ac:dyDescent="0.3">
      <c r="A6" s="5" t="s">
        <v>1</v>
      </c>
      <c r="B6" s="5" t="s">
        <v>2</v>
      </c>
      <c r="C6" s="5" t="s">
        <v>3</v>
      </c>
      <c r="D6" s="5" t="s">
        <v>9</v>
      </c>
      <c r="E6" s="5" t="s">
        <v>5</v>
      </c>
      <c r="F6" s="5" t="s">
        <v>6</v>
      </c>
      <c r="G6" s="5" t="s">
        <v>7</v>
      </c>
      <c r="H6" s="13" t="s">
        <v>5</v>
      </c>
      <c r="I6" s="13" t="s">
        <v>6</v>
      </c>
      <c r="J6" s="26" t="s">
        <v>7</v>
      </c>
      <c r="K6" s="13" t="s">
        <v>5</v>
      </c>
      <c r="L6" s="13" t="s">
        <v>116</v>
      </c>
      <c r="M6" s="26" t="s">
        <v>7</v>
      </c>
      <c r="N6" s="13" t="s">
        <v>5</v>
      </c>
      <c r="O6" s="13" t="s">
        <v>6</v>
      </c>
      <c r="P6" s="26" t="s">
        <v>7</v>
      </c>
      <c r="Q6" s="13" t="s">
        <v>5</v>
      </c>
      <c r="R6" s="13" t="s">
        <v>6</v>
      </c>
      <c r="S6" s="26" t="s">
        <v>7</v>
      </c>
      <c r="T6" s="13" t="s">
        <v>5</v>
      </c>
      <c r="U6" s="13" t="s">
        <v>6</v>
      </c>
      <c r="V6" s="26" t="s">
        <v>7</v>
      </c>
      <c r="W6" s="13" t="s">
        <v>5</v>
      </c>
      <c r="X6" s="13" t="s">
        <v>6</v>
      </c>
      <c r="Y6" s="26" t="s">
        <v>7</v>
      </c>
      <c r="Z6" s="13" t="s">
        <v>5</v>
      </c>
      <c r="AA6" s="13" t="s">
        <v>6</v>
      </c>
      <c r="AB6" s="26" t="s">
        <v>7</v>
      </c>
      <c r="AC6" s="13" t="s">
        <v>5</v>
      </c>
      <c r="AD6" s="13" t="s">
        <v>6</v>
      </c>
      <c r="AE6" s="26" t="s">
        <v>7</v>
      </c>
      <c r="AF6" s="13" t="s">
        <v>5</v>
      </c>
      <c r="AG6" s="13" t="s">
        <v>6</v>
      </c>
      <c r="AH6" s="26" t="s">
        <v>7</v>
      </c>
      <c r="AI6" s="13" t="s">
        <v>5</v>
      </c>
      <c r="AJ6" s="13" t="s">
        <v>6</v>
      </c>
      <c r="AK6" s="26" t="s">
        <v>7</v>
      </c>
      <c r="AL6" s="13" t="s">
        <v>5</v>
      </c>
      <c r="AM6" s="13" t="s">
        <v>6</v>
      </c>
      <c r="AN6" s="26" t="s">
        <v>7</v>
      </c>
    </row>
    <row r="7" spans="1:40" x14ac:dyDescent="0.3">
      <c r="A7" s="25" t="s">
        <v>241</v>
      </c>
      <c r="B7" s="5">
        <v>56951</v>
      </c>
      <c r="C7" s="8">
        <v>0</v>
      </c>
      <c r="D7" s="5">
        <v>0</v>
      </c>
      <c r="E7" s="9">
        <v>0</v>
      </c>
      <c r="F7" s="223">
        <v>0</v>
      </c>
      <c r="G7" s="229">
        <f>F7*E7</f>
        <v>0</v>
      </c>
      <c r="H7" s="14">
        <v>0</v>
      </c>
      <c r="I7" s="231">
        <v>0</v>
      </c>
      <c r="J7" s="233">
        <f t="shared" ref="J7:J13" si="0">I7*H7</f>
        <v>0</v>
      </c>
      <c r="K7" s="171">
        <v>110</v>
      </c>
      <c r="L7" s="223">
        <v>24.98</v>
      </c>
      <c r="M7" s="233">
        <f t="shared" ref="M7:M14" si="1">L7*K7</f>
        <v>2747.8</v>
      </c>
      <c r="N7" s="14">
        <v>55</v>
      </c>
      <c r="O7" s="231">
        <v>24.98</v>
      </c>
      <c r="P7" s="233">
        <f t="shared" ref="P7:P14" si="2">O7*N7</f>
        <v>1373.9</v>
      </c>
      <c r="Q7" s="14">
        <v>75</v>
      </c>
      <c r="R7" s="231">
        <v>24.98</v>
      </c>
      <c r="S7" s="233">
        <f t="shared" ref="S7:S14" si="3">R7*Q7</f>
        <v>1873.5</v>
      </c>
      <c r="T7" s="14">
        <v>50</v>
      </c>
      <c r="U7" s="231">
        <v>24.98</v>
      </c>
      <c r="V7" s="233">
        <f t="shared" ref="V7:V14" si="4">U7*T7</f>
        <v>1249</v>
      </c>
      <c r="W7" s="14">
        <v>0</v>
      </c>
      <c r="X7" s="231">
        <v>0</v>
      </c>
      <c r="Y7" s="233">
        <f t="shared" ref="Y7:Y13" si="5">X7*W7</f>
        <v>0</v>
      </c>
      <c r="Z7" s="14">
        <v>0</v>
      </c>
      <c r="AA7" s="231">
        <v>0</v>
      </c>
      <c r="AB7" s="233">
        <f t="shared" ref="AB7:AB13" si="6">AA7*Z7</f>
        <v>0</v>
      </c>
      <c r="AC7" s="14">
        <v>0</v>
      </c>
      <c r="AD7" s="231">
        <v>0</v>
      </c>
      <c r="AE7" s="233">
        <f t="shared" ref="AE7:AE13" si="7">AD7*AC7</f>
        <v>0</v>
      </c>
      <c r="AF7" s="14">
        <v>0</v>
      </c>
      <c r="AG7" s="231">
        <v>0</v>
      </c>
      <c r="AH7" s="233">
        <f t="shared" ref="AH7:AH13" si="8">AG7*AF7</f>
        <v>0</v>
      </c>
      <c r="AI7" s="14">
        <v>0</v>
      </c>
      <c r="AJ7" s="231">
        <v>0</v>
      </c>
      <c r="AK7" s="233">
        <f t="shared" ref="AK7:AK13" si="9">AJ7*AI7</f>
        <v>0</v>
      </c>
      <c r="AL7" s="14">
        <v>0</v>
      </c>
      <c r="AM7" s="231">
        <v>5</v>
      </c>
      <c r="AN7" s="233">
        <f t="shared" ref="AN7:AN13" si="10">AM7*AL7</f>
        <v>0</v>
      </c>
    </row>
    <row r="8" spans="1:40" x14ac:dyDescent="0.3">
      <c r="A8" s="25" t="s">
        <v>227</v>
      </c>
      <c r="B8" s="5">
        <v>56124</v>
      </c>
      <c r="C8" s="8">
        <v>0</v>
      </c>
      <c r="D8" s="5">
        <v>0</v>
      </c>
      <c r="E8" s="9">
        <v>0</v>
      </c>
      <c r="F8" s="223">
        <v>0</v>
      </c>
      <c r="G8" s="229">
        <f>F8*E8</f>
        <v>0</v>
      </c>
      <c r="H8" s="14">
        <v>0</v>
      </c>
      <c r="I8" s="231">
        <v>0</v>
      </c>
      <c r="J8" s="233">
        <f t="shared" si="0"/>
        <v>0</v>
      </c>
      <c r="K8" s="171">
        <v>35</v>
      </c>
      <c r="L8" s="223">
        <v>3.5</v>
      </c>
      <c r="M8" s="233">
        <f t="shared" si="1"/>
        <v>122.5</v>
      </c>
      <c r="N8" s="14">
        <v>8</v>
      </c>
      <c r="O8" s="231">
        <v>3.5</v>
      </c>
      <c r="P8" s="233">
        <f t="shared" si="2"/>
        <v>28</v>
      </c>
      <c r="Q8" s="14">
        <v>15</v>
      </c>
      <c r="R8" s="231">
        <v>3.5</v>
      </c>
      <c r="S8" s="233">
        <f t="shared" si="3"/>
        <v>52.5</v>
      </c>
      <c r="T8" s="663">
        <v>13.5</v>
      </c>
      <c r="U8" s="231">
        <v>3.5</v>
      </c>
      <c r="V8" s="233">
        <f t="shared" si="4"/>
        <v>47.25</v>
      </c>
      <c r="W8" s="14">
        <v>0</v>
      </c>
      <c r="X8" s="231">
        <v>0</v>
      </c>
      <c r="Y8" s="233">
        <f t="shared" si="5"/>
        <v>0</v>
      </c>
      <c r="Z8" s="14">
        <v>0</v>
      </c>
      <c r="AA8" s="231">
        <v>0</v>
      </c>
      <c r="AB8" s="233">
        <f t="shared" si="6"/>
        <v>0</v>
      </c>
      <c r="AC8" s="14">
        <v>0</v>
      </c>
      <c r="AD8" s="231">
        <v>0</v>
      </c>
      <c r="AE8" s="233">
        <f t="shared" si="7"/>
        <v>0</v>
      </c>
      <c r="AF8" s="14">
        <v>0</v>
      </c>
      <c r="AG8" s="231">
        <v>0</v>
      </c>
      <c r="AH8" s="233">
        <f t="shared" si="8"/>
        <v>0</v>
      </c>
      <c r="AI8" s="14">
        <v>0</v>
      </c>
      <c r="AJ8" s="231">
        <v>0</v>
      </c>
      <c r="AK8" s="233">
        <f t="shared" si="9"/>
        <v>0</v>
      </c>
      <c r="AL8" s="14">
        <v>0</v>
      </c>
      <c r="AM8" s="231">
        <v>0</v>
      </c>
      <c r="AN8" s="233">
        <f t="shared" si="10"/>
        <v>0</v>
      </c>
    </row>
    <row r="9" spans="1:40" x14ac:dyDescent="0.3">
      <c r="A9" s="25" t="s">
        <v>229</v>
      </c>
      <c r="B9" s="5"/>
      <c r="C9" s="8">
        <v>0</v>
      </c>
      <c r="D9" s="5">
        <v>0</v>
      </c>
      <c r="E9" s="9">
        <v>0</v>
      </c>
      <c r="F9" s="223">
        <v>0</v>
      </c>
      <c r="G9" s="229">
        <f t="shared" ref="G9:G14" si="11">F9*E9</f>
        <v>0</v>
      </c>
      <c r="H9" s="14">
        <v>0</v>
      </c>
      <c r="I9" s="231">
        <v>0</v>
      </c>
      <c r="J9" s="233">
        <f t="shared" si="0"/>
        <v>0</v>
      </c>
      <c r="K9" s="171">
        <v>300</v>
      </c>
      <c r="L9" s="223">
        <v>66.98</v>
      </c>
      <c r="M9" s="233">
        <f t="shared" si="1"/>
        <v>20094</v>
      </c>
      <c r="N9" s="14">
        <v>280</v>
      </c>
      <c r="O9" s="231">
        <v>66.98</v>
      </c>
      <c r="P9" s="233">
        <f t="shared" si="2"/>
        <v>18754.400000000001</v>
      </c>
      <c r="Q9" s="14">
        <v>0</v>
      </c>
      <c r="R9" s="231">
        <v>0</v>
      </c>
      <c r="S9" s="233">
        <f t="shared" si="3"/>
        <v>0</v>
      </c>
      <c r="T9" s="14">
        <v>231</v>
      </c>
      <c r="U9" s="231">
        <v>66.98</v>
      </c>
      <c r="V9" s="233">
        <f t="shared" si="4"/>
        <v>15472.380000000001</v>
      </c>
      <c r="W9" s="14">
        <v>0</v>
      </c>
      <c r="X9" s="231">
        <v>0</v>
      </c>
      <c r="Y9" s="233">
        <f t="shared" si="5"/>
        <v>0</v>
      </c>
      <c r="Z9" s="14">
        <v>0</v>
      </c>
      <c r="AA9" s="231">
        <v>0</v>
      </c>
      <c r="AB9" s="233">
        <f t="shared" si="6"/>
        <v>0</v>
      </c>
      <c r="AC9" s="14">
        <v>0</v>
      </c>
      <c r="AD9" s="231">
        <v>0</v>
      </c>
      <c r="AE9" s="233">
        <f t="shared" si="7"/>
        <v>0</v>
      </c>
      <c r="AF9" s="14">
        <v>0</v>
      </c>
      <c r="AG9" s="231">
        <v>0</v>
      </c>
      <c r="AH9" s="233">
        <f t="shared" si="8"/>
        <v>0</v>
      </c>
      <c r="AI9" s="14">
        <v>0</v>
      </c>
      <c r="AJ9" s="231">
        <v>0</v>
      </c>
      <c r="AK9" s="233">
        <f t="shared" si="9"/>
        <v>0</v>
      </c>
      <c r="AL9" s="14">
        <v>0</v>
      </c>
      <c r="AM9" s="231">
        <v>0</v>
      </c>
      <c r="AN9" s="233">
        <f t="shared" si="10"/>
        <v>0</v>
      </c>
    </row>
    <row r="10" spans="1:40" x14ac:dyDescent="0.3">
      <c r="A10" s="25" t="s">
        <v>242</v>
      </c>
      <c r="B10" s="5">
        <v>71927</v>
      </c>
      <c r="C10" s="8">
        <v>0</v>
      </c>
      <c r="D10" s="5">
        <v>0</v>
      </c>
      <c r="E10" s="9">
        <v>0</v>
      </c>
      <c r="F10" s="223">
        <v>0</v>
      </c>
      <c r="G10" s="229">
        <f t="shared" si="11"/>
        <v>0</v>
      </c>
      <c r="H10" s="14">
        <v>0</v>
      </c>
      <c r="I10" s="231">
        <v>0</v>
      </c>
      <c r="J10" s="233">
        <f t="shared" si="0"/>
        <v>0</v>
      </c>
      <c r="K10" s="171">
        <v>12</v>
      </c>
      <c r="L10" s="223">
        <v>79.33</v>
      </c>
      <c r="M10" s="233">
        <f t="shared" si="1"/>
        <v>951.96</v>
      </c>
      <c r="N10" s="14">
        <v>11</v>
      </c>
      <c r="O10" s="231">
        <v>79.33</v>
      </c>
      <c r="P10" s="233">
        <f t="shared" si="2"/>
        <v>872.63</v>
      </c>
      <c r="Q10" s="14">
        <v>13</v>
      </c>
      <c r="R10" s="231">
        <v>0</v>
      </c>
      <c r="S10" s="233">
        <f t="shared" si="3"/>
        <v>0</v>
      </c>
      <c r="T10" s="14">
        <v>18</v>
      </c>
      <c r="U10" s="231">
        <v>0</v>
      </c>
      <c r="V10" s="233">
        <f t="shared" si="4"/>
        <v>0</v>
      </c>
      <c r="W10" s="14">
        <v>0</v>
      </c>
      <c r="X10" s="231">
        <v>0</v>
      </c>
      <c r="Y10" s="233">
        <f t="shared" si="5"/>
        <v>0</v>
      </c>
      <c r="Z10" s="14">
        <v>0</v>
      </c>
      <c r="AA10" s="231">
        <v>0</v>
      </c>
      <c r="AB10" s="233">
        <f t="shared" si="6"/>
        <v>0</v>
      </c>
      <c r="AC10" s="14">
        <v>0</v>
      </c>
      <c r="AD10" s="231">
        <v>0</v>
      </c>
      <c r="AE10" s="233">
        <f t="shared" si="7"/>
        <v>0</v>
      </c>
      <c r="AF10" s="14">
        <v>0</v>
      </c>
      <c r="AG10" s="231">
        <v>0</v>
      </c>
      <c r="AH10" s="233">
        <f t="shared" si="8"/>
        <v>0</v>
      </c>
      <c r="AI10" s="14">
        <v>0</v>
      </c>
      <c r="AJ10" s="231">
        <v>0</v>
      </c>
      <c r="AK10" s="233">
        <f t="shared" si="9"/>
        <v>0</v>
      </c>
      <c r="AL10" s="14">
        <v>0</v>
      </c>
      <c r="AM10" s="231">
        <v>0</v>
      </c>
      <c r="AN10" s="233">
        <f t="shared" si="10"/>
        <v>0</v>
      </c>
    </row>
    <row r="11" spans="1:40" x14ac:dyDescent="0.3">
      <c r="A11" s="25" t="s">
        <v>243</v>
      </c>
      <c r="B11" s="5">
        <v>71928</v>
      </c>
      <c r="C11" s="8">
        <v>0</v>
      </c>
      <c r="D11" s="5">
        <v>0</v>
      </c>
      <c r="E11" s="9">
        <v>0</v>
      </c>
      <c r="F11" s="223">
        <v>0</v>
      </c>
      <c r="G11" s="229">
        <f t="shared" si="11"/>
        <v>0</v>
      </c>
      <c r="H11" s="14">
        <v>0</v>
      </c>
      <c r="I11" s="231">
        <v>0</v>
      </c>
      <c r="J11" s="236">
        <f t="shared" si="0"/>
        <v>0</v>
      </c>
      <c r="K11" s="171">
        <v>8</v>
      </c>
      <c r="L11" s="223">
        <v>84.02</v>
      </c>
      <c r="M11" s="236">
        <f t="shared" si="1"/>
        <v>672.16</v>
      </c>
      <c r="N11" s="14">
        <v>9</v>
      </c>
      <c r="O11" s="231">
        <v>84.02</v>
      </c>
      <c r="P11" s="236">
        <f t="shared" si="2"/>
        <v>756.18</v>
      </c>
      <c r="Q11" s="14">
        <v>10</v>
      </c>
      <c r="R11" s="231">
        <v>0</v>
      </c>
      <c r="S11" s="236">
        <f t="shared" si="3"/>
        <v>0</v>
      </c>
      <c r="T11" s="14">
        <v>15</v>
      </c>
      <c r="U11" s="231">
        <v>0</v>
      </c>
      <c r="V11" s="236">
        <f t="shared" si="4"/>
        <v>0</v>
      </c>
      <c r="W11" s="14">
        <v>0</v>
      </c>
      <c r="X11" s="231">
        <v>0</v>
      </c>
      <c r="Y11" s="236">
        <f t="shared" si="5"/>
        <v>0</v>
      </c>
      <c r="Z11" s="14">
        <v>0</v>
      </c>
      <c r="AA11" s="231">
        <v>0</v>
      </c>
      <c r="AB11" s="236">
        <f t="shared" si="6"/>
        <v>0</v>
      </c>
      <c r="AC11" s="14">
        <v>0</v>
      </c>
      <c r="AD11" s="231">
        <v>0</v>
      </c>
      <c r="AE11" s="236">
        <f t="shared" si="7"/>
        <v>0</v>
      </c>
      <c r="AF11" s="14">
        <v>0</v>
      </c>
      <c r="AG11" s="231">
        <v>0</v>
      </c>
      <c r="AH11" s="236">
        <f t="shared" si="8"/>
        <v>0</v>
      </c>
      <c r="AI11" s="14">
        <v>0</v>
      </c>
      <c r="AJ11" s="231">
        <v>0</v>
      </c>
      <c r="AK11" s="236">
        <f t="shared" si="9"/>
        <v>0</v>
      </c>
      <c r="AL11" s="14">
        <v>0</v>
      </c>
      <c r="AM11" s="231">
        <v>0</v>
      </c>
      <c r="AN11" s="236">
        <f t="shared" si="10"/>
        <v>0</v>
      </c>
    </row>
    <row r="12" spans="1:40" x14ac:dyDescent="0.3">
      <c r="A12" s="25" t="s">
        <v>244</v>
      </c>
      <c r="B12" s="5">
        <v>71930</v>
      </c>
      <c r="C12" s="8">
        <v>0</v>
      </c>
      <c r="D12" s="5">
        <v>0</v>
      </c>
      <c r="E12" s="5">
        <v>0</v>
      </c>
      <c r="F12" s="223">
        <v>0</v>
      </c>
      <c r="G12" s="229">
        <f t="shared" si="11"/>
        <v>0</v>
      </c>
      <c r="H12" s="13">
        <v>0</v>
      </c>
      <c r="I12" s="231">
        <v>0</v>
      </c>
      <c r="J12" s="235">
        <f t="shared" si="0"/>
        <v>0</v>
      </c>
      <c r="K12" s="171">
        <v>6</v>
      </c>
      <c r="L12" s="223">
        <v>78.94</v>
      </c>
      <c r="M12" s="235">
        <f t="shared" si="1"/>
        <v>473.64</v>
      </c>
      <c r="N12" s="13">
        <v>5</v>
      </c>
      <c r="O12" s="231">
        <v>78.94</v>
      </c>
      <c r="P12" s="235">
        <f t="shared" si="2"/>
        <v>394.7</v>
      </c>
      <c r="Q12" s="13">
        <v>7</v>
      </c>
      <c r="R12" s="231">
        <v>0</v>
      </c>
      <c r="S12" s="235">
        <f t="shared" si="3"/>
        <v>0</v>
      </c>
      <c r="T12" s="13">
        <v>10</v>
      </c>
      <c r="U12" s="231">
        <v>0</v>
      </c>
      <c r="V12" s="235">
        <f t="shared" si="4"/>
        <v>0</v>
      </c>
      <c r="W12" s="13">
        <v>0</v>
      </c>
      <c r="X12" s="231">
        <v>0</v>
      </c>
      <c r="Y12" s="235">
        <f t="shared" si="5"/>
        <v>0</v>
      </c>
      <c r="Z12" s="13">
        <v>0</v>
      </c>
      <c r="AA12" s="231">
        <v>0</v>
      </c>
      <c r="AB12" s="235">
        <f t="shared" si="6"/>
        <v>0</v>
      </c>
      <c r="AC12" s="13">
        <v>0</v>
      </c>
      <c r="AD12" s="231">
        <v>0</v>
      </c>
      <c r="AE12" s="235">
        <f t="shared" si="7"/>
        <v>0</v>
      </c>
      <c r="AF12" s="13">
        <v>0</v>
      </c>
      <c r="AG12" s="231">
        <v>0</v>
      </c>
      <c r="AH12" s="235">
        <f t="shared" si="8"/>
        <v>0</v>
      </c>
      <c r="AI12" s="13">
        <v>0</v>
      </c>
      <c r="AJ12" s="231">
        <v>0</v>
      </c>
      <c r="AK12" s="235">
        <f t="shared" si="9"/>
        <v>0</v>
      </c>
      <c r="AL12" s="13">
        <v>0</v>
      </c>
      <c r="AM12" s="231">
        <v>0</v>
      </c>
      <c r="AN12" s="235">
        <f t="shared" si="10"/>
        <v>0</v>
      </c>
    </row>
    <row r="13" spans="1:40" x14ac:dyDescent="0.3">
      <c r="A13" s="25" t="s">
        <v>245</v>
      </c>
      <c r="B13" s="10">
        <v>71926</v>
      </c>
      <c r="C13" s="90">
        <v>0</v>
      </c>
      <c r="D13" s="10">
        <v>0</v>
      </c>
      <c r="E13" s="10">
        <v>0</v>
      </c>
      <c r="F13" s="224">
        <v>0</v>
      </c>
      <c r="G13" s="229">
        <f t="shared" si="11"/>
        <v>0</v>
      </c>
      <c r="H13" s="13">
        <v>0</v>
      </c>
      <c r="I13" s="231">
        <v>0</v>
      </c>
      <c r="J13" s="235">
        <f t="shared" si="0"/>
        <v>0</v>
      </c>
      <c r="K13" s="25">
        <v>10</v>
      </c>
      <c r="L13" s="224">
        <v>44.75</v>
      </c>
      <c r="M13" s="235">
        <f t="shared" si="1"/>
        <v>447.5</v>
      </c>
      <c r="N13" s="13">
        <v>9</v>
      </c>
      <c r="O13" s="231">
        <v>44.75</v>
      </c>
      <c r="P13" s="235">
        <f t="shared" si="2"/>
        <v>402.75</v>
      </c>
      <c r="Q13" s="13">
        <v>10</v>
      </c>
      <c r="R13" s="231">
        <v>0</v>
      </c>
      <c r="S13" s="235">
        <f t="shared" si="3"/>
        <v>0</v>
      </c>
      <c r="T13" s="13">
        <v>5</v>
      </c>
      <c r="U13" s="231">
        <v>0</v>
      </c>
      <c r="V13" s="235">
        <f t="shared" si="4"/>
        <v>0</v>
      </c>
      <c r="W13" s="13">
        <v>0</v>
      </c>
      <c r="X13" s="231">
        <v>0</v>
      </c>
      <c r="Y13" s="235">
        <f t="shared" si="5"/>
        <v>0</v>
      </c>
      <c r="Z13" s="13">
        <v>0</v>
      </c>
      <c r="AA13" s="231">
        <v>0</v>
      </c>
      <c r="AB13" s="235">
        <f t="shared" si="6"/>
        <v>0</v>
      </c>
      <c r="AC13" s="13">
        <v>0</v>
      </c>
      <c r="AD13" s="231">
        <v>0</v>
      </c>
      <c r="AE13" s="235">
        <f t="shared" si="7"/>
        <v>0</v>
      </c>
      <c r="AF13" s="13">
        <v>0</v>
      </c>
      <c r="AG13" s="231">
        <v>0</v>
      </c>
      <c r="AH13" s="235">
        <f t="shared" si="8"/>
        <v>0</v>
      </c>
      <c r="AI13" s="13">
        <v>0</v>
      </c>
      <c r="AJ13" s="231">
        <v>0</v>
      </c>
      <c r="AK13" s="235">
        <f t="shared" si="9"/>
        <v>0</v>
      </c>
      <c r="AL13" s="13">
        <v>0</v>
      </c>
      <c r="AM13" s="231">
        <v>0</v>
      </c>
      <c r="AN13" s="235">
        <f t="shared" si="10"/>
        <v>0</v>
      </c>
    </row>
    <row r="14" spans="1:40" x14ac:dyDescent="0.3">
      <c r="A14" s="25" t="s">
        <v>246</v>
      </c>
      <c r="B14" s="10">
        <v>56332</v>
      </c>
      <c r="C14" s="8">
        <v>0</v>
      </c>
      <c r="D14" s="10">
        <v>0</v>
      </c>
      <c r="E14" s="5">
        <v>0</v>
      </c>
      <c r="F14" s="224">
        <v>0</v>
      </c>
      <c r="G14" s="229">
        <f t="shared" si="11"/>
        <v>0</v>
      </c>
      <c r="H14" s="12"/>
      <c r="I14" s="232"/>
      <c r="J14" s="233"/>
      <c r="K14" s="25">
        <v>5</v>
      </c>
      <c r="L14" s="224">
        <v>43.8</v>
      </c>
      <c r="M14" s="235">
        <f t="shared" si="1"/>
        <v>219</v>
      </c>
      <c r="N14" s="13">
        <v>4</v>
      </c>
      <c r="O14" s="232">
        <v>43.8</v>
      </c>
      <c r="P14" s="233">
        <f t="shared" si="2"/>
        <v>175.2</v>
      </c>
      <c r="Q14" s="13">
        <v>5</v>
      </c>
      <c r="R14" s="231">
        <v>0</v>
      </c>
      <c r="S14" s="235">
        <f t="shared" si="3"/>
        <v>0</v>
      </c>
      <c r="T14" s="13">
        <v>6</v>
      </c>
      <c r="U14" s="231">
        <v>0</v>
      </c>
      <c r="V14" s="235">
        <f t="shared" si="4"/>
        <v>0</v>
      </c>
      <c r="W14" s="12"/>
      <c r="X14" s="232"/>
      <c r="Y14" s="233"/>
      <c r="Z14" s="12"/>
      <c r="AA14" s="232"/>
      <c r="AB14" s="233"/>
      <c r="AC14" s="12"/>
      <c r="AD14" s="232"/>
      <c r="AE14" s="233"/>
      <c r="AF14" s="12"/>
      <c r="AG14" s="232"/>
      <c r="AH14" s="233"/>
      <c r="AI14" s="12"/>
      <c r="AJ14" s="232"/>
      <c r="AK14" s="233"/>
      <c r="AL14" s="12"/>
      <c r="AM14" s="232"/>
      <c r="AN14" s="233"/>
    </row>
    <row r="15" spans="1:40" ht="16.2" x14ac:dyDescent="0.45">
      <c r="A15" s="12"/>
      <c r="B15" s="12"/>
      <c r="C15" s="12"/>
      <c r="D15" s="12"/>
      <c r="E15" s="12"/>
      <c r="F15" s="191" t="s">
        <v>8</v>
      </c>
      <c r="G15" s="238">
        <f>SUM(G7:G14)</f>
        <v>0</v>
      </c>
      <c r="H15" s="12"/>
      <c r="I15" s="191" t="s">
        <v>8</v>
      </c>
      <c r="J15" s="238">
        <f>SUM(J7:J14)</f>
        <v>0</v>
      </c>
      <c r="K15" s="12"/>
      <c r="L15" s="191" t="s">
        <v>8</v>
      </c>
      <c r="M15" s="238">
        <f>SUM(M7:M14)</f>
        <v>25728.559999999998</v>
      </c>
      <c r="N15" s="12"/>
      <c r="O15" s="191" t="s">
        <v>8</v>
      </c>
      <c r="P15" s="238">
        <f>SUM(P7:P14)</f>
        <v>22757.760000000006</v>
      </c>
      <c r="Q15" s="12"/>
      <c r="R15" s="191" t="s">
        <v>8</v>
      </c>
      <c r="S15" s="238">
        <f>SUM(S7:S14)</f>
        <v>1926</v>
      </c>
      <c r="T15" s="12"/>
      <c r="U15" s="191" t="s">
        <v>8</v>
      </c>
      <c r="V15" s="238">
        <f>SUM(V7:V14)</f>
        <v>16768.63</v>
      </c>
      <c r="W15" s="12"/>
      <c r="X15" s="191" t="s">
        <v>8</v>
      </c>
      <c r="Y15" s="238">
        <f>SUM(Y7:Y14)</f>
        <v>0</v>
      </c>
      <c r="Z15" s="12"/>
      <c r="AA15" s="191" t="s">
        <v>8</v>
      </c>
      <c r="AB15" s="238">
        <f>SUM(AB7:AB14)</f>
        <v>0</v>
      </c>
      <c r="AC15" s="12"/>
      <c r="AD15" s="191" t="s">
        <v>8</v>
      </c>
      <c r="AE15" s="238">
        <f>SUM(AE7:AE14)</f>
        <v>0</v>
      </c>
      <c r="AF15" s="12"/>
      <c r="AG15" s="191" t="s">
        <v>8</v>
      </c>
      <c r="AH15" s="238">
        <f>SUM(AH7:AH14)</f>
        <v>0</v>
      </c>
      <c r="AI15" s="12"/>
      <c r="AJ15" s="191" t="s">
        <v>8</v>
      </c>
      <c r="AK15" s="238">
        <f>SUM(AK7:AK14)</f>
        <v>0</v>
      </c>
      <c r="AL15" s="12"/>
      <c r="AM15" s="191" t="s">
        <v>8</v>
      </c>
      <c r="AN15" s="238">
        <f>SUM(AN7:AN14)</f>
        <v>0</v>
      </c>
    </row>
  </sheetData>
  <mergeCells count="1">
    <mergeCell ref="D3:D4"/>
  </mergeCells>
  <hyperlinks>
    <hyperlink ref="A2" location="Menu!A1" display="Menu" xr:uid="{00000000-0004-0000-0B00-000000000000}"/>
  </hyperlinks>
  <pageMargins left="0.511811024" right="0.511811024" top="0.78740157499999996" bottom="0.78740157499999996" header="0.31496062000000002" footer="0.3149606200000000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Plan4"/>
  <dimension ref="A1:AN15"/>
  <sheetViews>
    <sheetView workbookViewId="0">
      <pane xSplit="1" topLeftCell="N1" activePane="topRight" state="frozen"/>
      <selection pane="topRight" activeCell="A2" sqref="A2"/>
    </sheetView>
  </sheetViews>
  <sheetFormatPr defaultColWidth="9.109375" defaultRowHeight="14.4" x14ac:dyDescent="0.3"/>
  <cols>
    <col min="1" max="1" width="44.33203125" style="1" bestFit="1" customWidth="1"/>
    <col min="2" max="2" width="9.109375" style="1"/>
    <col min="3" max="3" width="18.88671875" style="1" bestFit="1" customWidth="1"/>
    <col min="4" max="4" width="16.6640625" style="1" bestFit="1" customWidth="1"/>
    <col min="5" max="5" width="14.109375" style="1" bestFit="1" customWidth="1"/>
    <col min="6" max="6" width="10.5546875" style="1" bestFit="1" customWidth="1"/>
    <col min="7" max="7" width="13.33203125" style="1" bestFit="1" customWidth="1"/>
    <col min="8" max="8" width="14.109375" style="1" bestFit="1" customWidth="1"/>
    <col min="9" max="9" width="9.109375" style="1"/>
    <col min="10" max="10" width="10.88671875" style="1" bestFit="1" customWidth="1"/>
    <col min="11" max="11" width="14.109375" style="1" bestFit="1" customWidth="1"/>
    <col min="12" max="12" width="10.6640625" style="1" bestFit="1" customWidth="1"/>
    <col min="13" max="13" width="12.109375" style="1" bestFit="1" customWidth="1"/>
    <col min="14" max="14" width="14.109375" style="1" bestFit="1" customWidth="1"/>
    <col min="15" max="15" width="9.109375" style="1"/>
    <col min="16" max="16" width="10.88671875" style="1" bestFit="1" customWidth="1"/>
    <col min="17" max="17" width="14.109375" style="1" bestFit="1" customWidth="1"/>
    <col min="18" max="18" width="9.109375" style="1"/>
    <col min="19" max="19" width="10.88671875" style="1" bestFit="1" customWidth="1"/>
    <col min="20" max="20" width="14.109375" style="1" bestFit="1" customWidth="1"/>
    <col min="21" max="21" width="9" style="1" bestFit="1" customWidth="1"/>
    <col min="22" max="22" width="10.88671875" style="1" bestFit="1" customWidth="1"/>
    <col min="23" max="23" width="14.109375" style="1" bestFit="1" customWidth="1"/>
    <col min="24" max="24" width="9.5546875" style="1" bestFit="1" customWidth="1"/>
    <col min="25" max="25" width="10.88671875" style="1" bestFit="1" customWidth="1"/>
    <col min="26" max="26" width="14.109375" style="1" bestFit="1" customWidth="1"/>
    <col min="27" max="27" width="9.5546875" style="1" bestFit="1" customWidth="1"/>
    <col min="28" max="28" width="10.88671875" style="1" bestFit="1" customWidth="1"/>
    <col min="29" max="29" width="14.109375" style="1" bestFit="1" customWidth="1"/>
    <col min="30" max="30" width="9.5546875" style="1" bestFit="1" customWidth="1"/>
    <col min="31" max="31" width="10.88671875" style="1" bestFit="1" customWidth="1"/>
    <col min="32" max="32" width="14.109375" style="1" bestFit="1" customWidth="1"/>
    <col min="33" max="33" width="9.5546875" style="1" bestFit="1" customWidth="1"/>
    <col min="34" max="34" width="10.88671875" style="1" bestFit="1" customWidth="1"/>
    <col min="35" max="35" width="14.109375" style="1" bestFit="1" customWidth="1"/>
    <col min="36" max="36" width="9.5546875" style="1" bestFit="1" customWidth="1"/>
    <col min="37" max="37" width="10.88671875" style="1" bestFit="1" customWidth="1"/>
    <col min="38" max="38" width="14.109375" style="1" bestFit="1" customWidth="1"/>
    <col min="39" max="39" width="9.5546875" style="1" bestFit="1" customWidth="1"/>
    <col min="40" max="40" width="10.88671875" style="1" bestFit="1" customWidth="1"/>
    <col min="41" max="16384" width="9.109375" style="1"/>
  </cols>
  <sheetData>
    <row r="1" spans="1:40" ht="15" thickBot="1" x14ac:dyDescent="0.35"/>
    <row r="2" spans="1:40" ht="29.4" thickBot="1" x14ac:dyDescent="0.35">
      <c r="A2" s="264" t="s">
        <v>110</v>
      </c>
    </row>
    <row r="3" spans="1:40" ht="29.4" thickBot="1" x14ac:dyDescent="0.35">
      <c r="A3" s="258" t="s">
        <v>11</v>
      </c>
      <c r="B3" s="249"/>
      <c r="C3" s="20"/>
      <c r="D3" s="734"/>
      <c r="E3" s="20"/>
      <c r="F3" s="20"/>
      <c r="G3" s="20"/>
    </row>
    <row r="4" spans="1:40" ht="15" customHeight="1" x14ac:dyDescent="0.3">
      <c r="A4" s="248"/>
      <c r="B4" s="247"/>
      <c r="C4" s="250"/>
      <c r="D4" s="734"/>
      <c r="E4" s="20"/>
      <c r="F4" s="20"/>
      <c r="G4" s="20"/>
    </row>
    <row r="5" spans="1:40" x14ac:dyDescent="0.3">
      <c r="A5" s="175"/>
      <c r="B5" s="175"/>
      <c r="C5" s="21"/>
      <c r="D5" s="21"/>
      <c r="E5" s="4">
        <v>45292</v>
      </c>
      <c r="F5" s="4">
        <v>45292</v>
      </c>
      <c r="G5" s="29">
        <v>45292</v>
      </c>
      <c r="H5" s="11">
        <v>45323</v>
      </c>
      <c r="I5" s="11">
        <v>45323</v>
      </c>
      <c r="J5" s="11">
        <v>45323</v>
      </c>
      <c r="K5" s="11">
        <v>45352</v>
      </c>
      <c r="L5" s="11">
        <v>45352</v>
      </c>
      <c r="M5" s="11">
        <v>45352</v>
      </c>
      <c r="N5" s="11">
        <v>45383</v>
      </c>
      <c r="O5" s="11">
        <v>45383</v>
      </c>
      <c r="P5" s="11">
        <v>45383</v>
      </c>
      <c r="Q5" s="11">
        <v>45413</v>
      </c>
      <c r="R5" s="11">
        <v>45413</v>
      </c>
      <c r="S5" s="11">
        <v>45413</v>
      </c>
      <c r="T5" s="11">
        <v>45444</v>
      </c>
      <c r="U5" s="11">
        <v>45444</v>
      </c>
      <c r="V5" s="11">
        <v>45444</v>
      </c>
      <c r="W5" s="11">
        <v>45474</v>
      </c>
      <c r="X5" s="11">
        <v>45474</v>
      </c>
      <c r="Y5" s="11">
        <v>45474</v>
      </c>
      <c r="Z5" s="11">
        <v>45505</v>
      </c>
      <c r="AA5" s="11">
        <v>45505</v>
      </c>
      <c r="AB5" s="11">
        <v>45505</v>
      </c>
      <c r="AC5" s="11">
        <v>45536</v>
      </c>
      <c r="AD5" s="11">
        <v>45536</v>
      </c>
      <c r="AE5" s="11">
        <v>45536</v>
      </c>
      <c r="AF5" s="11">
        <v>45566</v>
      </c>
      <c r="AG5" s="11">
        <v>45566</v>
      </c>
      <c r="AH5" s="11">
        <v>45566</v>
      </c>
      <c r="AI5" s="11">
        <v>45597</v>
      </c>
      <c r="AJ5" s="11">
        <v>45597</v>
      </c>
      <c r="AK5" s="11">
        <v>45597</v>
      </c>
      <c r="AL5" s="11">
        <v>45627</v>
      </c>
      <c r="AM5" s="11">
        <v>45627</v>
      </c>
      <c r="AN5" s="11">
        <v>45627</v>
      </c>
    </row>
    <row r="6" spans="1:40" x14ac:dyDescent="0.3">
      <c r="A6" s="5" t="s">
        <v>1</v>
      </c>
      <c r="B6" s="5" t="s">
        <v>2</v>
      </c>
      <c r="C6" s="5" t="s">
        <v>3</v>
      </c>
      <c r="D6" s="5" t="s">
        <v>9</v>
      </c>
      <c r="E6" s="5" t="s">
        <v>5</v>
      </c>
      <c r="F6" s="5" t="s">
        <v>6</v>
      </c>
      <c r="G6" s="5" t="s">
        <v>7</v>
      </c>
      <c r="H6" s="13" t="s">
        <v>5</v>
      </c>
      <c r="I6" s="13" t="s">
        <v>6</v>
      </c>
      <c r="J6" s="26" t="s">
        <v>7</v>
      </c>
      <c r="K6" s="13" t="s">
        <v>5</v>
      </c>
      <c r="L6" s="13" t="s">
        <v>116</v>
      </c>
      <c r="M6" s="26" t="s">
        <v>7</v>
      </c>
      <c r="N6" s="13" t="s">
        <v>5</v>
      </c>
      <c r="O6" s="13" t="s">
        <v>6</v>
      </c>
      <c r="P6" s="26" t="s">
        <v>7</v>
      </c>
      <c r="Q6" s="13" t="s">
        <v>5</v>
      </c>
      <c r="R6" s="13" t="s">
        <v>6</v>
      </c>
      <c r="S6" s="26" t="s">
        <v>7</v>
      </c>
      <c r="T6" s="13" t="s">
        <v>5</v>
      </c>
      <c r="U6" s="13" t="s">
        <v>6</v>
      </c>
      <c r="V6" s="26" t="s">
        <v>7</v>
      </c>
      <c r="W6" s="13" t="s">
        <v>5</v>
      </c>
      <c r="X6" s="13" t="s">
        <v>6</v>
      </c>
      <c r="Y6" s="26" t="s">
        <v>7</v>
      </c>
      <c r="Z6" s="13" t="s">
        <v>5</v>
      </c>
      <c r="AA6" s="13" t="s">
        <v>6</v>
      </c>
      <c r="AB6" s="26" t="s">
        <v>7</v>
      </c>
      <c r="AC6" s="13" t="s">
        <v>5</v>
      </c>
      <c r="AD6" s="13" t="s">
        <v>6</v>
      </c>
      <c r="AE6" s="26" t="s">
        <v>7</v>
      </c>
      <c r="AF6" s="13" t="s">
        <v>5</v>
      </c>
      <c r="AG6" s="13" t="s">
        <v>6</v>
      </c>
      <c r="AH6" s="26" t="s">
        <v>7</v>
      </c>
      <c r="AI6" s="13" t="s">
        <v>5</v>
      </c>
      <c r="AJ6" s="13" t="s">
        <v>6</v>
      </c>
      <c r="AK6" s="26" t="s">
        <v>7</v>
      </c>
      <c r="AL6" s="13" t="s">
        <v>5</v>
      </c>
      <c r="AM6" s="13" t="s">
        <v>6</v>
      </c>
      <c r="AN6" s="26" t="s">
        <v>7</v>
      </c>
    </row>
    <row r="7" spans="1:40" x14ac:dyDescent="0.3">
      <c r="A7" s="25" t="s">
        <v>226</v>
      </c>
      <c r="B7" s="5">
        <v>56951</v>
      </c>
      <c r="C7" s="8">
        <v>0</v>
      </c>
      <c r="D7" s="5">
        <v>0</v>
      </c>
      <c r="E7" s="9">
        <v>0</v>
      </c>
      <c r="F7" s="237">
        <v>5</v>
      </c>
      <c r="G7" s="252">
        <f>F7*E7</f>
        <v>0</v>
      </c>
      <c r="H7" s="14">
        <v>0</v>
      </c>
      <c r="I7" s="231">
        <v>0</v>
      </c>
      <c r="J7" s="233">
        <f t="shared" ref="J7:J13" si="0">I7*H7</f>
        <v>0</v>
      </c>
      <c r="K7" s="14">
        <v>5</v>
      </c>
      <c r="L7" s="223">
        <v>11.61</v>
      </c>
      <c r="M7" s="233">
        <f t="shared" ref="M7:M14" si="1">L7*K7</f>
        <v>58.05</v>
      </c>
      <c r="N7" s="14">
        <v>1</v>
      </c>
      <c r="O7" s="231">
        <v>11.61</v>
      </c>
      <c r="P7" s="233">
        <f t="shared" ref="P7:P13" si="2">O7*N7</f>
        <v>11.61</v>
      </c>
      <c r="Q7" s="14">
        <v>0</v>
      </c>
      <c r="R7" s="231">
        <v>0</v>
      </c>
      <c r="S7" s="233">
        <f t="shared" ref="S7:S13" si="3">R7*Q7</f>
        <v>0</v>
      </c>
      <c r="T7" s="14">
        <v>0</v>
      </c>
      <c r="U7" s="231">
        <v>0</v>
      </c>
      <c r="V7" s="233">
        <f t="shared" ref="V7:V13" si="4">U7*T7</f>
        <v>0</v>
      </c>
      <c r="W7" s="14">
        <v>0</v>
      </c>
      <c r="X7" s="231">
        <v>10</v>
      </c>
      <c r="Y7" s="233">
        <f t="shared" ref="Y7:Y13" si="5">X7*W7</f>
        <v>0</v>
      </c>
      <c r="Z7" s="14">
        <v>0</v>
      </c>
      <c r="AA7" s="231">
        <v>0</v>
      </c>
      <c r="AB7" s="233">
        <f t="shared" ref="AB7:AB13" si="6">AA7*Z7</f>
        <v>0</v>
      </c>
      <c r="AC7" s="14">
        <v>0</v>
      </c>
      <c r="AD7" s="231">
        <v>12</v>
      </c>
      <c r="AE7" s="233">
        <f t="shared" ref="AE7:AE13" si="7">AD7*AC7</f>
        <v>0</v>
      </c>
      <c r="AF7" s="14">
        <v>0</v>
      </c>
      <c r="AG7" s="231">
        <v>0</v>
      </c>
      <c r="AH7" s="233">
        <f t="shared" ref="AH7:AH13" si="8">AG7*AF7</f>
        <v>0</v>
      </c>
      <c r="AI7" s="14">
        <v>0</v>
      </c>
      <c r="AJ7" s="231">
        <v>0</v>
      </c>
      <c r="AK7" s="233">
        <f t="shared" ref="AK7:AK13" si="9">AJ7*AI7</f>
        <v>0</v>
      </c>
      <c r="AL7" s="14">
        <v>0</v>
      </c>
      <c r="AM7" s="231">
        <v>15</v>
      </c>
      <c r="AN7" s="233">
        <f t="shared" ref="AN7:AN13" si="10">AM7*AL7</f>
        <v>0</v>
      </c>
    </row>
    <row r="8" spans="1:40" x14ac:dyDescent="0.3">
      <c r="A8" s="5"/>
      <c r="B8" s="5">
        <v>56124</v>
      </c>
      <c r="C8" s="8">
        <v>0</v>
      </c>
      <c r="D8" s="5">
        <v>0</v>
      </c>
      <c r="E8" s="9">
        <v>0</v>
      </c>
      <c r="F8" s="237">
        <v>0</v>
      </c>
      <c r="G8" s="252">
        <f t="shared" ref="G8:G14" si="11">F8*E8</f>
        <v>0</v>
      </c>
      <c r="H8" s="14">
        <v>0</v>
      </c>
      <c r="I8" s="231">
        <v>0</v>
      </c>
      <c r="J8" s="233">
        <f t="shared" si="0"/>
        <v>0</v>
      </c>
      <c r="K8" s="14">
        <v>0</v>
      </c>
      <c r="L8" s="255">
        <v>0</v>
      </c>
      <c r="M8" s="233">
        <f t="shared" si="1"/>
        <v>0</v>
      </c>
      <c r="N8" s="14">
        <v>0</v>
      </c>
      <c r="O8" s="231">
        <v>0</v>
      </c>
      <c r="P8" s="233">
        <f t="shared" si="2"/>
        <v>0</v>
      </c>
      <c r="Q8" s="14">
        <v>0</v>
      </c>
      <c r="R8" s="231">
        <v>0</v>
      </c>
      <c r="S8" s="233">
        <f t="shared" si="3"/>
        <v>0</v>
      </c>
      <c r="T8" s="14">
        <v>0</v>
      </c>
      <c r="U8" s="231">
        <v>0</v>
      </c>
      <c r="V8" s="233">
        <f t="shared" si="4"/>
        <v>0</v>
      </c>
      <c r="W8" s="14">
        <v>0</v>
      </c>
      <c r="X8" s="231">
        <v>0</v>
      </c>
      <c r="Y8" s="233">
        <f t="shared" si="5"/>
        <v>0</v>
      </c>
      <c r="Z8" s="14">
        <v>0</v>
      </c>
      <c r="AA8" s="231">
        <v>0</v>
      </c>
      <c r="AB8" s="233">
        <f t="shared" si="6"/>
        <v>0</v>
      </c>
      <c r="AC8" s="14">
        <v>0</v>
      </c>
      <c r="AD8" s="231">
        <v>0</v>
      </c>
      <c r="AE8" s="233">
        <f t="shared" si="7"/>
        <v>0</v>
      </c>
      <c r="AF8" s="14">
        <v>0</v>
      </c>
      <c r="AG8" s="231">
        <v>0</v>
      </c>
      <c r="AH8" s="233">
        <f t="shared" si="8"/>
        <v>0</v>
      </c>
      <c r="AI8" s="14">
        <v>0</v>
      </c>
      <c r="AJ8" s="231">
        <v>0</v>
      </c>
      <c r="AK8" s="233">
        <f t="shared" si="9"/>
        <v>0</v>
      </c>
      <c r="AL8" s="14">
        <v>0</v>
      </c>
      <c r="AM8" s="231">
        <v>0</v>
      </c>
      <c r="AN8" s="233">
        <f t="shared" si="10"/>
        <v>0</v>
      </c>
    </row>
    <row r="9" spans="1:40" x14ac:dyDescent="0.3">
      <c r="A9" s="5"/>
      <c r="B9" s="5"/>
      <c r="C9" s="8">
        <v>0</v>
      </c>
      <c r="D9" s="5">
        <v>0</v>
      </c>
      <c r="E9" s="9">
        <v>0</v>
      </c>
      <c r="F9" s="237">
        <v>0</v>
      </c>
      <c r="G9" s="252">
        <f t="shared" si="11"/>
        <v>0</v>
      </c>
      <c r="H9" s="14">
        <v>0</v>
      </c>
      <c r="I9" s="231">
        <v>0</v>
      </c>
      <c r="J9" s="233">
        <f t="shared" si="0"/>
        <v>0</v>
      </c>
      <c r="K9" s="14">
        <v>0</v>
      </c>
      <c r="L9" s="255">
        <v>0</v>
      </c>
      <c r="M9" s="233">
        <f t="shared" si="1"/>
        <v>0</v>
      </c>
      <c r="N9" s="14">
        <v>0</v>
      </c>
      <c r="O9" s="231">
        <v>0</v>
      </c>
      <c r="P9" s="233">
        <f t="shared" si="2"/>
        <v>0</v>
      </c>
      <c r="Q9" s="14">
        <v>0</v>
      </c>
      <c r="R9" s="231">
        <v>0</v>
      </c>
      <c r="S9" s="233">
        <f t="shared" si="3"/>
        <v>0</v>
      </c>
      <c r="T9" s="14">
        <v>0</v>
      </c>
      <c r="U9" s="231">
        <v>0</v>
      </c>
      <c r="V9" s="233">
        <f t="shared" si="4"/>
        <v>0</v>
      </c>
      <c r="W9" s="14">
        <v>0</v>
      </c>
      <c r="X9" s="231">
        <v>0</v>
      </c>
      <c r="Y9" s="233">
        <f t="shared" si="5"/>
        <v>0</v>
      </c>
      <c r="Z9" s="14">
        <v>0</v>
      </c>
      <c r="AA9" s="231">
        <v>0</v>
      </c>
      <c r="AB9" s="233">
        <f t="shared" si="6"/>
        <v>0</v>
      </c>
      <c r="AC9" s="14">
        <v>0</v>
      </c>
      <c r="AD9" s="231">
        <v>0</v>
      </c>
      <c r="AE9" s="233">
        <f t="shared" si="7"/>
        <v>0</v>
      </c>
      <c r="AF9" s="14">
        <v>0</v>
      </c>
      <c r="AG9" s="231">
        <v>0</v>
      </c>
      <c r="AH9" s="233">
        <f t="shared" si="8"/>
        <v>0</v>
      </c>
      <c r="AI9" s="14">
        <v>0</v>
      </c>
      <c r="AJ9" s="231">
        <v>0</v>
      </c>
      <c r="AK9" s="233">
        <f t="shared" si="9"/>
        <v>0</v>
      </c>
      <c r="AL9" s="14">
        <v>0</v>
      </c>
      <c r="AM9" s="231">
        <v>0</v>
      </c>
      <c r="AN9" s="233">
        <f t="shared" si="10"/>
        <v>0</v>
      </c>
    </row>
    <row r="10" spans="1:40" x14ac:dyDescent="0.3">
      <c r="A10" s="5"/>
      <c r="B10" s="5">
        <v>71927</v>
      </c>
      <c r="C10" s="8">
        <v>0</v>
      </c>
      <c r="D10" s="5">
        <v>0</v>
      </c>
      <c r="E10" s="9">
        <v>0</v>
      </c>
      <c r="F10" s="237">
        <v>0</v>
      </c>
      <c r="G10" s="252">
        <f t="shared" si="11"/>
        <v>0</v>
      </c>
      <c r="H10" s="14">
        <v>0</v>
      </c>
      <c r="I10" s="231">
        <v>0</v>
      </c>
      <c r="J10" s="233">
        <f t="shared" si="0"/>
        <v>0</v>
      </c>
      <c r="K10" s="14">
        <v>0</v>
      </c>
      <c r="L10" s="255">
        <v>0</v>
      </c>
      <c r="M10" s="233">
        <f t="shared" si="1"/>
        <v>0</v>
      </c>
      <c r="N10" s="14">
        <v>0</v>
      </c>
      <c r="O10" s="231">
        <v>0</v>
      </c>
      <c r="P10" s="233">
        <f t="shared" si="2"/>
        <v>0</v>
      </c>
      <c r="Q10" s="14">
        <v>0</v>
      </c>
      <c r="R10" s="231">
        <v>0</v>
      </c>
      <c r="S10" s="233">
        <f t="shared" si="3"/>
        <v>0</v>
      </c>
      <c r="T10" s="14">
        <v>0</v>
      </c>
      <c r="U10" s="231">
        <v>0</v>
      </c>
      <c r="V10" s="233">
        <f t="shared" si="4"/>
        <v>0</v>
      </c>
      <c r="W10" s="14">
        <v>0</v>
      </c>
      <c r="X10" s="231">
        <v>0</v>
      </c>
      <c r="Y10" s="233">
        <f t="shared" si="5"/>
        <v>0</v>
      </c>
      <c r="Z10" s="14">
        <v>0</v>
      </c>
      <c r="AA10" s="231">
        <v>0</v>
      </c>
      <c r="AB10" s="233">
        <f t="shared" si="6"/>
        <v>0</v>
      </c>
      <c r="AC10" s="14">
        <v>0</v>
      </c>
      <c r="AD10" s="231">
        <v>0</v>
      </c>
      <c r="AE10" s="233">
        <f t="shared" si="7"/>
        <v>0</v>
      </c>
      <c r="AF10" s="14">
        <v>0</v>
      </c>
      <c r="AG10" s="231">
        <v>0</v>
      </c>
      <c r="AH10" s="233">
        <f t="shared" si="8"/>
        <v>0</v>
      </c>
      <c r="AI10" s="14">
        <v>0</v>
      </c>
      <c r="AJ10" s="231">
        <v>0</v>
      </c>
      <c r="AK10" s="233">
        <f t="shared" si="9"/>
        <v>0</v>
      </c>
      <c r="AL10" s="14">
        <v>0</v>
      </c>
      <c r="AM10" s="231">
        <v>0</v>
      </c>
      <c r="AN10" s="233">
        <f t="shared" si="10"/>
        <v>0</v>
      </c>
    </row>
    <row r="11" spans="1:40" x14ac:dyDescent="0.3">
      <c r="A11" s="5"/>
      <c r="B11" s="5">
        <v>71928</v>
      </c>
      <c r="C11" s="8">
        <v>0</v>
      </c>
      <c r="D11" s="5">
        <v>0</v>
      </c>
      <c r="E11" s="9">
        <v>0</v>
      </c>
      <c r="F11" s="237">
        <v>0</v>
      </c>
      <c r="G11" s="252">
        <f t="shared" si="11"/>
        <v>0</v>
      </c>
      <c r="H11" s="14">
        <v>0</v>
      </c>
      <c r="I11" s="231">
        <v>0</v>
      </c>
      <c r="J11" s="236">
        <f t="shared" si="0"/>
        <v>0</v>
      </c>
      <c r="K11" s="14">
        <v>0</v>
      </c>
      <c r="L11" s="255">
        <v>0</v>
      </c>
      <c r="M11" s="236">
        <f t="shared" si="1"/>
        <v>0</v>
      </c>
      <c r="N11" s="14">
        <v>0</v>
      </c>
      <c r="O11" s="231">
        <v>0</v>
      </c>
      <c r="P11" s="236">
        <f t="shared" si="2"/>
        <v>0</v>
      </c>
      <c r="Q11" s="14">
        <v>0</v>
      </c>
      <c r="R11" s="231">
        <v>0</v>
      </c>
      <c r="S11" s="236">
        <f t="shared" si="3"/>
        <v>0</v>
      </c>
      <c r="T11" s="14">
        <v>0</v>
      </c>
      <c r="U11" s="231">
        <v>0</v>
      </c>
      <c r="V11" s="236">
        <f t="shared" si="4"/>
        <v>0</v>
      </c>
      <c r="W11" s="14">
        <v>0</v>
      </c>
      <c r="X11" s="231">
        <v>0</v>
      </c>
      <c r="Y11" s="236">
        <f t="shared" si="5"/>
        <v>0</v>
      </c>
      <c r="Z11" s="14">
        <v>0</v>
      </c>
      <c r="AA11" s="231">
        <v>0</v>
      </c>
      <c r="AB11" s="236">
        <f t="shared" si="6"/>
        <v>0</v>
      </c>
      <c r="AC11" s="14">
        <v>0</v>
      </c>
      <c r="AD11" s="231">
        <v>0</v>
      </c>
      <c r="AE11" s="236">
        <f t="shared" si="7"/>
        <v>0</v>
      </c>
      <c r="AF11" s="14">
        <v>0</v>
      </c>
      <c r="AG11" s="231">
        <v>0</v>
      </c>
      <c r="AH11" s="236">
        <f t="shared" si="8"/>
        <v>0</v>
      </c>
      <c r="AI11" s="14">
        <v>0</v>
      </c>
      <c r="AJ11" s="231">
        <v>0</v>
      </c>
      <c r="AK11" s="236">
        <f t="shared" si="9"/>
        <v>0</v>
      </c>
      <c r="AL11" s="14">
        <v>0</v>
      </c>
      <c r="AM11" s="231">
        <v>0</v>
      </c>
      <c r="AN11" s="236">
        <f t="shared" si="10"/>
        <v>0</v>
      </c>
    </row>
    <row r="12" spans="1:40" x14ac:dyDescent="0.3">
      <c r="A12" s="5"/>
      <c r="B12" s="5">
        <v>71930</v>
      </c>
      <c r="C12" s="8">
        <v>0</v>
      </c>
      <c r="D12" s="5">
        <v>0</v>
      </c>
      <c r="E12" s="5">
        <v>0</v>
      </c>
      <c r="F12" s="237">
        <v>0</v>
      </c>
      <c r="G12" s="252">
        <f t="shared" si="11"/>
        <v>0</v>
      </c>
      <c r="H12" s="13">
        <v>0</v>
      </c>
      <c r="I12" s="231">
        <v>0</v>
      </c>
      <c r="J12" s="235">
        <f t="shared" si="0"/>
        <v>0</v>
      </c>
      <c r="K12" s="13">
        <v>0</v>
      </c>
      <c r="L12" s="255">
        <v>0</v>
      </c>
      <c r="M12" s="235">
        <f t="shared" si="1"/>
        <v>0</v>
      </c>
      <c r="N12" s="13">
        <v>0</v>
      </c>
      <c r="O12" s="231">
        <v>0</v>
      </c>
      <c r="P12" s="235">
        <f t="shared" si="2"/>
        <v>0</v>
      </c>
      <c r="Q12" s="13">
        <v>0</v>
      </c>
      <c r="R12" s="231">
        <v>0</v>
      </c>
      <c r="S12" s="235">
        <f t="shared" si="3"/>
        <v>0</v>
      </c>
      <c r="T12" s="13">
        <v>0</v>
      </c>
      <c r="U12" s="231">
        <v>0</v>
      </c>
      <c r="V12" s="235">
        <f t="shared" si="4"/>
        <v>0</v>
      </c>
      <c r="W12" s="13">
        <v>0</v>
      </c>
      <c r="X12" s="231">
        <v>0</v>
      </c>
      <c r="Y12" s="235">
        <f t="shared" si="5"/>
        <v>0</v>
      </c>
      <c r="Z12" s="13">
        <v>0</v>
      </c>
      <c r="AA12" s="231">
        <v>0</v>
      </c>
      <c r="AB12" s="235">
        <f t="shared" si="6"/>
        <v>0</v>
      </c>
      <c r="AC12" s="13">
        <v>0</v>
      </c>
      <c r="AD12" s="231">
        <v>0</v>
      </c>
      <c r="AE12" s="235">
        <f t="shared" si="7"/>
        <v>0</v>
      </c>
      <c r="AF12" s="13">
        <v>0</v>
      </c>
      <c r="AG12" s="231">
        <v>0</v>
      </c>
      <c r="AH12" s="235">
        <f t="shared" si="8"/>
        <v>0</v>
      </c>
      <c r="AI12" s="13">
        <v>0</v>
      </c>
      <c r="AJ12" s="231">
        <v>0</v>
      </c>
      <c r="AK12" s="235">
        <f t="shared" si="9"/>
        <v>0</v>
      </c>
      <c r="AL12" s="13">
        <v>0</v>
      </c>
      <c r="AM12" s="231">
        <v>0</v>
      </c>
      <c r="AN12" s="235">
        <f t="shared" si="10"/>
        <v>0</v>
      </c>
    </row>
    <row r="13" spans="1:40" x14ac:dyDescent="0.3">
      <c r="A13" s="10"/>
      <c r="B13" s="10">
        <v>71926</v>
      </c>
      <c r="C13" s="10">
        <v>0</v>
      </c>
      <c r="D13" s="10">
        <v>0</v>
      </c>
      <c r="E13" s="10">
        <v>0</v>
      </c>
      <c r="F13" s="243">
        <v>0</v>
      </c>
      <c r="G13" s="252">
        <f t="shared" si="11"/>
        <v>0</v>
      </c>
      <c r="H13" s="13">
        <v>0</v>
      </c>
      <c r="I13" s="231">
        <v>0</v>
      </c>
      <c r="J13" s="235">
        <f t="shared" si="0"/>
        <v>0</v>
      </c>
      <c r="K13" s="13">
        <v>0</v>
      </c>
      <c r="L13" s="255">
        <v>0</v>
      </c>
      <c r="M13" s="235">
        <f t="shared" si="1"/>
        <v>0</v>
      </c>
      <c r="N13" s="13">
        <v>0</v>
      </c>
      <c r="O13" s="231">
        <v>0</v>
      </c>
      <c r="P13" s="235">
        <f t="shared" si="2"/>
        <v>0</v>
      </c>
      <c r="Q13" s="13">
        <v>0</v>
      </c>
      <c r="R13" s="231">
        <v>0</v>
      </c>
      <c r="S13" s="235">
        <f t="shared" si="3"/>
        <v>0</v>
      </c>
      <c r="T13" s="13">
        <v>0</v>
      </c>
      <c r="U13" s="231">
        <v>0</v>
      </c>
      <c r="V13" s="235">
        <f t="shared" si="4"/>
        <v>0</v>
      </c>
      <c r="W13" s="13">
        <v>0</v>
      </c>
      <c r="X13" s="231">
        <v>0</v>
      </c>
      <c r="Y13" s="235">
        <f t="shared" si="5"/>
        <v>0</v>
      </c>
      <c r="Z13" s="13">
        <v>0</v>
      </c>
      <c r="AA13" s="231">
        <v>0</v>
      </c>
      <c r="AB13" s="235">
        <f t="shared" si="6"/>
        <v>0</v>
      </c>
      <c r="AC13" s="13">
        <v>0</v>
      </c>
      <c r="AD13" s="231">
        <v>0</v>
      </c>
      <c r="AE13" s="235">
        <f t="shared" si="7"/>
        <v>0</v>
      </c>
      <c r="AF13" s="13">
        <v>0</v>
      </c>
      <c r="AG13" s="231">
        <v>0</v>
      </c>
      <c r="AH13" s="235">
        <f t="shared" si="8"/>
        <v>0</v>
      </c>
      <c r="AI13" s="13">
        <v>0</v>
      </c>
      <c r="AJ13" s="231">
        <v>0</v>
      </c>
      <c r="AK13" s="235">
        <f t="shared" si="9"/>
        <v>0</v>
      </c>
      <c r="AL13" s="13">
        <v>0</v>
      </c>
      <c r="AM13" s="231">
        <v>0</v>
      </c>
      <c r="AN13" s="235">
        <f t="shared" si="10"/>
        <v>0</v>
      </c>
    </row>
    <row r="14" spans="1:40" x14ac:dyDescent="0.3">
      <c r="A14" s="10"/>
      <c r="B14" s="10">
        <v>56332</v>
      </c>
      <c r="C14" s="18">
        <v>0</v>
      </c>
      <c r="D14" s="18">
        <v>0</v>
      </c>
      <c r="E14" s="18">
        <v>0</v>
      </c>
      <c r="F14" s="251"/>
      <c r="G14" s="252">
        <f t="shared" si="11"/>
        <v>0</v>
      </c>
      <c r="H14" s="12"/>
      <c r="I14" s="232"/>
      <c r="J14" s="233"/>
      <c r="K14" s="25">
        <v>0</v>
      </c>
      <c r="L14" s="224">
        <v>0</v>
      </c>
      <c r="M14" s="233">
        <f t="shared" si="1"/>
        <v>0</v>
      </c>
      <c r="N14" s="12"/>
      <c r="O14" s="232"/>
      <c r="P14" s="233"/>
      <c r="Q14" s="12"/>
      <c r="R14" s="232"/>
      <c r="S14" s="233"/>
      <c r="T14" s="12"/>
      <c r="U14" s="232"/>
      <c r="V14" s="233"/>
      <c r="W14" s="12"/>
      <c r="X14" s="232"/>
      <c r="Y14" s="233"/>
      <c r="Z14" s="12"/>
      <c r="AA14" s="232"/>
      <c r="AB14" s="233"/>
      <c r="AC14" s="12"/>
      <c r="AD14" s="232">
        <v>0</v>
      </c>
      <c r="AE14" s="233"/>
      <c r="AF14" s="12"/>
      <c r="AG14" s="232"/>
      <c r="AH14" s="233"/>
      <c r="AI14" s="12"/>
      <c r="AJ14" s="232"/>
      <c r="AK14" s="233"/>
      <c r="AL14" s="12"/>
      <c r="AM14" s="232"/>
      <c r="AN14" s="233"/>
    </row>
    <row r="15" spans="1:40" ht="16.2" x14ac:dyDescent="0.45">
      <c r="A15" s="5"/>
      <c r="B15" s="5"/>
      <c r="C15" s="17"/>
      <c r="D15" s="16"/>
      <c r="E15" s="16"/>
      <c r="F15" s="193" t="s">
        <v>8</v>
      </c>
      <c r="G15" s="253">
        <f>SUM(G7:G14)</f>
        <v>0</v>
      </c>
      <c r="H15" s="12"/>
      <c r="I15" s="191" t="s">
        <v>8</v>
      </c>
      <c r="J15" s="238">
        <f>SUM(J7:J14)</f>
        <v>0</v>
      </c>
      <c r="K15" s="12"/>
      <c r="L15" s="191" t="s">
        <v>8</v>
      </c>
      <c r="M15" s="238">
        <f>SUM(M7:M14)</f>
        <v>58.05</v>
      </c>
      <c r="N15" s="12"/>
      <c r="O15" s="191" t="s">
        <v>8</v>
      </c>
      <c r="P15" s="238">
        <f>SUM(P7:P14)</f>
        <v>11.61</v>
      </c>
      <c r="Q15" s="12"/>
      <c r="R15" s="191" t="s">
        <v>8</v>
      </c>
      <c r="S15" s="238">
        <f>SUM(S7:S14)</f>
        <v>0</v>
      </c>
      <c r="T15" s="12"/>
      <c r="U15" s="191" t="s">
        <v>8</v>
      </c>
      <c r="V15" s="238">
        <f>SUM(V7:V14)</f>
        <v>0</v>
      </c>
      <c r="W15" s="12"/>
      <c r="X15" s="191" t="s">
        <v>8</v>
      </c>
      <c r="Y15" s="238">
        <f>SUM(Y7:Y14)</f>
        <v>0</v>
      </c>
      <c r="Z15" s="12"/>
      <c r="AA15" s="191" t="s">
        <v>8</v>
      </c>
      <c r="AB15" s="238">
        <f>SUM(AB7:AB14)</f>
        <v>0</v>
      </c>
      <c r="AC15" s="12"/>
      <c r="AD15" s="191" t="s">
        <v>8</v>
      </c>
      <c r="AE15" s="238">
        <f>SUM(AE7:AE14)</f>
        <v>0</v>
      </c>
      <c r="AF15" s="12"/>
      <c r="AG15" s="191" t="s">
        <v>8</v>
      </c>
      <c r="AH15" s="238">
        <f>SUM(AH7:AH14)</f>
        <v>0</v>
      </c>
      <c r="AI15" s="12"/>
      <c r="AJ15" s="191" t="s">
        <v>8</v>
      </c>
      <c r="AK15" s="238">
        <f>SUM(AK7:AK14)</f>
        <v>0</v>
      </c>
      <c r="AL15" s="12"/>
      <c r="AM15" s="191" t="s">
        <v>8</v>
      </c>
      <c r="AN15" s="238">
        <f>SUM(AN7:AN14)</f>
        <v>0</v>
      </c>
    </row>
  </sheetData>
  <mergeCells count="1">
    <mergeCell ref="D3:D4"/>
  </mergeCells>
  <hyperlinks>
    <hyperlink ref="A2" location="Menu!A1" display="Menu" xr:uid="{00000000-0004-0000-0C00-000000000000}"/>
  </hyperlinks>
  <pageMargins left="0.511811024" right="0.511811024" top="0.78740157499999996" bottom="0.78740157499999996" header="0.31496062000000002" footer="0.3149606200000000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Plan5"/>
  <dimension ref="A1:AN15"/>
  <sheetViews>
    <sheetView workbookViewId="0">
      <pane xSplit="1" topLeftCell="Q1" activePane="topRight" state="frozen"/>
      <selection pane="topRight" activeCell="A2" sqref="A2"/>
    </sheetView>
  </sheetViews>
  <sheetFormatPr defaultColWidth="9.109375" defaultRowHeight="14.4" x14ac:dyDescent="0.3"/>
  <cols>
    <col min="1" max="1" width="30.5546875" style="1" bestFit="1" customWidth="1"/>
    <col min="2" max="2" width="7" style="1" bestFit="1" customWidth="1"/>
    <col min="3" max="3" width="18.88671875" style="1" bestFit="1" customWidth="1"/>
    <col min="4" max="4" width="16.6640625" style="1" bestFit="1" customWidth="1"/>
    <col min="5" max="5" width="14.109375" style="1" bestFit="1" customWidth="1"/>
    <col min="6" max="6" width="10.5546875" style="1" bestFit="1" customWidth="1"/>
    <col min="7" max="7" width="13.33203125" style="1" bestFit="1" customWidth="1"/>
    <col min="8" max="8" width="14.109375" style="1" bestFit="1" customWidth="1"/>
    <col min="9" max="9" width="9.109375" style="1"/>
    <col min="10" max="10" width="10.88671875" style="1" bestFit="1" customWidth="1"/>
    <col min="11" max="11" width="14.109375" style="1" bestFit="1" customWidth="1"/>
    <col min="12" max="12" width="10.6640625" style="1" bestFit="1" customWidth="1"/>
    <col min="13" max="13" width="11.6640625" style="1" bestFit="1" customWidth="1"/>
    <col min="14" max="14" width="14.109375" style="1" bestFit="1" customWidth="1"/>
    <col min="15" max="15" width="9.109375" style="1"/>
    <col min="16" max="16" width="11.6640625" style="1" bestFit="1" customWidth="1"/>
    <col min="17" max="17" width="14.109375" style="1" bestFit="1" customWidth="1"/>
    <col min="18" max="18" width="9.109375" style="1"/>
    <col min="19" max="19" width="10.88671875" style="1" bestFit="1" customWidth="1"/>
    <col min="20" max="20" width="14.109375" style="1" bestFit="1" customWidth="1"/>
    <col min="21" max="21" width="9.109375" style="1"/>
    <col min="22" max="22" width="10.88671875" style="1" bestFit="1" customWidth="1"/>
    <col min="23" max="23" width="14.109375" style="1" bestFit="1" customWidth="1"/>
    <col min="24" max="24" width="9.5546875" style="1" bestFit="1" customWidth="1"/>
    <col min="25" max="25" width="10.88671875" style="1" bestFit="1" customWidth="1"/>
    <col min="26" max="26" width="14.109375" style="1" bestFit="1" customWidth="1"/>
    <col min="27" max="27" width="9.5546875" style="1" bestFit="1" customWidth="1"/>
    <col min="28" max="28" width="10.88671875" style="1" bestFit="1" customWidth="1"/>
    <col min="29" max="29" width="14.109375" style="1" bestFit="1" customWidth="1"/>
    <col min="30" max="30" width="9.5546875" style="1" bestFit="1" customWidth="1"/>
    <col min="31" max="31" width="10.88671875" style="1" bestFit="1" customWidth="1"/>
    <col min="32" max="32" width="14.109375" style="1" bestFit="1" customWidth="1"/>
    <col min="33" max="33" width="9.5546875" style="1" bestFit="1" customWidth="1"/>
    <col min="34" max="34" width="10.88671875" style="1" bestFit="1" customWidth="1"/>
    <col min="35" max="35" width="14.109375" style="1" bestFit="1" customWidth="1"/>
    <col min="36" max="36" width="9.5546875" style="1" bestFit="1" customWidth="1"/>
    <col min="37" max="37" width="10.88671875" style="1" bestFit="1" customWidth="1"/>
    <col min="38" max="38" width="14.109375" style="1" bestFit="1" customWidth="1"/>
    <col min="39" max="39" width="9.5546875" style="1" bestFit="1" customWidth="1"/>
    <col min="40" max="40" width="10.88671875" style="1" bestFit="1" customWidth="1"/>
    <col min="41" max="16384" width="9.109375" style="1"/>
  </cols>
  <sheetData>
    <row r="1" spans="1:40" ht="15" thickBot="1" x14ac:dyDescent="0.35"/>
    <row r="2" spans="1:40" ht="29.4" thickBot="1" x14ac:dyDescent="0.35">
      <c r="A2" s="263" t="s">
        <v>110</v>
      </c>
    </row>
    <row r="3" spans="1:40" ht="29.4" thickBot="1" x14ac:dyDescent="0.35">
      <c r="A3" s="257" t="s">
        <v>51</v>
      </c>
      <c r="B3" s="254"/>
      <c r="C3" s="20"/>
      <c r="D3" s="734"/>
      <c r="E3" s="20"/>
      <c r="F3" s="20"/>
      <c r="G3" s="20"/>
    </row>
    <row r="4" spans="1:40" ht="15" customHeight="1" x14ac:dyDescent="0.3">
      <c r="A4" s="165"/>
      <c r="B4" s="165"/>
      <c r="C4" s="20"/>
      <c r="D4" s="735"/>
      <c r="E4" s="20"/>
      <c r="F4" s="20"/>
      <c r="G4" s="20"/>
    </row>
    <row r="5" spans="1:40" ht="15" customHeight="1" x14ac:dyDescent="0.3">
      <c r="A5" s="21"/>
      <c r="B5" s="21"/>
      <c r="C5" s="21"/>
      <c r="D5" s="21"/>
      <c r="E5" s="4">
        <v>45292</v>
      </c>
      <c r="F5" s="4">
        <v>45292</v>
      </c>
      <c r="G5" s="29">
        <v>45292</v>
      </c>
      <c r="H5" s="11">
        <v>45323</v>
      </c>
      <c r="I5" s="11">
        <v>45323</v>
      </c>
      <c r="J5" s="11">
        <v>45323</v>
      </c>
      <c r="K5" s="11">
        <v>45352</v>
      </c>
      <c r="L5" s="11">
        <v>45352</v>
      </c>
      <c r="M5" s="11">
        <v>45352</v>
      </c>
      <c r="N5" s="11">
        <v>45383</v>
      </c>
      <c r="O5" s="11">
        <v>45383</v>
      </c>
      <c r="P5" s="11">
        <v>45383</v>
      </c>
      <c r="Q5" s="11">
        <v>45413</v>
      </c>
      <c r="R5" s="11">
        <v>45413</v>
      </c>
      <c r="S5" s="11">
        <v>45413</v>
      </c>
      <c r="T5" s="11">
        <v>45444</v>
      </c>
      <c r="U5" s="11">
        <v>45444</v>
      </c>
      <c r="V5" s="11">
        <v>45444</v>
      </c>
      <c r="W5" s="11">
        <v>45474</v>
      </c>
      <c r="X5" s="11">
        <v>45474</v>
      </c>
      <c r="Y5" s="11">
        <v>45474</v>
      </c>
      <c r="Z5" s="11">
        <v>45505</v>
      </c>
      <c r="AA5" s="11">
        <v>45505</v>
      </c>
      <c r="AB5" s="11">
        <v>45505</v>
      </c>
      <c r="AC5" s="11">
        <v>45536</v>
      </c>
      <c r="AD5" s="11">
        <v>45536</v>
      </c>
      <c r="AE5" s="11">
        <v>45536</v>
      </c>
      <c r="AF5" s="11">
        <v>45566</v>
      </c>
      <c r="AG5" s="11">
        <v>45566</v>
      </c>
      <c r="AH5" s="11">
        <v>45566</v>
      </c>
      <c r="AI5" s="11">
        <v>45597</v>
      </c>
      <c r="AJ5" s="11">
        <v>45597</v>
      </c>
      <c r="AK5" s="11">
        <v>45597</v>
      </c>
      <c r="AL5" s="11">
        <v>45627</v>
      </c>
      <c r="AM5" s="11">
        <v>45627</v>
      </c>
      <c r="AN5" s="11">
        <v>45627</v>
      </c>
    </row>
    <row r="6" spans="1:40" x14ac:dyDescent="0.3">
      <c r="A6" s="5" t="s">
        <v>1</v>
      </c>
      <c r="B6" s="5" t="s">
        <v>2</v>
      </c>
      <c r="C6" s="5" t="s">
        <v>3</v>
      </c>
      <c r="D6" s="5" t="s">
        <v>9</v>
      </c>
      <c r="E6" s="5" t="s">
        <v>5</v>
      </c>
      <c r="F6" s="5" t="s">
        <v>6</v>
      </c>
      <c r="G6" s="5" t="s">
        <v>7</v>
      </c>
      <c r="H6" s="13" t="s">
        <v>5</v>
      </c>
      <c r="I6" s="13" t="s">
        <v>6</v>
      </c>
      <c r="J6" s="26" t="s">
        <v>7</v>
      </c>
      <c r="K6" s="13" t="s">
        <v>5</v>
      </c>
      <c r="L6" s="13" t="s">
        <v>116</v>
      </c>
      <c r="M6" s="26" t="s">
        <v>7</v>
      </c>
      <c r="N6" s="13" t="s">
        <v>5</v>
      </c>
      <c r="O6" s="13" t="s">
        <v>6</v>
      </c>
      <c r="P6" s="26" t="s">
        <v>7</v>
      </c>
      <c r="Q6" s="13" t="s">
        <v>5</v>
      </c>
      <c r="R6" s="13" t="s">
        <v>6</v>
      </c>
      <c r="S6" s="26" t="s">
        <v>7</v>
      </c>
      <c r="T6" s="13" t="s">
        <v>5</v>
      </c>
      <c r="U6" s="13" t="s">
        <v>6</v>
      </c>
      <c r="V6" s="26" t="s">
        <v>7</v>
      </c>
      <c r="W6" s="13" t="s">
        <v>5</v>
      </c>
      <c r="X6" s="13" t="s">
        <v>6</v>
      </c>
      <c r="Y6" s="26" t="s">
        <v>7</v>
      </c>
      <c r="Z6" s="13" t="s">
        <v>5</v>
      </c>
      <c r="AA6" s="13" t="s">
        <v>6</v>
      </c>
      <c r="AB6" s="26" t="s">
        <v>7</v>
      </c>
      <c r="AC6" s="13" t="s">
        <v>5</v>
      </c>
      <c r="AD6" s="13" t="s">
        <v>6</v>
      </c>
      <c r="AE6" s="26" t="s">
        <v>7</v>
      </c>
      <c r="AF6" s="13" t="s">
        <v>5</v>
      </c>
      <c r="AG6" s="13" t="s">
        <v>6</v>
      </c>
      <c r="AH6" s="26" t="s">
        <v>7</v>
      </c>
      <c r="AI6" s="13" t="s">
        <v>5</v>
      </c>
      <c r="AJ6" s="13" t="s">
        <v>6</v>
      </c>
      <c r="AK6" s="26" t="s">
        <v>7</v>
      </c>
      <c r="AL6" s="13" t="s">
        <v>5</v>
      </c>
      <c r="AM6" s="13" t="s">
        <v>6</v>
      </c>
      <c r="AN6" s="26" t="s">
        <v>7</v>
      </c>
    </row>
    <row r="7" spans="1:40" x14ac:dyDescent="0.3">
      <c r="A7" s="25" t="s">
        <v>236</v>
      </c>
      <c r="B7" s="5">
        <v>56944</v>
      </c>
      <c r="C7" s="8">
        <v>0</v>
      </c>
      <c r="D7" s="5">
        <v>0</v>
      </c>
      <c r="E7" s="9">
        <v>0</v>
      </c>
      <c r="F7" s="237">
        <v>0</v>
      </c>
      <c r="G7" s="252">
        <f>F7*E7</f>
        <v>0</v>
      </c>
      <c r="H7" s="14">
        <v>0</v>
      </c>
      <c r="I7" s="231">
        <v>0</v>
      </c>
      <c r="J7" s="233">
        <f t="shared" ref="J7:J13" si="0">I7*H7</f>
        <v>0</v>
      </c>
      <c r="K7" s="171">
        <v>180</v>
      </c>
      <c r="L7" s="223">
        <v>141.9</v>
      </c>
      <c r="M7" s="233">
        <f t="shared" ref="M7:M14" si="1">L7*K7</f>
        <v>25542</v>
      </c>
      <c r="N7" s="14">
        <v>170</v>
      </c>
      <c r="O7" s="231">
        <v>141.9</v>
      </c>
      <c r="P7" s="233">
        <f t="shared" ref="P7:P14" si="2">O7*N7</f>
        <v>24123</v>
      </c>
      <c r="Q7" s="14">
        <v>0</v>
      </c>
      <c r="R7" s="231">
        <v>141.9</v>
      </c>
      <c r="S7" s="233">
        <f t="shared" ref="S7:S14" si="3">R7*Q7</f>
        <v>0</v>
      </c>
      <c r="T7" s="14">
        <v>0</v>
      </c>
      <c r="U7" s="231">
        <v>141.9</v>
      </c>
      <c r="V7" s="233">
        <f t="shared" ref="V7:V14" si="4">U7*T7</f>
        <v>0</v>
      </c>
      <c r="W7" s="14">
        <v>0</v>
      </c>
      <c r="X7" s="231">
        <v>0</v>
      </c>
      <c r="Y7" s="233">
        <f t="shared" ref="Y7:Y13" si="5">X7*W7</f>
        <v>0</v>
      </c>
      <c r="Z7" s="14">
        <v>0</v>
      </c>
      <c r="AA7" s="231">
        <v>0</v>
      </c>
      <c r="AB7" s="233">
        <f t="shared" ref="AB7:AB13" si="6">AA7*Z7</f>
        <v>0</v>
      </c>
      <c r="AC7" s="14">
        <v>0</v>
      </c>
      <c r="AD7" s="231">
        <v>0</v>
      </c>
      <c r="AE7" s="233">
        <f t="shared" ref="AE7:AE13" si="7">AD7*AC7</f>
        <v>0</v>
      </c>
      <c r="AF7" s="14">
        <v>0</v>
      </c>
      <c r="AG7" s="231">
        <v>0</v>
      </c>
      <c r="AH7" s="233">
        <f t="shared" ref="AH7:AH13" si="8">AG7*AF7</f>
        <v>0</v>
      </c>
      <c r="AI7" s="14">
        <v>0</v>
      </c>
      <c r="AJ7" s="231">
        <v>0</v>
      </c>
      <c r="AK7" s="233">
        <f t="shared" ref="AK7:AK13" si="9">AJ7*AI7</f>
        <v>0</v>
      </c>
      <c r="AL7" s="14">
        <v>0</v>
      </c>
      <c r="AM7" s="231">
        <v>0</v>
      </c>
      <c r="AN7" s="233">
        <f t="shared" ref="AN7:AN13" si="10">AM7*AL7</f>
        <v>0</v>
      </c>
    </row>
    <row r="8" spans="1:40" x14ac:dyDescent="0.3">
      <c r="A8" s="25" t="s">
        <v>238</v>
      </c>
      <c r="B8" s="5">
        <v>73191</v>
      </c>
      <c r="C8" s="8">
        <v>0</v>
      </c>
      <c r="D8" s="5">
        <v>0</v>
      </c>
      <c r="E8" s="9">
        <v>0</v>
      </c>
      <c r="F8" s="237">
        <v>0</v>
      </c>
      <c r="G8" s="252">
        <f t="shared" ref="G8:G14" si="11">F8*E8</f>
        <v>0</v>
      </c>
      <c r="H8" s="14">
        <v>0</v>
      </c>
      <c r="I8" s="231">
        <v>0</v>
      </c>
      <c r="J8" s="233">
        <f t="shared" si="0"/>
        <v>0</v>
      </c>
      <c r="K8" s="171">
        <v>175</v>
      </c>
      <c r="L8" s="223">
        <v>35.1</v>
      </c>
      <c r="M8" s="233">
        <f t="shared" si="1"/>
        <v>6142.5</v>
      </c>
      <c r="N8" s="14">
        <v>165</v>
      </c>
      <c r="O8" s="231">
        <v>22.65</v>
      </c>
      <c r="P8" s="233">
        <f t="shared" si="2"/>
        <v>3737.2499999999995</v>
      </c>
      <c r="Q8" s="14">
        <v>35</v>
      </c>
      <c r="R8" s="231">
        <v>0</v>
      </c>
      <c r="S8" s="233">
        <f t="shared" si="3"/>
        <v>0</v>
      </c>
      <c r="T8" s="14">
        <v>25</v>
      </c>
      <c r="U8" s="231">
        <v>0</v>
      </c>
      <c r="V8" s="233">
        <f t="shared" si="4"/>
        <v>0</v>
      </c>
      <c r="W8" s="14">
        <v>0</v>
      </c>
      <c r="X8" s="231">
        <v>0</v>
      </c>
      <c r="Y8" s="233">
        <f t="shared" si="5"/>
        <v>0</v>
      </c>
      <c r="Z8" s="14">
        <v>0</v>
      </c>
      <c r="AA8" s="231">
        <v>0</v>
      </c>
      <c r="AB8" s="233">
        <f t="shared" si="6"/>
        <v>0</v>
      </c>
      <c r="AC8" s="14">
        <v>0</v>
      </c>
      <c r="AD8" s="231">
        <v>0</v>
      </c>
      <c r="AE8" s="233">
        <f t="shared" si="7"/>
        <v>0</v>
      </c>
      <c r="AF8" s="14">
        <v>0</v>
      </c>
      <c r="AG8" s="231">
        <v>0</v>
      </c>
      <c r="AH8" s="233">
        <f t="shared" si="8"/>
        <v>0</v>
      </c>
      <c r="AI8" s="14">
        <v>0</v>
      </c>
      <c r="AJ8" s="231">
        <v>0</v>
      </c>
      <c r="AK8" s="233">
        <f t="shared" si="9"/>
        <v>0</v>
      </c>
      <c r="AL8" s="14">
        <v>0</v>
      </c>
      <c r="AM8" s="231">
        <v>0</v>
      </c>
      <c r="AN8" s="233">
        <f t="shared" si="10"/>
        <v>0</v>
      </c>
    </row>
    <row r="9" spans="1:40" x14ac:dyDescent="0.3">
      <c r="A9" s="25" t="s">
        <v>247</v>
      </c>
      <c r="B9" s="5">
        <v>100490</v>
      </c>
      <c r="C9" s="8">
        <v>0</v>
      </c>
      <c r="D9" s="5">
        <v>0</v>
      </c>
      <c r="E9" s="9">
        <v>0</v>
      </c>
      <c r="F9" s="237">
        <v>0</v>
      </c>
      <c r="G9" s="252">
        <f t="shared" si="11"/>
        <v>0</v>
      </c>
      <c r="H9" s="14">
        <v>0</v>
      </c>
      <c r="I9" s="231">
        <v>0</v>
      </c>
      <c r="J9" s="233">
        <f t="shared" si="0"/>
        <v>0</v>
      </c>
      <c r="K9" s="171">
        <v>9</v>
      </c>
      <c r="L9" s="223">
        <v>40.56</v>
      </c>
      <c r="M9" s="233">
        <f t="shared" si="1"/>
        <v>365.04</v>
      </c>
      <c r="N9" s="14">
        <v>8</v>
      </c>
      <c r="O9" s="231">
        <v>40.56</v>
      </c>
      <c r="P9" s="233">
        <f t="shared" si="2"/>
        <v>324.48</v>
      </c>
      <c r="Q9" s="14">
        <v>4</v>
      </c>
      <c r="R9" s="231">
        <v>40.56</v>
      </c>
      <c r="S9" s="233">
        <f t="shared" si="3"/>
        <v>162.24</v>
      </c>
      <c r="T9" s="14">
        <v>3</v>
      </c>
      <c r="U9" s="231">
        <v>40.56</v>
      </c>
      <c r="V9" s="233">
        <f t="shared" si="4"/>
        <v>121.68</v>
      </c>
      <c r="W9" s="14">
        <v>0</v>
      </c>
      <c r="X9" s="231">
        <v>0</v>
      </c>
      <c r="Y9" s="233">
        <f t="shared" si="5"/>
        <v>0</v>
      </c>
      <c r="Z9" s="14">
        <v>0</v>
      </c>
      <c r="AA9" s="231">
        <v>0</v>
      </c>
      <c r="AB9" s="233">
        <f t="shared" si="6"/>
        <v>0</v>
      </c>
      <c r="AC9" s="14">
        <v>0</v>
      </c>
      <c r="AD9" s="231">
        <v>0</v>
      </c>
      <c r="AE9" s="233">
        <f t="shared" si="7"/>
        <v>0</v>
      </c>
      <c r="AF9" s="14">
        <v>0</v>
      </c>
      <c r="AG9" s="231">
        <v>0</v>
      </c>
      <c r="AH9" s="233">
        <f t="shared" si="8"/>
        <v>0</v>
      </c>
      <c r="AI9" s="14">
        <v>0</v>
      </c>
      <c r="AJ9" s="231">
        <v>0</v>
      </c>
      <c r="AK9" s="233">
        <f t="shared" si="9"/>
        <v>0</v>
      </c>
      <c r="AL9" s="14">
        <v>0</v>
      </c>
      <c r="AM9" s="231">
        <v>0</v>
      </c>
      <c r="AN9" s="233">
        <f t="shared" si="10"/>
        <v>0</v>
      </c>
    </row>
    <row r="10" spans="1:40" x14ac:dyDescent="0.3">
      <c r="A10" s="25" t="s">
        <v>248</v>
      </c>
      <c r="B10" s="5">
        <v>56563</v>
      </c>
      <c r="C10" s="8">
        <v>0</v>
      </c>
      <c r="D10" s="5">
        <v>0</v>
      </c>
      <c r="E10" s="9">
        <v>0</v>
      </c>
      <c r="F10" s="237">
        <v>0</v>
      </c>
      <c r="G10" s="252">
        <f t="shared" si="11"/>
        <v>0</v>
      </c>
      <c r="H10" s="14">
        <v>0</v>
      </c>
      <c r="I10" s="231">
        <v>0</v>
      </c>
      <c r="J10" s="233">
        <f t="shared" si="0"/>
        <v>0</v>
      </c>
      <c r="K10" s="171">
        <v>3</v>
      </c>
      <c r="L10" s="223">
        <v>9.3000000000000007</v>
      </c>
      <c r="M10" s="233">
        <f t="shared" si="1"/>
        <v>27.900000000000002</v>
      </c>
      <c r="N10" s="14">
        <v>2</v>
      </c>
      <c r="O10" s="231">
        <v>9.3000000000000007</v>
      </c>
      <c r="P10" s="233">
        <f t="shared" si="2"/>
        <v>18.600000000000001</v>
      </c>
      <c r="Q10" s="14">
        <v>1</v>
      </c>
      <c r="R10" s="231">
        <v>9.3000000000000007</v>
      </c>
      <c r="S10" s="233">
        <f t="shared" si="3"/>
        <v>9.3000000000000007</v>
      </c>
      <c r="T10" s="14">
        <v>0</v>
      </c>
      <c r="U10" s="231">
        <v>0</v>
      </c>
      <c r="V10" s="233">
        <f t="shared" si="4"/>
        <v>0</v>
      </c>
      <c r="W10" s="14">
        <v>0</v>
      </c>
      <c r="X10" s="231">
        <v>0</v>
      </c>
      <c r="Y10" s="233">
        <f t="shared" si="5"/>
        <v>0</v>
      </c>
      <c r="Z10" s="14">
        <v>0</v>
      </c>
      <c r="AA10" s="231">
        <v>0</v>
      </c>
      <c r="AB10" s="233">
        <f t="shared" si="6"/>
        <v>0</v>
      </c>
      <c r="AC10" s="14">
        <v>0</v>
      </c>
      <c r="AD10" s="231">
        <v>0</v>
      </c>
      <c r="AE10" s="233">
        <f t="shared" si="7"/>
        <v>0</v>
      </c>
      <c r="AF10" s="14">
        <v>0</v>
      </c>
      <c r="AG10" s="231">
        <v>0</v>
      </c>
      <c r="AH10" s="233">
        <f t="shared" si="8"/>
        <v>0</v>
      </c>
      <c r="AI10" s="14">
        <v>0</v>
      </c>
      <c r="AJ10" s="231">
        <v>0</v>
      </c>
      <c r="AK10" s="233">
        <f t="shared" si="9"/>
        <v>0</v>
      </c>
      <c r="AL10" s="14">
        <v>0</v>
      </c>
      <c r="AM10" s="231">
        <v>0</v>
      </c>
      <c r="AN10" s="233">
        <f t="shared" si="10"/>
        <v>0</v>
      </c>
    </row>
    <row r="11" spans="1:40" x14ac:dyDescent="0.3">
      <c r="A11" s="25" t="s">
        <v>249</v>
      </c>
      <c r="B11" s="5">
        <v>56566</v>
      </c>
      <c r="C11" s="8">
        <v>0</v>
      </c>
      <c r="D11" s="5">
        <v>0</v>
      </c>
      <c r="E11" s="9">
        <v>0</v>
      </c>
      <c r="F11" s="237">
        <v>0</v>
      </c>
      <c r="G11" s="252">
        <f t="shared" si="11"/>
        <v>0</v>
      </c>
      <c r="H11" s="14">
        <v>0</v>
      </c>
      <c r="I11" s="231">
        <v>0</v>
      </c>
      <c r="J11" s="236">
        <f t="shared" si="0"/>
        <v>0</v>
      </c>
      <c r="K11" s="171">
        <v>35</v>
      </c>
      <c r="L11" s="223">
        <v>45.2</v>
      </c>
      <c r="M11" s="236">
        <f t="shared" si="1"/>
        <v>1582</v>
      </c>
      <c r="N11" s="14">
        <v>30</v>
      </c>
      <c r="O11" s="231">
        <v>40.04</v>
      </c>
      <c r="P11" s="236">
        <v>0</v>
      </c>
      <c r="Q11" s="14">
        <v>25</v>
      </c>
      <c r="R11" s="231">
        <v>0</v>
      </c>
      <c r="S11" s="236">
        <f t="shared" si="3"/>
        <v>0</v>
      </c>
      <c r="T11" s="14">
        <v>25</v>
      </c>
      <c r="U11" s="231">
        <v>0</v>
      </c>
      <c r="V11" s="236">
        <f t="shared" si="4"/>
        <v>0</v>
      </c>
      <c r="W11" s="14">
        <v>0</v>
      </c>
      <c r="X11" s="231">
        <v>0</v>
      </c>
      <c r="Y11" s="236">
        <f t="shared" si="5"/>
        <v>0</v>
      </c>
      <c r="Z11" s="14">
        <v>0</v>
      </c>
      <c r="AA11" s="231">
        <v>0</v>
      </c>
      <c r="AB11" s="236">
        <f t="shared" si="6"/>
        <v>0</v>
      </c>
      <c r="AC11" s="14">
        <v>0</v>
      </c>
      <c r="AD11" s="231">
        <v>0</v>
      </c>
      <c r="AE11" s="236">
        <f t="shared" si="7"/>
        <v>0</v>
      </c>
      <c r="AF11" s="14">
        <v>0</v>
      </c>
      <c r="AG11" s="231">
        <v>0</v>
      </c>
      <c r="AH11" s="236">
        <f t="shared" si="8"/>
        <v>0</v>
      </c>
      <c r="AI11" s="14">
        <v>0</v>
      </c>
      <c r="AJ11" s="231">
        <v>0</v>
      </c>
      <c r="AK11" s="236">
        <f t="shared" si="9"/>
        <v>0</v>
      </c>
      <c r="AL11" s="14">
        <v>0</v>
      </c>
      <c r="AM11" s="231">
        <v>0</v>
      </c>
      <c r="AN11" s="236">
        <f t="shared" si="10"/>
        <v>0</v>
      </c>
    </row>
    <row r="12" spans="1:40" x14ac:dyDescent="0.3">
      <c r="A12" s="25" t="s">
        <v>239</v>
      </c>
      <c r="B12" s="5">
        <v>65078</v>
      </c>
      <c r="C12" s="8">
        <v>0</v>
      </c>
      <c r="D12" s="5">
        <v>0</v>
      </c>
      <c r="E12" s="5">
        <v>0</v>
      </c>
      <c r="F12" s="237">
        <v>0</v>
      </c>
      <c r="G12" s="252">
        <f t="shared" si="11"/>
        <v>0</v>
      </c>
      <c r="H12" s="13">
        <v>0</v>
      </c>
      <c r="I12" s="231">
        <v>0</v>
      </c>
      <c r="J12" s="235">
        <f t="shared" si="0"/>
        <v>0</v>
      </c>
      <c r="K12" s="171">
        <v>50</v>
      </c>
      <c r="L12" s="223">
        <v>9.08</v>
      </c>
      <c r="M12" s="235">
        <f t="shared" si="1"/>
        <v>454</v>
      </c>
      <c r="N12" s="13">
        <v>45</v>
      </c>
      <c r="O12" s="231">
        <v>8.0500000000000007</v>
      </c>
      <c r="P12" s="235">
        <f t="shared" si="2"/>
        <v>362.25000000000006</v>
      </c>
      <c r="Q12" s="13">
        <v>25</v>
      </c>
      <c r="R12" s="231">
        <v>0</v>
      </c>
      <c r="S12" s="235">
        <f t="shared" si="3"/>
        <v>0</v>
      </c>
      <c r="T12" s="13">
        <v>25</v>
      </c>
      <c r="U12" s="231">
        <v>0</v>
      </c>
      <c r="V12" s="235">
        <f t="shared" si="4"/>
        <v>0</v>
      </c>
      <c r="W12" s="13">
        <v>0</v>
      </c>
      <c r="X12" s="231">
        <v>0</v>
      </c>
      <c r="Y12" s="235">
        <f t="shared" si="5"/>
        <v>0</v>
      </c>
      <c r="Z12" s="13">
        <v>0</v>
      </c>
      <c r="AA12" s="231">
        <v>0</v>
      </c>
      <c r="AB12" s="235">
        <f t="shared" si="6"/>
        <v>0</v>
      </c>
      <c r="AC12" s="13">
        <v>0</v>
      </c>
      <c r="AD12" s="231">
        <v>0</v>
      </c>
      <c r="AE12" s="235">
        <f t="shared" si="7"/>
        <v>0</v>
      </c>
      <c r="AF12" s="13">
        <v>0</v>
      </c>
      <c r="AG12" s="231">
        <v>0</v>
      </c>
      <c r="AH12" s="235">
        <f t="shared" si="8"/>
        <v>0</v>
      </c>
      <c r="AI12" s="13">
        <v>0</v>
      </c>
      <c r="AJ12" s="231">
        <v>0</v>
      </c>
      <c r="AK12" s="235">
        <f t="shared" si="9"/>
        <v>0</v>
      </c>
      <c r="AL12" s="13">
        <v>0</v>
      </c>
      <c r="AM12" s="231">
        <v>0</v>
      </c>
      <c r="AN12" s="235">
        <f t="shared" si="10"/>
        <v>0</v>
      </c>
    </row>
    <row r="13" spans="1:40" x14ac:dyDescent="0.3">
      <c r="A13" s="25" t="s">
        <v>237</v>
      </c>
      <c r="B13" s="10">
        <v>56317</v>
      </c>
      <c r="C13" s="10">
        <v>0</v>
      </c>
      <c r="D13" s="10">
        <v>0</v>
      </c>
      <c r="E13" s="10">
        <v>0</v>
      </c>
      <c r="F13" s="243">
        <v>0</v>
      </c>
      <c r="G13" s="252">
        <f t="shared" si="11"/>
        <v>0</v>
      </c>
      <c r="H13" s="13">
        <v>0</v>
      </c>
      <c r="I13" s="231">
        <v>0</v>
      </c>
      <c r="J13" s="235">
        <f t="shared" si="0"/>
        <v>0</v>
      </c>
      <c r="K13" s="25">
        <v>100</v>
      </c>
      <c r="L13" s="224">
        <v>30.78</v>
      </c>
      <c r="M13" s="235">
        <f t="shared" si="1"/>
        <v>3078</v>
      </c>
      <c r="N13" s="13">
        <v>75</v>
      </c>
      <c r="O13" s="231">
        <v>21.75</v>
      </c>
      <c r="P13" s="235">
        <f t="shared" si="2"/>
        <v>1631.25</v>
      </c>
      <c r="Q13" s="13">
        <v>75</v>
      </c>
      <c r="R13" s="231">
        <v>0</v>
      </c>
      <c r="S13" s="235">
        <f t="shared" si="3"/>
        <v>0</v>
      </c>
      <c r="T13" s="13">
        <v>80</v>
      </c>
      <c r="U13" s="231">
        <v>0</v>
      </c>
      <c r="V13" s="235">
        <f t="shared" si="4"/>
        <v>0</v>
      </c>
      <c r="W13" s="13">
        <v>0</v>
      </c>
      <c r="X13" s="231">
        <v>0</v>
      </c>
      <c r="Y13" s="235">
        <f t="shared" si="5"/>
        <v>0</v>
      </c>
      <c r="Z13" s="13">
        <v>0</v>
      </c>
      <c r="AA13" s="231">
        <v>0</v>
      </c>
      <c r="AB13" s="235">
        <f t="shared" si="6"/>
        <v>0</v>
      </c>
      <c r="AC13" s="13">
        <v>0</v>
      </c>
      <c r="AD13" s="231">
        <v>0</v>
      </c>
      <c r="AE13" s="235">
        <f t="shared" si="7"/>
        <v>0</v>
      </c>
      <c r="AF13" s="13">
        <v>0</v>
      </c>
      <c r="AG13" s="231">
        <v>0</v>
      </c>
      <c r="AH13" s="235">
        <f t="shared" si="8"/>
        <v>0</v>
      </c>
      <c r="AI13" s="13">
        <v>0</v>
      </c>
      <c r="AJ13" s="231">
        <v>0</v>
      </c>
      <c r="AK13" s="235">
        <f t="shared" si="9"/>
        <v>0</v>
      </c>
      <c r="AL13" s="13">
        <v>0</v>
      </c>
      <c r="AM13" s="231">
        <v>0</v>
      </c>
      <c r="AN13" s="235">
        <f t="shared" si="10"/>
        <v>0</v>
      </c>
    </row>
    <row r="14" spans="1:40" x14ac:dyDescent="0.3">
      <c r="A14" s="25" t="s">
        <v>240</v>
      </c>
      <c r="B14" s="10">
        <v>56576</v>
      </c>
      <c r="C14" s="18">
        <v>0</v>
      </c>
      <c r="D14" s="18">
        <v>0</v>
      </c>
      <c r="E14" s="18">
        <v>0</v>
      </c>
      <c r="F14" s="251"/>
      <c r="G14" s="252">
        <f t="shared" si="11"/>
        <v>0</v>
      </c>
      <c r="H14" s="12"/>
      <c r="I14" s="232"/>
      <c r="J14" s="233"/>
      <c r="K14" s="25">
        <v>35</v>
      </c>
      <c r="L14" s="224">
        <v>18.75</v>
      </c>
      <c r="M14" s="235">
        <f t="shared" si="1"/>
        <v>656.25</v>
      </c>
      <c r="N14" s="13">
        <v>30</v>
      </c>
      <c r="O14" s="232">
        <v>16.61</v>
      </c>
      <c r="P14" s="233">
        <f t="shared" si="2"/>
        <v>498.29999999999995</v>
      </c>
      <c r="Q14" s="13">
        <v>22</v>
      </c>
      <c r="R14" s="231">
        <v>0</v>
      </c>
      <c r="S14" s="235">
        <f t="shared" si="3"/>
        <v>0</v>
      </c>
      <c r="T14" s="13">
        <v>15</v>
      </c>
      <c r="U14" s="231">
        <v>0</v>
      </c>
      <c r="V14" s="235">
        <f t="shared" si="4"/>
        <v>0</v>
      </c>
      <c r="W14" s="12"/>
      <c r="X14" s="232"/>
      <c r="Y14" s="233"/>
      <c r="Z14" s="12"/>
      <c r="AA14" s="232"/>
      <c r="AB14" s="233"/>
      <c r="AC14" s="12"/>
      <c r="AD14" s="232"/>
      <c r="AE14" s="233"/>
      <c r="AF14" s="12"/>
      <c r="AG14" s="232"/>
      <c r="AH14" s="233"/>
      <c r="AI14" s="12"/>
      <c r="AJ14" s="232"/>
      <c r="AK14" s="233"/>
      <c r="AL14" s="12"/>
      <c r="AM14" s="232"/>
      <c r="AN14" s="233"/>
    </row>
    <row r="15" spans="1:40" ht="16.2" x14ac:dyDescent="0.45">
      <c r="A15" s="5"/>
      <c r="B15" s="5"/>
      <c r="C15" s="17"/>
      <c r="D15" s="16"/>
      <c r="E15" s="16"/>
      <c r="F15" s="193" t="s">
        <v>8</v>
      </c>
      <c r="G15" s="253">
        <f>SUM(G7:G14)</f>
        <v>0</v>
      </c>
      <c r="H15" s="12"/>
      <c r="I15" s="191" t="s">
        <v>8</v>
      </c>
      <c r="J15" s="238">
        <f>SUM(J7:J14)</f>
        <v>0</v>
      </c>
      <c r="K15" s="12"/>
      <c r="L15" s="191" t="s">
        <v>8</v>
      </c>
      <c r="M15" s="238">
        <f>SUM(M7:M14)</f>
        <v>37847.69</v>
      </c>
      <c r="N15" s="12"/>
      <c r="O15" s="191" t="s">
        <v>8</v>
      </c>
      <c r="P15" s="238">
        <f>SUM(P7:P14)</f>
        <v>30695.129999999997</v>
      </c>
      <c r="Q15" s="12"/>
      <c r="R15" s="191" t="s">
        <v>8</v>
      </c>
      <c r="S15" s="238">
        <f>SUM(S7:S14)</f>
        <v>171.54000000000002</v>
      </c>
      <c r="T15" s="12"/>
      <c r="U15" s="191" t="s">
        <v>8</v>
      </c>
      <c r="V15" s="238">
        <f>SUM(V7:V14)</f>
        <v>121.68</v>
      </c>
      <c r="W15" s="12"/>
      <c r="X15" s="191" t="s">
        <v>8</v>
      </c>
      <c r="Y15" s="238">
        <f>SUM(Y7:Y14)</f>
        <v>0</v>
      </c>
      <c r="Z15" s="12"/>
      <c r="AA15" s="191" t="s">
        <v>8</v>
      </c>
      <c r="AB15" s="238">
        <f>SUM(AB7:AB14)</f>
        <v>0</v>
      </c>
      <c r="AC15" s="12"/>
      <c r="AD15" s="191" t="s">
        <v>8</v>
      </c>
      <c r="AE15" s="238">
        <f>SUM(AE7:AE14)</f>
        <v>0</v>
      </c>
      <c r="AF15" s="12"/>
      <c r="AG15" s="191" t="s">
        <v>8</v>
      </c>
      <c r="AH15" s="238">
        <f>SUM(AH7:AH14)</f>
        <v>0</v>
      </c>
      <c r="AI15" s="12"/>
      <c r="AJ15" s="191" t="s">
        <v>8</v>
      </c>
      <c r="AK15" s="238">
        <f>SUM(AK7:AK14)</f>
        <v>0</v>
      </c>
      <c r="AL15" s="12"/>
      <c r="AM15" s="191" t="s">
        <v>8</v>
      </c>
      <c r="AN15" s="238">
        <f>SUM(AN7:AN14)</f>
        <v>0</v>
      </c>
    </row>
  </sheetData>
  <mergeCells count="1">
    <mergeCell ref="D3:D4"/>
  </mergeCells>
  <hyperlinks>
    <hyperlink ref="A2" location="Menu!A1" display="Menu" xr:uid="{00000000-0004-0000-0D00-000000000000}"/>
  </hyperlinks>
  <pageMargins left="0.511811024" right="0.511811024" top="0.78740157499999996" bottom="0.78740157499999996" header="0.31496062000000002" footer="0.3149606200000000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Plan6"/>
  <dimension ref="A1:AN14"/>
  <sheetViews>
    <sheetView workbookViewId="0">
      <pane xSplit="1" topLeftCell="Q1" activePane="topRight" state="frozen"/>
      <selection pane="topRight" activeCell="A2" sqref="A2"/>
    </sheetView>
  </sheetViews>
  <sheetFormatPr defaultColWidth="9.109375" defaultRowHeight="14.4" x14ac:dyDescent="0.3"/>
  <cols>
    <col min="1" max="1" width="32.5546875" style="1" bestFit="1" customWidth="1"/>
    <col min="2" max="2" width="11" style="1" bestFit="1" customWidth="1"/>
    <col min="3" max="3" width="18.88671875" style="1" bestFit="1" customWidth="1"/>
    <col min="4" max="4" width="16.6640625" style="1" bestFit="1" customWidth="1"/>
    <col min="5" max="5" width="14.109375" style="1" bestFit="1" customWidth="1"/>
    <col min="6" max="6" width="10.5546875" style="1" bestFit="1" customWidth="1"/>
    <col min="7" max="7" width="14.33203125" style="1" bestFit="1" customWidth="1"/>
    <col min="8" max="8" width="14.109375" style="1" bestFit="1" customWidth="1"/>
    <col min="9" max="9" width="9.109375" style="1"/>
    <col min="10" max="10" width="10.88671875" style="1" bestFit="1" customWidth="1"/>
    <col min="11" max="11" width="14.109375" style="1" bestFit="1" customWidth="1"/>
    <col min="12" max="12" width="11.109375" style="1" bestFit="1" customWidth="1"/>
    <col min="13" max="13" width="13.33203125" style="1" bestFit="1" customWidth="1"/>
    <col min="14" max="14" width="14.109375" style="1" bestFit="1" customWidth="1"/>
    <col min="15" max="15" width="9.109375" style="1"/>
    <col min="16" max="16" width="10.88671875" style="1" bestFit="1" customWidth="1"/>
    <col min="17" max="17" width="14.109375" style="1" bestFit="1" customWidth="1"/>
    <col min="18" max="18" width="9.109375" style="1"/>
    <col min="19" max="19" width="11.6640625" style="1" bestFit="1" customWidth="1"/>
    <col min="20" max="20" width="14.109375" style="1" bestFit="1" customWidth="1"/>
    <col min="21" max="21" width="9.109375" style="1"/>
    <col min="22" max="22" width="10.88671875" style="1" bestFit="1" customWidth="1"/>
    <col min="23" max="23" width="14.109375" style="1" bestFit="1" customWidth="1"/>
    <col min="24" max="24" width="9.5546875" style="1" bestFit="1" customWidth="1"/>
    <col min="25" max="25" width="10.88671875" style="1" bestFit="1" customWidth="1"/>
    <col min="26" max="26" width="14.109375" style="1" bestFit="1" customWidth="1"/>
    <col min="27" max="27" width="9.5546875" style="1" bestFit="1" customWidth="1"/>
    <col min="28" max="28" width="10.88671875" style="1" bestFit="1" customWidth="1"/>
    <col min="29" max="29" width="14.109375" style="1" bestFit="1" customWidth="1"/>
    <col min="30" max="30" width="9.5546875" style="1" bestFit="1" customWidth="1"/>
    <col min="31" max="31" width="10.88671875" style="1" bestFit="1" customWidth="1"/>
    <col min="32" max="32" width="14.109375" style="1" bestFit="1" customWidth="1"/>
    <col min="33" max="33" width="9.5546875" style="1" bestFit="1" customWidth="1"/>
    <col min="34" max="34" width="10.88671875" style="1" bestFit="1" customWidth="1"/>
    <col min="35" max="35" width="14.109375" style="1" bestFit="1" customWidth="1"/>
    <col min="36" max="36" width="9.5546875" style="1" bestFit="1" customWidth="1"/>
    <col min="37" max="37" width="10.88671875" style="1" bestFit="1" customWidth="1"/>
    <col min="38" max="38" width="14.109375" style="1" bestFit="1" customWidth="1"/>
    <col min="39" max="39" width="9.5546875" style="1" bestFit="1" customWidth="1"/>
    <col min="40" max="40" width="10.88671875" style="1" bestFit="1" customWidth="1"/>
    <col min="41" max="16384" width="9.109375" style="1"/>
  </cols>
  <sheetData>
    <row r="1" spans="1:40" ht="15" thickBot="1" x14ac:dyDescent="0.35"/>
    <row r="2" spans="1:40" ht="29.4" thickBot="1" x14ac:dyDescent="0.35">
      <c r="A2" s="262" t="s">
        <v>110</v>
      </c>
    </row>
    <row r="3" spans="1:40" ht="28.8" x14ac:dyDescent="0.55000000000000004">
      <c r="A3" s="259" t="s">
        <v>250</v>
      </c>
      <c r="B3" s="164"/>
      <c r="C3" s="164"/>
      <c r="D3" s="214"/>
      <c r="E3" s="6"/>
      <c r="F3" s="6"/>
      <c r="G3" s="6"/>
    </row>
    <row r="4" spans="1:40" x14ac:dyDescent="0.3">
      <c r="A4" s="7"/>
      <c r="B4" s="7"/>
      <c r="C4" s="7"/>
      <c r="D4" s="7"/>
      <c r="E4" s="4">
        <v>45292</v>
      </c>
      <c r="F4" s="4">
        <v>45292</v>
      </c>
      <c r="G4" s="29">
        <v>45292</v>
      </c>
      <c r="H4" s="11">
        <v>45323</v>
      </c>
      <c r="I4" s="11">
        <v>45323</v>
      </c>
      <c r="J4" s="11">
        <v>45323</v>
      </c>
      <c r="K4" s="11">
        <v>45352</v>
      </c>
      <c r="L4" s="11">
        <v>45352</v>
      </c>
      <c r="M4" s="11">
        <v>45352</v>
      </c>
      <c r="N4" s="11">
        <v>45383</v>
      </c>
      <c r="O4" s="11">
        <v>45383</v>
      </c>
      <c r="P4" s="11">
        <v>45383</v>
      </c>
      <c r="Q4" s="11">
        <v>45413</v>
      </c>
      <c r="R4" s="11">
        <v>45413</v>
      </c>
      <c r="S4" s="11">
        <v>45413</v>
      </c>
      <c r="T4" s="11">
        <v>45444</v>
      </c>
      <c r="U4" s="11">
        <v>45444</v>
      </c>
      <c r="V4" s="11">
        <v>45444</v>
      </c>
      <c r="W4" s="11">
        <v>45474</v>
      </c>
      <c r="X4" s="11">
        <v>45474</v>
      </c>
      <c r="Y4" s="11">
        <v>45474</v>
      </c>
      <c r="Z4" s="11">
        <v>45505</v>
      </c>
      <c r="AA4" s="11">
        <v>45505</v>
      </c>
      <c r="AB4" s="11">
        <v>45505</v>
      </c>
      <c r="AC4" s="11">
        <v>45536</v>
      </c>
      <c r="AD4" s="11">
        <v>45536</v>
      </c>
      <c r="AE4" s="11">
        <v>45536</v>
      </c>
      <c r="AF4" s="11">
        <v>45566</v>
      </c>
      <c r="AG4" s="11">
        <v>45566</v>
      </c>
      <c r="AH4" s="11">
        <v>45566</v>
      </c>
      <c r="AI4" s="11">
        <v>45597</v>
      </c>
      <c r="AJ4" s="11">
        <v>45597</v>
      </c>
      <c r="AK4" s="11">
        <v>45597</v>
      </c>
      <c r="AL4" s="11">
        <v>45627</v>
      </c>
      <c r="AM4" s="11">
        <v>45627</v>
      </c>
      <c r="AN4" s="11">
        <v>45627</v>
      </c>
    </row>
    <row r="5" spans="1:40" x14ac:dyDescent="0.3">
      <c r="A5" s="5" t="s">
        <v>1</v>
      </c>
      <c r="B5" s="5" t="s">
        <v>2</v>
      </c>
      <c r="C5" s="5" t="s">
        <v>3</v>
      </c>
      <c r="D5" s="5" t="s">
        <v>9</v>
      </c>
      <c r="E5" s="5" t="s">
        <v>5</v>
      </c>
      <c r="F5" s="5" t="s">
        <v>6</v>
      </c>
      <c r="G5" s="5" t="s">
        <v>7</v>
      </c>
      <c r="H5" s="13" t="s">
        <v>5</v>
      </c>
      <c r="I5" s="13" t="s">
        <v>6</v>
      </c>
      <c r="J5" s="26" t="s">
        <v>7</v>
      </c>
      <c r="K5" s="13" t="s">
        <v>5</v>
      </c>
      <c r="L5" s="13" t="s">
        <v>115</v>
      </c>
      <c r="M5" s="26" t="s">
        <v>7</v>
      </c>
      <c r="N5" s="13" t="s">
        <v>5</v>
      </c>
      <c r="O5" s="13" t="s">
        <v>6</v>
      </c>
      <c r="P5" s="26" t="s">
        <v>7</v>
      </c>
      <c r="Q5" s="13" t="s">
        <v>5</v>
      </c>
      <c r="R5" s="13" t="s">
        <v>6</v>
      </c>
      <c r="S5" s="26" t="s">
        <v>7</v>
      </c>
      <c r="T5" s="13" t="s">
        <v>5</v>
      </c>
      <c r="U5" s="13" t="s">
        <v>6</v>
      </c>
      <c r="V5" s="26" t="s">
        <v>7</v>
      </c>
      <c r="W5" s="13" t="s">
        <v>5</v>
      </c>
      <c r="X5" s="13" t="s">
        <v>6</v>
      </c>
      <c r="Y5" s="26" t="s">
        <v>7</v>
      </c>
      <c r="Z5" s="13" t="s">
        <v>5</v>
      </c>
      <c r="AA5" s="13" t="s">
        <v>6</v>
      </c>
      <c r="AB5" s="26" t="s">
        <v>7</v>
      </c>
      <c r="AC5" s="13" t="s">
        <v>5</v>
      </c>
      <c r="AD5" s="13" t="s">
        <v>6</v>
      </c>
      <c r="AE5" s="26" t="s">
        <v>7</v>
      </c>
      <c r="AF5" s="13" t="s">
        <v>5</v>
      </c>
      <c r="AG5" s="13" t="s">
        <v>6</v>
      </c>
      <c r="AH5" s="26" t="s">
        <v>7</v>
      </c>
      <c r="AI5" s="13" t="s">
        <v>5</v>
      </c>
      <c r="AJ5" s="13" t="s">
        <v>6</v>
      </c>
      <c r="AK5" s="26" t="s">
        <v>7</v>
      </c>
      <c r="AL5" s="13" t="s">
        <v>5</v>
      </c>
      <c r="AM5" s="13" t="s">
        <v>6</v>
      </c>
      <c r="AN5" s="26" t="s">
        <v>7</v>
      </c>
    </row>
    <row r="6" spans="1:40" x14ac:dyDescent="0.3">
      <c r="A6" s="25" t="s">
        <v>236</v>
      </c>
      <c r="B6" s="5">
        <v>56944</v>
      </c>
      <c r="C6" s="8">
        <v>0</v>
      </c>
      <c r="D6" s="5">
        <v>0</v>
      </c>
      <c r="E6" s="9">
        <v>0</v>
      </c>
      <c r="F6" s="223">
        <v>0</v>
      </c>
      <c r="G6" s="229">
        <f>F6*E6</f>
        <v>0</v>
      </c>
      <c r="H6" s="14">
        <v>0</v>
      </c>
      <c r="I6" s="231">
        <v>0</v>
      </c>
      <c r="J6" s="233">
        <f t="shared" ref="J6:J12" si="0">I6*H6</f>
        <v>0</v>
      </c>
      <c r="K6" s="171">
        <v>15</v>
      </c>
      <c r="L6" s="223">
        <v>141.9</v>
      </c>
      <c r="M6" s="233">
        <f t="shared" ref="M6:M13" si="1">L6*K6</f>
        <v>2128.5</v>
      </c>
      <c r="N6" s="14">
        <v>35</v>
      </c>
      <c r="O6" s="231">
        <v>141.9</v>
      </c>
      <c r="P6" s="233">
        <f t="shared" ref="P6:P12" si="2">O6*N6</f>
        <v>4966.5</v>
      </c>
      <c r="Q6" s="14">
        <v>84</v>
      </c>
      <c r="R6" s="231">
        <v>141.9</v>
      </c>
      <c r="S6" s="233">
        <f t="shared" ref="S6:S12" si="3">R6*Q6</f>
        <v>11919.6</v>
      </c>
      <c r="T6" s="14">
        <v>0</v>
      </c>
      <c r="U6" s="231">
        <v>141.9</v>
      </c>
      <c r="V6" s="233">
        <f t="shared" ref="V6:V12" si="4">U6*T6</f>
        <v>0</v>
      </c>
      <c r="W6" s="14">
        <v>0</v>
      </c>
      <c r="X6" s="231">
        <v>0</v>
      </c>
      <c r="Y6" s="233">
        <f t="shared" ref="Y6:Y12" si="5">X6*W6</f>
        <v>0</v>
      </c>
      <c r="Z6" s="14">
        <v>0</v>
      </c>
      <c r="AA6" s="231">
        <v>0</v>
      </c>
      <c r="AB6" s="233">
        <f t="shared" ref="AB6:AB12" si="6">AA6*Z6</f>
        <v>0</v>
      </c>
      <c r="AC6" s="14">
        <v>0</v>
      </c>
      <c r="AD6" s="231">
        <v>0</v>
      </c>
      <c r="AE6" s="233">
        <f t="shared" ref="AE6:AE12" si="7">AD6*AC6</f>
        <v>0</v>
      </c>
      <c r="AF6" s="14">
        <v>0</v>
      </c>
      <c r="AG6" s="231">
        <v>0</v>
      </c>
      <c r="AH6" s="233">
        <f t="shared" ref="AH6:AH12" si="8">AG6*AF6</f>
        <v>0</v>
      </c>
      <c r="AI6" s="14">
        <v>0</v>
      </c>
      <c r="AJ6" s="231">
        <v>0</v>
      </c>
      <c r="AK6" s="233">
        <f t="shared" ref="AK6:AK12" si="9">AJ6*AI6</f>
        <v>0</v>
      </c>
      <c r="AL6" s="14">
        <v>0</v>
      </c>
      <c r="AM6" s="231">
        <v>0</v>
      </c>
      <c r="AN6" s="233">
        <f t="shared" ref="AN6:AN12" si="10">AM6*AL6</f>
        <v>0</v>
      </c>
    </row>
    <row r="7" spans="1:40" x14ac:dyDescent="0.3">
      <c r="A7" s="25" t="s">
        <v>237</v>
      </c>
      <c r="B7" s="5">
        <v>73191</v>
      </c>
      <c r="C7" s="8">
        <v>0</v>
      </c>
      <c r="D7" s="5">
        <v>0</v>
      </c>
      <c r="E7" s="9">
        <v>0</v>
      </c>
      <c r="F7" s="223">
        <v>0</v>
      </c>
      <c r="G7" s="229">
        <f t="shared" ref="G7:G13" si="11">F7*E7</f>
        <v>0</v>
      </c>
      <c r="H7" s="14">
        <v>0</v>
      </c>
      <c r="I7" s="231">
        <v>0</v>
      </c>
      <c r="J7" s="233">
        <f t="shared" si="0"/>
        <v>0</v>
      </c>
      <c r="K7" s="171">
        <v>3</v>
      </c>
      <c r="L7" s="223">
        <v>30.78</v>
      </c>
      <c r="M7" s="233">
        <f t="shared" si="1"/>
        <v>92.34</v>
      </c>
      <c r="N7" s="14">
        <v>5</v>
      </c>
      <c r="O7" s="231">
        <v>27.27</v>
      </c>
      <c r="P7" s="233">
        <f t="shared" si="2"/>
        <v>136.35</v>
      </c>
      <c r="Q7" s="14">
        <v>9</v>
      </c>
      <c r="R7" s="231">
        <v>0</v>
      </c>
      <c r="S7" s="233">
        <f t="shared" si="3"/>
        <v>0</v>
      </c>
      <c r="T7" s="14">
        <v>7</v>
      </c>
      <c r="U7" s="231">
        <v>0</v>
      </c>
      <c r="V7" s="233">
        <f t="shared" si="4"/>
        <v>0</v>
      </c>
      <c r="W7" s="14">
        <v>0</v>
      </c>
      <c r="X7" s="231">
        <v>0</v>
      </c>
      <c r="Y7" s="233">
        <f t="shared" si="5"/>
        <v>0</v>
      </c>
      <c r="Z7" s="14">
        <v>0</v>
      </c>
      <c r="AA7" s="231">
        <v>0</v>
      </c>
      <c r="AB7" s="233">
        <f t="shared" si="6"/>
        <v>0</v>
      </c>
      <c r="AC7" s="14">
        <v>0</v>
      </c>
      <c r="AD7" s="231">
        <v>0</v>
      </c>
      <c r="AE7" s="233">
        <f t="shared" si="7"/>
        <v>0</v>
      </c>
      <c r="AF7" s="14">
        <v>0</v>
      </c>
      <c r="AG7" s="231">
        <v>0</v>
      </c>
      <c r="AH7" s="233">
        <f t="shared" si="8"/>
        <v>0</v>
      </c>
      <c r="AI7" s="14">
        <v>0</v>
      </c>
      <c r="AJ7" s="231">
        <v>0</v>
      </c>
      <c r="AK7" s="233">
        <f t="shared" si="9"/>
        <v>0</v>
      </c>
      <c r="AL7" s="14">
        <v>0</v>
      </c>
      <c r="AM7" s="231">
        <v>0</v>
      </c>
      <c r="AN7" s="233">
        <f t="shared" si="10"/>
        <v>0</v>
      </c>
    </row>
    <row r="8" spans="1:40" x14ac:dyDescent="0.3">
      <c r="A8" s="25" t="s">
        <v>238</v>
      </c>
      <c r="B8" s="5">
        <v>100490</v>
      </c>
      <c r="C8" s="8">
        <v>0</v>
      </c>
      <c r="D8" s="5">
        <v>0</v>
      </c>
      <c r="E8" s="9">
        <v>0</v>
      </c>
      <c r="F8" s="223">
        <v>0</v>
      </c>
      <c r="G8" s="229">
        <f t="shared" si="11"/>
        <v>0</v>
      </c>
      <c r="H8" s="14">
        <v>0</v>
      </c>
      <c r="I8" s="231">
        <v>0</v>
      </c>
      <c r="J8" s="233">
        <f t="shared" si="0"/>
        <v>0</v>
      </c>
      <c r="K8" s="171">
        <v>25</v>
      </c>
      <c r="L8" s="223">
        <v>35.1</v>
      </c>
      <c r="M8" s="233">
        <f t="shared" si="1"/>
        <v>877.5</v>
      </c>
      <c r="N8" s="14">
        <v>40</v>
      </c>
      <c r="O8" s="231">
        <v>22.65</v>
      </c>
      <c r="P8" s="233">
        <f t="shared" si="2"/>
        <v>906</v>
      </c>
      <c r="Q8" s="14">
        <v>12</v>
      </c>
      <c r="R8" s="231">
        <v>0</v>
      </c>
      <c r="S8" s="233">
        <f t="shared" si="3"/>
        <v>0</v>
      </c>
      <c r="T8" s="14">
        <v>7</v>
      </c>
      <c r="U8" s="231">
        <v>0</v>
      </c>
      <c r="V8" s="233">
        <f t="shared" si="4"/>
        <v>0</v>
      </c>
      <c r="W8" s="14">
        <v>0</v>
      </c>
      <c r="X8" s="231">
        <v>0</v>
      </c>
      <c r="Y8" s="233">
        <f t="shared" si="5"/>
        <v>0</v>
      </c>
      <c r="Z8" s="14">
        <v>0</v>
      </c>
      <c r="AA8" s="231">
        <v>0</v>
      </c>
      <c r="AB8" s="233">
        <f t="shared" si="6"/>
        <v>0</v>
      </c>
      <c r="AC8" s="14">
        <v>0</v>
      </c>
      <c r="AD8" s="231">
        <v>0</v>
      </c>
      <c r="AE8" s="233">
        <f t="shared" si="7"/>
        <v>0</v>
      </c>
      <c r="AF8" s="14">
        <v>0</v>
      </c>
      <c r="AG8" s="231">
        <v>0</v>
      </c>
      <c r="AH8" s="233">
        <f t="shared" si="8"/>
        <v>0</v>
      </c>
      <c r="AI8" s="14">
        <v>0</v>
      </c>
      <c r="AJ8" s="231">
        <v>0</v>
      </c>
      <c r="AK8" s="233">
        <f t="shared" si="9"/>
        <v>0</v>
      </c>
      <c r="AL8" s="14">
        <v>0</v>
      </c>
      <c r="AM8" s="231">
        <v>0</v>
      </c>
      <c r="AN8" s="233">
        <f t="shared" si="10"/>
        <v>0</v>
      </c>
    </row>
    <row r="9" spans="1:40" x14ac:dyDescent="0.3">
      <c r="A9" s="25" t="s">
        <v>239</v>
      </c>
      <c r="B9" s="5">
        <v>56563</v>
      </c>
      <c r="C9" s="8">
        <v>0</v>
      </c>
      <c r="D9" s="5">
        <v>0</v>
      </c>
      <c r="E9" s="9">
        <v>0</v>
      </c>
      <c r="F9" s="223">
        <v>0</v>
      </c>
      <c r="G9" s="229">
        <f t="shared" si="11"/>
        <v>0</v>
      </c>
      <c r="H9" s="14">
        <v>0</v>
      </c>
      <c r="I9" s="231">
        <v>0</v>
      </c>
      <c r="J9" s="233">
        <f t="shared" si="0"/>
        <v>0</v>
      </c>
      <c r="K9" s="171">
        <v>2</v>
      </c>
      <c r="L9" s="223">
        <v>9.08</v>
      </c>
      <c r="M9" s="233">
        <f t="shared" si="1"/>
        <v>18.16</v>
      </c>
      <c r="N9" s="14">
        <v>2</v>
      </c>
      <c r="O9" s="231">
        <v>8.0500000000000007</v>
      </c>
      <c r="P9" s="233">
        <f t="shared" si="2"/>
        <v>16.100000000000001</v>
      </c>
      <c r="Q9" s="14">
        <v>2</v>
      </c>
      <c r="R9" s="231">
        <v>0</v>
      </c>
      <c r="S9" s="233">
        <f t="shared" si="3"/>
        <v>0</v>
      </c>
      <c r="T9" s="14">
        <v>3</v>
      </c>
      <c r="U9" s="231">
        <v>0</v>
      </c>
      <c r="V9" s="233">
        <f t="shared" si="4"/>
        <v>0</v>
      </c>
      <c r="W9" s="14">
        <v>0</v>
      </c>
      <c r="X9" s="231">
        <v>0</v>
      </c>
      <c r="Y9" s="233">
        <f t="shared" si="5"/>
        <v>0</v>
      </c>
      <c r="Z9" s="14">
        <v>0</v>
      </c>
      <c r="AA9" s="231">
        <v>0</v>
      </c>
      <c r="AB9" s="233">
        <f t="shared" si="6"/>
        <v>0</v>
      </c>
      <c r="AC9" s="14">
        <v>0</v>
      </c>
      <c r="AD9" s="231">
        <v>0</v>
      </c>
      <c r="AE9" s="233">
        <f t="shared" si="7"/>
        <v>0</v>
      </c>
      <c r="AF9" s="14">
        <v>0</v>
      </c>
      <c r="AG9" s="231">
        <v>0</v>
      </c>
      <c r="AH9" s="233">
        <f t="shared" si="8"/>
        <v>0</v>
      </c>
      <c r="AI9" s="14">
        <v>0</v>
      </c>
      <c r="AJ9" s="231">
        <v>0</v>
      </c>
      <c r="AK9" s="233">
        <f t="shared" si="9"/>
        <v>0</v>
      </c>
      <c r="AL9" s="14">
        <v>0</v>
      </c>
      <c r="AM9" s="231">
        <v>0</v>
      </c>
      <c r="AN9" s="233">
        <f t="shared" si="10"/>
        <v>0</v>
      </c>
    </row>
    <row r="10" spans="1:40" x14ac:dyDescent="0.3">
      <c r="A10" s="25" t="s">
        <v>240</v>
      </c>
      <c r="B10" s="5">
        <v>56566</v>
      </c>
      <c r="C10" s="8">
        <v>0</v>
      </c>
      <c r="D10" s="5">
        <v>0</v>
      </c>
      <c r="E10" s="9">
        <v>0</v>
      </c>
      <c r="F10" s="223">
        <v>0</v>
      </c>
      <c r="G10" s="229">
        <f t="shared" si="11"/>
        <v>0</v>
      </c>
      <c r="H10" s="14">
        <v>0</v>
      </c>
      <c r="I10" s="231">
        <v>0</v>
      </c>
      <c r="J10" s="236">
        <f t="shared" si="0"/>
        <v>0</v>
      </c>
      <c r="K10" s="171">
        <v>1</v>
      </c>
      <c r="L10" s="223">
        <v>18.75</v>
      </c>
      <c r="M10" s="236">
        <f t="shared" si="1"/>
        <v>18.75</v>
      </c>
      <c r="N10" s="14">
        <v>1</v>
      </c>
      <c r="O10" s="231">
        <v>16.61</v>
      </c>
      <c r="P10" s="236">
        <f t="shared" si="2"/>
        <v>16.61</v>
      </c>
      <c r="Q10" s="14">
        <v>2</v>
      </c>
      <c r="R10" s="231">
        <v>0</v>
      </c>
      <c r="S10" s="236">
        <f t="shared" si="3"/>
        <v>0</v>
      </c>
      <c r="T10" s="14">
        <v>2</v>
      </c>
      <c r="U10" s="231">
        <v>0</v>
      </c>
      <c r="V10" s="236">
        <f t="shared" si="4"/>
        <v>0</v>
      </c>
      <c r="W10" s="14">
        <v>0</v>
      </c>
      <c r="X10" s="231">
        <v>0</v>
      </c>
      <c r="Y10" s="236">
        <f t="shared" si="5"/>
        <v>0</v>
      </c>
      <c r="Z10" s="14">
        <v>0</v>
      </c>
      <c r="AA10" s="231">
        <v>0</v>
      </c>
      <c r="AB10" s="236">
        <f t="shared" si="6"/>
        <v>0</v>
      </c>
      <c r="AC10" s="14">
        <v>0</v>
      </c>
      <c r="AD10" s="231">
        <v>0</v>
      </c>
      <c r="AE10" s="236">
        <f t="shared" si="7"/>
        <v>0</v>
      </c>
      <c r="AF10" s="14">
        <v>0</v>
      </c>
      <c r="AG10" s="231">
        <v>0</v>
      </c>
      <c r="AH10" s="236">
        <f t="shared" si="8"/>
        <v>0</v>
      </c>
      <c r="AI10" s="14">
        <v>0</v>
      </c>
      <c r="AJ10" s="231">
        <v>0</v>
      </c>
      <c r="AK10" s="236">
        <f t="shared" si="9"/>
        <v>0</v>
      </c>
      <c r="AL10" s="14">
        <v>0</v>
      </c>
      <c r="AM10" s="231">
        <v>0</v>
      </c>
      <c r="AN10" s="236">
        <f t="shared" si="10"/>
        <v>0</v>
      </c>
    </row>
    <row r="11" spans="1:40" x14ac:dyDescent="0.3">
      <c r="A11" s="5"/>
      <c r="B11" s="5">
        <v>65078</v>
      </c>
      <c r="C11" s="8">
        <v>0</v>
      </c>
      <c r="D11" s="5">
        <v>0</v>
      </c>
      <c r="E11" s="5">
        <v>0</v>
      </c>
      <c r="F11" s="223">
        <v>0</v>
      </c>
      <c r="G11" s="229">
        <f t="shared" si="11"/>
        <v>0</v>
      </c>
      <c r="H11" s="13">
        <v>0</v>
      </c>
      <c r="I11" s="231">
        <v>0</v>
      </c>
      <c r="J11" s="235">
        <f t="shared" si="0"/>
        <v>0</v>
      </c>
      <c r="K11" s="171">
        <v>0</v>
      </c>
      <c r="L11" s="223">
        <v>0</v>
      </c>
      <c r="M11" s="235">
        <f t="shared" si="1"/>
        <v>0</v>
      </c>
      <c r="N11" s="13">
        <v>0</v>
      </c>
      <c r="O11" s="231">
        <v>0</v>
      </c>
      <c r="P11" s="235">
        <f t="shared" si="2"/>
        <v>0</v>
      </c>
      <c r="Q11" s="13">
        <v>0</v>
      </c>
      <c r="R11" s="231">
        <v>0</v>
      </c>
      <c r="S11" s="235">
        <f t="shared" si="3"/>
        <v>0</v>
      </c>
      <c r="T11" s="13">
        <v>0</v>
      </c>
      <c r="U11" s="231">
        <v>0</v>
      </c>
      <c r="V11" s="235">
        <f t="shared" si="4"/>
        <v>0</v>
      </c>
      <c r="W11" s="13">
        <v>0</v>
      </c>
      <c r="X11" s="231">
        <v>0</v>
      </c>
      <c r="Y11" s="235">
        <f t="shared" si="5"/>
        <v>0</v>
      </c>
      <c r="Z11" s="13">
        <v>0</v>
      </c>
      <c r="AA11" s="231">
        <v>0</v>
      </c>
      <c r="AB11" s="235">
        <f t="shared" si="6"/>
        <v>0</v>
      </c>
      <c r="AC11" s="13">
        <v>0</v>
      </c>
      <c r="AD11" s="231">
        <v>0</v>
      </c>
      <c r="AE11" s="235">
        <f t="shared" si="7"/>
        <v>0</v>
      </c>
      <c r="AF11" s="13">
        <v>0</v>
      </c>
      <c r="AG11" s="231">
        <v>0</v>
      </c>
      <c r="AH11" s="235">
        <f t="shared" si="8"/>
        <v>0</v>
      </c>
      <c r="AI11" s="13">
        <v>0</v>
      </c>
      <c r="AJ11" s="231">
        <v>0</v>
      </c>
      <c r="AK11" s="235">
        <f t="shared" si="9"/>
        <v>0</v>
      </c>
      <c r="AL11" s="13">
        <v>0</v>
      </c>
      <c r="AM11" s="231">
        <v>0</v>
      </c>
      <c r="AN11" s="235">
        <f t="shared" si="10"/>
        <v>0</v>
      </c>
    </row>
    <row r="12" spans="1:40" x14ac:dyDescent="0.3">
      <c r="A12" s="10"/>
      <c r="B12" s="10">
        <v>56317</v>
      </c>
      <c r="C12" s="90">
        <v>0</v>
      </c>
      <c r="D12" s="10">
        <v>0</v>
      </c>
      <c r="E12" s="10">
        <v>0</v>
      </c>
      <c r="F12" s="224">
        <v>0</v>
      </c>
      <c r="G12" s="229">
        <f t="shared" si="11"/>
        <v>0</v>
      </c>
      <c r="H12" s="13">
        <v>0</v>
      </c>
      <c r="I12" s="231">
        <v>0</v>
      </c>
      <c r="J12" s="235">
        <f t="shared" si="0"/>
        <v>0</v>
      </c>
      <c r="K12" s="25">
        <v>0</v>
      </c>
      <c r="L12" s="224">
        <v>0</v>
      </c>
      <c r="M12" s="235">
        <f t="shared" si="1"/>
        <v>0</v>
      </c>
      <c r="N12" s="13">
        <v>0</v>
      </c>
      <c r="O12" s="231">
        <v>0</v>
      </c>
      <c r="P12" s="235">
        <f t="shared" si="2"/>
        <v>0</v>
      </c>
      <c r="Q12" s="13">
        <v>0</v>
      </c>
      <c r="R12" s="231">
        <v>0</v>
      </c>
      <c r="S12" s="235">
        <f t="shared" si="3"/>
        <v>0</v>
      </c>
      <c r="T12" s="13">
        <v>0</v>
      </c>
      <c r="U12" s="231">
        <v>0</v>
      </c>
      <c r="V12" s="235">
        <f t="shared" si="4"/>
        <v>0</v>
      </c>
      <c r="W12" s="13">
        <v>0</v>
      </c>
      <c r="X12" s="231">
        <v>0</v>
      </c>
      <c r="Y12" s="235">
        <f t="shared" si="5"/>
        <v>0</v>
      </c>
      <c r="Z12" s="13">
        <v>0</v>
      </c>
      <c r="AA12" s="231">
        <v>0</v>
      </c>
      <c r="AB12" s="235">
        <f t="shared" si="6"/>
        <v>0</v>
      </c>
      <c r="AC12" s="13">
        <v>0</v>
      </c>
      <c r="AD12" s="231">
        <v>0</v>
      </c>
      <c r="AE12" s="235">
        <f t="shared" si="7"/>
        <v>0</v>
      </c>
      <c r="AF12" s="13">
        <v>0</v>
      </c>
      <c r="AG12" s="231">
        <v>0</v>
      </c>
      <c r="AH12" s="235">
        <f t="shared" si="8"/>
        <v>0</v>
      </c>
      <c r="AI12" s="13">
        <v>0</v>
      </c>
      <c r="AJ12" s="231">
        <v>0</v>
      </c>
      <c r="AK12" s="235">
        <f t="shared" si="9"/>
        <v>0</v>
      </c>
      <c r="AL12" s="13">
        <v>0</v>
      </c>
      <c r="AM12" s="231">
        <v>0</v>
      </c>
      <c r="AN12" s="235">
        <f t="shared" si="10"/>
        <v>0</v>
      </c>
    </row>
    <row r="13" spans="1:40" x14ac:dyDescent="0.3">
      <c r="A13" s="10"/>
      <c r="B13" s="10">
        <v>56576</v>
      </c>
      <c r="C13" s="8">
        <v>0</v>
      </c>
      <c r="D13" s="10">
        <v>0</v>
      </c>
      <c r="E13" s="5">
        <v>0</v>
      </c>
      <c r="F13" s="224"/>
      <c r="G13" s="229">
        <f t="shared" si="11"/>
        <v>0</v>
      </c>
      <c r="H13" s="12"/>
      <c r="I13" s="232"/>
      <c r="J13" s="233"/>
      <c r="K13" s="25">
        <v>0</v>
      </c>
      <c r="L13" s="224">
        <v>0</v>
      </c>
      <c r="M13" s="233">
        <f t="shared" si="1"/>
        <v>0</v>
      </c>
      <c r="N13" s="12"/>
      <c r="O13" s="232"/>
      <c r="P13" s="233"/>
      <c r="Q13" s="12"/>
      <c r="R13" s="232"/>
      <c r="S13" s="233"/>
      <c r="T13" s="12"/>
      <c r="U13" s="232"/>
      <c r="V13" s="233"/>
      <c r="W13" s="12"/>
      <c r="X13" s="232"/>
      <c r="Y13" s="233"/>
      <c r="Z13" s="12"/>
      <c r="AA13" s="232"/>
      <c r="AB13" s="233"/>
      <c r="AC13" s="12"/>
      <c r="AD13" s="232"/>
      <c r="AE13" s="233"/>
      <c r="AF13" s="12"/>
      <c r="AG13" s="232"/>
      <c r="AH13" s="233"/>
      <c r="AI13" s="12"/>
      <c r="AJ13" s="232"/>
      <c r="AK13" s="233"/>
      <c r="AL13" s="12"/>
      <c r="AM13" s="232"/>
      <c r="AN13" s="233"/>
    </row>
    <row r="14" spans="1:40" ht="16.2" x14ac:dyDescent="0.45">
      <c r="A14" s="12"/>
      <c r="B14" s="12"/>
      <c r="C14" s="12"/>
      <c r="D14" s="12"/>
      <c r="E14" s="12"/>
      <c r="F14" s="191" t="s">
        <v>8</v>
      </c>
      <c r="G14" s="238">
        <f>+SUM(G6:G13)</f>
        <v>0</v>
      </c>
      <c r="H14" s="12"/>
      <c r="I14" s="191" t="s">
        <v>8</v>
      </c>
      <c r="J14" s="238">
        <f>SUM(J6:J13)</f>
        <v>0</v>
      </c>
      <c r="K14" s="12"/>
      <c r="L14" s="191" t="s">
        <v>8</v>
      </c>
      <c r="M14" s="238">
        <f>SUM(M6:M13)</f>
        <v>3135.25</v>
      </c>
      <c r="N14" s="12"/>
      <c r="O14" s="191" t="s">
        <v>8</v>
      </c>
      <c r="P14" s="238">
        <f>SUM(P6:P13)</f>
        <v>6041.56</v>
      </c>
      <c r="Q14" s="12"/>
      <c r="R14" s="191" t="s">
        <v>8</v>
      </c>
      <c r="S14" s="238">
        <f>SUM(S6:S13)</f>
        <v>11919.6</v>
      </c>
      <c r="T14" s="12"/>
      <c r="U14" s="191" t="s">
        <v>8</v>
      </c>
      <c r="V14" s="238">
        <f>SUM(V6:V13)</f>
        <v>0</v>
      </c>
      <c r="W14" s="12"/>
      <c r="X14" s="191" t="s">
        <v>8</v>
      </c>
      <c r="Y14" s="238">
        <f>SUM(Y6:Y13)</f>
        <v>0</v>
      </c>
      <c r="Z14" s="12"/>
      <c r="AA14" s="194" t="s">
        <v>8</v>
      </c>
      <c r="AB14" s="238">
        <f>SUM(AB6:AB13)</f>
        <v>0</v>
      </c>
      <c r="AC14" s="12"/>
      <c r="AD14" s="191" t="s">
        <v>8</v>
      </c>
      <c r="AE14" s="238">
        <f>SUM(AE6:AE13)</f>
        <v>0</v>
      </c>
      <c r="AF14" s="12"/>
      <c r="AG14" s="191" t="s">
        <v>8</v>
      </c>
      <c r="AH14" s="238">
        <f>SUM(AH6:AH13)</f>
        <v>0</v>
      </c>
      <c r="AI14" s="12"/>
      <c r="AJ14" s="191" t="s">
        <v>8</v>
      </c>
      <c r="AK14" s="238">
        <f>SUM(AK6:AK13)</f>
        <v>0</v>
      </c>
      <c r="AL14" s="12"/>
      <c r="AM14" s="191" t="s">
        <v>8</v>
      </c>
      <c r="AN14" s="238">
        <f>SUM(AN6:AN13)</f>
        <v>0</v>
      </c>
    </row>
  </sheetData>
  <hyperlinks>
    <hyperlink ref="A2" location="Menu!A1" display="Menu" xr:uid="{00000000-0004-0000-0E00-000000000000}"/>
  </hyperlinks>
  <pageMargins left="0.511811024" right="0.511811024" top="0.78740157499999996" bottom="0.78740157499999996" header="0.31496062000000002" footer="0.3149606200000000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Plan7"/>
  <dimension ref="A1:AN14"/>
  <sheetViews>
    <sheetView workbookViewId="0">
      <pane xSplit="1" topLeftCell="Q1" activePane="topRight" state="frozen"/>
      <selection pane="topRight" activeCell="A2" sqref="A2"/>
    </sheetView>
  </sheetViews>
  <sheetFormatPr defaultColWidth="9.109375" defaultRowHeight="14.4" x14ac:dyDescent="0.3"/>
  <cols>
    <col min="1" max="1" width="19.109375" style="1" bestFit="1" customWidth="1"/>
    <col min="2" max="2" width="11" style="1" bestFit="1" customWidth="1"/>
    <col min="3" max="3" width="18.88671875" style="1" bestFit="1" customWidth="1"/>
    <col min="4" max="4" width="16.6640625" style="1" bestFit="1" customWidth="1"/>
    <col min="5" max="5" width="14.109375" style="1" bestFit="1" customWidth="1"/>
    <col min="6" max="6" width="10.5546875" style="1" bestFit="1" customWidth="1"/>
    <col min="7" max="7" width="14.33203125" style="1" bestFit="1" customWidth="1"/>
    <col min="8" max="8" width="14.109375" style="1" bestFit="1" customWidth="1"/>
    <col min="9" max="9" width="9.109375" style="1"/>
    <col min="10" max="10" width="10.88671875" style="1" bestFit="1" customWidth="1"/>
    <col min="11" max="11" width="14.109375" style="1" bestFit="1" customWidth="1"/>
    <col min="12" max="12" width="10.6640625" style="1" bestFit="1" customWidth="1"/>
    <col min="13" max="13" width="12.6640625" style="1" bestFit="1" customWidth="1"/>
    <col min="14" max="14" width="14.109375" style="1" bestFit="1" customWidth="1"/>
    <col min="15" max="15" width="10.6640625" style="1" bestFit="1" customWidth="1"/>
    <col min="16" max="16" width="11.6640625" style="1" bestFit="1" customWidth="1"/>
    <col min="17" max="17" width="14.109375" style="1" bestFit="1" customWidth="1"/>
    <col min="18" max="18" width="10.6640625" style="1" bestFit="1" customWidth="1"/>
    <col min="19" max="19" width="11.6640625" style="1" bestFit="1" customWidth="1"/>
    <col min="20" max="20" width="14.109375" style="1" bestFit="1" customWidth="1"/>
    <col min="21" max="21" width="10.6640625" style="1" bestFit="1" customWidth="1"/>
    <col min="22" max="22" width="11.6640625" style="1" bestFit="1" customWidth="1"/>
    <col min="23" max="23" width="14.109375" style="1" bestFit="1" customWidth="1"/>
    <col min="24" max="24" width="9.5546875" style="1" bestFit="1" customWidth="1"/>
    <col min="25" max="25" width="10.88671875" style="1" bestFit="1" customWidth="1"/>
    <col min="26" max="26" width="14.109375" style="1" bestFit="1" customWidth="1"/>
    <col min="27" max="27" width="9.5546875" style="1" bestFit="1" customWidth="1"/>
    <col min="28" max="28" width="10.88671875" style="1" bestFit="1" customWidth="1"/>
    <col min="29" max="29" width="14.109375" style="1" bestFit="1" customWidth="1"/>
    <col min="30" max="30" width="9.5546875" style="1" bestFit="1" customWidth="1"/>
    <col min="31" max="31" width="10.88671875" style="1" bestFit="1" customWidth="1"/>
    <col min="32" max="32" width="14.109375" style="1" bestFit="1" customWidth="1"/>
    <col min="33" max="33" width="9.5546875" style="1" bestFit="1" customWidth="1"/>
    <col min="34" max="34" width="10.88671875" style="1" bestFit="1" customWidth="1"/>
    <col min="35" max="35" width="14.109375" style="1" bestFit="1" customWidth="1"/>
    <col min="36" max="36" width="9.5546875" style="1" bestFit="1" customWidth="1"/>
    <col min="37" max="37" width="10.88671875" style="1" bestFit="1" customWidth="1"/>
    <col min="38" max="38" width="14.109375" style="1" bestFit="1" customWidth="1"/>
    <col min="39" max="39" width="9.5546875" style="1" bestFit="1" customWidth="1"/>
    <col min="40" max="40" width="10.88671875" style="1" bestFit="1" customWidth="1"/>
    <col min="41" max="16384" width="9.109375" style="1"/>
  </cols>
  <sheetData>
    <row r="1" spans="1:40" ht="15" thickBot="1" x14ac:dyDescent="0.35"/>
    <row r="2" spans="1:40" ht="29.4" thickBot="1" x14ac:dyDescent="0.35">
      <c r="A2" s="262" t="s">
        <v>110</v>
      </c>
    </row>
    <row r="3" spans="1:40" ht="28.8" x14ac:dyDescent="0.55000000000000004">
      <c r="A3" s="259" t="s">
        <v>52</v>
      </c>
      <c r="B3" s="164"/>
      <c r="C3" s="164"/>
      <c r="D3" s="214"/>
      <c r="E3" s="6"/>
      <c r="F3" s="6"/>
      <c r="G3" s="6"/>
    </row>
    <row r="4" spans="1:40" x14ac:dyDescent="0.3">
      <c r="A4" s="7"/>
      <c r="B4" s="7"/>
      <c r="C4" s="7"/>
      <c r="D4" s="7"/>
      <c r="E4" s="4">
        <v>45292</v>
      </c>
      <c r="F4" s="4">
        <v>45292</v>
      </c>
      <c r="G4" s="29">
        <v>45292</v>
      </c>
      <c r="H4" s="11">
        <v>45323</v>
      </c>
      <c r="I4" s="11">
        <v>45323</v>
      </c>
      <c r="J4" s="11">
        <v>45323</v>
      </c>
      <c r="K4" s="11">
        <v>45352</v>
      </c>
      <c r="L4" s="11">
        <v>45352</v>
      </c>
      <c r="M4" s="11">
        <v>45352</v>
      </c>
      <c r="N4" s="11">
        <v>45383</v>
      </c>
      <c r="O4" s="11">
        <v>45383</v>
      </c>
      <c r="P4" s="11">
        <v>45383</v>
      </c>
      <c r="Q4" s="11">
        <v>45413</v>
      </c>
      <c r="R4" s="11">
        <v>45413</v>
      </c>
      <c r="S4" s="11">
        <v>45413</v>
      </c>
      <c r="T4" s="11">
        <v>45444</v>
      </c>
      <c r="U4" s="11">
        <v>45444</v>
      </c>
      <c r="V4" s="11">
        <v>45444</v>
      </c>
      <c r="W4" s="11">
        <v>45474</v>
      </c>
      <c r="X4" s="11">
        <v>45474</v>
      </c>
      <c r="Y4" s="11">
        <v>45474</v>
      </c>
      <c r="Z4" s="11">
        <v>45505</v>
      </c>
      <c r="AA4" s="11">
        <v>45505</v>
      </c>
      <c r="AB4" s="11">
        <v>45505</v>
      </c>
      <c r="AC4" s="11">
        <v>45536</v>
      </c>
      <c r="AD4" s="11">
        <v>45536</v>
      </c>
      <c r="AE4" s="11">
        <v>45536</v>
      </c>
      <c r="AF4" s="11">
        <v>45566</v>
      </c>
      <c r="AG4" s="11">
        <v>45566</v>
      </c>
      <c r="AH4" s="11">
        <v>45566</v>
      </c>
      <c r="AI4" s="11">
        <v>45597</v>
      </c>
      <c r="AJ4" s="11">
        <v>45597</v>
      </c>
      <c r="AK4" s="11">
        <v>45597</v>
      </c>
      <c r="AL4" s="11">
        <v>45627</v>
      </c>
      <c r="AM4" s="11">
        <v>45627</v>
      </c>
      <c r="AN4" s="11">
        <v>45627</v>
      </c>
    </row>
    <row r="5" spans="1:40" x14ac:dyDescent="0.3">
      <c r="A5" s="5" t="s">
        <v>1</v>
      </c>
      <c r="B5" s="5" t="s">
        <v>2</v>
      </c>
      <c r="C5" s="5" t="s">
        <v>3</v>
      </c>
      <c r="D5" s="5" t="s">
        <v>9</v>
      </c>
      <c r="E5" s="5" t="s">
        <v>5</v>
      </c>
      <c r="F5" s="5" t="s">
        <v>6</v>
      </c>
      <c r="G5" s="5" t="s">
        <v>7</v>
      </c>
      <c r="H5" s="13" t="s">
        <v>5</v>
      </c>
      <c r="I5" s="13" t="s">
        <v>6</v>
      </c>
      <c r="J5" s="26" t="s">
        <v>7</v>
      </c>
      <c r="K5" s="13" t="s">
        <v>5</v>
      </c>
      <c r="L5" s="13" t="s">
        <v>116</v>
      </c>
      <c r="M5" s="26" t="s">
        <v>7</v>
      </c>
      <c r="N5" s="13" t="s">
        <v>5</v>
      </c>
      <c r="O5" s="13" t="s">
        <v>6</v>
      </c>
      <c r="P5" s="26" t="s">
        <v>7</v>
      </c>
      <c r="Q5" s="13" t="s">
        <v>5</v>
      </c>
      <c r="R5" s="13" t="s">
        <v>6</v>
      </c>
      <c r="S5" s="26" t="s">
        <v>7</v>
      </c>
      <c r="T5" s="13" t="s">
        <v>5</v>
      </c>
      <c r="U5" s="13" t="s">
        <v>6</v>
      </c>
      <c r="V5" s="26" t="s">
        <v>7</v>
      </c>
      <c r="W5" s="13" t="s">
        <v>5</v>
      </c>
      <c r="X5" s="13" t="s">
        <v>6</v>
      </c>
      <c r="Y5" s="26" t="s">
        <v>7</v>
      </c>
      <c r="Z5" s="13" t="s">
        <v>5</v>
      </c>
      <c r="AA5" s="13" t="s">
        <v>6</v>
      </c>
      <c r="AB5" s="26" t="s">
        <v>7</v>
      </c>
      <c r="AC5" s="13" t="s">
        <v>5</v>
      </c>
      <c r="AD5" s="13" t="s">
        <v>6</v>
      </c>
      <c r="AE5" s="26" t="s">
        <v>7</v>
      </c>
      <c r="AF5" s="13" t="s">
        <v>5</v>
      </c>
      <c r="AG5" s="13" t="s">
        <v>6</v>
      </c>
      <c r="AH5" s="26" t="s">
        <v>7</v>
      </c>
      <c r="AI5" s="13" t="s">
        <v>5</v>
      </c>
      <c r="AJ5" s="13" t="s">
        <v>6</v>
      </c>
      <c r="AK5" s="26" t="s">
        <v>7</v>
      </c>
      <c r="AL5" s="13" t="s">
        <v>5</v>
      </c>
      <c r="AM5" s="13" t="s">
        <v>6</v>
      </c>
      <c r="AN5" s="26" t="s">
        <v>7</v>
      </c>
    </row>
    <row r="6" spans="1:40" x14ac:dyDescent="0.3">
      <c r="A6" s="25" t="s">
        <v>251</v>
      </c>
      <c r="B6" s="5">
        <v>56574</v>
      </c>
      <c r="C6" s="8">
        <v>0</v>
      </c>
      <c r="D6" s="5">
        <v>0</v>
      </c>
      <c r="E6" s="9">
        <v>0</v>
      </c>
      <c r="F6" s="223">
        <v>0</v>
      </c>
      <c r="G6" s="229">
        <f>F6*E6</f>
        <v>0</v>
      </c>
      <c r="H6" s="14">
        <v>0</v>
      </c>
      <c r="I6" s="231">
        <v>0</v>
      </c>
      <c r="J6" s="233">
        <f t="shared" ref="J6:J12" si="0">I6*H6</f>
        <v>0</v>
      </c>
      <c r="K6" s="662">
        <v>22.5</v>
      </c>
      <c r="L6" s="223">
        <v>1075.4000000000001</v>
      </c>
      <c r="M6" s="233">
        <f t="shared" ref="M6:M13" si="1">L6*K6</f>
        <v>24196.500000000004</v>
      </c>
      <c r="N6" s="663">
        <v>22.5</v>
      </c>
      <c r="O6" s="231">
        <v>1075.4000000000001</v>
      </c>
      <c r="P6" s="233">
        <f t="shared" ref="P6:P12" si="2">O6*N6</f>
        <v>24196.500000000004</v>
      </c>
      <c r="Q6" s="663">
        <v>22.5</v>
      </c>
      <c r="R6" s="231">
        <v>1075.4000000000001</v>
      </c>
      <c r="S6" s="233">
        <f t="shared" ref="S6:S12" si="3">R6*Q6</f>
        <v>24196.500000000004</v>
      </c>
      <c r="T6" s="663">
        <v>22.5</v>
      </c>
      <c r="U6" s="231">
        <v>1075.4000000000001</v>
      </c>
      <c r="V6" s="233">
        <f t="shared" ref="V6:V12" si="4">U6*T6</f>
        <v>24196.500000000004</v>
      </c>
      <c r="W6" s="14">
        <v>0</v>
      </c>
      <c r="X6" s="231">
        <v>0</v>
      </c>
      <c r="Y6" s="233">
        <f t="shared" ref="Y6:Y12" si="5">X6*W6</f>
        <v>0</v>
      </c>
      <c r="Z6" s="14">
        <v>0</v>
      </c>
      <c r="AA6" s="231">
        <v>11</v>
      </c>
      <c r="AB6" s="233">
        <f t="shared" ref="AB6:AB12" si="6">AA6*Z6</f>
        <v>0</v>
      </c>
      <c r="AC6" s="14">
        <v>0</v>
      </c>
      <c r="AD6" s="231">
        <v>12</v>
      </c>
      <c r="AE6" s="233">
        <f t="shared" ref="AE6:AE12" si="7">AD6*AC6</f>
        <v>0</v>
      </c>
      <c r="AF6" s="14">
        <v>0</v>
      </c>
      <c r="AG6" s="231">
        <v>0</v>
      </c>
      <c r="AH6" s="233">
        <f t="shared" ref="AH6:AH12" si="8">AG6*AF6</f>
        <v>0</v>
      </c>
      <c r="AI6" s="14">
        <v>0</v>
      </c>
      <c r="AJ6" s="231">
        <v>0</v>
      </c>
      <c r="AK6" s="233">
        <f t="shared" ref="AK6:AK12" si="9">AJ6*AI6</f>
        <v>0</v>
      </c>
      <c r="AL6" s="14">
        <v>0</v>
      </c>
      <c r="AM6" s="231">
        <v>0</v>
      </c>
      <c r="AN6" s="233">
        <f t="shared" ref="AN6:AN12" si="10">AM6*AL6</f>
        <v>0</v>
      </c>
    </row>
    <row r="7" spans="1:40" x14ac:dyDescent="0.3">
      <c r="A7" s="25" t="s">
        <v>252</v>
      </c>
      <c r="B7" s="5"/>
      <c r="C7" s="8">
        <v>0</v>
      </c>
      <c r="D7" s="5">
        <v>0</v>
      </c>
      <c r="E7" s="9">
        <v>0</v>
      </c>
      <c r="F7" s="223">
        <v>0</v>
      </c>
      <c r="G7" s="229">
        <f t="shared" ref="G7:G13" si="11">F7*E7</f>
        <v>0</v>
      </c>
      <c r="H7" s="14">
        <v>0</v>
      </c>
      <c r="I7" s="231">
        <v>0</v>
      </c>
      <c r="J7" s="233">
        <f t="shared" si="0"/>
        <v>0</v>
      </c>
      <c r="K7" s="171">
        <v>75</v>
      </c>
      <c r="L7" s="223">
        <v>67.77</v>
      </c>
      <c r="M7" s="233">
        <f t="shared" si="1"/>
        <v>5082.75</v>
      </c>
      <c r="N7" s="14">
        <v>70</v>
      </c>
      <c r="O7" s="231">
        <v>67.77</v>
      </c>
      <c r="P7" s="233">
        <f t="shared" si="2"/>
        <v>4743.8999999999996</v>
      </c>
      <c r="Q7" s="14">
        <v>25</v>
      </c>
      <c r="R7" s="231">
        <v>0</v>
      </c>
      <c r="S7" s="233">
        <f t="shared" si="3"/>
        <v>0</v>
      </c>
      <c r="T7" s="14">
        <v>25</v>
      </c>
      <c r="U7" s="231">
        <v>0</v>
      </c>
      <c r="V7" s="233">
        <f t="shared" si="4"/>
        <v>0</v>
      </c>
      <c r="W7" s="14">
        <v>0</v>
      </c>
      <c r="X7" s="231">
        <v>0</v>
      </c>
      <c r="Y7" s="233">
        <f t="shared" si="5"/>
        <v>0</v>
      </c>
      <c r="Z7" s="14">
        <v>0</v>
      </c>
      <c r="AA7" s="231">
        <v>0</v>
      </c>
      <c r="AB7" s="233">
        <f t="shared" si="6"/>
        <v>0</v>
      </c>
      <c r="AC7" s="14">
        <v>0</v>
      </c>
      <c r="AD7" s="231">
        <v>0</v>
      </c>
      <c r="AE7" s="233">
        <f t="shared" si="7"/>
        <v>0</v>
      </c>
      <c r="AF7" s="14">
        <v>0</v>
      </c>
      <c r="AG7" s="231">
        <v>0</v>
      </c>
      <c r="AH7" s="233">
        <f t="shared" si="8"/>
        <v>0</v>
      </c>
      <c r="AI7" s="14">
        <v>0</v>
      </c>
      <c r="AJ7" s="231">
        <v>0</v>
      </c>
      <c r="AK7" s="233">
        <f t="shared" si="9"/>
        <v>0</v>
      </c>
      <c r="AL7" s="14">
        <v>0</v>
      </c>
      <c r="AM7" s="231">
        <v>0</v>
      </c>
      <c r="AN7" s="233">
        <f t="shared" si="10"/>
        <v>0</v>
      </c>
    </row>
    <row r="8" spans="1:40" x14ac:dyDescent="0.3">
      <c r="A8" s="25" t="s">
        <v>253</v>
      </c>
      <c r="B8" s="5">
        <v>56579</v>
      </c>
      <c r="C8" s="8">
        <v>0</v>
      </c>
      <c r="D8" s="5">
        <v>0</v>
      </c>
      <c r="E8" s="9">
        <v>0</v>
      </c>
      <c r="F8" s="223">
        <v>0</v>
      </c>
      <c r="G8" s="229">
        <f t="shared" si="11"/>
        <v>0</v>
      </c>
      <c r="H8" s="14">
        <v>0</v>
      </c>
      <c r="I8" s="231">
        <v>0</v>
      </c>
      <c r="J8" s="233">
        <f t="shared" si="0"/>
        <v>0</v>
      </c>
      <c r="K8" s="171">
        <v>1</v>
      </c>
      <c r="L8" s="223">
        <v>405.11</v>
      </c>
      <c r="M8" s="233">
        <f t="shared" si="1"/>
        <v>405.11</v>
      </c>
      <c r="N8" s="14">
        <v>1</v>
      </c>
      <c r="O8" s="231">
        <v>405.11</v>
      </c>
      <c r="P8" s="233">
        <f t="shared" si="2"/>
        <v>405.11</v>
      </c>
      <c r="Q8" s="14">
        <v>1</v>
      </c>
      <c r="R8" s="231">
        <v>0</v>
      </c>
      <c r="S8" s="233">
        <f t="shared" si="3"/>
        <v>0</v>
      </c>
      <c r="T8" s="14">
        <v>1</v>
      </c>
      <c r="U8" s="231">
        <v>0</v>
      </c>
      <c r="V8" s="233">
        <f t="shared" si="4"/>
        <v>0</v>
      </c>
      <c r="W8" s="14">
        <v>0</v>
      </c>
      <c r="X8" s="231">
        <v>0</v>
      </c>
      <c r="Y8" s="233">
        <f t="shared" si="5"/>
        <v>0</v>
      </c>
      <c r="Z8" s="14">
        <v>0</v>
      </c>
      <c r="AA8" s="231">
        <v>0</v>
      </c>
      <c r="AB8" s="233">
        <f t="shared" si="6"/>
        <v>0</v>
      </c>
      <c r="AC8" s="14">
        <v>0</v>
      </c>
      <c r="AD8" s="231">
        <v>0</v>
      </c>
      <c r="AE8" s="233">
        <f t="shared" si="7"/>
        <v>0</v>
      </c>
      <c r="AF8" s="14">
        <v>0</v>
      </c>
      <c r="AG8" s="231">
        <v>0</v>
      </c>
      <c r="AH8" s="233">
        <f t="shared" si="8"/>
        <v>0</v>
      </c>
      <c r="AI8" s="14">
        <v>0</v>
      </c>
      <c r="AJ8" s="231">
        <v>0</v>
      </c>
      <c r="AK8" s="233">
        <f t="shared" si="9"/>
        <v>0</v>
      </c>
      <c r="AL8" s="14">
        <v>0</v>
      </c>
      <c r="AM8" s="231">
        <v>0</v>
      </c>
      <c r="AN8" s="233">
        <f t="shared" si="10"/>
        <v>0</v>
      </c>
    </row>
    <row r="9" spans="1:40" x14ac:dyDescent="0.3">
      <c r="A9" s="25" t="s">
        <v>254</v>
      </c>
      <c r="B9" s="5"/>
      <c r="C9" s="8">
        <v>0</v>
      </c>
      <c r="D9" s="5">
        <v>0</v>
      </c>
      <c r="E9" s="9">
        <v>0</v>
      </c>
      <c r="F9" s="223">
        <v>0</v>
      </c>
      <c r="G9" s="229">
        <f t="shared" si="11"/>
        <v>0</v>
      </c>
      <c r="H9" s="14">
        <v>0</v>
      </c>
      <c r="I9" s="231">
        <v>0</v>
      </c>
      <c r="J9" s="233">
        <f t="shared" si="0"/>
        <v>0</v>
      </c>
      <c r="K9" s="171">
        <v>5</v>
      </c>
      <c r="L9" s="223">
        <v>18.829999999999998</v>
      </c>
      <c r="M9" s="233">
        <f t="shared" si="1"/>
        <v>94.149999999999991</v>
      </c>
      <c r="N9" s="14">
        <v>5</v>
      </c>
      <c r="O9" s="231">
        <v>18.829999999999998</v>
      </c>
      <c r="P9" s="233">
        <f t="shared" si="2"/>
        <v>94.149999999999991</v>
      </c>
      <c r="Q9" s="14">
        <v>1</v>
      </c>
      <c r="R9" s="231">
        <v>0</v>
      </c>
      <c r="S9" s="233">
        <f t="shared" si="3"/>
        <v>0</v>
      </c>
      <c r="T9" s="14">
        <v>1</v>
      </c>
      <c r="U9" s="231">
        <v>0</v>
      </c>
      <c r="V9" s="233">
        <f t="shared" si="4"/>
        <v>0</v>
      </c>
      <c r="W9" s="14">
        <v>0</v>
      </c>
      <c r="X9" s="231">
        <v>0</v>
      </c>
      <c r="Y9" s="233">
        <f t="shared" si="5"/>
        <v>0</v>
      </c>
      <c r="Z9" s="14">
        <v>0</v>
      </c>
      <c r="AA9" s="231">
        <v>0</v>
      </c>
      <c r="AB9" s="233">
        <f t="shared" si="6"/>
        <v>0</v>
      </c>
      <c r="AC9" s="14">
        <v>0</v>
      </c>
      <c r="AD9" s="231">
        <v>0</v>
      </c>
      <c r="AE9" s="233">
        <f t="shared" si="7"/>
        <v>0</v>
      </c>
      <c r="AF9" s="14">
        <v>0</v>
      </c>
      <c r="AG9" s="231">
        <v>0</v>
      </c>
      <c r="AH9" s="233">
        <f t="shared" si="8"/>
        <v>0</v>
      </c>
      <c r="AI9" s="14">
        <v>0</v>
      </c>
      <c r="AJ9" s="231">
        <v>0</v>
      </c>
      <c r="AK9" s="233">
        <f t="shared" si="9"/>
        <v>0</v>
      </c>
      <c r="AL9" s="14">
        <v>0</v>
      </c>
      <c r="AM9" s="231">
        <v>0</v>
      </c>
      <c r="AN9" s="233">
        <f t="shared" si="10"/>
        <v>0</v>
      </c>
    </row>
    <row r="10" spans="1:40" x14ac:dyDescent="0.3">
      <c r="A10" s="25"/>
      <c r="B10" s="5">
        <v>64964</v>
      </c>
      <c r="C10" s="8">
        <v>0</v>
      </c>
      <c r="D10" s="5">
        <v>0</v>
      </c>
      <c r="E10" s="9">
        <v>0</v>
      </c>
      <c r="F10" s="223">
        <v>0</v>
      </c>
      <c r="G10" s="229">
        <f t="shared" si="11"/>
        <v>0</v>
      </c>
      <c r="H10" s="14">
        <v>0</v>
      </c>
      <c r="I10" s="231">
        <v>0</v>
      </c>
      <c r="J10" s="236">
        <f t="shared" si="0"/>
        <v>0</v>
      </c>
      <c r="K10" s="171">
        <v>0</v>
      </c>
      <c r="L10" s="237">
        <v>0</v>
      </c>
      <c r="M10" s="236">
        <f t="shared" si="1"/>
        <v>0</v>
      </c>
      <c r="N10" s="14">
        <v>0</v>
      </c>
      <c r="O10" s="231">
        <v>0</v>
      </c>
      <c r="P10" s="236">
        <f t="shared" si="2"/>
        <v>0</v>
      </c>
      <c r="Q10" s="14">
        <v>0</v>
      </c>
      <c r="R10" s="231">
        <v>0</v>
      </c>
      <c r="S10" s="236">
        <f t="shared" si="3"/>
        <v>0</v>
      </c>
      <c r="T10" s="14">
        <v>0</v>
      </c>
      <c r="U10" s="231">
        <v>0</v>
      </c>
      <c r="V10" s="236">
        <f t="shared" si="4"/>
        <v>0</v>
      </c>
      <c r="W10" s="14">
        <v>0</v>
      </c>
      <c r="X10" s="231">
        <v>0</v>
      </c>
      <c r="Y10" s="236">
        <f t="shared" si="5"/>
        <v>0</v>
      </c>
      <c r="Z10" s="14">
        <v>0</v>
      </c>
      <c r="AA10" s="231">
        <v>0</v>
      </c>
      <c r="AB10" s="236">
        <f t="shared" si="6"/>
        <v>0</v>
      </c>
      <c r="AC10" s="14">
        <v>0</v>
      </c>
      <c r="AD10" s="231">
        <v>0</v>
      </c>
      <c r="AE10" s="236">
        <f t="shared" si="7"/>
        <v>0</v>
      </c>
      <c r="AF10" s="14">
        <v>0</v>
      </c>
      <c r="AG10" s="231">
        <v>0</v>
      </c>
      <c r="AH10" s="236">
        <f t="shared" si="8"/>
        <v>0</v>
      </c>
      <c r="AI10" s="14">
        <v>0</v>
      </c>
      <c r="AJ10" s="231">
        <v>0</v>
      </c>
      <c r="AK10" s="236">
        <f t="shared" si="9"/>
        <v>0</v>
      </c>
      <c r="AL10" s="14">
        <v>0</v>
      </c>
      <c r="AM10" s="231">
        <v>0</v>
      </c>
      <c r="AN10" s="236">
        <f t="shared" si="10"/>
        <v>0</v>
      </c>
    </row>
    <row r="11" spans="1:40" x14ac:dyDescent="0.3">
      <c r="A11" s="5"/>
      <c r="B11" s="5"/>
      <c r="C11" s="8">
        <v>0</v>
      </c>
      <c r="D11" s="5">
        <v>0</v>
      </c>
      <c r="E11" s="5">
        <v>0</v>
      </c>
      <c r="F11" s="223">
        <v>0</v>
      </c>
      <c r="G11" s="229">
        <f t="shared" si="11"/>
        <v>0</v>
      </c>
      <c r="H11" s="13">
        <v>0</v>
      </c>
      <c r="I11" s="231">
        <v>0</v>
      </c>
      <c r="J11" s="235">
        <f t="shared" si="0"/>
        <v>0</v>
      </c>
      <c r="K11" s="13">
        <v>0</v>
      </c>
      <c r="L11" s="231">
        <v>0</v>
      </c>
      <c r="M11" s="235">
        <f t="shared" si="1"/>
        <v>0</v>
      </c>
      <c r="N11" s="13">
        <v>0</v>
      </c>
      <c r="O11" s="231">
        <v>0</v>
      </c>
      <c r="P11" s="235">
        <f t="shared" si="2"/>
        <v>0</v>
      </c>
      <c r="Q11" s="13">
        <v>0</v>
      </c>
      <c r="R11" s="231">
        <v>0</v>
      </c>
      <c r="S11" s="235">
        <f t="shared" si="3"/>
        <v>0</v>
      </c>
      <c r="T11" s="13">
        <v>0</v>
      </c>
      <c r="U11" s="231">
        <v>0</v>
      </c>
      <c r="V11" s="235">
        <f t="shared" si="4"/>
        <v>0</v>
      </c>
      <c r="W11" s="13">
        <v>0</v>
      </c>
      <c r="X11" s="231">
        <v>0</v>
      </c>
      <c r="Y11" s="235">
        <f t="shared" si="5"/>
        <v>0</v>
      </c>
      <c r="Z11" s="13">
        <v>0</v>
      </c>
      <c r="AA11" s="231">
        <v>0</v>
      </c>
      <c r="AB11" s="235">
        <f t="shared" si="6"/>
        <v>0</v>
      </c>
      <c r="AC11" s="13">
        <v>0</v>
      </c>
      <c r="AD11" s="231">
        <v>0</v>
      </c>
      <c r="AE11" s="235">
        <f t="shared" si="7"/>
        <v>0</v>
      </c>
      <c r="AF11" s="13">
        <v>0</v>
      </c>
      <c r="AG11" s="231">
        <v>0</v>
      </c>
      <c r="AH11" s="235">
        <f t="shared" si="8"/>
        <v>0</v>
      </c>
      <c r="AI11" s="13">
        <v>0</v>
      </c>
      <c r="AJ11" s="231">
        <v>0</v>
      </c>
      <c r="AK11" s="235">
        <f t="shared" si="9"/>
        <v>0</v>
      </c>
      <c r="AL11" s="13">
        <v>0</v>
      </c>
      <c r="AM11" s="231">
        <v>0</v>
      </c>
      <c r="AN11" s="235">
        <f t="shared" si="10"/>
        <v>0</v>
      </c>
    </row>
    <row r="12" spans="1:40" x14ac:dyDescent="0.3">
      <c r="A12" s="10"/>
      <c r="B12" s="10"/>
      <c r="C12" s="90">
        <v>0</v>
      </c>
      <c r="D12" s="10">
        <v>0</v>
      </c>
      <c r="E12" s="10">
        <v>0</v>
      </c>
      <c r="F12" s="224">
        <v>0</v>
      </c>
      <c r="G12" s="229">
        <f t="shared" si="11"/>
        <v>0</v>
      </c>
      <c r="H12" s="13">
        <v>0</v>
      </c>
      <c r="I12" s="231">
        <v>0</v>
      </c>
      <c r="J12" s="235">
        <f t="shared" si="0"/>
        <v>0</v>
      </c>
      <c r="K12" s="13">
        <v>0</v>
      </c>
      <c r="L12" s="231">
        <v>0</v>
      </c>
      <c r="M12" s="235">
        <f t="shared" si="1"/>
        <v>0</v>
      </c>
      <c r="N12" s="13">
        <v>0</v>
      </c>
      <c r="O12" s="231">
        <v>0</v>
      </c>
      <c r="P12" s="235">
        <f t="shared" si="2"/>
        <v>0</v>
      </c>
      <c r="Q12" s="13">
        <v>0</v>
      </c>
      <c r="R12" s="231">
        <v>0</v>
      </c>
      <c r="S12" s="235">
        <f t="shared" si="3"/>
        <v>0</v>
      </c>
      <c r="T12" s="13">
        <v>0</v>
      </c>
      <c r="U12" s="231">
        <v>0</v>
      </c>
      <c r="V12" s="235">
        <f t="shared" si="4"/>
        <v>0</v>
      </c>
      <c r="W12" s="13">
        <v>0</v>
      </c>
      <c r="X12" s="231">
        <v>0</v>
      </c>
      <c r="Y12" s="235">
        <f t="shared" si="5"/>
        <v>0</v>
      </c>
      <c r="Z12" s="13">
        <v>0</v>
      </c>
      <c r="AA12" s="231">
        <v>0</v>
      </c>
      <c r="AB12" s="235">
        <f t="shared" si="6"/>
        <v>0</v>
      </c>
      <c r="AC12" s="13">
        <v>0</v>
      </c>
      <c r="AD12" s="231">
        <v>0</v>
      </c>
      <c r="AE12" s="235">
        <f t="shared" si="7"/>
        <v>0</v>
      </c>
      <c r="AF12" s="13">
        <v>0</v>
      </c>
      <c r="AG12" s="231">
        <v>0</v>
      </c>
      <c r="AH12" s="235">
        <f t="shared" si="8"/>
        <v>0</v>
      </c>
      <c r="AI12" s="13">
        <v>0</v>
      </c>
      <c r="AJ12" s="231">
        <v>0</v>
      </c>
      <c r="AK12" s="235">
        <f t="shared" si="9"/>
        <v>0</v>
      </c>
      <c r="AL12" s="13">
        <v>0</v>
      </c>
      <c r="AM12" s="231">
        <v>0</v>
      </c>
      <c r="AN12" s="235">
        <f t="shared" si="10"/>
        <v>0</v>
      </c>
    </row>
    <row r="13" spans="1:40" x14ac:dyDescent="0.3">
      <c r="A13" s="10"/>
      <c r="B13" s="10"/>
      <c r="C13" s="8">
        <v>0</v>
      </c>
      <c r="D13" s="10">
        <v>0</v>
      </c>
      <c r="E13" s="5">
        <v>0</v>
      </c>
      <c r="F13" s="224"/>
      <c r="G13" s="229">
        <f t="shared" si="11"/>
        <v>0</v>
      </c>
      <c r="H13" s="12"/>
      <c r="I13" s="232"/>
      <c r="J13" s="233"/>
      <c r="K13" s="13">
        <v>0</v>
      </c>
      <c r="L13" s="232">
        <v>0</v>
      </c>
      <c r="M13" s="233">
        <f t="shared" si="1"/>
        <v>0</v>
      </c>
      <c r="N13" s="12"/>
      <c r="O13" s="232"/>
      <c r="P13" s="233"/>
      <c r="Q13" s="12"/>
      <c r="R13" s="232"/>
      <c r="S13" s="233"/>
      <c r="T13" s="12"/>
      <c r="U13" s="232"/>
      <c r="V13" s="233"/>
      <c r="W13" s="12"/>
      <c r="X13" s="232"/>
      <c r="Y13" s="233"/>
      <c r="Z13" s="12"/>
      <c r="AA13" s="232"/>
      <c r="AB13" s="233"/>
      <c r="AC13" s="12"/>
      <c r="AD13" s="232"/>
      <c r="AE13" s="233"/>
      <c r="AF13" s="12"/>
      <c r="AG13" s="232"/>
      <c r="AH13" s="233"/>
      <c r="AI13" s="12"/>
      <c r="AJ13" s="232"/>
      <c r="AK13" s="233"/>
      <c r="AL13" s="12"/>
      <c r="AM13" s="232"/>
      <c r="AN13" s="233"/>
    </row>
    <row r="14" spans="1:40" ht="16.2" x14ac:dyDescent="0.45">
      <c r="A14" s="12"/>
      <c r="B14" s="12"/>
      <c r="C14" s="12"/>
      <c r="D14" s="12"/>
      <c r="E14" s="12"/>
      <c r="F14" s="191" t="s">
        <v>8</v>
      </c>
      <c r="G14" s="238">
        <f>SUM(G6:G13)</f>
        <v>0</v>
      </c>
      <c r="H14" s="12"/>
      <c r="I14" s="191" t="s">
        <v>8</v>
      </c>
      <c r="J14" s="238">
        <f>SUM(J6:J13)</f>
        <v>0</v>
      </c>
      <c r="K14" s="12"/>
      <c r="L14" s="191" t="s">
        <v>8</v>
      </c>
      <c r="M14" s="238">
        <f>SUM(M6:M13)</f>
        <v>29778.510000000006</v>
      </c>
      <c r="N14" s="12"/>
      <c r="O14" s="191" t="s">
        <v>8</v>
      </c>
      <c r="P14" s="238">
        <f>SUM(P6:P13)</f>
        <v>29439.660000000003</v>
      </c>
      <c r="Q14" s="12"/>
      <c r="R14" s="191" t="s">
        <v>8</v>
      </c>
      <c r="S14" s="238">
        <f>SUM(S6:S13)</f>
        <v>24196.500000000004</v>
      </c>
      <c r="T14" s="12"/>
      <c r="U14" s="191" t="s">
        <v>8</v>
      </c>
      <c r="V14" s="238">
        <f>SUM(V6:V13)</f>
        <v>24196.500000000004</v>
      </c>
      <c r="W14" s="12"/>
      <c r="X14" s="191" t="s">
        <v>8</v>
      </c>
      <c r="Y14" s="238">
        <f>SUM(Y6:Y13)</f>
        <v>0</v>
      </c>
      <c r="Z14" s="12"/>
      <c r="AA14" s="191" t="s">
        <v>8</v>
      </c>
      <c r="AB14" s="238">
        <f>SUM(AB6:AB13)</f>
        <v>0</v>
      </c>
      <c r="AC14" s="12"/>
      <c r="AD14" s="191" t="s">
        <v>8</v>
      </c>
      <c r="AE14" s="238">
        <f>SUM(AE6:AE13)</f>
        <v>0</v>
      </c>
      <c r="AF14" s="12"/>
      <c r="AG14" s="191" t="s">
        <v>8</v>
      </c>
      <c r="AH14" s="238">
        <f>SUM(AH6:AH13)</f>
        <v>0</v>
      </c>
      <c r="AI14" s="12"/>
      <c r="AJ14" s="191" t="s">
        <v>8</v>
      </c>
      <c r="AK14" s="238">
        <f>SUM(AK6:AK13)</f>
        <v>0</v>
      </c>
      <c r="AL14" s="12"/>
      <c r="AM14" s="191" t="s">
        <v>8</v>
      </c>
      <c r="AN14" s="238">
        <f>SUM(AN6:AN13)</f>
        <v>0</v>
      </c>
    </row>
  </sheetData>
  <hyperlinks>
    <hyperlink ref="A2" location="Menu!A1" display="Menu" xr:uid="{00000000-0004-0000-0F00-000000000000}"/>
  </hyperlinks>
  <pageMargins left="0.511811024" right="0.511811024" top="0.78740157499999996" bottom="0.78740157499999996" header="0.31496062000000002" footer="0.3149606200000000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Plan8"/>
  <dimension ref="A1:AN15"/>
  <sheetViews>
    <sheetView workbookViewId="0">
      <pane xSplit="1" topLeftCell="B1" activePane="topRight" state="frozen"/>
      <selection pane="topRight" activeCell="I8" sqref="I8"/>
    </sheetView>
  </sheetViews>
  <sheetFormatPr defaultColWidth="9.109375" defaultRowHeight="14.4" x14ac:dyDescent="0.3"/>
  <cols>
    <col min="1" max="1" width="14.109375" style="1" bestFit="1" customWidth="1"/>
    <col min="2" max="2" width="9.109375" style="1"/>
    <col min="3" max="3" width="18.88671875" style="1" bestFit="1" customWidth="1"/>
    <col min="4" max="4" width="16.6640625" style="1" bestFit="1" customWidth="1"/>
    <col min="5" max="5" width="14.109375" style="1" bestFit="1" customWidth="1"/>
    <col min="6" max="6" width="9.5546875" style="1" bestFit="1" customWidth="1"/>
    <col min="7" max="7" width="12.109375" style="1" bestFit="1" customWidth="1"/>
    <col min="8" max="8" width="14.109375" style="1" bestFit="1" customWidth="1"/>
    <col min="9" max="9" width="9.109375" style="1"/>
    <col min="10" max="10" width="10.88671875" style="1" bestFit="1" customWidth="1"/>
    <col min="11" max="11" width="14.109375" style="1" bestFit="1" customWidth="1"/>
    <col min="12" max="12" width="10.6640625" style="1" bestFit="1" customWidth="1"/>
    <col min="13" max="13" width="12.109375" style="1" bestFit="1" customWidth="1"/>
    <col min="14" max="14" width="14.109375" style="1" bestFit="1" customWidth="1"/>
    <col min="15" max="15" width="9.109375" style="1"/>
    <col min="16" max="16" width="10.88671875" style="1" bestFit="1" customWidth="1"/>
    <col min="17" max="17" width="14.109375" style="1" bestFit="1" customWidth="1"/>
    <col min="18" max="18" width="9.109375" style="1"/>
    <col min="19" max="19" width="10.88671875" style="1" bestFit="1" customWidth="1"/>
    <col min="20" max="20" width="14.109375" style="1" bestFit="1" customWidth="1"/>
    <col min="21" max="21" width="9.109375" style="1"/>
    <col min="22" max="22" width="10.88671875" style="1" bestFit="1" customWidth="1"/>
    <col min="23" max="23" width="14.109375" style="1" bestFit="1" customWidth="1"/>
    <col min="24" max="24" width="9.5546875" style="1" bestFit="1" customWidth="1"/>
    <col min="25" max="25" width="10.88671875" style="1" bestFit="1" customWidth="1"/>
    <col min="26" max="26" width="14.109375" style="1" bestFit="1" customWidth="1"/>
    <col min="27" max="27" width="9.5546875" style="1" bestFit="1" customWidth="1"/>
    <col min="28" max="28" width="10.88671875" style="1" bestFit="1" customWidth="1"/>
    <col min="29" max="29" width="14.109375" style="1" bestFit="1" customWidth="1"/>
    <col min="30" max="30" width="9.5546875" style="1" bestFit="1" customWidth="1"/>
    <col min="31" max="31" width="10.88671875" style="1" bestFit="1" customWidth="1"/>
    <col min="32" max="32" width="14.109375" style="1" bestFit="1" customWidth="1"/>
    <col min="33" max="33" width="9.5546875" style="1" bestFit="1" customWidth="1"/>
    <col min="34" max="34" width="10.88671875" style="1" bestFit="1" customWidth="1"/>
    <col min="35" max="35" width="14.109375" style="1" bestFit="1" customWidth="1"/>
    <col min="36" max="36" width="9.5546875" style="1" bestFit="1" customWidth="1"/>
    <col min="37" max="37" width="10.88671875" style="1" bestFit="1" customWidth="1"/>
    <col min="38" max="38" width="14.109375" style="1" bestFit="1" customWidth="1"/>
    <col min="39" max="39" width="9.5546875" style="1" bestFit="1" customWidth="1"/>
    <col min="40" max="40" width="10.88671875" style="1" bestFit="1" customWidth="1"/>
    <col min="41" max="16384" width="9.109375" style="1"/>
  </cols>
  <sheetData>
    <row r="1" spans="1:40" ht="15" thickBot="1" x14ac:dyDescent="0.35"/>
    <row r="2" spans="1:40" ht="29.4" thickBot="1" x14ac:dyDescent="0.35">
      <c r="A2" s="262" t="s">
        <v>110</v>
      </c>
    </row>
    <row r="3" spans="1:40" ht="29.4" thickBot="1" x14ac:dyDescent="0.6">
      <c r="A3" s="257" t="s">
        <v>171</v>
      </c>
      <c r="B3" s="164"/>
      <c r="C3" s="164"/>
      <c r="D3" s="731"/>
      <c r="E3" s="6"/>
      <c r="F3" s="6"/>
      <c r="G3" s="6"/>
    </row>
    <row r="4" spans="1:40" ht="15" customHeight="1" x14ac:dyDescent="0.55000000000000004">
      <c r="A4" s="165"/>
      <c r="B4" s="165"/>
      <c r="C4" s="165"/>
      <c r="D4" s="731"/>
      <c r="E4" s="6"/>
      <c r="F4" s="6"/>
      <c r="G4" s="6"/>
    </row>
    <row r="5" spans="1:40" x14ac:dyDescent="0.3">
      <c r="A5" s="7"/>
      <c r="B5" s="7"/>
      <c r="C5" s="7"/>
      <c r="D5" s="7"/>
      <c r="E5" s="4">
        <v>44562</v>
      </c>
      <c r="F5" s="4">
        <v>44562</v>
      </c>
      <c r="G5" s="29">
        <v>44562</v>
      </c>
      <c r="H5" s="11">
        <v>45323</v>
      </c>
      <c r="I5" s="11">
        <v>45323</v>
      </c>
      <c r="J5" s="11">
        <v>45323</v>
      </c>
      <c r="K5" s="11">
        <v>45352</v>
      </c>
      <c r="L5" s="11">
        <v>45352</v>
      </c>
      <c r="M5" s="11">
        <v>45352</v>
      </c>
      <c r="N5" s="11">
        <v>45383</v>
      </c>
      <c r="O5" s="11">
        <v>45383</v>
      </c>
      <c r="P5" s="11">
        <v>45383</v>
      </c>
      <c r="Q5" s="11">
        <v>45413</v>
      </c>
      <c r="R5" s="11">
        <v>45413</v>
      </c>
      <c r="S5" s="11">
        <v>45413</v>
      </c>
      <c r="T5" s="11">
        <v>45444</v>
      </c>
      <c r="U5" s="11">
        <v>45444</v>
      </c>
      <c r="V5" s="11">
        <v>45444</v>
      </c>
      <c r="W5" s="11">
        <v>45474</v>
      </c>
      <c r="X5" s="11">
        <v>45474</v>
      </c>
      <c r="Y5" s="11">
        <v>45474</v>
      </c>
      <c r="Z5" s="11">
        <v>45505</v>
      </c>
      <c r="AA5" s="11">
        <v>45505</v>
      </c>
      <c r="AB5" s="11">
        <v>45505</v>
      </c>
      <c r="AC5" s="11">
        <v>45536</v>
      </c>
      <c r="AD5" s="11">
        <v>45536</v>
      </c>
      <c r="AE5" s="11">
        <v>45536</v>
      </c>
      <c r="AF5" s="11">
        <v>45566</v>
      </c>
      <c r="AG5" s="11">
        <v>45566</v>
      </c>
      <c r="AH5" s="11">
        <v>45566</v>
      </c>
      <c r="AI5" s="11">
        <v>45597</v>
      </c>
      <c r="AJ5" s="11">
        <v>45597</v>
      </c>
      <c r="AK5" s="11">
        <v>45597</v>
      </c>
      <c r="AL5" s="11">
        <v>45627</v>
      </c>
      <c r="AM5" s="11">
        <v>45627</v>
      </c>
      <c r="AN5" s="11">
        <v>45627</v>
      </c>
    </row>
    <row r="6" spans="1:40" x14ac:dyDescent="0.3">
      <c r="A6" s="5" t="s">
        <v>1</v>
      </c>
      <c r="B6" s="5" t="s">
        <v>2</v>
      </c>
      <c r="C6" s="5" t="s">
        <v>3</v>
      </c>
      <c r="D6" s="5" t="s">
        <v>9</v>
      </c>
      <c r="E6" s="5" t="s">
        <v>5</v>
      </c>
      <c r="F6" s="5" t="s">
        <v>6</v>
      </c>
      <c r="G6" s="23" t="s">
        <v>7</v>
      </c>
      <c r="H6" s="13" t="s">
        <v>5</v>
      </c>
      <c r="I6" s="13" t="s">
        <v>6</v>
      </c>
      <c r="J6" s="26" t="s">
        <v>7</v>
      </c>
      <c r="K6" s="13" t="s">
        <v>5</v>
      </c>
      <c r="L6" s="13" t="s">
        <v>116</v>
      </c>
      <c r="M6" s="26" t="s">
        <v>7</v>
      </c>
      <c r="N6" s="13" t="s">
        <v>5</v>
      </c>
      <c r="O6" s="13" t="s">
        <v>6</v>
      </c>
      <c r="P6" s="26" t="s">
        <v>7</v>
      </c>
      <c r="Q6" s="13" t="s">
        <v>5</v>
      </c>
      <c r="R6" s="13" t="s">
        <v>6</v>
      </c>
      <c r="S6" s="26" t="s">
        <v>7</v>
      </c>
      <c r="T6" s="13" t="s">
        <v>5</v>
      </c>
      <c r="U6" s="13" t="s">
        <v>6</v>
      </c>
      <c r="V6" s="26" t="s">
        <v>7</v>
      </c>
      <c r="W6" s="13" t="s">
        <v>5</v>
      </c>
      <c r="X6" s="13" t="s">
        <v>6</v>
      </c>
      <c r="Y6" s="26" t="s">
        <v>7</v>
      </c>
      <c r="Z6" s="13" t="s">
        <v>5</v>
      </c>
      <c r="AA6" s="13" t="s">
        <v>6</v>
      </c>
      <c r="AB6" s="26" t="s">
        <v>7</v>
      </c>
      <c r="AC6" s="13" t="s">
        <v>5</v>
      </c>
      <c r="AD6" s="13" t="s">
        <v>6</v>
      </c>
      <c r="AE6" s="26" t="s">
        <v>7</v>
      </c>
      <c r="AF6" s="13" t="s">
        <v>5</v>
      </c>
      <c r="AG6" s="13" t="s">
        <v>6</v>
      </c>
      <c r="AH6" s="26" t="s">
        <v>7</v>
      </c>
      <c r="AI6" s="13" t="s">
        <v>5</v>
      </c>
      <c r="AJ6" s="13" t="s">
        <v>6</v>
      </c>
      <c r="AK6" s="26" t="s">
        <v>7</v>
      </c>
      <c r="AL6" s="13" t="s">
        <v>5</v>
      </c>
      <c r="AM6" s="13" t="s">
        <v>6</v>
      </c>
      <c r="AN6" s="26" t="s">
        <v>7</v>
      </c>
    </row>
    <row r="7" spans="1:40" x14ac:dyDescent="0.3">
      <c r="A7" s="25"/>
      <c r="B7" s="5">
        <v>0</v>
      </c>
      <c r="C7" s="8">
        <v>0</v>
      </c>
      <c r="D7" s="5">
        <v>0</v>
      </c>
      <c r="E7" s="9">
        <v>0</v>
      </c>
      <c r="F7" s="223">
        <v>0</v>
      </c>
      <c r="G7" s="229">
        <f>F7*E7</f>
        <v>0</v>
      </c>
      <c r="H7" s="14">
        <v>0</v>
      </c>
      <c r="I7" s="231">
        <v>0</v>
      </c>
      <c r="J7" s="233">
        <f t="shared" ref="J7:J13" si="0">I7*H7</f>
        <v>0</v>
      </c>
      <c r="K7" s="171">
        <v>0</v>
      </c>
      <c r="L7" s="237">
        <v>0</v>
      </c>
      <c r="M7" s="233">
        <f t="shared" ref="M7:M13" si="1">L7*K7</f>
        <v>0</v>
      </c>
      <c r="N7" s="14">
        <v>0</v>
      </c>
      <c r="O7" s="231">
        <v>0</v>
      </c>
      <c r="P7" s="233">
        <f t="shared" ref="P7:P13" si="2">O7*N7</f>
        <v>0</v>
      </c>
      <c r="Q7" s="14">
        <v>0</v>
      </c>
      <c r="R7" s="231">
        <v>8</v>
      </c>
      <c r="S7" s="233">
        <f t="shared" ref="S7:S13" si="3">R7*Q7</f>
        <v>0</v>
      </c>
      <c r="T7" s="14">
        <v>0</v>
      </c>
      <c r="U7" s="231">
        <v>9</v>
      </c>
      <c r="V7" s="233">
        <f t="shared" ref="V7:V13" si="4">U7*T7</f>
        <v>0</v>
      </c>
      <c r="W7" s="14">
        <v>0</v>
      </c>
      <c r="X7" s="231">
        <v>10</v>
      </c>
      <c r="Y7" s="233">
        <f t="shared" ref="Y7:Y13" si="5">X7*W7</f>
        <v>0</v>
      </c>
      <c r="Z7" s="14">
        <v>0</v>
      </c>
      <c r="AA7" s="231">
        <v>0</v>
      </c>
      <c r="AB7" s="233">
        <f t="shared" ref="AB7:AB13" si="6">AA7*Z7</f>
        <v>0</v>
      </c>
      <c r="AC7" s="14">
        <v>0</v>
      </c>
      <c r="AD7" s="231">
        <v>0</v>
      </c>
      <c r="AE7" s="233">
        <f t="shared" ref="AE7:AE13" si="7">AD7*AC7</f>
        <v>0</v>
      </c>
      <c r="AF7" s="14">
        <v>0</v>
      </c>
      <c r="AG7" s="231">
        <v>13</v>
      </c>
      <c r="AH7" s="233">
        <f t="shared" ref="AH7:AH13" si="8">AG7*AF7</f>
        <v>0</v>
      </c>
      <c r="AI7" s="14">
        <v>0</v>
      </c>
      <c r="AJ7" s="231">
        <v>0</v>
      </c>
      <c r="AK7" s="233">
        <f t="shared" ref="AK7:AK13" si="9">AJ7*AI7</f>
        <v>0</v>
      </c>
      <c r="AL7" s="14">
        <v>0</v>
      </c>
      <c r="AM7" s="231">
        <v>15</v>
      </c>
      <c r="AN7" s="233">
        <f t="shared" ref="AN7:AN13" si="10">AM7*AL7</f>
        <v>0</v>
      </c>
    </row>
    <row r="8" spans="1:40" x14ac:dyDescent="0.3">
      <c r="A8" s="25"/>
      <c r="B8" s="5">
        <v>0</v>
      </c>
      <c r="C8" s="8">
        <v>0</v>
      </c>
      <c r="D8" s="5">
        <v>0</v>
      </c>
      <c r="E8" s="9">
        <v>0</v>
      </c>
      <c r="F8" s="223">
        <v>0</v>
      </c>
      <c r="G8" s="229">
        <f t="shared" ref="G8:G13" si="11">F8*E8</f>
        <v>0</v>
      </c>
      <c r="H8" s="14">
        <v>0</v>
      </c>
      <c r="I8" s="231">
        <v>0</v>
      </c>
      <c r="J8" s="233">
        <f t="shared" si="0"/>
        <v>0</v>
      </c>
      <c r="K8" s="171">
        <v>0</v>
      </c>
      <c r="L8" s="237">
        <v>0</v>
      </c>
      <c r="M8" s="233">
        <f t="shared" si="1"/>
        <v>0</v>
      </c>
      <c r="N8" s="14">
        <v>0</v>
      </c>
      <c r="O8" s="231">
        <v>0</v>
      </c>
      <c r="P8" s="233">
        <f t="shared" si="2"/>
        <v>0</v>
      </c>
      <c r="Q8" s="14">
        <v>0</v>
      </c>
      <c r="R8" s="231">
        <v>0</v>
      </c>
      <c r="S8" s="233">
        <f t="shared" si="3"/>
        <v>0</v>
      </c>
      <c r="T8" s="14">
        <v>0</v>
      </c>
      <c r="U8" s="231">
        <v>0</v>
      </c>
      <c r="V8" s="233">
        <f t="shared" si="4"/>
        <v>0</v>
      </c>
      <c r="W8" s="14">
        <v>0</v>
      </c>
      <c r="X8" s="231">
        <v>0</v>
      </c>
      <c r="Y8" s="233">
        <f t="shared" si="5"/>
        <v>0</v>
      </c>
      <c r="Z8" s="14">
        <v>0</v>
      </c>
      <c r="AA8" s="231">
        <v>0</v>
      </c>
      <c r="AB8" s="233">
        <f t="shared" si="6"/>
        <v>0</v>
      </c>
      <c r="AC8" s="14">
        <v>0</v>
      </c>
      <c r="AD8" s="231">
        <v>0</v>
      </c>
      <c r="AE8" s="233">
        <f t="shared" si="7"/>
        <v>0</v>
      </c>
      <c r="AF8" s="14">
        <v>0</v>
      </c>
      <c r="AG8" s="231">
        <v>0</v>
      </c>
      <c r="AH8" s="233">
        <f t="shared" si="8"/>
        <v>0</v>
      </c>
      <c r="AI8" s="14">
        <v>0</v>
      </c>
      <c r="AJ8" s="231">
        <v>0</v>
      </c>
      <c r="AK8" s="233">
        <f t="shared" si="9"/>
        <v>0</v>
      </c>
      <c r="AL8" s="14">
        <v>0</v>
      </c>
      <c r="AM8" s="231">
        <v>0</v>
      </c>
      <c r="AN8" s="233">
        <f t="shared" si="10"/>
        <v>0</v>
      </c>
    </row>
    <row r="9" spans="1:40" x14ac:dyDescent="0.3">
      <c r="A9" s="25"/>
      <c r="B9" s="5">
        <v>0</v>
      </c>
      <c r="C9" s="8">
        <v>0</v>
      </c>
      <c r="D9" s="5">
        <v>0</v>
      </c>
      <c r="E9" s="9">
        <v>0</v>
      </c>
      <c r="F9" s="223">
        <v>0</v>
      </c>
      <c r="G9" s="229">
        <f t="shared" si="11"/>
        <v>0</v>
      </c>
      <c r="H9" s="14">
        <v>0</v>
      </c>
      <c r="I9" s="231">
        <v>0</v>
      </c>
      <c r="J9" s="233">
        <f t="shared" si="0"/>
        <v>0</v>
      </c>
      <c r="K9" s="171">
        <v>0</v>
      </c>
      <c r="L9" s="237">
        <v>0</v>
      </c>
      <c r="M9" s="233">
        <f t="shared" si="1"/>
        <v>0</v>
      </c>
      <c r="N9" s="14">
        <v>0</v>
      </c>
      <c r="O9" s="231">
        <v>0</v>
      </c>
      <c r="P9" s="233">
        <f t="shared" si="2"/>
        <v>0</v>
      </c>
      <c r="Q9" s="14">
        <v>0</v>
      </c>
      <c r="R9" s="231">
        <v>0</v>
      </c>
      <c r="S9" s="233">
        <f t="shared" si="3"/>
        <v>0</v>
      </c>
      <c r="T9" s="14">
        <v>0</v>
      </c>
      <c r="U9" s="231">
        <v>0</v>
      </c>
      <c r="V9" s="233">
        <f t="shared" si="4"/>
        <v>0</v>
      </c>
      <c r="W9" s="14">
        <v>0</v>
      </c>
      <c r="X9" s="231">
        <v>0</v>
      </c>
      <c r="Y9" s="233">
        <f t="shared" si="5"/>
        <v>0</v>
      </c>
      <c r="Z9" s="14">
        <v>0</v>
      </c>
      <c r="AA9" s="231">
        <v>0</v>
      </c>
      <c r="AB9" s="233">
        <f t="shared" si="6"/>
        <v>0</v>
      </c>
      <c r="AC9" s="14">
        <v>0</v>
      </c>
      <c r="AD9" s="231">
        <v>0</v>
      </c>
      <c r="AE9" s="233">
        <f t="shared" si="7"/>
        <v>0</v>
      </c>
      <c r="AF9" s="14">
        <v>0</v>
      </c>
      <c r="AG9" s="231">
        <v>0</v>
      </c>
      <c r="AH9" s="233">
        <f t="shared" si="8"/>
        <v>0</v>
      </c>
      <c r="AI9" s="14">
        <v>0</v>
      </c>
      <c r="AJ9" s="231">
        <v>0</v>
      </c>
      <c r="AK9" s="233">
        <f t="shared" si="9"/>
        <v>0</v>
      </c>
      <c r="AL9" s="14">
        <v>0</v>
      </c>
      <c r="AM9" s="231">
        <v>0</v>
      </c>
      <c r="AN9" s="233">
        <f t="shared" si="10"/>
        <v>0</v>
      </c>
    </row>
    <row r="10" spans="1:40" x14ac:dyDescent="0.3">
      <c r="A10" s="25"/>
      <c r="B10" s="5">
        <v>0</v>
      </c>
      <c r="C10" s="8">
        <v>0</v>
      </c>
      <c r="D10" s="5">
        <v>0</v>
      </c>
      <c r="E10" s="9">
        <v>0</v>
      </c>
      <c r="F10" s="223">
        <v>0</v>
      </c>
      <c r="G10" s="229">
        <f t="shared" si="11"/>
        <v>0</v>
      </c>
      <c r="H10" s="14">
        <v>0</v>
      </c>
      <c r="I10" s="231">
        <v>0</v>
      </c>
      <c r="J10" s="233">
        <f t="shared" si="0"/>
        <v>0</v>
      </c>
      <c r="K10" s="171">
        <v>0</v>
      </c>
      <c r="L10" s="237">
        <v>0</v>
      </c>
      <c r="M10" s="233">
        <f t="shared" si="1"/>
        <v>0</v>
      </c>
      <c r="N10" s="14">
        <v>0</v>
      </c>
      <c r="O10" s="231">
        <v>0</v>
      </c>
      <c r="P10" s="233">
        <f t="shared" si="2"/>
        <v>0</v>
      </c>
      <c r="Q10" s="14">
        <v>0</v>
      </c>
      <c r="R10" s="231">
        <v>0</v>
      </c>
      <c r="S10" s="233">
        <f t="shared" si="3"/>
        <v>0</v>
      </c>
      <c r="T10" s="14">
        <v>0</v>
      </c>
      <c r="U10" s="231">
        <v>0</v>
      </c>
      <c r="V10" s="233">
        <f t="shared" si="4"/>
        <v>0</v>
      </c>
      <c r="W10" s="14">
        <v>0</v>
      </c>
      <c r="X10" s="231">
        <v>0</v>
      </c>
      <c r="Y10" s="233">
        <f t="shared" si="5"/>
        <v>0</v>
      </c>
      <c r="Z10" s="14">
        <v>0</v>
      </c>
      <c r="AA10" s="231">
        <v>0</v>
      </c>
      <c r="AB10" s="233">
        <f t="shared" si="6"/>
        <v>0</v>
      </c>
      <c r="AC10" s="14">
        <v>0</v>
      </c>
      <c r="AD10" s="231">
        <v>0</v>
      </c>
      <c r="AE10" s="233">
        <f t="shared" si="7"/>
        <v>0</v>
      </c>
      <c r="AF10" s="14">
        <v>0</v>
      </c>
      <c r="AG10" s="231">
        <v>0</v>
      </c>
      <c r="AH10" s="233">
        <f t="shared" si="8"/>
        <v>0</v>
      </c>
      <c r="AI10" s="14">
        <v>0</v>
      </c>
      <c r="AJ10" s="231">
        <v>0</v>
      </c>
      <c r="AK10" s="233">
        <f t="shared" si="9"/>
        <v>0</v>
      </c>
      <c r="AL10" s="14">
        <v>0</v>
      </c>
      <c r="AM10" s="231">
        <v>0</v>
      </c>
      <c r="AN10" s="233">
        <f t="shared" si="10"/>
        <v>0</v>
      </c>
    </row>
    <row r="11" spans="1:40" x14ac:dyDescent="0.3">
      <c r="A11" s="22"/>
      <c r="B11" s="5">
        <v>0</v>
      </c>
      <c r="C11" s="8">
        <v>0</v>
      </c>
      <c r="D11" s="5">
        <v>0</v>
      </c>
      <c r="E11" s="9">
        <v>0</v>
      </c>
      <c r="F11" s="223">
        <v>0</v>
      </c>
      <c r="G11" s="229">
        <f t="shared" si="11"/>
        <v>0</v>
      </c>
      <c r="H11" s="14">
        <v>0</v>
      </c>
      <c r="I11" s="231">
        <v>0</v>
      </c>
      <c r="J11" s="236">
        <f t="shared" si="0"/>
        <v>0</v>
      </c>
      <c r="K11" s="14">
        <v>0</v>
      </c>
      <c r="L11" s="231">
        <v>0</v>
      </c>
      <c r="M11" s="236">
        <f t="shared" si="1"/>
        <v>0</v>
      </c>
      <c r="N11" s="14">
        <v>0</v>
      </c>
      <c r="O11" s="231">
        <v>0</v>
      </c>
      <c r="P11" s="236">
        <f t="shared" si="2"/>
        <v>0</v>
      </c>
      <c r="Q11" s="14">
        <v>0</v>
      </c>
      <c r="R11" s="231">
        <v>0</v>
      </c>
      <c r="S11" s="236">
        <f t="shared" si="3"/>
        <v>0</v>
      </c>
      <c r="T11" s="14">
        <v>0</v>
      </c>
      <c r="U11" s="231">
        <v>0</v>
      </c>
      <c r="V11" s="236">
        <f t="shared" si="4"/>
        <v>0</v>
      </c>
      <c r="W11" s="14">
        <v>0</v>
      </c>
      <c r="X11" s="231">
        <v>0</v>
      </c>
      <c r="Y11" s="236">
        <f t="shared" si="5"/>
        <v>0</v>
      </c>
      <c r="Z11" s="14">
        <v>0</v>
      </c>
      <c r="AA11" s="231">
        <v>0</v>
      </c>
      <c r="AB11" s="236">
        <f t="shared" si="6"/>
        <v>0</v>
      </c>
      <c r="AC11" s="14">
        <v>0</v>
      </c>
      <c r="AD11" s="231">
        <v>0</v>
      </c>
      <c r="AE11" s="236">
        <f t="shared" si="7"/>
        <v>0</v>
      </c>
      <c r="AF11" s="14">
        <v>0</v>
      </c>
      <c r="AG11" s="231">
        <v>0</v>
      </c>
      <c r="AH11" s="236">
        <f t="shared" si="8"/>
        <v>0</v>
      </c>
      <c r="AI11" s="14">
        <v>0</v>
      </c>
      <c r="AJ11" s="231">
        <v>0</v>
      </c>
      <c r="AK11" s="236">
        <f t="shared" si="9"/>
        <v>0</v>
      </c>
      <c r="AL11" s="14">
        <v>0</v>
      </c>
      <c r="AM11" s="231">
        <v>0</v>
      </c>
      <c r="AN11" s="236">
        <f t="shared" si="10"/>
        <v>0</v>
      </c>
    </row>
    <row r="12" spans="1:40" x14ac:dyDescent="0.3">
      <c r="A12" s="10"/>
      <c r="B12" s="10">
        <v>0</v>
      </c>
      <c r="C12" s="90">
        <v>0</v>
      </c>
      <c r="D12" s="10">
        <v>0</v>
      </c>
      <c r="E12" s="10">
        <v>0</v>
      </c>
      <c r="F12" s="224">
        <v>0</v>
      </c>
      <c r="G12" s="229">
        <f t="shared" si="11"/>
        <v>0</v>
      </c>
      <c r="H12" s="13">
        <v>0</v>
      </c>
      <c r="I12" s="231">
        <v>0</v>
      </c>
      <c r="J12" s="235">
        <f t="shared" si="0"/>
        <v>0</v>
      </c>
      <c r="K12" s="13">
        <v>0</v>
      </c>
      <c r="L12" s="231">
        <v>0</v>
      </c>
      <c r="M12" s="235">
        <f t="shared" si="1"/>
        <v>0</v>
      </c>
      <c r="N12" s="13">
        <v>0</v>
      </c>
      <c r="O12" s="231">
        <v>0</v>
      </c>
      <c r="P12" s="235">
        <f t="shared" si="2"/>
        <v>0</v>
      </c>
      <c r="Q12" s="13">
        <v>0</v>
      </c>
      <c r="R12" s="231">
        <v>0</v>
      </c>
      <c r="S12" s="235">
        <f t="shared" si="3"/>
        <v>0</v>
      </c>
      <c r="T12" s="13">
        <v>0</v>
      </c>
      <c r="U12" s="231">
        <v>0</v>
      </c>
      <c r="V12" s="235">
        <f t="shared" si="4"/>
        <v>0</v>
      </c>
      <c r="W12" s="13">
        <v>0</v>
      </c>
      <c r="X12" s="231">
        <v>0</v>
      </c>
      <c r="Y12" s="235">
        <f t="shared" si="5"/>
        <v>0</v>
      </c>
      <c r="Z12" s="13">
        <v>0</v>
      </c>
      <c r="AA12" s="231">
        <v>0</v>
      </c>
      <c r="AB12" s="235">
        <f t="shared" si="6"/>
        <v>0</v>
      </c>
      <c r="AC12" s="13">
        <v>0</v>
      </c>
      <c r="AD12" s="231">
        <v>0</v>
      </c>
      <c r="AE12" s="235">
        <f t="shared" si="7"/>
        <v>0</v>
      </c>
      <c r="AF12" s="13">
        <v>0</v>
      </c>
      <c r="AG12" s="231">
        <v>0</v>
      </c>
      <c r="AH12" s="235">
        <f t="shared" si="8"/>
        <v>0</v>
      </c>
      <c r="AI12" s="13">
        <v>0</v>
      </c>
      <c r="AJ12" s="231">
        <v>0</v>
      </c>
      <c r="AK12" s="235">
        <f t="shared" si="9"/>
        <v>0</v>
      </c>
      <c r="AL12" s="13">
        <v>0</v>
      </c>
      <c r="AM12" s="231">
        <v>0</v>
      </c>
      <c r="AN12" s="235">
        <f t="shared" si="10"/>
        <v>0</v>
      </c>
    </row>
    <row r="13" spans="1:40" x14ac:dyDescent="0.3">
      <c r="A13" s="13"/>
      <c r="B13" s="13"/>
      <c r="C13" s="12"/>
      <c r="D13" s="13"/>
      <c r="E13" s="13">
        <v>0</v>
      </c>
      <c r="F13" s="255">
        <v>0</v>
      </c>
      <c r="G13" s="260">
        <f t="shared" si="11"/>
        <v>0</v>
      </c>
      <c r="H13" s="13">
        <v>0</v>
      </c>
      <c r="I13" s="231">
        <v>0</v>
      </c>
      <c r="J13" s="235">
        <f t="shared" si="0"/>
        <v>0</v>
      </c>
      <c r="K13" s="13">
        <v>0</v>
      </c>
      <c r="L13" s="231">
        <v>0</v>
      </c>
      <c r="M13" s="235">
        <f t="shared" si="1"/>
        <v>0</v>
      </c>
      <c r="N13" s="13">
        <v>0</v>
      </c>
      <c r="O13" s="231">
        <v>0</v>
      </c>
      <c r="P13" s="235">
        <f t="shared" si="2"/>
        <v>0</v>
      </c>
      <c r="Q13" s="13">
        <v>0</v>
      </c>
      <c r="R13" s="231">
        <v>0</v>
      </c>
      <c r="S13" s="235">
        <f t="shared" si="3"/>
        <v>0</v>
      </c>
      <c r="T13" s="13">
        <v>0</v>
      </c>
      <c r="U13" s="231">
        <v>0</v>
      </c>
      <c r="V13" s="235">
        <f t="shared" si="4"/>
        <v>0</v>
      </c>
      <c r="W13" s="13">
        <v>0</v>
      </c>
      <c r="X13" s="231">
        <v>0</v>
      </c>
      <c r="Y13" s="235">
        <f t="shared" si="5"/>
        <v>0</v>
      </c>
      <c r="Z13" s="13">
        <v>0</v>
      </c>
      <c r="AA13" s="231">
        <v>0</v>
      </c>
      <c r="AB13" s="235">
        <f t="shared" si="6"/>
        <v>0</v>
      </c>
      <c r="AC13" s="13">
        <v>0</v>
      </c>
      <c r="AD13" s="231">
        <v>0</v>
      </c>
      <c r="AE13" s="235">
        <f t="shared" si="7"/>
        <v>0</v>
      </c>
      <c r="AF13" s="13">
        <v>0</v>
      </c>
      <c r="AG13" s="231">
        <v>0</v>
      </c>
      <c r="AH13" s="235">
        <f t="shared" si="8"/>
        <v>0</v>
      </c>
      <c r="AI13" s="13">
        <v>0</v>
      </c>
      <c r="AJ13" s="231">
        <v>0</v>
      </c>
      <c r="AK13" s="235">
        <f t="shared" si="9"/>
        <v>0</v>
      </c>
      <c r="AL13" s="13">
        <v>0</v>
      </c>
      <c r="AM13" s="231">
        <v>0</v>
      </c>
      <c r="AN13" s="235">
        <f t="shared" si="10"/>
        <v>0</v>
      </c>
    </row>
    <row r="14" spans="1:40" x14ac:dyDescent="0.3">
      <c r="A14" s="13"/>
      <c r="B14" s="13"/>
      <c r="C14" s="12"/>
      <c r="D14" s="13"/>
      <c r="E14" s="13"/>
      <c r="F14" s="255"/>
      <c r="G14" s="260"/>
      <c r="H14" s="12"/>
      <c r="I14" s="232"/>
      <c r="J14" s="233"/>
      <c r="K14" s="13">
        <v>0</v>
      </c>
      <c r="L14" s="232"/>
      <c r="M14" s="233"/>
      <c r="N14" s="12"/>
      <c r="O14" s="232"/>
      <c r="P14" s="233"/>
      <c r="Q14" s="12"/>
      <c r="R14" s="232"/>
      <c r="S14" s="233"/>
      <c r="T14" s="12"/>
      <c r="U14" s="232"/>
      <c r="V14" s="233"/>
      <c r="W14" s="12"/>
      <c r="X14" s="232"/>
      <c r="Y14" s="233"/>
      <c r="Z14" s="12"/>
      <c r="AA14" s="232"/>
      <c r="AB14" s="233"/>
      <c r="AC14" s="12"/>
      <c r="AD14" s="232"/>
      <c r="AE14" s="233"/>
      <c r="AF14" s="12"/>
      <c r="AG14" s="232"/>
      <c r="AH14" s="233"/>
      <c r="AI14" s="12"/>
      <c r="AJ14" s="232"/>
      <c r="AK14" s="233"/>
      <c r="AL14" s="12"/>
      <c r="AM14" s="232"/>
      <c r="AN14" s="233"/>
    </row>
    <row r="15" spans="1:40" ht="16.2" x14ac:dyDescent="0.45">
      <c r="A15" s="12"/>
      <c r="B15" s="12"/>
      <c r="C15" s="12"/>
      <c r="D15" s="12"/>
      <c r="E15" s="12"/>
      <c r="F15" s="191" t="s">
        <v>8</v>
      </c>
      <c r="G15" s="261">
        <f>SUM(G7:G13)</f>
        <v>0</v>
      </c>
      <c r="H15" s="12"/>
      <c r="I15" s="191" t="s">
        <v>8</v>
      </c>
      <c r="J15" s="238">
        <f>SUM(J7:J14)</f>
        <v>0</v>
      </c>
      <c r="K15" s="12"/>
      <c r="L15" s="191" t="s">
        <v>8</v>
      </c>
      <c r="M15" s="238">
        <f>SUM(M7:M14)</f>
        <v>0</v>
      </c>
      <c r="N15" s="12"/>
      <c r="O15" s="191" t="s">
        <v>8</v>
      </c>
      <c r="P15" s="238">
        <f>SUM(P7:P14)</f>
        <v>0</v>
      </c>
      <c r="Q15" s="12"/>
      <c r="R15" s="191" t="s">
        <v>8</v>
      </c>
      <c r="S15" s="238">
        <f>SUM(S7:S14)</f>
        <v>0</v>
      </c>
      <c r="T15" s="12"/>
      <c r="U15" s="191" t="s">
        <v>8</v>
      </c>
      <c r="V15" s="238">
        <f>SUM(V7:V14)</f>
        <v>0</v>
      </c>
      <c r="W15" s="12"/>
      <c r="X15" s="191" t="s">
        <v>8</v>
      </c>
      <c r="Y15" s="238">
        <f>SUM(Y7:Y14)</f>
        <v>0</v>
      </c>
      <c r="Z15" s="12"/>
      <c r="AA15" s="191" t="s">
        <v>8</v>
      </c>
      <c r="AB15" s="238">
        <f>SUM(AB7:AB14)</f>
        <v>0</v>
      </c>
      <c r="AC15" s="12"/>
      <c r="AD15" s="191" t="s">
        <v>8</v>
      </c>
      <c r="AE15" s="238">
        <f>SUM(AE7:AE14)</f>
        <v>0</v>
      </c>
      <c r="AF15" s="12"/>
      <c r="AG15" s="191" t="s">
        <v>8</v>
      </c>
      <c r="AH15" s="238">
        <f>SUM(AH7:AH14)</f>
        <v>0</v>
      </c>
      <c r="AI15" s="12"/>
      <c r="AJ15" s="191" t="s">
        <v>8</v>
      </c>
      <c r="AK15" s="238">
        <f>SUM(AK7:AK14)</f>
        <v>0</v>
      </c>
      <c r="AL15" s="12"/>
      <c r="AM15" s="191" t="s">
        <v>8</v>
      </c>
      <c r="AN15" s="238">
        <f>SUM(AN7:AN14)</f>
        <v>0</v>
      </c>
    </row>
  </sheetData>
  <mergeCells count="1">
    <mergeCell ref="D3:D4"/>
  </mergeCells>
  <hyperlinks>
    <hyperlink ref="A2" location="Menu!A1" display="Menu" xr:uid="{00000000-0004-0000-1000-000000000000}"/>
  </hyperlinks>
  <pageMargins left="0.511811024" right="0.511811024" top="0.78740157499999996" bottom="0.78740157499999996" header="0.31496062000000002" footer="0.3149606200000000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Plan9"/>
  <dimension ref="A1:AM20"/>
  <sheetViews>
    <sheetView workbookViewId="0">
      <pane xSplit="1" topLeftCell="B1" activePane="topRight" state="frozen"/>
      <selection pane="topRight" activeCell="AO11" sqref="AO11"/>
    </sheetView>
  </sheetViews>
  <sheetFormatPr defaultColWidth="9.109375" defaultRowHeight="14.4" x14ac:dyDescent="0.3"/>
  <cols>
    <col min="1" max="1" width="16.33203125" style="1" bestFit="1" customWidth="1"/>
    <col min="2" max="2" width="18.88671875" style="1" bestFit="1" customWidth="1"/>
    <col min="3" max="3" width="16.6640625" style="1" bestFit="1" customWidth="1"/>
    <col min="4" max="4" width="14.109375" style="1" bestFit="1" customWidth="1"/>
    <col min="5" max="5" width="9.5546875" style="1" bestFit="1" customWidth="1"/>
    <col min="6" max="6" width="12.109375" style="1" bestFit="1" customWidth="1"/>
    <col min="7" max="7" width="14.109375" style="1" bestFit="1" customWidth="1"/>
    <col min="8" max="8" width="9.109375" style="1"/>
    <col min="9" max="9" width="10.88671875" style="1" bestFit="1" customWidth="1"/>
    <col min="10" max="10" width="14.109375" style="1" bestFit="1" customWidth="1"/>
    <col min="11" max="11" width="9.5546875" style="1" bestFit="1" customWidth="1"/>
    <col min="12" max="12" width="10.88671875" style="1" bestFit="1" customWidth="1"/>
    <col min="13" max="13" width="14.109375" style="1" bestFit="1" customWidth="1"/>
    <col min="14" max="14" width="9.109375" style="1"/>
    <col min="15" max="15" width="10.88671875" style="1" bestFit="1" customWidth="1"/>
    <col min="16" max="16" width="14.109375" style="1" bestFit="1" customWidth="1"/>
    <col min="17" max="17" width="9.109375" style="1"/>
    <col min="18" max="18" width="10.88671875" style="1" bestFit="1" customWidth="1"/>
    <col min="19" max="19" width="14.109375" style="1" bestFit="1" customWidth="1"/>
    <col min="20" max="20" width="9.109375" style="1"/>
    <col min="21" max="21" width="10.88671875" style="1" bestFit="1" customWidth="1"/>
    <col min="22" max="22" width="14.109375" style="1" bestFit="1" customWidth="1"/>
    <col min="23" max="23" width="9.5546875" style="1" bestFit="1" customWidth="1"/>
    <col min="24" max="24" width="10.88671875" style="1" bestFit="1" customWidth="1"/>
    <col min="25" max="25" width="14.109375" style="1" bestFit="1" customWidth="1"/>
    <col min="26" max="26" width="9.5546875" style="1" bestFit="1" customWidth="1"/>
    <col min="27" max="27" width="10.88671875" style="1" bestFit="1" customWidth="1"/>
    <col min="28" max="28" width="14.109375" style="1" bestFit="1" customWidth="1"/>
    <col min="29" max="29" width="9.5546875" style="1" bestFit="1" customWidth="1"/>
    <col min="30" max="30" width="10.88671875" style="1" bestFit="1" customWidth="1"/>
    <col min="31" max="31" width="14.109375" style="1" bestFit="1" customWidth="1"/>
    <col min="32" max="32" width="9.5546875" style="1" bestFit="1" customWidth="1"/>
    <col min="33" max="33" width="10.88671875" style="1" bestFit="1" customWidth="1"/>
    <col min="34" max="34" width="14.109375" style="1" bestFit="1" customWidth="1"/>
    <col min="35" max="35" width="9.5546875" style="1" bestFit="1" customWidth="1"/>
    <col min="36" max="36" width="10.88671875" style="1" bestFit="1" customWidth="1"/>
    <col min="37" max="37" width="14.109375" style="1" bestFit="1" customWidth="1"/>
    <col min="38" max="38" width="9.5546875" style="1" bestFit="1" customWidth="1"/>
    <col min="39" max="39" width="10.88671875" style="1" bestFit="1" customWidth="1"/>
    <col min="40" max="16384" width="9.109375" style="1"/>
  </cols>
  <sheetData>
    <row r="1" spans="1:39" ht="29.4" thickBot="1" x14ac:dyDescent="0.6">
      <c r="A1" s="262" t="s">
        <v>110</v>
      </c>
      <c r="B1" s="164"/>
      <c r="C1" s="731"/>
      <c r="D1" s="6"/>
      <c r="E1" s="6"/>
      <c r="F1" s="6"/>
    </row>
    <row r="2" spans="1:39" ht="28.8" x14ac:dyDescent="0.55000000000000004">
      <c r="A2" s="265" t="s">
        <v>172</v>
      </c>
      <c r="B2" s="165"/>
      <c r="C2" s="731"/>
      <c r="D2" s="6"/>
      <c r="E2" s="6"/>
      <c r="F2" s="6"/>
    </row>
    <row r="3" spans="1:39" x14ac:dyDescent="0.3">
      <c r="A3" s="7"/>
      <c r="B3" s="7"/>
      <c r="C3" s="7"/>
      <c r="D3" s="4">
        <v>45292</v>
      </c>
      <c r="E3" s="4">
        <v>45292</v>
      </c>
      <c r="F3" s="29">
        <v>45292</v>
      </c>
      <c r="G3" s="11">
        <v>45323</v>
      </c>
      <c r="H3" s="11">
        <v>45323</v>
      </c>
      <c r="I3" s="11">
        <v>45323</v>
      </c>
      <c r="J3" s="11">
        <v>45352</v>
      </c>
      <c r="K3" s="11">
        <v>45352</v>
      </c>
      <c r="L3" s="11">
        <v>45352</v>
      </c>
      <c r="M3" s="11">
        <v>45383</v>
      </c>
      <c r="N3" s="11">
        <v>45383</v>
      </c>
      <c r="O3" s="11">
        <v>45383</v>
      </c>
      <c r="P3" s="11">
        <v>45413</v>
      </c>
      <c r="Q3" s="11">
        <v>45413</v>
      </c>
      <c r="R3" s="11">
        <v>45413</v>
      </c>
      <c r="S3" s="11">
        <v>45444</v>
      </c>
      <c r="T3" s="11">
        <v>45444</v>
      </c>
      <c r="U3" s="11">
        <v>45444</v>
      </c>
      <c r="V3" s="11">
        <v>45474</v>
      </c>
      <c r="W3" s="11">
        <v>45474</v>
      </c>
      <c r="X3" s="11">
        <v>45474</v>
      </c>
      <c r="Y3" s="11">
        <v>45505</v>
      </c>
      <c r="Z3" s="11">
        <v>45505</v>
      </c>
      <c r="AA3" s="11">
        <v>45505</v>
      </c>
      <c r="AB3" s="11">
        <v>45536</v>
      </c>
      <c r="AC3" s="11">
        <v>45536</v>
      </c>
      <c r="AD3" s="11">
        <v>45536</v>
      </c>
      <c r="AE3" s="11">
        <v>45566</v>
      </c>
      <c r="AF3" s="11">
        <v>45566</v>
      </c>
      <c r="AG3" s="11">
        <v>45566</v>
      </c>
      <c r="AH3" s="11">
        <v>45597</v>
      </c>
      <c r="AI3" s="11">
        <v>45597</v>
      </c>
      <c r="AJ3" s="11">
        <v>45597</v>
      </c>
      <c r="AK3" s="11">
        <v>45627</v>
      </c>
      <c r="AL3" s="11">
        <v>45627</v>
      </c>
      <c r="AM3" s="11">
        <v>45627</v>
      </c>
    </row>
    <row r="4" spans="1:39" x14ac:dyDescent="0.3">
      <c r="A4" s="5" t="s">
        <v>1</v>
      </c>
      <c r="B4" s="5" t="s">
        <v>3</v>
      </c>
      <c r="C4" s="5" t="s">
        <v>9</v>
      </c>
      <c r="D4" s="5" t="s">
        <v>5</v>
      </c>
      <c r="E4" s="5" t="s">
        <v>6</v>
      </c>
      <c r="F4" s="23" t="s">
        <v>7</v>
      </c>
      <c r="G4" s="13" t="s">
        <v>5</v>
      </c>
      <c r="H4" s="13" t="s">
        <v>6</v>
      </c>
      <c r="I4" s="26" t="s">
        <v>7</v>
      </c>
      <c r="J4" s="13" t="s">
        <v>5</v>
      </c>
      <c r="K4" s="13" t="s">
        <v>6</v>
      </c>
      <c r="L4" s="26" t="s">
        <v>7</v>
      </c>
      <c r="M4" s="13" t="s">
        <v>5</v>
      </c>
      <c r="N4" s="13" t="s">
        <v>6</v>
      </c>
      <c r="O4" s="26" t="s">
        <v>7</v>
      </c>
      <c r="P4" s="13" t="s">
        <v>5</v>
      </c>
      <c r="Q4" s="13" t="s">
        <v>6</v>
      </c>
      <c r="R4" s="26" t="s">
        <v>7</v>
      </c>
      <c r="S4" s="13" t="s">
        <v>5</v>
      </c>
      <c r="T4" s="13" t="s">
        <v>6</v>
      </c>
      <c r="U4" s="26" t="s">
        <v>7</v>
      </c>
      <c r="V4" s="13" t="s">
        <v>5</v>
      </c>
      <c r="W4" s="13" t="s">
        <v>6</v>
      </c>
      <c r="X4" s="26" t="s">
        <v>7</v>
      </c>
      <c r="Y4" s="13" t="s">
        <v>5</v>
      </c>
      <c r="Z4" s="13" t="s">
        <v>6</v>
      </c>
      <c r="AA4" s="26" t="s">
        <v>7</v>
      </c>
      <c r="AB4" s="13" t="s">
        <v>5</v>
      </c>
      <c r="AC4" s="13" t="s">
        <v>6</v>
      </c>
      <c r="AD4" s="26" t="s">
        <v>7</v>
      </c>
      <c r="AE4" s="13" t="s">
        <v>5</v>
      </c>
      <c r="AF4" s="13" t="s">
        <v>6</v>
      </c>
      <c r="AG4" s="26" t="s">
        <v>7</v>
      </c>
      <c r="AH4" s="13" t="s">
        <v>5</v>
      </c>
      <c r="AI4" s="13" t="s">
        <v>6</v>
      </c>
      <c r="AJ4" s="26" t="s">
        <v>7</v>
      </c>
      <c r="AK4" s="13" t="s">
        <v>5</v>
      </c>
      <c r="AL4" s="13" t="s">
        <v>6</v>
      </c>
      <c r="AM4" s="26" t="s">
        <v>7</v>
      </c>
    </row>
    <row r="5" spans="1:39" x14ac:dyDescent="0.3">
      <c r="A5" s="5"/>
      <c r="B5" s="8">
        <v>0</v>
      </c>
      <c r="C5" s="5">
        <v>0</v>
      </c>
      <c r="D5" s="9">
        <v>0</v>
      </c>
      <c r="E5" s="237">
        <v>0</v>
      </c>
      <c r="F5" s="252">
        <f>E5*D5</f>
        <v>0</v>
      </c>
      <c r="G5" s="14">
        <v>0</v>
      </c>
      <c r="H5" s="231">
        <v>0</v>
      </c>
      <c r="I5" s="236">
        <f t="shared" ref="I5:I11" si="0">H5*G5</f>
        <v>0</v>
      </c>
      <c r="J5" s="14">
        <v>0</v>
      </c>
      <c r="K5" s="231">
        <v>0</v>
      </c>
      <c r="L5" s="236">
        <f t="shared" ref="L5:L11" si="1">K5*J5</f>
        <v>0</v>
      </c>
      <c r="M5" s="14">
        <v>0</v>
      </c>
      <c r="N5" s="231">
        <v>0</v>
      </c>
      <c r="O5" s="236">
        <f t="shared" ref="O5:O11" si="2">N5*M5</f>
        <v>0</v>
      </c>
      <c r="P5" s="14">
        <v>0</v>
      </c>
      <c r="Q5" s="231">
        <v>0</v>
      </c>
      <c r="R5" s="236">
        <f t="shared" ref="R5:R11" si="3">Q5*P5</f>
        <v>0</v>
      </c>
      <c r="S5" s="14">
        <v>0</v>
      </c>
      <c r="T5" s="231">
        <v>0</v>
      </c>
      <c r="U5" s="236">
        <f t="shared" ref="U5:U11" si="4">T5*S5</f>
        <v>0</v>
      </c>
      <c r="V5" s="14">
        <v>0</v>
      </c>
      <c r="W5" s="231">
        <v>0</v>
      </c>
      <c r="X5" s="236">
        <f t="shared" ref="X5:X11" si="5">W5*V5</f>
        <v>0</v>
      </c>
      <c r="Y5" s="14">
        <v>0</v>
      </c>
      <c r="Z5" s="231">
        <v>0</v>
      </c>
      <c r="AA5" s="236">
        <f t="shared" ref="AA5:AA11" si="6">Z5*Y5</f>
        <v>0</v>
      </c>
      <c r="AB5" s="14">
        <v>0</v>
      </c>
      <c r="AC5" s="231">
        <v>0</v>
      </c>
      <c r="AD5" s="236">
        <f t="shared" ref="AD5:AD11" si="7">AC5*AB5</f>
        <v>0</v>
      </c>
      <c r="AE5" s="14">
        <v>0</v>
      </c>
      <c r="AF5" s="231">
        <v>0</v>
      </c>
      <c r="AG5" s="236">
        <f t="shared" ref="AG5:AG11" si="8">AF5*AE5</f>
        <v>0</v>
      </c>
      <c r="AH5" s="14">
        <v>0</v>
      </c>
      <c r="AI5" s="231">
        <v>0</v>
      </c>
      <c r="AJ5" s="236">
        <f t="shared" ref="AJ5:AJ11" si="9">AI5*AH5</f>
        <v>0</v>
      </c>
      <c r="AK5" s="14">
        <v>0</v>
      </c>
      <c r="AL5" s="231">
        <v>15</v>
      </c>
      <c r="AM5" s="236">
        <f t="shared" ref="AM5:AM11" si="10">AL5*AK5</f>
        <v>0</v>
      </c>
    </row>
    <row r="6" spans="1:39" x14ac:dyDescent="0.3">
      <c r="A6" s="5"/>
      <c r="B6" s="8">
        <v>0</v>
      </c>
      <c r="C6" s="5">
        <v>0</v>
      </c>
      <c r="D6" s="9">
        <v>0</v>
      </c>
      <c r="E6" s="237">
        <v>0</v>
      </c>
      <c r="F6" s="252">
        <f t="shared" ref="F6:F19" si="11">E6*D6</f>
        <v>0</v>
      </c>
      <c r="G6" s="14">
        <v>0</v>
      </c>
      <c r="H6" s="231">
        <v>0</v>
      </c>
      <c r="I6" s="236">
        <f t="shared" si="0"/>
        <v>0</v>
      </c>
      <c r="J6" s="14">
        <v>0</v>
      </c>
      <c r="K6" s="231">
        <v>0</v>
      </c>
      <c r="L6" s="236">
        <f t="shared" si="1"/>
        <v>0</v>
      </c>
      <c r="M6" s="14">
        <v>0</v>
      </c>
      <c r="N6" s="231">
        <v>0</v>
      </c>
      <c r="O6" s="236">
        <f t="shared" si="2"/>
        <v>0</v>
      </c>
      <c r="P6" s="14">
        <v>0</v>
      </c>
      <c r="Q6" s="231">
        <v>0</v>
      </c>
      <c r="R6" s="236">
        <f t="shared" si="3"/>
        <v>0</v>
      </c>
      <c r="S6" s="14">
        <v>0</v>
      </c>
      <c r="T6" s="231">
        <v>0</v>
      </c>
      <c r="U6" s="236">
        <f t="shared" si="4"/>
        <v>0</v>
      </c>
      <c r="V6" s="14">
        <v>0</v>
      </c>
      <c r="W6" s="231">
        <v>0</v>
      </c>
      <c r="X6" s="236">
        <f t="shared" si="5"/>
        <v>0</v>
      </c>
      <c r="Y6" s="14">
        <v>0</v>
      </c>
      <c r="Z6" s="231">
        <v>0</v>
      </c>
      <c r="AA6" s="236">
        <f t="shared" si="6"/>
        <v>0</v>
      </c>
      <c r="AB6" s="14">
        <v>0</v>
      </c>
      <c r="AC6" s="231">
        <v>0</v>
      </c>
      <c r="AD6" s="236">
        <f t="shared" si="7"/>
        <v>0</v>
      </c>
      <c r="AE6" s="14">
        <v>0</v>
      </c>
      <c r="AF6" s="231">
        <v>0</v>
      </c>
      <c r="AG6" s="236">
        <f t="shared" si="8"/>
        <v>0</v>
      </c>
      <c r="AH6" s="14">
        <v>0</v>
      </c>
      <c r="AI6" s="231">
        <v>0</v>
      </c>
      <c r="AJ6" s="236">
        <f t="shared" si="9"/>
        <v>0</v>
      </c>
      <c r="AK6" s="14">
        <v>0</v>
      </c>
      <c r="AL6" s="231">
        <v>0</v>
      </c>
      <c r="AM6" s="236">
        <f t="shared" si="10"/>
        <v>0</v>
      </c>
    </row>
    <row r="7" spans="1:39" x14ac:dyDescent="0.3">
      <c r="A7" s="5"/>
      <c r="B7" s="8">
        <v>0</v>
      </c>
      <c r="C7" s="5">
        <v>0</v>
      </c>
      <c r="D7" s="9">
        <v>0</v>
      </c>
      <c r="E7" s="237">
        <v>0</v>
      </c>
      <c r="F7" s="252">
        <f t="shared" si="11"/>
        <v>0</v>
      </c>
      <c r="G7" s="14">
        <v>0</v>
      </c>
      <c r="H7" s="231">
        <v>0</v>
      </c>
      <c r="I7" s="236">
        <f t="shared" si="0"/>
        <v>0</v>
      </c>
      <c r="J7" s="14">
        <v>0</v>
      </c>
      <c r="K7" s="231">
        <v>0</v>
      </c>
      <c r="L7" s="236">
        <f t="shared" si="1"/>
        <v>0</v>
      </c>
      <c r="M7" s="14">
        <v>0</v>
      </c>
      <c r="N7" s="231">
        <v>0</v>
      </c>
      <c r="O7" s="236">
        <f t="shared" si="2"/>
        <v>0</v>
      </c>
      <c r="P7" s="14">
        <v>0</v>
      </c>
      <c r="Q7" s="231">
        <v>0</v>
      </c>
      <c r="R7" s="236">
        <f t="shared" si="3"/>
        <v>0</v>
      </c>
      <c r="S7" s="14">
        <v>0</v>
      </c>
      <c r="T7" s="231">
        <v>0</v>
      </c>
      <c r="U7" s="236">
        <f t="shared" si="4"/>
        <v>0</v>
      </c>
      <c r="V7" s="14">
        <v>0</v>
      </c>
      <c r="W7" s="231">
        <v>0</v>
      </c>
      <c r="X7" s="236">
        <f t="shared" si="5"/>
        <v>0</v>
      </c>
      <c r="Y7" s="14">
        <v>0</v>
      </c>
      <c r="Z7" s="231">
        <v>0</v>
      </c>
      <c r="AA7" s="236">
        <f t="shared" si="6"/>
        <v>0</v>
      </c>
      <c r="AB7" s="14">
        <v>0</v>
      </c>
      <c r="AC7" s="231">
        <v>0</v>
      </c>
      <c r="AD7" s="236">
        <f t="shared" si="7"/>
        <v>0</v>
      </c>
      <c r="AE7" s="14">
        <v>0</v>
      </c>
      <c r="AF7" s="231">
        <v>0</v>
      </c>
      <c r="AG7" s="236">
        <f t="shared" si="8"/>
        <v>0</v>
      </c>
      <c r="AH7" s="14">
        <v>0</v>
      </c>
      <c r="AI7" s="231">
        <v>0</v>
      </c>
      <c r="AJ7" s="236">
        <f t="shared" si="9"/>
        <v>0</v>
      </c>
      <c r="AK7" s="14">
        <v>0</v>
      </c>
      <c r="AL7" s="231">
        <v>0</v>
      </c>
      <c r="AM7" s="236">
        <f t="shared" si="10"/>
        <v>0</v>
      </c>
    </row>
    <row r="8" spans="1:39" x14ac:dyDescent="0.3">
      <c r="A8" s="5"/>
      <c r="B8" s="8">
        <v>0</v>
      </c>
      <c r="C8" s="5">
        <v>0</v>
      </c>
      <c r="D8" s="9">
        <v>0</v>
      </c>
      <c r="E8" s="237">
        <v>0</v>
      </c>
      <c r="F8" s="252">
        <f t="shared" si="11"/>
        <v>0</v>
      </c>
      <c r="G8" s="14">
        <v>0</v>
      </c>
      <c r="H8" s="231">
        <v>0</v>
      </c>
      <c r="I8" s="236">
        <f t="shared" si="0"/>
        <v>0</v>
      </c>
      <c r="J8" s="14">
        <v>0</v>
      </c>
      <c r="K8" s="231">
        <v>0</v>
      </c>
      <c r="L8" s="236">
        <f t="shared" si="1"/>
        <v>0</v>
      </c>
      <c r="M8" s="14">
        <v>0</v>
      </c>
      <c r="N8" s="231">
        <v>0</v>
      </c>
      <c r="O8" s="236">
        <f t="shared" si="2"/>
        <v>0</v>
      </c>
      <c r="P8" s="14">
        <v>0</v>
      </c>
      <c r="Q8" s="231">
        <v>0</v>
      </c>
      <c r="R8" s="236">
        <f t="shared" si="3"/>
        <v>0</v>
      </c>
      <c r="S8" s="14">
        <v>0</v>
      </c>
      <c r="T8" s="231">
        <v>0</v>
      </c>
      <c r="U8" s="236">
        <f t="shared" si="4"/>
        <v>0</v>
      </c>
      <c r="V8" s="14">
        <v>0</v>
      </c>
      <c r="W8" s="231">
        <v>0</v>
      </c>
      <c r="X8" s="236">
        <f t="shared" si="5"/>
        <v>0</v>
      </c>
      <c r="Y8" s="14">
        <v>0</v>
      </c>
      <c r="Z8" s="231">
        <v>0</v>
      </c>
      <c r="AA8" s="236">
        <f t="shared" si="6"/>
        <v>0</v>
      </c>
      <c r="AB8" s="14">
        <v>0</v>
      </c>
      <c r="AC8" s="231">
        <v>0</v>
      </c>
      <c r="AD8" s="236">
        <f t="shared" si="7"/>
        <v>0</v>
      </c>
      <c r="AE8" s="14">
        <v>0</v>
      </c>
      <c r="AF8" s="231">
        <v>0</v>
      </c>
      <c r="AG8" s="236">
        <f t="shared" si="8"/>
        <v>0</v>
      </c>
      <c r="AH8" s="14">
        <v>0</v>
      </c>
      <c r="AI8" s="231">
        <v>0</v>
      </c>
      <c r="AJ8" s="236">
        <f t="shared" si="9"/>
        <v>0</v>
      </c>
      <c r="AK8" s="14">
        <v>0</v>
      </c>
      <c r="AL8" s="231">
        <v>0</v>
      </c>
      <c r="AM8" s="236">
        <f t="shared" si="10"/>
        <v>0</v>
      </c>
    </row>
    <row r="9" spans="1:39" x14ac:dyDescent="0.3">
      <c r="A9" s="5"/>
      <c r="B9" s="8">
        <v>0</v>
      </c>
      <c r="C9" s="5">
        <v>0</v>
      </c>
      <c r="D9" s="9">
        <v>0</v>
      </c>
      <c r="E9" s="237">
        <v>0</v>
      </c>
      <c r="F9" s="252">
        <f t="shared" si="11"/>
        <v>0</v>
      </c>
      <c r="G9" s="14">
        <v>0</v>
      </c>
      <c r="H9" s="231">
        <v>0</v>
      </c>
      <c r="I9" s="236">
        <f t="shared" si="0"/>
        <v>0</v>
      </c>
      <c r="J9" s="14">
        <v>0</v>
      </c>
      <c r="K9" s="231">
        <v>0</v>
      </c>
      <c r="L9" s="236">
        <f t="shared" si="1"/>
        <v>0</v>
      </c>
      <c r="M9" s="14">
        <v>0</v>
      </c>
      <c r="N9" s="231">
        <v>0</v>
      </c>
      <c r="O9" s="236">
        <f t="shared" si="2"/>
        <v>0</v>
      </c>
      <c r="P9" s="14">
        <v>0</v>
      </c>
      <c r="Q9" s="231">
        <v>0</v>
      </c>
      <c r="R9" s="236">
        <f t="shared" si="3"/>
        <v>0</v>
      </c>
      <c r="S9" s="14">
        <v>0</v>
      </c>
      <c r="T9" s="231">
        <v>0</v>
      </c>
      <c r="U9" s="236">
        <f t="shared" si="4"/>
        <v>0</v>
      </c>
      <c r="V9" s="14">
        <v>0</v>
      </c>
      <c r="W9" s="231">
        <v>0</v>
      </c>
      <c r="X9" s="236">
        <f t="shared" si="5"/>
        <v>0</v>
      </c>
      <c r="Y9" s="14">
        <v>0</v>
      </c>
      <c r="Z9" s="231">
        <v>0</v>
      </c>
      <c r="AA9" s="236">
        <f t="shared" si="6"/>
        <v>0</v>
      </c>
      <c r="AB9" s="14">
        <v>0</v>
      </c>
      <c r="AC9" s="231">
        <v>0</v>
      </c>
      <c r="AD9" s="236">
        <f t="shared" si="7"/>
        <v>0</v>
      </c>
      <c r="AE9" s="14">
        <v>0</v>
      </c>
      <c r="AF9" s="231">
        <v>0</v>
      </c>
      <c r="AG9" s="236">
        <f t="shared" si="8"/>
        <v>0</v>
      </c>
      <c r="AH9" s="14">
        <v>0</v>
      </c>
      <c r="AI9" s="231">
        <v>0</v>
      </c>
      <c r="AJ9" s="236">
        <f t="shared" si="9"/>
        <v>0</v>
      </c>
      <c r="AK9" s="14">
        <v>0</v>
      </c>
      <c r="AL9" s="231">
        <v>0</v>
      </c>
      <c r="AM9" s="236">
        <f t="shared" si="10"/>
        <v>0</v>
      </c>
    </row>
    <row r="10" spans="1:39" x14ac:dyDescent="0.3">
      <c r="A10" s="5"/>
      <c r="B10" s="8">
        <v>0</v>
      </c>
      <c r="C10" s="5">
        <v>0</v>
      </c>
      <c r="D10" s="5">
        <v>0</v>
      </c>
      <c r="E10" s="237">
        <v>0</v>
      </c>
      <c r="F10" s="252">
        <f t="shared" si="11"/>
        <v>0</v>
      </c>
      <c r="G10" s="13">
        <v>0</v>
      </c>
      <c r="H10" s="231">
        <v>0</v>
      </c>
      <c r="I10" s="268">
        <f t="shared" si="0"/>
        <v>0</v>
      </c>
      <c r="J10" s="13">
        <v>0</v>
      </c>
      <c r="K10" s="231">
        <v>0</v>
      </c>
      <c r="L10" s="268">
        <f t="shared" si="1"/>
        <v>0</v>
      </c>
      <c r="M10" s="13">
        <v>0</v>
      </c>
      <c r="N10" s="231">
        <v>0</v>
      </c>
      <c r="O10" s="268">
        <f t="shared" si="2"/>
        <v>0</v>
      </c>
      <c r="P10" s="13">
        <v>0</v>
      </c>
      <c r="Q10" s="231">
        <v>0</v>
      </c>
      <c r="R10" s="268">
        <f t="shared" si="3"/>
        <v>0</v>
      </c>
      <c r="S10" s="13">
        <v>0</v>
      </c>
      <c r="T10" s="231">
        <v>0</v>
      </c>
      <c r="U10" s="268">
        <f t="shared" si="4"/>
        <v>0</v>
      </c>
      <c r="V10" s="13">
        <v>0</v>
      </c>
      <c r="W10" s="231">
        <v>0</v>
      </c>
      <c r="X10" s="268">
        <f t="shared" si="5"/>
        <v>0</v>
      </c>
      <c r="Y10" s="13">
        <v>0</v>
      </c>
      <c r="Z10" s="231">
        <v>0</v>
      </c>
      <c r="AA10" s="268">
        <f t="shared" si="6"/>
        <v>0</v>
      </c>
      <c r="AB10" s="13">
        <v>0</v>
      </c>
      <c r="AC10" s="231">
        <v>0</v>
      </c>
      <c r="AD10" s="268">
        <f t="shared" si="7"/>
        <v>0</v>
      </c>
      <c r="AE10" s="13">
        <v>0</v>
      </c>
      <c r="AF10" s="231">
        <v>0</v>
      </c>
      <c r="AG10" s="268">
        <f t="shared" si="8"/>
        <v>0</v>
      </c>
      <c r="AH10" s="13">
        <v>0</v>
      </c>
      <c r="AI10" s="231">
        <v>0</v>
      </c>
      <c r="AJ10" s="268">
        <f t="shared" si="9"/>
        <v>0</v>
      </c>
      <c r="AK10" s="13">
        <v>0</v>
      </c>
      <c r="AL10" s="231">
        <v>0</v>
      </c>
      <c r="AM10" s="268">
        <f t="shared" si="10"/>
        <v>0</v>
      </c>
    </row>
    <row r="11" spans="1:39" x14ac:dyDescent="0.3">
      <c r="A11" s="5"/>
      <c r="B11" s="8">
        <v>0</v>
      </c>
      <c r="C11" s="5">
        <v>0</v>
      </c>
      <c r="D11" s="5">
        <v>0</v>
      </c>
      <c r="E11" s="237">
        <v>0</v>
      </c>
      <c r="F11" s="252">
        <f t="shared" si="11"/>
        <v>0</v>
      </c>
      <c r="G11" s="13">
        <v>0</v>
      </c>
      <c r="H11" s="231">
        <v>0</v>
      </c>
      <c r="I11" s="268">
        <f t="shared" si="0"/>
        <v>0</v>
      </c>
      <c r="J11" s="13">
        <v>0</v>
      </c>
      <c r="K11" s="231">
        <v>0</v>
      </c>
      <c r="L11" s="268">
        <f t="shared" si="1"/>
        <v>0</v>
      </c>
      <c r="M11" s="13">
        <v>0</v>
      </c>
      <c r="N11" s="231">
        <v>0</v>
      </c>
      <c r="O11" s="268">
        <f t="shared" si="2"/>
        <v>0</v>
      </c>
      <c r="P11" s="13">
        <v>0</v>
      </c>
      <c r="Q11" s="231">
        <v>0</v>
      </c>
      <c r="R11" s="268">
        <f t="shared" si="3"/>
        <v>0</v>
      </c>
      <c r="S11" s="13">
        <v>0</v>
      </c>
      <c r="T11" s="231">
        <v>0</v>
      </c>
      <c r="U11" s="268">
        <f t="shared" si="4"/>
        <v>0</v>
      </c>
      <c r="V11" s="13">
        <v>0</v>
      </c>
      <c r="W11" s="231">
        <v>0</v>
      </c>
      <c r="X11" s="268">
        <f t="shared" si="5"/>
        <v>0</v>
      </c>
      <c r="Y11" s="13">
        <v>0</v>
      </c>
      <c r="Z11" s="231">
        <v>0</v>
      </c>
      <c r="AA11" s="268">
        <f t="shared" si="6"/>
        <v>0</v>
      </c>
      <c r="AB11" s="13">
        <v>0</v>
      </c>
      <c r="AC11" s="231">
        <v>0</v>
      </c>
      <c r="AD11" s="268">
        <f t="shared" si="7"/>
        <v>0</v>
      </c>
      <c r="AE11" s="13">
        <v>0</v>
      </c>
      <c r="AF11" s="231">
        <v>0</v>
      </c>
      <c r="AG11" s="268">
        <f t="shared" si="8"/>
        <v>0</v>
      </c>
      <c r="AH11" s="13">
        <v>0</v>
      </c>
      <c r="AI11" s="231">
        <v>0</v>
      </c>
      <c r="AJ11" s="268">
        <f t="shared" si="9"/>
        <v>0</v>
      </c>
      <c r="AK11" s="13">
        <v>0</v>
      </c>
      <c r="AL11" s="231">
        <v>0</v>
      </c>
      <c r="AM11" s="268">
        <f t="shared" si="10"/>
        <v>0</v>
      </c>
    </row>
    <row r="12" spans="1:39" x14ac:dyDescent="0.3">
      <c r="A12" s="5"/>
      <c r="B12" s="8"/>
      <c r="C12" s="5"/>
      <c r="D12" s="5"/>
      <c r="E12" s="237"/>
      <c r="F12" s="252">
        <f t="shared" si="11"/>
        <v>0</v>
      </c>
      <c r="G12" s="13"/>
      <c r="H12" s="231"/>
      <c r="I12" s="268"/>
      <c r="J12" s="13"/>
      <c r="K12" s="231"/>
      <c r="L12" s="268"/>
      <c r="M12" s="13"/>
      <c r="N12" s="231"/>
      <c r="O12" s="268"/>
      <c r="P12" s="13"/>
      <c r="Q12" s="231"/>
      <c r="R12" s="268"/>
      <c r="S12" s="13"/>
      <c r="T12" s="231"/>
      <c r="U12" s="268"/>
      <c r="V12" s="13"/>
      <c r="W12" s="231"/>
      <c r="X12" s="268"/>
      <c r="Y12" s="13"/>
      <c r="Z12" s="231"/>
      <c r="AA12" s="268"/>
      <c r="AB12" s="13"/>
      <c r="AC12" s="231"/>
      <c r="AD12" s="268"/>
      <c r="AE12" s="13"/>
      <c r="AF12" s="231"/>
      <c r="AG12" s="268"/>
      <c r="AH12" s="13"/>
      <c r="AI12" s="231"/>
      <c r="AJ12" s="268"/>
      <c r="AK12" s="13"/>
      <c r="AL12" s="231"/>
      <c r="AM12" s="268"/>
    </row>
    <row r="13" spans="1:39" x14ac:dyDescent="0.3">
      <c r="A13" s="5"/>
      <c r="B13" s="8"/>
      <c r="C13" s="5"/>
      <c r="D13" s="5"/>
      <c r="E13" s="237"/>
      <c r="F13" s="252">
        <f t="shared" si="11"/>
        <v>0</v>
      </c>
      <c r="G13" s="13"/>
      <c r="H13" s="231"/>
      <c r="I13" s="268"/>
      <c r="J13" s="13"/>
      <c r="K13" s="231"/>
      <c r="L13" s="268"/>
      <c r="M13" s="13"/>
      <c r="N13" s="231"/>
      <c r="O13" s="268"/>
      <c r="P13" s="13"/>
      <c r="Q13" s="231"/>
      <c r="R13" s="268"/>
      <c r="S13" s="13"/>
      <c r="T13" s="231"/>
      <c r="U13" s="268"/>
      <c r="V13" s="13"/>
      <c r="W13" s="231"/>
      <c r="X13" s="268"/>
      <c r="Y13" s="13"/>
      <c r="Z13" s="231"/>
      <c r="AA13" s="268"/>
      <c r="AB13" s="13"/>
      <c r="AC13" s="231"/>
      <c r="AD13" s="268"/>
      <c r="AE13" s="13"/>
      <c r="AF13" s="231"/>
      <c r="AG13" s="268"/>
      <c r="AH13" s="13"/>
      <c r="AI13" s="231"/>
      <c r="AJ13" s="268"/>
      <c r="AK13" s="13"/>
      <c r="AL13" s="231"/>
      <c r="AM13" s="268"/>
    </row>
    <row r="14" spans="1:39" x14ac:dyDescent="0.3">
      <c r="A14" s="5"/>
      <c r="B14" s="8"/>
      <c r="C14" s="5"/>
      <c r="D14" s="5"/>
      <c r="E14" s="237"/>
      <c r="F14" s="252">
        <f t="shared" si="11"/>
        <v>0</v>
      </c>
      <c r="G14" s="13"/>
      <c r="H14" s="231"/>
      <c r="I14" s="268"/>
      <c r="J14" s="13"/>
      <c r="K14" s="231"/>
      <c r="L14" s="268"/>
      <c r="M14" s="13"/>
      <c r="N14" s="231"/>
      <c r="O14" s="268"/>
      <c r="P14" s="13"/>
      <c r="Q14" s="231"/>
      <c r="R14" s="268"/>
      <c r="S14" s="13"/>
      <c r="T14" s="231"/>
      <c r="U14" s="268"/>
      <c r="V14" s="13"/>
      <c r="W14" s="231"/>
      <c r="X14" s="268"/>
      <c r="Y14" s="13"/>
      <c r="Z14" s="231"/>
      <c r="AA14" s="268"/>
      <c r="AB14" s="13"/>
      <c r="AC14" s="231"/>
      <c r="AD14" s="268"/>
      <c r="AE14" s="13"/>
      <c r="AF14" s="231"/>
      <c r="AG14" s="268"/>
      <c r="AH14" s="13"/>
      <c r="AI14" s="231"/>
      <c r="AJ14" s="268"/>
      <c r="AK14" s="13"/>
      <c r="AL14" s="231"/>
      <c r="AM14" s="268"/>
    </row>
    <row r="15" spans="1:39" x14ac:dyDescent="0.3">
      <c r="A15" s="176"/>
      <c r="B15" s="23"/>
      <c r="C15" s="23"/>
      <c r="D15" s="23"/>
      <c r="E15" s="266"/>
      <c r="F15" s="252">
        <f t="shared" si="11"/>
        <v>0</v>
      </c>
      <c r="G15" s="13"/>
      <c r="H15" s="231"/>
      <c r="I15" s="268"/>
      <c r="J15" s="13"/>
      <c r="K15" s="231"/>
      <c r="L15" s="268"/>
      <c r="M15" s="13"/>
      <c r="N15" s="231"/>
      <c r="O15" s="268"/>
      <c r="P15" s="13"/>
      <c r="Q15" s="231"/>
      <c r="R15" s="268"/>
      <c r="S15" s="13"/>
      <c r="T15" s="231"/>
      <c r="U15" s="268"/>
      <c r="V15" s="13"/>
      <c r="W15" s="231"/>
      <c r="X15" s="268"/>
      <c r="Y15" s="13"/>
      <c r="Z15" s="231"/>
      <c r="AA15" s="268"/>
      <c r="AB15" s="13"/>
      <c r="AC15" s="231"/>
      <c r="AD15" s="268"/>
      <c r="AE15" s="13"/>
      <c r="AF15" s="231"/>
      <c r="AG15" s="268"/>
      <c r="AH15" s="13"/>
      <c r="AI15" s="231"/>
      <c r="AJ15" s="268"/>
      <c r="AK15" s="13"/>
      <c r="AL15" s="231"/>
      <c r="AM15" s="268"/>
    </row>
    <row r="16" spans="1:39" x14ac:dyDescent="0.3">
      <c r="A16" s="5"/>
      <c r="B16" s="8"/>
      <c r="C16" s="5"/>
      <c r="D16" s="5"/>
      <c r="E16" s="237"/>
      <c r="F16" s="252">
        <f t="shared" si="11"/>
        <v>0</v>
      </c>
      <c r="G16" s="13"/>
      <c r="H16" s="231"/>
      <c r="I16" s="268"/>
      <c r="J16" s="13"/>
      <c r="K16" s="231"/>
      <c r="L16" s="268"/>
      <c r="M16" s="13"/>
      <c r="N16" s="231"/>
      <c r="O16" s="268"/>
      <c r="P16" s="13"/>
      <c r="Q16" s="231"/>
      <c r="R16" s="268"/>
      <c r="S16" s="13"/>
      <c r="T16" s="231"/>
      <c r="U16" s="268"/>
      <c r="V16" s="13"/>
      <c r="W16" s="231"/>
      <c r="X16" s="268"/>
      <c r="Y16" s="13"/>
      <c r="Z16" s="231"/>
      <c r="AA16" s="268"/>
      <c r="AB16" s="13"/>
      <c r="AC16" s="231"/>
      <c r="AD16" s="268"/>
      <c r="AE16" s="13"/>
      <c r="AF16" s="231"/>
      <c r="AG16" s="268"/>
      <c r="AH16" s="13"/>
      <c r="AI16" s="231"/>
      <c r="AJ16" s="268"/>
      <c r="AK16" s="13"/>
      <c r="AL16" s="231"/>
      <c r="AM16" s="268"/>
    </row>
    <row r="17" spans="1:39" x14ac:dyDescent="0.3">
      <c r="A17" s="5"/>
      <c r="B17" s="8"/>
      <c r="C17" s="5"/>
      <c r="D17" s="5"/>
      <c r="E17" s="237"/>
      <c r="F17" s="252">
        <f t="shared" si="11"/>
        <v>0</v>
      </c>
      <c r="G17" s="13"/>
      <c r="H17" s="231"/>
      <c r="I17" s="268"/>
      <c r="J17" s="13"/>
      <c r="K17" s="231"/>
      <c r="L17" s="268"/>
      <c r="M17" s="13"/>
      <c r="N17" s="231"/>
      <c r="O17" s="268"/>
      <c r="P17" s="13"/>
      <c r="Q17" s="231"/>
      <c r="R17" s="268"/>
      <c r="S17" s="13"/>
      <c r="T17" s="231"/>
      <c r="U17" s="268"/>
      <c r="V17" s="13"/>
      <c r="W17" s="231"/>
      <c r="X17" s="268"/>
      <c r="Y17" s="13"/>
      <c r="Z17" s="231"/>
      <c r="AA17" s="268"/>
      <c r="AB17" s="13"/>
      <c r="AC17" s="231"/>
      <c r="AD17" s="268"/>
      <c r="AE17" s="13"/>
      <c r="AF17" s="231"/>
      <c r="AG17" s="268"/>
      <c r="AH17" s="13"/>
      <c r="AI17" s="231"/>
      <c r="AJ17" s="268"/>
      <c r="AK17" s="13"/>
      <c r="AL17" s="231"/>
      <c r="AM17" s="268"/>
    </row>
    <row r="18" spans="1:39" x14ac:dyDescent="0.3">
      <c r="A18" s="5"/>
      <c r="B18" s="8"/>
      <c r="C18" s="5"/>
      <c r="D18" s="5"/>
      <c r="E18" s="237"/>
      <c r="F18" s="252">
        <f t="shared" si="11"/>
        <v>0</v>
      </c>
      <c r="G18" s="13"/>
      <c r="H18" s="231"/>
      <c r="I18" s="268"/>
      <c r="J18" s="13"/>
      <c r="K18" s="231"/>
      <c r="L18" s="268"/>
      <c r="M18" s="13"/>
      <c r="N18" s="231"/>
      <c r="O18" s="268"/>
      <c r="P18" s="13"/>
      <c r="Q18" s="231"/>
      <c r="R18" s="268"/>
      <c r="S18" s="13"/>
      <c r="T18" s="231"/>
      <c r="U18" s="268"/>
      <c r="V18" s="13"/>
      <c r="W18" s="231"/>
      <c r="X18" s="268"/>
      <c r="Y18" s="13"/>
      <c r="Z18" s="231"/>
      <c r="AA18" s="268"/>
      <c r="AB18" s="13"/>
      <c r="AC18" s="231"/>
      <c r="AD18" s="268"/>
      <c r="AE18" s="13"/>
      <c r="AF18" s="231"/>
      <c r="AG18" s="268"/>
      <c r="AH18" s="13"/>
      <c r="AI18" s="231"/>
      <c r="AJ18" s="268"/>
      <c r="AK18" s="13"/>
      <c r="AL18" s="231"/>
      <c r="AM18" s="268"/>
    </row>
    <row r="19" spans="1:39" x14ac:dyDescent="0.3">
      <c r="A19" s="5"/>
      <c r="B19" s="8"/>
      <c r="C19" s="5"/>
      <c r="D19" s="5"/>
      <c r="E19" s="237"/>
      <c r="F19" s="252">
        <f t="shared" si="11"/>
        <v>0</v>
      </c>
      <c r="G19" s="12"/>
      <c r="H19" s="232"/>
      <c r="I19" s="236"/>
      <c r="J19" s="12"/>
      <c r="K19" s="232"/>
      <c r="L19" s="236"/>
      <c r="M19" s="12"/>
      <c r="N19" s="232"/>
      <c r="O19" s="236"/>
      <c r="P19" s="12"/>
      <c r="Q19" s="232"/>
      <c r="R19" s="236"/>
      <c r="S19" s="12"/>
      <c r="T19" s="232"/>
      <c r="U19" s="236"/>
      <c r="V19" s="12"/>
      <c r="W19" s="232"/>
      <c r="X19" s="236"/>
      <c r="Y19" s="12"/>
      <c r="Z19" s="232"/>
      <c r="AA19" s="236"/>
      <c r="AB19" s="12"/>
      <c r="AC19" s="232"/>
      <c r="AD19" s="236"/>
      <c r="AE19" s="12"/>
      <c r="AF19" s="232"/>
      <c r="AG19" s="236"/>
      <c r="AH19" s="12"/>
      <c r="AI19" s="232"/>
      <c r="AJ19" s="236"/>
      <c r="AK19" s="12"/>
      <c r="AL19" s="232"/>
      <c r="AM19" s="236"/>
    </row>
    <row r="20" spans="1:39" ht="16.2" x14ac:dyDescent="0.45">
      <c r="A20" s="5"/>
      <c r="B20" s="8"/>
      <c r="C20" s="5"/>
      <c r="D20" s="5"/>
      <c r="E20" s="189" t="s">
        <v>8</v>
      </c>
      <c r="F20" s="267">
        <f>SUM(F5:F19)</f>
        <v>0</v>
      </c>
      <c r="G20" s="12"/>
      <c r="H20" s="191" t="s">
        <v>8</v>
      </c>
      <c r="I20" s="269">
        <f>SUM(I5:I19)</f>
        <v>0</v>
      </c>
      <c r="J20" s="12"/>
      <c r="K20" s="191" t="s">
        <v>8</v>
      </c>
      <c r="L20" s="269">
        <f>SUM(L5:L19)</f>
        <v>0</v>
      </c>
      <c r="M20" s="12"/>
      <c r="N20" s="191" t="s">
        <v>8</v>
      </c>
      <c r="O20" s="269">
        <f>SUM(O5:O19)</f>
        <v>0</v>
      </c>
      <c r="P20" s="12"/>
      <c r="Q20" s="191" t="s">
        <v>8</v>
      </c>
      <c r="R20" s="269">
        <f>SUM(R5:R19)</f>
        <v>0</v>
      </c>
      <c r="S20" s="12"/>
      <c r="T20" s="191" t="s">
        <v>8</v>
      </c>
      <c r="U20" s="269">
        <f>SUM(U5:U19)</f>
        <v>0</v>
      </c>
      <c r="V20" s="12"/>
      <c r="W20" s="191" t="s">
        <v>8</v>
      </c>
      <c r="X20" s="269">
        <f>SUM(X5:X19)</f>
        <v>0</v>
      </c>
      <c r="Y20" s="12"/>
      <c r="Z20" s="191" t="s">
        <v>8</v>
      </c>
      <c r="AA20" s="269">
        <f>SUM(AA5:AA19)</f>
        <v>0</v>
      </c>
      <c r="AB20" s="12"/>
      <c r="AC20" s="191" t="s">
        <v>8</v>
      </c>
      <c r="AD20" s="269">
        <f>SUM(AD5:AD19)</f>
        <v>0</v>
      </c>
      <c r="AE20" s="12"/>
      <c r="AF20" s="191" t="s">
        <v>8</v>
      </c>
      <c r="AG20" s="269">
        <f>SUM(AG5:AG19)</f>
        <v>0</v>
      </c>
      <c r="AH20" s="12"/>
      <c r="AI20" s="191" t="s">
        <v>8</v>
      </c>
      <c r="AJ20" s="269">
        <f>SUM(AJ5:AJ19)</f>
        <v>0</v>
      </c>
      <c r="AK20" s="12"/>
      <c r="AL20" s="191" t="s">
        <v>8</v>
      </c>
      <c r="AM20" s="269">
        <f>SUM(AM5:AM19)</f>
        <v>0</v>
      </c>
    </row>
  </sheetData>
  <mergeCells count="1">
    <mergeCell ref="C1:C2"/>
  </mergeCells>
  <hyperlinks>
    <hyperlink ref="A1" location="Menu!A1" display="Menu" xr:uid="{00000000-0004-0000-1100-000000000000}"/>
  </hyperlinks>
  <pageMargins left="0.511811024" right="0.511811024" top="0.78740157499999996" bottom="0.78740157499999996" header="0.31496062000000002" footer="0.3149606200000000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Plan10"/>
  <dimension ref="A1:AM15"/>
  <sheetViews>
    <sheetView workbookViewId="0">
      <pane xSplit="1" topLeftCell="B1" activePane="topRight" state="frozen"/>
      <selection pane="topRight" activeCell="C4" sqref="C4"/>
    </sheetView>
  </sheetViews>
  <sheetFormatPr defaultColWidth="9.109375" defaultRowHeight="14.4" x14ac:dyDescent="0.3"/>
  <cols>
    <col min="1" max="1" width="22.5546875" style="1" bestFit="1" customWidth="1"/>
    <col min="2" max="2" width="18.88671875" style="1" bestFit="1" customWidth="1"/>
    <col min="3" max="3" width="16.6640625" style="1" bestFit="1" customWidth="1"/>
    <col min="4" max="4" width="14.109375" style="1" bestFit="1" customWidth="1"/>
    <col min="5" max="5" width="9.5546875" style="1" bestFit="1" customWidth="1"/>
    <col min="6" max="6" width="12.109375" style="1" bestFit="1" customWidth="1"/>
    <col min="7" max="7" width="14.109375" style="1" bestFit="1" customWidth="1"/>
    <col min="8" max="8" width="9.109375" style="1"/>
    <col min="9" max="9" width="10.88671875" style="1" bestFit="1" customWidth="1"/>
    <col min="10" max="10" width="14.109375" style="1" bestFit="1" customWidth="1"/>
    <col min="11" max="11" width="10.6640625" style="1" bestFit="1" customWidth="1"/>
    <col min="12" max="12" width="12.109375" style="1" bestFit="1" customWidth="1"/>
    <col min="13" max="13" width="14.109375" style="1" bestFit="1" customWidth="1"/>
    <col min="14" max="14" width="9.109375" style="1"/>
    <col min="15" max="15" width="10.88671875" style="1" bestFit="1" customWidth="1"/>
    <col min="16" max="16" width="14.109375" style="1" bestFit="1" customWidth="1"/>
    <col min="17" max="17" width="9.109375" style="1"/>
    <col min="18" max="18" width="10.88671875" style="1" bestFit="1" customWidth="1"/>
    <col min="19" max="19" width="14.109375" style="1" bestFit="1" customWidth="1"/>
    <col min="20" max="20" width="9.109375" style="1"/>
    <col min="21" max="21" width="10.88671875" style="1" bestFit="1" customWidth="1"/>
    <col min="22" max="22" width="14.109375" style="1" bestFit="1" customWidth="1"/>
    <col min="23" max="23" width="9.109375" style="1"/>
    <col min="24" max="24" width="10.88671875" style="1" bestFit="1" customWidth="1"/>
    <col min="25" max="25" width="14.109375" style="1" bestFit="1" customWidth="1"/>
    <col min="26" max="26" width="9.109375" style="1"/>
    <col min="27" max="27" width="10.88671875" style="1" bestFit="1" customWidth="1"/>
    <col min="28" max="28" width="14.109375" style="1" bestFit="1" customWidth="1"/>
    <col min="29" max="29" width="9.109375" style="1"/>
    <col min="30" max="30" width="10.88671875" style="1" bestFit="1" customWidth="1"/>
    <col min="31" max="31" width="14.109375" style="1" bestFit="1" customWidth="1"/>
    <col min="32" max="32" width="9.109375" style="1"/>
    <col min="33" max="33" width="10.88671875" style="1" bestFit="1" customWidth="1"/>
    <col min="34" max="34" width="14.109375" style="1" bestFit="1" customWidth="1"/>
    <col min="35" max="35" width="9.5546875" style="1" bestFit="1" customWidth="1"/>
    <col min="36" max="36" width="10.88671875" style="1" bestFit="1" customWidth="1"/>
    <col min="37" max="37" width="14.109375" style="1" bestFit="1" customWidth="1"/>
    <col min="38" max="38" width="9.5546875" style="1" bestFit="1" customWidth="1"/>
    <col min="39" max="39" width="10.88671875" style="1" bestFit="1" customWidth="1"/>
    <col min="40" max="16384" width="9.109375" style="1"/>
  </cols>
  <sheetData>
    <row r="1" spans="1:39" ht="21.6" thickBot="1" x14ac:dyDescent="0.45">
      <c r="A1" s="217"/>
    </row>
    <row r="2" spans="1:39" ht="29.4" thickBot="1" x14ac:dyDescent="0.35">
      <c r="A2" s="262" t="s">
        <v>110</v>
      </c>
    </row>
    <row r="3" spans="1:39" ht="29.4" thickBot="1" x14ac:dyDescent="0.35">
      <c r="A3" s="256" t="s">
        <v>173</v>
      </c>
      <c r="B3" s="164"/>
      <c r="C3" s="164"/>
      <c r="D3" s="164"/>
      <c r="E3" s="164"/>
      <c r="F3" s="164"/>
    </row>
    <row r="4" spans="1:39" ht="15" customHeight="1" x14ac:dyDescent="0.3">
      <c r="A4" s="165"/>
      <c r="B4" s="165"/>
      <c r="C4" s="165"/>
      <c r="D4" s="165"/>
      <c r="E4" s="165"/>
      <c r="F4" s="165"/>
    </row>
    <row r="5" spans="1:39" x14ac:dyDescent="0.3">
      <c r="A5" s="7"/>
      <c r="B5" s="7"/>
      <c r="C5" s="7"/>
      <c r="D5" s="4">
        <v>45292</v>
      </c>
      <c r="E5" s="4">
        <v>45292</v>
      </c>
      <c r="F5" s="29">
        <v>45292</v>
      </c>
      <c r="G5" s="11">
        <v>45323</v>
      </c>
      <c r="H5" s="11">
        <v>45323</v>
      </c>
      <c r="I5" s="11">
        <v>45323</v>
      </c>
      <c r="J5" s="11">
        <v>45352</v>
      </c>
      <c r="K5" s="11">
        <v>45352</v>
      </c>
      <c r="L5" s="11">
        <v>45352</v>
      </c>
      <c r="M5" s="11">
        <v>45383</v>
      </c>
      <c r="N5" s="11">
        <v>45383</v>
      </c>
      <c r="O5" s="11">
        <v>45383</v>
      </c>
      <c r="P5" s="11">
        <v>45413</v>
      </c>
      <c r="Q5" s="11">
        <v>45413</v>
      </c>
      <c r="R5" s="11">
        <v>45413</v>
      </c>
      <c r="S5" s="11">
        <v>45444</v>
      </c>
      <c r="T5" s="11">
        <v>45444</v>
      </c>
      <c r="U5" s="11">
        <v>45444</v>
      </c>
      <c r="V5" s="11">
        <v>45474</v>
      </c>
      <c r="W5" s="11">
        <v>45474</v>
      </c>
      <c r="X5" s="11">
        <v>45474</v>
      </c>
      <c r="Y5" s="11">
        <v>45505</v>
      </c>
      <c r="Z5" s="11">
        <v>45505</v>
      </c>
      <c r="AA5" s="11">
        <v>45505</v>
      </c>
      <c r="AB5" s="11">
        <v>45536</v>
      </c>
      <c r="AC5" s="11">
        <v>45536</v>
      </c>
      <c r="AD5" s="11">
        <v>45536</v>
      </c>
      <c r="AE5" s="11">
        <v>45566</v>
      </c>
      <c r="AF5" s="11">
        <v>45566</v>
      </c>
      <c r="AG5" s="11">
        <v>45566</v>
      </c>
      <c r="AH5" s="11">
        <v>45597</v>
      </c>
      <c r="AI5" s="11">
        <v>45597</v>
      </c>
      <c r="AJ5" s="11">
        <v>45597</v>
      </c>
      <c r="AK5" s="11">
        <v>45627</v>
      </c>
      <c r="AL5" s="11">
        <v>45627</v>
      </c>
      <c r="AM5" s="11">
        <v>45627</v>
      </c>
    </row>
    <row r="6" spans="1:39" x14ac:dyDescent="0.3">
      <c r="A6" s="5" t="s">
        <v>1</v>
      </c>
      <c r="B6" s="5" t="s">
        <v>3</v>
      </c>
      <c r="C6" s="5" t="s">
        <v>9</v>
      </c>
      <c r="D6" s="5" t="s">
        <v>5</v>
      </c>
      <c r="E6" s="5" t="s">
        <v>6</v>
      </c>
      <c r="F6" s="23" t="s">
        <v>7</v>
      </c>
      <c r="G6" s="13" t="s">
        <v>5</v>
      </c>
      <c r="H6" s="13" t="s">
        <v>6</v>
      </c>
      <c r="I6" s="26" t="s">
        <v>7</v>
      </c>
      <c r="J6" s="13" t="s">
        <v>5</v>
      </c>
      <c r="K6" s="13" t="s">
        <v>116</v>
      </c>
      <c r="L6" s="26" t="s">
        <v>7</v>
      </c>
      <c r="M6" s="13" t="s">
        <v>5</v>
      </c>
      <c r="N6" s="13" t="s">
        <v>6</v>
      </c>
      <c r="O6" s="26" t="s">
        <v>7</v>
      </c>
      <c r="P6" s="13" t="s">
        <v>5</v>
      </c>
      <c r="Q6" s="13" t="s">
        <v>6</v>
      </c>
      <c r="R6" s="26" t="s">
        <v>7</v>
      </c>
      <c r="S6" s="13" t="s">
        <v>5</v>
      </c>
      <c r="T6" s="13" t="s">
        <v>6</v>
      </c>
      <c r="U6" s="26" t="s">
        <v>7</v>
      </c>
      <c r="V6" s="13" t="s">
        <v>5</v>
      </c>
      <c r="W6" s="13" t="s">
        <v>6</v>
      </c>
      <c r="X6" s="26" t="s">
        <v>7</v>
      </c>
      <c r="Y6" s="13" t="s">
        <v>5</v>
      </c>
      <c r="Z6" s="13" t="s">
        <v>6</v>
      </c>
      <c r="AA6" s="26" t="s">
        <v>7</v>
      </c>
      <c r="AB6" s="13" t="s">
        <v>5</v>
      </c>
      <c r="AC6" s="13" t="s">
        <v>6</v>
      </c>
      <c r="AD6" s="26" t="s">
        <v>7</v>
      </c>
      <c r="AE6" s="13" t="s">
        <v>5</v>
      </c>
      <c r="AF6" s="13" t="s">
        <v>6</v>
      </c>
      <c r="AG6" s="26" t="s">
        <v>7</v>
      </c>
      <c r="AH6" s="13" t="s">
        <v>5</v>
      </c>
      <c r="AI6" s="13" t="s">
        <v>6</v>
      </c>
      <c r="AJ6" s="26" t="s">
        <v>7</v>
      </c>
      <c r="AK6" s="13" t="s">
        <v>5</v>
      </c>
      <c r="AL6" s="13" t="s">
        <v>6</v>
      </c>
      <c r="AM6" s="26" t="s">
        <v>7</v>
      </c>
    </row>
    <row r="7" spans="1:39" x14ac:dyDescent="0.3">
      <c r="A7" s="25"/>
      <c r="B7" s="8">
        <v>0</v>
      </c>
      <c r="C7" s="5">
        <v>0</v>
      </c>
      <c r="D7" s="9">
        <v>0</v>
      </c>
      <c r="E7" s="223">
        <v>0</v>
      </c>
      <c r="F7" s="229">
        <f>E7*D7</f>
        <v>0</v>
      </c>
      <c r="G7" s="14">
        <v>0</v>
      </c>
      <c r="H7" s="231">
        <v>0</v>
      </c>
      <c r="I7" s="236">
        <f t="shared" ref="I7:I13" si="0">H7*G7</f>
        <v>0</v>
      </c>
      <c r="J7" s="171">
        <v>0</v>
      </c>
      <c r="K7" s="237">
        <v>0</v>
      </c>
      <c r="L7" s="236">
        <f t="shared" ref="L7:L13" si="1">K7*J7</f>
        <v>0</v>
      </c>
      <c r="M7" s="14">
        <v>0</v>
      </c>
      <c r="N7" s="231">
        <v>0</v>
      </c>
      <c r="O7" s="236">
        <f t="shared" ref="O7:O13" si="2">N7*M7</f>
        <v>0</v>
      </c>
      <c r="P7" s="14">
        <v>0</v>
      </c>
      <c r="Q7" s="231">
        <v>0</v>
      </c>
      <c r="R7" s="236">
        <f t="shared" ref="R7:R13" si="3">Q7*P7</f>
        <v>0</v>
      </c>
      <c r="S7" s="14">
        <v>0</v>
      </c>
      <c r="T7" s="231">
        <v>0</v>
      </c>
      <c r="U7" s="236">
        <f t="shared" ref="U7:U13" si="4">T7*S7</f>
        <v>0</v>
      </c>
      <c r="V7" s="14">
        <v>0</v>
      </c>
      <c r="W7" s="231">
        <v>0</v>
      </c>
      <c r="X7" s="236">
        <f t="shared" ref="X7:X13" si="5">W7*V7</f>
        <v>0</v>
      </c>
      <c r="Y7" s="14">
        <v>0</v>
      </c>
      <c r="Z7" s="231">
        <v>0</v>
      </c>
      <c r="AA7" s="236">
        <f t="shared" ref="AA7:AA13" si="6">Z7*Y7</f>
        <v>0</v>
      </c>
      <c r="AB7" s="14">
        <v>0</v>
      </c>
      <c r="AC7" s="231">
        <v>0</v>
      </c>
      <c r="AD7" s="236">
        <f t="shared" ref="AD7:AD13" si="7">AC7*AB7</f>
        <v>0</v>
      </c>
      <c r="AE7" s="14">
        <v>0</v>
      </c>
      <c r="AF7" s="231">
        <v>0</v>
      </c>
      <c r="AG7" s="236">
        <f t="shared" ref="AG7:AG13" si="8">AF7*AE7</f>
        <v>0</v>
      </c>
      <c r="AH7" s="14">
        <v>0</v>
      </c>
      <c r="AI7" s="231">
        <v>0</v>
      </c>
      <c r="AJ7" s="236">
        <f t="shared" ref="AJ7:AJ13" si="9">AI7*AH7</f>
        <v>0</v>
      </c>
      <c r="AK7" s="14">
        <v>0</v>
      </c>
      <c r="AL7" s="231">
        <v>11</v>
      </c>
      <c r="AM7" s="236">
        <f t="shared" ref="AM7:AM13" si="10">AL7*AK7</f>
        <v>0</v>
      </c>
    </row>
    <row r="8" spans="1:39" x14ac:dyDescent="0.3">
      <c r="A8" s="25"/>
      <c r="B8" s="8">
        <v>0</v>
      </c>
      <c r="C8" s="5">
        <v>0</v>
      </c>
      <c r="D8" s="9">
        <v>0</v>
      </c>
      <c r="E8" s="223">
        <v>0</v>
      </c>
      <c r="F8" s="229">
        <f t="shared" ref="F8:F13" si="11">E8*D8</f>
        <v>0</v>
      </c>
      <c r="G8" s="14">
        <v>0</v>
      </c>
      <c r="H8" s="231">
        <v>0</v>
      </c>
      <c r="I8" s="236">
        <f t="shared" si="0"/>
        <v>0</v>
      </c>
      <c r="J8" s="171">
        <v>0</v>
      </c>
      <c r="K8" s="237">
        <v>0</v>
      </c>
      <c r="L8" s="236">
        <f t="shared" si="1"/>
        <v>0</v>
      </c>
      <c r="M8" s="14">
        <v>0</v>
      </c>
      <c r="N8" s="231">
        <v>0</v>
      </c>
      <c r="O8" s="236">
        <f t="shared" si="2"/>
        <v>0</v>
      </c>
      <c r="P8" s="14">
        <v>0</v>
      </c>
      <c r="Q8" s="231">
        <v>0</v>
      </c>
      <c r="R8" s="236">
        <f t="shared" si="3"/>
        <v>0</v>
      </c>
      <c r="S8" s="14">
        <v>0</v>
      </c>
      <c r="T8" s="231">
        <v>0</v>
      </c>
      <c r="U8" s="236">
        <f t="shared" si="4"/>
        <v>0</v>
      </c>
      <c r="V8" s="14">
        <v>0</v>
      </c>
      <c r="W8" s="231">
        <v>0</v>
      </c>
      <c r="X8" s="236">
        <f t="shared" si="5"/>
        <v>0</v>
      </c>
      <c r="Y8" s="14">
        <v>0</v>
      </c>
      <c r="Z8" s="231">
        <v>0</v>
      </c>
      <c r="AA8" s="236">
        <f t="shared" si="6"/>
        <v>0</v>
      </c>
      <c r="AB8" s="14">
        <v>0</v>
      </c>
      <c r="AC8" s="231">
        <v>0</v>
      </c>
      <c r="AD8" s="236">
        <f t="shared" si="7"/>
        <v>0</v>
      </c>
      <c r="AE8" s="14">
        <v>0</v>
      </c>
      <c r="AF8" s="231">
        <v>0</v>
      </c>
      <c r="AG8" s="236">
        <f t="shared" si="8"/>
        <v>0</v>
      </c>
      <c r="AH8" s="14">
        <v>0</v>
      </c>
      <c r="AI8" s="231">
        <v>0</v>
      </c>
      <c r="AJ8" s="236">
        <f t="shared" si="9"/>
        <v>0</v>
      </c>
      <c r="AK8" s="14">
        <v>0</v>
      </c>
      <c r="AL8" s="231">
        <v>0</v>
      </c>
      <c r="AM8" s="236">
        <f t="shared" si="10"/>
        <v>0</v>
      </c>
    </row>
    <row r="9" spans="1:39" x14ac:dyDescent="0.3">
      <c r="A9" s="25"/>
      <c r="B9" s="8">
        <v>0</v>
      </c>
      <c r="C9" s="5">
        <v>0</v>
      </c>
      <c r="D9" s="9">
        <v>0</v>
      </c>
      <c r="E9" s="223">
        <v>0</v>
      </c>
      <c r="F9" s="229">
        <f t="shared" si="11"/>
        <v>0</v>
      </c>
      <c r="G9" s="14">
        <v>0</v>
      </c>
      <c r="H9" s="231">
        <v>0</v>
      </c>
      <c r="I9" s="236">
        <f t="shared" si="0"/>
        <v>0</v>
      </c>
      <c r="J9" s="171">
        <v>0</v>
      </c>
      <c r="K9" s="237">
        <v>0</v>
      </c>
      <c r="L9" s="236">
        <f t="shared" si="1"/>
        <v>0</v>
      </c>
      <c r="M9" s="14">
        <v>0</v>
      </c>
      <c r="N9" s="231">
        <v>0</v>
      </c>
      <c r="O9" s="236">
        <f t="shared" si="2"/>
        <v>0</v>
      </c>
      <c r="P9" s="14">
        <v>0</v>
      </c>
      <c r="Q9" s="231">
        <v>0</v>
      </c>
      <c r="R9" s="236">
        <f t="shared" si="3"/>
        <v>0</v>
      </c>
      <c r="S9" s="14">
        <v>0</v>
      </c>
      <c r="T9" s="231">
        <v>0</v>
      </c>
      <c r="U9" s="236">
        <f t="shared" si="4"/>
        <v>0</v>
      </c>
      <c r="V9" s="14">
        <v>0</v>
      </c>
      <c r="W9" s="231">
        <v>0</v>
      </c>
      <c r="X9" s="236">
        <f t="shared" si="5"/>
        <v>0</v>
      </c>
      <c r="Y9" s="14">
        <v>0</v>
      </c>
      <c r="Z9" s="231">
        <v>0</v>
      </c>
      <c r="AA9" s="236">
        <f t="shared" si="6"/>
        <v>0</v>
      </c>
      <c r="AB9" s="14">
        <v>0</v>
      </c>
      <c r="AC9" s="231">
        <v>0</v>
      </c>
      <c r="AD9" s="236">
        <f t="shared" si="7"/>
        <v>0</v>
      </c>
      <c r="AE9" s="14">
        <v>0</v>
      </c>
      <c r="AF9" s="231">
        <v>0</v>
      </c>
      <c r="AG9" s="236">
        <f t="shared" si="8"/>
        <v>0</v>
      </c>
      <c r="AH9" s="14">
        <v>0</v>
      </c>
      <c r="AI9" s="231">
        <v>0</v>
      </c>
      <c r="AJ9" s="236">
        <f t="shared" si="9"/>
        <v>0</v>
      </c>
      <c r="AK9" s="14">
        <v>0</v>
      </c>
      <c r="AL9" s="231">
        <v>0</v>
      </c>
      <c r="AM9" s="236">
        <f t="shared" si="10"/>
        <v>0</v>
      </c>
    </row>
    <row r="10" spans="1:39" x14ac:dyDescent="0.3">
      <c r="A10" s="25"/>
      <c r="B10" s="8">
        <v>0</v>
      </c>
      <c r="C10" s="5">
        <v>0</v>
      </c>
      <c r="D10" s="9">
        <v>0</v>
      </c>
      <c r="E10" s="223">
        <v>0</v>
      </c>
      <c r="F10" s="229">
        <f t="shared" si="11"/>
        <v>0</v>
      </c>
      <c r="G10" s="14">
        <v>0</v>
      </c>
      <c r="H10" s="231">
        <v>0</v>
      </c>
      <c r="I10" s="236">
        <f t="shared" si="0"/>
        <v>0</v>
      </c>
      <c r="J10" s="25">
        <v>0</v>
      </c>
      <c r="K10" s="237">
        <v>0</v>
      </c>
      <c r="L10" s="236">
        <f t="shared" si="1"/>
        <v>0</v>
      </c>
      <c r="M10" s="14">
        <v>0</v>
      </c>
      <c r="N10" s="231">
        <v>0</v>
      </c>
      <c r="O10" s="236">
        <f t="shared" si="2"/>
        <v>0</v>
      </c>
      <c r="P10" s="14">
        <v>0</v>
      </c>
      <c r="Q10" s="231">
        <v>0</v>
      </c>
      <c r="R10" s="236">
        <f t="shared" si="3"/>
        <v>0</v>
      </c>
      <c r="S10" s="14">
        <v>0</v>
      </c>
      <c r="T10" s="231">
        <v>0</v>
      </c>
      <c r="U10" s="236">
        <f t="shared" si="4"/>
        <v>0</v>
      </c>
      <c r="V10" s="14">
        <v>0</v>
      </c>
      <c r="W10" s="231">
        <v>0</v>
      </c>
      <c r="X10" s="236">
        <f t="shared" si="5"/>
        <v>0</v>
      </c>
      <c r="Y10" s="14">
        <v>0</v>
      </c>
      <c r="Z10" s="231">
        <v>0</v>
      </c>
      <c r="AA10" s="236">
        <f t="shared" si="6"/>
        <v>0</v>
      </c>
      <c r="AB10" s="14">
        <v>0</v>
      </c>
      <c r="AC10" s="231">
        <v>0</v>
      </c>
      <c r="AD10" s="236">
        <f t="shared" si="7"/>
        <v>0</v>
      </c>
      <c r="AE10" s="14">
        <v>0</v>
      </c>
      <c r="AF10" s="231">
        <v>0</v>
      </c>
      <c r="AG10" s="236">
        <f t="shared" si="8"/>
        <v>0</v>
      </c>
      <c r="AH10" s="14">
        <v>0</v>
      </c>
      <c r="AI10" s="231">
        <v>0</v>
      </c>
      <c r="AJ10" s="236">
        <f t="shared" si="9"/>
        <v>0</v>
      </c>
      <c r="AK10" s="14">
        <v>0</v>
      </c>
      <c r="AL10" s="231">
        <v>0</v>
      </c>
      <c r="AM10" s="236">
        <f t="shared" si="10"/>
        <v>0</v>
      </c>
    </row>
    <row r="11" spans="1:39" x14ac:dyDescent="0.3">
      <c r="A11" s="22"/>
      <c r="B11" s="8">
        <v>0</v>
      </c>
      <c r="C11" s="5">
        <v>0</v>
      </c>
      <c r="D11" s="9">
        <v>0</v>
      </c>
      <c r="E11" s="223">
        <v>0</v>
      </c>
      <c r="F11" s="229">
        <f t="shared" si="11"/>
        <v>0</v>
      </c>
      <c r="G11" s="14">
        <v>0</v>
      </c>
      <c r="H11" s="231">
        <v>0</v>
      </c>
      <c r="I11" s="236">
        <f t="shared" si="0"/>
        <v>0</v>
      </c>
      <c r="J11" s="14">
        <v>0</v>
      </c>
      <c r="K11" s="231">
        <v>0</v>
      </c>
      <c r="L11" s="236">
        <f t="shared" si="1"/>
        <v>0</v>
      </c>
      <c r="M11" s="14">
        <v>0</v>
      </c>
      <c r="N11" s="231">
        <v>0</v>
      </c>
      <c r="O11" s="236">
        <f t="shared" si="2"/>
        <v>0</v>
      </c>
      <c r="P11" s="14">
        <v>0</v>
      </c>
      <c r="Q11" s="231">
        <v>0</v>
      </c>
      <c r="R11" s="236">
        <f t="shared" si="3"/>
        <v>0</v>
      </c>
      <c r="S11" s="14">
        <v>0</v>
      </c>
      <c r="T11" s="231">
        <v>0</v>
      </c>
      <c r="U11" s="236">
        <f t="shared" si="4"/>
        <v>0</v>
      </c>
      <c r="V11" s="14">
        <v>0</v>
      </c>
      <c r="W11" s="231">
        <v>0</v>
      </c>
      <c r="X11" s="236">
        <f t="shared" si="5"/>
        <v>0</v>
      </c>
      <c r="Y11" s="14">
        <v>0</v>
      </c>
      <c r="Z11" s="231">
        <v>0</v>
      </c>
      <c r="AA11" s="236">
        <f t="shared" si="6"/>
        <v>0</v>
      </c>
      <c r="AB11" s="14">
        <v>0</v>
      </c>
      <c r="AC11" s="231">
        <v>0</v>
      </c>
      <c r="AD11" s="236">
        <f t="shared" si="7"/>
        <v>0</v>
      </c>
      <c r="AE11" s="14">
        <v>0</v>
      </c>
      <c r="AF11" s="231">
        <v>0</v>
      </c>
      <c r="AG11" s="236">
        <f t="shared" si="8"/>
        <v>0</v>
      </c>
      <c r="AH11" s="14">
        <v>0</v>
      </c>
      <c r="AI11" s="231">
        <v>0</v>
      </c>
      <c r="AJ11" s="236">
        <f t="shared" si="9"/>
        <v>0</v>
      </c>
      <c r="AK11" s="14">
        <v>0</v>
      </c>
      <c r="AL11" s="231">
        <v>0</v>
      </c>
      <c r="AM11" s="236">
        <f t="shared" si="10"/>
        <v>0</v>
      </c>
    </row>
    <row r="12" spans="1:39" x14ac:dyDescent="0.3">
      <c r="A12" s="22"/>
      <c r="B12" s="8">
        <v>0</v>
      </c>
      <c r="C12" s="5">
        <v>0</v>
      </c>
      <c r="D12" s="5">
        <v>0</v>
      </c>
      <c r="E12" s="223">
        <v>0</v>
      </c>
      <c r="F12" s="229">
        <f t="shared" si="11"/>
        <v>0</v>
      </c>
      <c r="G12" s="13">
        <v>0</v>
      </c>
      <c r="H12" s="231">
        <v>0</v>
      </c>
      <c r="I12" s="268">
        <f t="shared" si="0"/>
        <v>0</v>
      </c>
      <c r="J12" s="13">
        <v>0</v>
      </c>
      <c r="K12" s="231">
        <v>0</v>
      </c>
      <c r="L12" s="268">
        <f t="shared" si="1"/>
        <v>0</v>
      </c>
      <c r="M12" s="13">
        <v>0</v>
      </c>
      <c r="N12" s="231">
        <v>0</v>
      </c>
      <c r="O12" s="268">
        <f t="shared" si="2"/>
        <v>0</v>
      </c>
      <c r="P12" s="13">
        <v>0</v>
      </c>
      <c r="Q12" s="231">
        <v>0</v>
      </c>
      <c r="R12" s="268">
        <f t="shared" si="3"/>
        <v>0</v>
      </c>
      <c r="S12" s="13">
        <v>0</v>
      </c>
      <c r="T12" s="231">
        <v>0</v>
      </c>
      <c r="U12" s="268">
        <f t="shared" si="4"/>
        <v>0</v>
      </c>
      <c r="V12" s="13">
        <v>0</v>
      </c>
      <c r="W12" s="231">
        <v>0</v>
      </c>
      <c r="X12" s="268">
        <f t="shared" si="5"/>
        <v>0</v>
      </c>
      <c r="Y12" s="13">
        <v>0</v>
      </c>
      <c r="Z12" s="231">
        <v>0</v>
      </c>
      <c r="AA12" s="268">
        <f t="shared" si="6"/>
        <v>0</v>
      </c>
      <c r="AB12" s="13">
        <v>0</v>
      </c>
      <c r="AC12" s="231">
        <v>0</v>
      </c>
      <c r="AD12" s="268">
        <f t="shared" si="7"/>
        <v>0</v>
      </c>
      <c r="AE12" s="13">
        <v>0</v>
      </c>
      <c r="AF12" s="231">
        <v>0</v>
      </c>
      <c r="AG12" s="268">
        <f t="shared" si="8"/>
        <v>0</v>
      </c>
      <c r="AH12" s="13">
        <v>0</v>
      </c>
      <c r="AI12" s="231">
        <v>0</v>
      </c>
      <c r="AJ12" s="268">
        <f t="shared" si="9"/>
        <v>0</v>
      </c>
      <c r="AK12" s="13">
        <v>0</v>
      </c>
      <c r="AL12" s="231">
        <v>0</v>
      </c>
      <c r="AM12" s="268">
        <f t="shared" si="10"/>
        <v>0</v>
      </c>
    </row>
    <row r="13" spans="1:39" x14ac:dyDescent="0.3">
      <c r="A13" s="22"/>
      <c r="B13" s="8">
        <v>0</v>
      </c>
      <c r="C13" s="5">
        <v>0</v>
      </c>
      <c r="D13" s="5">
        <v>0</v>
      </c>
      <c r="E13" s="223">
        <v>0</v>
      </c>
      <c r="F13" s="229">
        <f t="shared" si="11"/>
        <v>0</v>
      </c>
      <c r="G13" s="13">
        <v>0</v>
      </c>
      <c r="H13" s="231">
        <v>0</v>
      </c>
      <c r="I13" s="268">
        <f t="shared" si="0"/>
        <v>0</v>
      </c>
      <c r="J13" s="13">
        <v>0</v>
      </c>
      <c r="K13" s="231">
        <v>0</v>
      </c>
      <c r="L13" s="268">
        <f t="shared" si="1"/>
        <v>0</v>
      </c>
      <c r="M13" s="13">
        <v>0</v>
      </c>
      <c r="N13" s="231">
        <v>0</v>
      </c>
      <c r="O13" s="268">
        <f t="shared" si="2"/>
        <v>0</v>
      </c>
      <c r="P13" s="13">
        <v>0</v>
      </c>
      <c r="Q13" s="231">
        <v>0</v>
      </c>
      <c r="R13" s="268">
        <f t="shared" si="3"/>
        <v>0</v>
      </c>
      <c r="S13" s="13">
        <v>0</v>
      </c>
      <c r="T13" s="231">
        <v>0</v>
      </c>
      <c r="U13" s="268">
        <f t="shared" si="4"/>
        <v>0</v>
      </c>
      <c r="V13" s="13">
        <v>0</v>
      </c>
      <c r="W13" s="231">
        <v>0</v>
      </c>
      <c r="X13" s="268">
        <f t="shared" si="5"/>
        <v>0</v>
      </c>
      <c r="Y13" s="13">
        <v>0</v>
      </c>
      <c r="Z13" s="231">
        <v>0</v>
      </c>
      <c r="AA13" s="268">
        <f t="shared" si="6"/>
        <v>0</v>
      </c>
      <c r="AB13" s="13">
        <v>0</v>
      </c>
      <c r="AC13" s="231">
        <v>0</v>
      </c>
      <c r="AD13" s="268">
        <f t="shared" si="7"/>
        <v>0</v>
      </c>
      <c r="AE13" s="13">
        <v>0</v>
      </c>
      <c r="AF13" s="231">
        <v>0</v>
      </c>
      <c r="AG13" s="268">
        <f t="shared" si="8"/>
        <v>0</v>
      </c>
      <c r="AH13" s="13">
        <v>0</v>
      </c>
      <c r="AI13" s="231">
        <v>0</v>
      </c>
      <c r="AJ13" s="268">
        <f t="shared" si="9"/>
        <v>0</v>
      </c>
      <c r="AK13" s="13">
        <v>0</v>
      </c>
      <c r="AL13" s="231">
        <v>0</v>
      </c>
      <c r="AM13" s="268">
        <f t="shared" si="10"/>
        <v>0</v>
      </c>
    </row>
    <row r="14" spans="1:39" x14ac:dyDescent="0.3">
      <c r="A14" s="22"/>
      <c r="B14" s="8">
        <v>0</v>
      </c>
      <c r="C14" s="5">
        <v>0</v>
      </c>
      <c r="D14" s="5">
        <v>0</v>
      </c>
      <c r="E14" s="223"/>
      <c r="F14" s="230"/>
      <c r="G14" s="12"/>
      <c r="H14" s="232"/>
      <c r="I14" s="236"/>
      <c r="J14" s="12"/>
      <c r="K14" s="232"/>
      <c r="L14" s="236"/>
      <c r="M14" s="12"/>
      <c r="N14" s="232"/>
      <c r="O14" s="236"/>
      <c r="P14" s="12"/>
      <c r="Q14" s="232"/>
      <c r="R14" s="236"/>
      <c r="S14" s="12"/>
      <c r="T14" s="232"/>
      <c r="U14" s="236"/>
      <c r="V14" s="12"/>
      <c r="W14" s="232"/>
      <c r="X14" s="236"/>
      <c r="Y14" s="12"/>
      <c r="Z14" s="232"/>
      <c r="AA14" s="236"/>
      <c r="AB14" s="12"/>
      <c r="AC14" s="232"/>
      <c r="AD14" s="236"/>
      <c r="AE14" s="12"/>
      <c r="AF14" s="232"/>
      <c r="AG14" s="236"/>
      <c r="AH14" s="12"/>
      <c r="AI14" s="232"/>
      <c r="AJ14" s="236"/>
      <c r="AK14" s="12"/>
      <c r="AL14" s="232"/>
      <c r="AM14" s="236"/>
    </row>
    <row r="15" spans="1:39" ht="16.2" x14ac:dyDescent="0.45">
      <c r="A15" s="22"/>
      <c r="B15" s="8"/>
      <c r="C15" s="5"/>
      <c r="D15" s="5"/>
      <c r="E15" s="189" t="s">
        <v>8</v>
      </c>
      <c r="F15" s="239">
        <f>SUM(F7:F14)</f>
        <v>0</v>
      </c>
      <c r="G15" s="12"/>
      <c r="H15" s="191" t="s">
        <v>8</v>
      </c>
      <c r="I15" s="269">
        <f>SUM(I7:I14)</f>
        <v>0</v>
      </c>
      <c r="J15" s="12"/>
      <c r="K15" s="191" t="s">
        <v>8</v>
      </c>
      <c r="L15" s="269">
        <f>SUM(L7:L14)</f>
        <v>0</v>
      </c>
      <c r="M15" s="12"/>
      <c r="N15" s="191" t="s">
        <v>8</v>
      </c>
      <c r="O15" s="192">
        <f>SUM(O7:O14)</f>
        <v>0</v>
      </c>
      <c r="P15" s="12"/>
      <c r="Q15" s="191" t="s">
        <v>8</v>
      </c>
      <c r="R15" s="269">
        <f>SUM(R7:R14)</f>
        <v>0</v>
      </c>
      <c r="S15" s="12"/>
      <c r="T15" s="191" t="s">
        <v>8</v>
      </c>
      <c r="U15" s="269">
        <f>SUM(U7:U14)</f>
        <v>0</v>
      </c>
      <c r="V15" s="12"/>
      <c r="W15" s="191" t="s">
        <v>8</v>
      </c>
      <c r="X15" s="269">
        <f>SUM(X7:X14)</f>
        <v>0</v>
      </c>
      <c r="Y15" s="12"/>
      <c r="Z15" s="191" t="s">
        <v>8</v>
      </c>
      <c r="AA15" s="269">
        <f>SUM(AA7:AA14)</f>
        <v>0</v>
      </c>
      <c r="AB15" s="12"/>
      <c r="AC15" s="191" t="s">
        <v>8</v>
      </c>
      <c r="AD15" s="269">
        <f>SUM(AD7:AD14)</f>
        <v>0</v>
      </c>
      <c r="AE15" s="12"/>
      <c r="AF15" s="191" t="s">
        <v>8</v>
      </c>
      <c r="AG15" s="269">
        <f>SUM(AG7:AG14)</f>
        <v>0</v>
      </c>
      <c r="AH15" s="12"/>
      <c r="AI15" s="191" t="s">
        <v>8</v>
      </c>
      <c r="AJ15" s="269">
        <f>SUM(AJ7:AJ14)</f>
        <v>0</v>
      </c>
      <c r="AK15" s="12"/>
      <c r="AL15" s="191" t="s">
        <v>8</v>
      </c>
      <c r="AM15" s="269">
        <f>SUM(AM7:AM14)</f>
        <v>0</v>
      </c>
    </row>
  </sheetData>
  <hyperlinks>
    <hyperlink ref="A2" location="Menu!A1" display="Menu" xr:uid="{00000000-0004-0000-1200-000000000000}"/>
  </hyperlinks>
  <pageMargins left="0.511811024" right="0.511811024" top="0.78740157499999996" bottom="0.78740157499999996" header="0.31496062000000002" footer="0.3149606200000000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AN14"/>
  <sheetViews>
    <sheetView workbookViewId="0">
      <pane xSplit="1" topLeftCell="K1" activePane="topRight" state="frozen"/>
      <selection pane="topRight" activeCell="A2" sqref="A2"/>
    </sheetView>
  </sheetViews>
  <sheetFormatPr defaultColWidth="9.109375" defaultRowHeight="14.4" x14ac:dyDescent="0.3"/>
  <cols>
    <col min="1" max="1" width="24.33203125" style="1" bestFit="1" customWidth="1"/>
    <col min="2" max="2" width="9.109375" style="1"/>
    <col min="3" max="3" width="18.88671875" style="1" bestFit="1" customWidth="1"/>
    <col min="4" max="4" width="16.6640625" style="1" bestFit="1" customWidth="1"/>
    <col min="5" max="5" width="14.109375" style="1" bestFit="1" customWidth="1"/>
    <col min="6" max="6" width="9.109375" style="1"/>
    <col min="7" max="7" width="12.109375" style="1" bestFit="1" customWidth="1"/>
    <col min="8" max="8" width="14.109375" style="1" bestFit="1" customWidth="1"/>
    <col min="9" max="9" width="9.109375" style="1"/>
    <col min="10" max="10" width="10.88671875" style="1" bestFit="1" customWidth="1"/>
    <col min="11" max="11" width="14.109375" style="1" bestFit="1" customWidth="1"/>
    <col min="12" max="12" width="10.6640625" style="1" bestFit="1" customWidth="1"/>
    <col min="13" max="13" width="10.88671875" style="1" bestFit="1" customWidth="1"/>
    <col min="14" max="14" width="14.109375" style="1" bestFit="1" customWidth="1"/>
    <col min="15" max="15" width="9.109375" style="1"/>
    <col min="16" max="16" width="10.88671875" style="1" bestFit="1" customWidth="1"/>
    <col min="17" max="17" width="14.109375" style="1" bestFit="1" customWidth="1"/>
    <col min="18" max="18" width="9" style="1" bestFit="1" customWidth="1"/>
    <col min="19" max="19" width="10.88671875" style="1" bestFit="1" customWidth="1"/>
    <col min="20" max="20" width="14.109375" style="1" bestFit="1" customWidth="1"/>
    <col min="21" max="21" width="9.109375" style="1"/>
    <col min="22" max="22" width="10.88671875" style="1" bestFit="1" customWidth="1"/>
    <col min="23" max="23" width="14.109375" style="1" bestFit="1" customWidth="1"/>
    <col min="24" max="24" width="9.109375" style="1"/>
    <col min="25" max="25" width="10.88671875" style="1" bestFit="1" customWidth="1"/>
    <col min="26" max="26" width="14.109375" style="1" bestFit="1" customWidth="1"/>
    <col min="27" max="27" width="9.109375" style="1"/>
    <col min="28" max="28" width="10.88671875" style="1" bestFit="1" customWidth="1"/>
    <col min="29" max="29" width="14.109375" style="1" bestFit="1" customWidth="1"/>
    <col min="30" max="30" width="9.109375" style="1"/>
    <col min="31" max="31" width="10.88671875" style="1" bestFit="1" customWidth="1"/>
    <col min="32" max="32" width="14.109375" style="1" bestFit="1" customWidth="1"/>
    <col min="33" max="33" width="9.5546875" style="1" bestFit="1" customWidth="1"/>
    <col min="34" max="34" width="10.88671875" style="1" bestFit="1" customWidth="1"/>
    <col min="35" max="35" width="14.109375" style="1" bestFit="1" customWidth="1"/>
    <col min="36" max="36" width="9.5546875" style="1" bestFit="1" customWidth="1"/>
    <col min="37" max="37" width="10.88671875" style="1" bestFit="1" customWidth="1"/>
    <col min="38" max="38" width="14.109375" style="1" bestFit="1" customWidth="1"/>
    <col min="39" max="39" width="9.5546875" style="1" bestFit="1" customWidth="1"/>
    <col min="40" max="40" width="10.88671875" style="1" bestFit="1" customWidth="1"/>
    <col min="41" max="16384" width="9.109375" style="1"/>
  </cols>
  <sheetData>
    <row r="1" spans="1:40" ht="15" thickBot="1" x14ac:dyDescent="0.35"/>
    <row r="2" spans="1:40" ht="28.5" customHeight="1" thickBot="1" x14ac:dyDescent="0.6">
      <c r="A2" s="262" t="s">
        <v>110</v>
      </c>
      <c r="B2" s="164"/>
      <c r="C2" s="164"/>
      <c r="D2" s="736"/>
      <c r="E2" s="6"/>
      <c r="F2" s="6"/>
      <c r="G2" s="6"/>
    </row>
    <row r="3" spans="1:40" ht="28.8" x14ac:dyDescent="0.55000000000000004">
      <c r="A3" s="265" t="s">
        <v>185</v>
      </c>
      <c r="B3" s="165"/>
      <c r="C3" s="165"/>
      <c r="D3" s="736"/>
      <c r="E3" s="6"/>
      <c r="F3" s="6"/>
      <c r="G3" s="6"/>
    </row>
    <row r="4" spans="1:40" x14ac:dyDescent="0.3">
      <c r="A4" s="7"/>
      <c r="B4" s="7"/>
      <c r="C4" s="7"/>
      <c r="D4" s="7"/>
      <c r="E4" s="4">
        <v>44562</v>
      </c>
      <c r="F4" s="4">
        <v>44562</v>
      </c>
      <c r="G4" s="29">
        <v>44562</v>
      </c>
      <c r="H4" s="11">
        <v>45323</v>
      </c>
      <c r="I4" s="11">
        <v>45323</v>
      </c>
      <c r="J4" s="11">
        <v>45323</v>
      </c>
      <c r="K4" s="11">
        <v>45352</v>
      </c>
      <c r="L4" s="11">
        <v>45352</v>
      </c>
      <c r="M4" s="11">
        <v>45352</v>
      </c>
      <c r="N4" s="11">
        <v>45383</v>
      </c>
      <c r="O4" s="11">
        <v>45383</v>
      </c>
      <c r="P4" s="11">
        <v>45383</v>
      </c>
      <c r="Q4" s="11">
        <v>45413</v>
      </c>
      <c r="R4" s="11">
        <v>45413</v>
      </c>
      <c r="S4" s="11">
        <v>45413</v>
      </c>
      <c r="T4" s="11">
        <v>45444</v>
      </c>
      <c r="U4" s="11">
        <v>45444</v>
      </c>
      <c r="V4" s="11">
        <v>45444</v>
      </c>
      <c r="W4" s="11">
        <v>45474</v>
      </c>
      <c r="X4" s="11">
        <v>45474</v>
      </c>
      <c r="Y4" s="11">
        <v>45474</v>
      </c>
      <c r="Z4" s="11">
        <v>45505</v>
      </c>
      <c r="AA4" s="11">
        <v>45505</v>
      </c>
      <c r="AB4" s="11">
        <v>45505</v>
      </c>
      <c r="AC4" s="11">
        <v>45536</v>
      </c>
      <c r="AD4" s="11">
        <v>45536</v>
      </c>
      <c r="AE4" s="11">
        <v>45536</v>
      </c>
      <c r="AF4" s="11">
        <v>45566</v>
      </c>
      <c r="AG4" s="11">
        <v>45566</v>
      </c>
      <c r="AH4" s="11">
        <v>45566</v>
      </c>
      <c r="AI4" s="11">
        <v>45597</v>
      </c>
      <c r="AJ4" s="11">
        <v>45597</v>
      </c>
      <c r="AK4" s="11">
        <v>45597</v>
      </c>
      <c r="AL4" s="11">
        <v>45627</v>
      </c>
      <c r="AM4" s="11">
        <v>45627</v>
      </c>
      <c r="AN4" s="11">
        <v>45627</v>
      </c>
    </row>
    <row r="5" spans="1:40" x14ac:dyDescent="0.3">
      <c r="A5" s="5" t="s">
        <v>1</v>
      </c>
      <c r="B5" s="5" t="s">
        <v>2</v>
      </c>
      <c r="C5" s="5" t="s">
        <v>3</v>
      </c>
      <c r="D5" s="5" t="s">
        <v>9</v>
      </c>
      <c r="E5" s="5" t="s">
        <v>5</v>
      </c>
      <c r="F5" s="5" t="s">
        <v>6</v>
      </c>
      <c r="G5" s="23" t="s">
        <v>7</v>
      </c>
      <c r="H5" s="13" t="s">
        <v>5</v>
      </c>
      <c r="I5" s="13" t="s">
        <v>6</v>
      </c>
      <c r="J5" s="26" t="s">
        <v>7</v>
      </c>
      <c r="K5" s="13" t="s">
        <v>5</v>
      </c>
      <c r="L5" s="13" t="s">
        <v>116</v>
      </c>
      <c r="M5" s="26" t="s">
        <v>7</v>
      </c>
      <c r="N5" s="13" t="s">
        <v>5</v>
      </c>
      <c r="O5" s="13" t="s">
        <v>6</v>
      </c>
      <c r="P5" s="26" t="s">
        <v>7</v>
      </c>
      <c r="Q5" s="13" t="s">
        <v>5</v>
      </c>
      <c r="R5" s="13" t="s">
        <v>6</v>
      </c>
      <c r="S5" s="26" t="s">
        <v>7</v>
      </c>
      <c r="T5" s="13" t="s">
        <v>5</v>
      </c>
      <c r="U5" s="13" t="s">
        <v>6</v>
      </c>
      <c r="V5" s="26" t="s">
        <v>7</v>
      </c>
      <c r="W5" s="13" t="s">
        <v>5</v>
      </c>
      <c r="X5" s="13" t="s">
        <v>6</v>
      </c>
      <c r="Y5" s="26" t="s">
        <v>7</v>
      </c>
      <c r="Z5" s="13" t="s">
        <v>5</v>
      </c>
      <c r="AA5" s="13" t="s">
        <v>6</v>
      </c>
      <c r="AB5" s="26" t="s">
        <v>7</v>
      </c>
      <c r="AC5" s="13" t="s">
        <v>5</v>
      </c>
      <c r="AD5" s="13" t="s">
        <v>6</v>
      </c>
      <c r="AE5" s="26" t="s">
        <v>7</v>
      </c>
      <c r="AF5" s="13" t="s">
        <v>5</v>
      </c>
      <c r="AG5" s="13" t="s">
        <v>6</v>
      </c>
      <c r="AH5" s="26" t="s">
        <v>7</v>
      </c>
      <c r="AI5" s="13" t="s">
        <v>5</v>
      </c>
      <c r="AJ5" s="13" t="s">
        <v>6</v>
      </c>
      <c r="AK5" s="26" t="s">
        <v>7</v>
      </c>
      <c r="AL5" s="13" t="s">
        <v>5</v>
      </c>
      <c r="AM5" s="13" t="s">
        <v>6</v>
      </c>
      <c r="AN5" s="26" t="s">
        <v>7</v>
      </c>
    </row>
    <row r="6" spans="1:40" x14ac:dyDescent="0.3">
      <c r="A6" s="25"/>
      <c r="B6" s="5">
        <v>0</v>
      </c>
      <c r="C6" s="5">
        <v>0</v>
      </c>
      <c r="D6" s="5">
        <v>0</v>
      </c>
      <c r="E6" s="9">
        <v>0</v>
      </c>
      <c r="F6" s="223">
        <v>0</v>
      </c>
      <c r="G6" s="252">
        <f>E6*F6</f>
        <v>0</v>
      </c>
      <c r="H6" s="14">
        <v>0</v>
      </c>
      <c r="I6" s="231">
        <v>0</v>
      </c>
      <c r="J6" s="236">
        <f t="shared" ref="J6:J13" si="0">I6*H6</f>
        <v>0</v>
      </c>
      <c r="K6" s="171">
        <v>0</v>
      </c>
      <c r="L6" s="223">
        <v>0</v>
      </c>
      <c r="M6" s="236">
        <f t="shared" ref="M6:M13" si="1">L6*K6</f>
        <v>0</v>
      </c>
      <c r="N6" s="14">
        <v>0</v>
      </c>
      <c r="O6" s="231">
        <v>0</v>
      </c>
      <c r="P6" s="236">
        <f t="shared" ref="P6:P13" si="2">O6*N6</f>
        <v>0</v>
      </c>
      <c r="Q6" s="14">
        <v>0</v>
      </c>
      <c r="R6" s="231">
        <v>0</v>
      </c>
      <c r="S6" s="236">
        <f t="shared" ref="S6:S13" si="3">R6*Q6</f>
        <v>0</v>
      </c>
      <c r="T6" s="14">
        <v>0</v>
      </c>
      <c r="U6" s="231">
        <v>0</v>
      </c>
      <c r="V6" s="236">
        <f t="shared" ref="V6:V13" si="4">U6*T6</f>
        <v>0</v>
      </c>
      <c r="W6" s="14">
        <v>0</v>
      </c>
      <c r="X6" s="231">
        <v>0</v>
      </c>
      <c r="Y6" s="236">
        <f t="shared" ref="Y6:Y13" si="5">X6*W6</f>
        <v>0</v>
      </c>
      <c r="Z6" s="14">
        <v>0</v>
      </c>
      <c r="AA6" s="231">
        <v>0</v>
      </c>
      <c r="AB6" s="236">
        <f t="shared" ref="AB6:AB13" si="6">AA6*Z6</f>
        <v>0</v>
      </c>
      <c r="AC6" s="14">
        <v>0</v>
      </c>
      <c r="AD6" s="231">
        <v>0</v>
      </c>
      <c r="AE6" s="236">
        <f t="shared" ref="AE6:AE13" si="7">AD6*AC6</f>
        <v>0</v>
      </c>
      <c r="AF6" s="14">
        <v>0</v>
      </c>
      <c r="AG6" s="231">
        <v>0</v>
      </c>
      <c r="AH6" s="236">
        <f t="shared" ref="AH6:AH13" si="8">AG6*AF6</f>
        <v>0</v>
      </c>
      <c r="AI6" s="14">
        <v>0</v>
      </c>
      <c r="AJ6" s="231">
        <v>0</v>
      </c>
      <c r="AK6" s="236">
        <f t="shared" ref="AK6:AK13" si="9">AJ6*AI6</f>
        <v>0</v>
      </c>
      <c r="AL6" s="14">
        <v>0</v>
      </c>
      <c r="AM6" s="231">
        <v>0</v>
      </c>
      <c r="AN6" s="236">
        <f t="shared" ref="AN6:AN13" si="10">AM6*AL6</f>
        <v>0</v>
      </c>
    </row>
    <row r="7" spans="1:40" x14ac:dyDescent="0.3">
      <c r="A7" s="25"/>
      <c r="B7" s="5">
        <v>0</v>
      </c>
      <c r="C7" s="5">
        <v>0</v>
      </c>
      <c r="D7" s="5">
        <v>0</v>
      </c>
      <c r="E7" s="9">
        <v>0</v>
      </c>
      <c r="F7" s="223">
        <v>0</v>
      </c>
      <c r="G7" s="252">
        <f t="shared" ref="G7:G13" si="11">E7*F7</f>
        <v>0</v>
      </c>
      <c r="H7" s="14">
        <v>0</v>
      </c>
      <c r="I7" s="231">
        <v>0</v>
      </c>
      <c r="J7" s="236">
        <f t="shared" si="0"/>
        <v>0</v>
      </c>
      <c r="K7" s="171">
        <v>0</v>
      </c>
      <c r="L7" s="223">
        <v>0</v>
      </c>
      <c r="M7" s="236">
        <f t="shared" si="1"/>
        <v>0</v>
      </c>
      <c r="N7" s="14">
        <v>0</v>
      </c>
      <c r="O7" s="231">
        <v>0</v>
      </c>
      <c r="P7" s="236">
        <f t="shared" si="2"/>
        <v>0</v>
      </c>
      <c r="Q7" s="14">
        <v>0</v>
      </c>
      <c r="R7" s="231">
        <v>0</v>
      </c>
      <c r="S7" s="236">
        <f t="shared" si="3"/>
        <v>0</v>
      </c>
      <c r="T7" s="14">
        <v>0</v>
      </c>
      <c r="U7" s="231">
        <v>0</v>
      </c>
      <c r="V7" s="236">
        <f t="shared" si="4"/>
        <v>0</v>
      </c>
      <c r="W7" s="14">
        <v>0</v>
      </c>
      <c r="X7" s="231">
        <v>0</v>
      </c>
      <c r="Y7" s="236">
        <f t="shared" si="5"/>
        <v>0</v>
      </c>
      <c r="Z7" s="14">
        <v>0</v>
      </c>
      <c r="AA7" s="231">
        <v>0</v>
      </c>
      <c r="AB7" s="236">
        <f t="shared" si="6"/>
        <v>0</v>
      </c>
      <c r="AC7" s="14">
        <v>0</v>
      </c>
      <c r="AD7" s="231">
        <v>0</v>
      </c>
      <c r="AE7" s="236">
        <f t="shared" si="7"/>
        <v>0</v>
      </c>
      <c r="AF7" s="14">
        <v>0</v>
      </c>
      <c r="AG7" s="231">
        <v>0</v>
      </c>
      <c r="AH7" s="236">
        <f t="shared" si="8"/>
        <v>0</v>
      </c>
      <c r="AI7" s="14">
        <v>0</v>
      </c>
      <c r="AJ7" s="231">
        <v>0</v>
      </c>
      <c r="AK7" s="236">
        <f t="shared" si="9"/>
        <v>0</v>
      </c>
      <c r="AL7" s="14">
        <v>0</v>
      </c>
      <c r="AM7" s="231">
        <v>0</v>
      </c>
      <c r="AN7" s="236">
        <f t="shared" si="10"/>
        <v>0</v>
      </c>
    </row>
    <row r="8" spans="1:40" x14ac:dyDescent="0.3">
      <c r="A8" s="25"/>
      <c r="B8" s="5">
        <v>0</v>
      </c>
      <c r="C8" s="5">
        <v>0</v>
      </c>
      <c r="D8" s="5">
        <v>0</v>
      </c>
      <c r="E8" s="9">
        <v>0</v>
      </c>
      <c r="F8" s="223">
        <v>0</v>
      </c>
      <c r="G8" s="252">
        <f t="shared" si="11"/>
        <v>0</v>
      </c>
      <c r="H8" s="14">
        <v>0</v>
      </c>
      <c r="I8" s="231">
        <v>0</v>
      </c>
      <c r="J8" s="236">
        <f t="shared" si="0"/>
        <v>0</v>
      </c>
      <c r="K8" s="171">
        <v>0</v>
      </c>
      <c r="L8" s="223">
        <v>0</v>
      </c>
      <c r="M8" s="236">
        <f t="shared" si="1"/>
        <v>0</v>
      </c>
      <c r="N8" s="14">
        <v>0</v>
      </c>
      <c r="O8" s="231">
        <v>0</v>
      </c>
      <c r="P8" s="236">
        <f t="shared" si="2"/>
        <v>0</v>
      </c>
      <c r="Q8" s="14">
        <v>0</v>
      </c>
      <c r="R8" s="231">
        <v>0</v>
      </c>
      <c r="S8" s="236">
        <f t="shared" si="3"/>
        <v>0</v>
      </c>
      <c r="T8" s="14">
        <v>0</v>
      </c>
      <c r="U8" s="231">
        <v>0</v>
      </c>
      <c r="V8" s="236">
        <f t="shared" si="4"/>
        <v>0</v>
      </c>
      <c r="W8" s="14">
        <v>0</v>
      </c>
      <c r="X8" s="231">
        <v>0</v>
      </c>
      <c r="Y8" s="236">
        <f t="shared" si="5"/>
        <v>0</v>
      </c>
      <c r="Z8" s="14">
        <v>0</v>
      </c>
      <c r="AA8" s="231">
        <v>0</v>
      </c>
      <c r="AB8" s="236">
        <f t="shared" si="6"/>
        <v>0</v>
      </c>
      <c r="AC8" s="14">
        <v>0</v>
      </c>
      <c r="AD8" s="231">
        <v>0</v>
      </c>
      <c r="AE8" s="236">
        <f t="shared" si="7"/>
        <v>0</v>
      </c>
      <c r="AF8" s="14">
        <v>0</v>
      </c>
      <c r="AG8" s="231">
        <v>0</v>
      </c>
      <c r="AH8" s="236">
        <f t="shared" si="8"/>
        <v>0</v>
      </c>
      <c r="AI8" s="14">
        <v>0</v>
      </c>
      <c r="AJ8" s="231">
        <v>0</v>
      </c>
      <c r="AK8" s="236">
        <f t="shared" si="9"/>
        <v>0</v>
      </c>
      <c r="AL8" s="14">
        <v>0</v>
      </c>
      <c r="AM8" s="231">
        <v>0</v>
      </c>
      <c r="AN8" s="236">
        <f t="shared" si="10"/>
        <v>0</v>
      </c>
    </row>
    <row r="9" spans="1:40" x14ac:dyDescent="0.3">
      <c r="A9" s="25"/>
      <c r="B9" s="5">
        <v>0</v>
      </c>
      <c r="C9" s="5">
        <v>0</v>
      </c>
      <c r="D9" s="5">
        <v>0</v>
      </c>
      <c r="E9" s="9">
        <v>0</v>
      </c>
      <c r="F9" s="223">
        <v>0</v>
      </c>
      <c r="G9" s="252">
        <f t="shared" si="11"/>
        <v>0</v>
      </c>
      <c r="H9" s="14">
        <v>0</v>
      </c>
      <c r="I9" s="231">
        <v>0</v>
      </c>
      <c r="J9" s="236">
        <f t="shared" si="0"/>
        <v>0</v>
      </c>
      <c r="K9" s="25">
        <v>0</v>
      </c>
      <c r="L9" s="223">
        <v>0</v>
      </c>
      <c r="M9" s="236">
        <f t="shared" si="1"/>
        <v>0</v>
      </c>
      <c r="N9" s="14">
        <v>0</v>
      </c>
      <c r="O9" s="231">
        <v>0</v>
      </c>
      <c r="P9" s="236">
        <f t="shared" si="2"/>
        <v>0</v>
      </c>
      <c r="Q9" s="14">
        <v>0</v>
      </c>
      <c r="R9" s="231">
        <v>0</v>
      </c>
      <c r="S9" s="236">
        <f t="shared" si="3"/>
        <v>0</v>
      </c>
      <c r="T9" s="14">
        <v>0</v>
      </c>
      <c r="U9" s="231">
        <v>0</v>
      </c>
      <c r="V9" s="236">
        <f t="shared" si="4"/>
        <v>0</v>
      </c>
      <c r="W9" s="14">
        <v>0</v>
      </c>
      <c r="X9" s="231">
        <v>0</v>
      </c>
      <c r="Y9" s="236">
        <f t="shared" si="5"/>
        <v>0</v>
      </c>
      <c r="Z9" s="14">
        <v>0</v>
      </c>
      <c r="AA9" s="231">
        <v>0</v>
      </c>
      <c r="AB9" s="236">
        <f t="shared" si="6"/>
        <v>0</v>
      </c>
      <c r="AC9" s="14">
        <v>0</v>
      </c>
      <c r="AD9" s="231">
        <v>0</v>
      </c>
      <c r="AE9" s="236">
        <f t="shared" si="7"/>
        <v>0</v>
      </c>
      <c r="AF9" s="14">
        <v>0</v>
      </c>
      <c r="AG9" s="231">
        <v>0</v>
      </c>
      <c r="AH9" s="236">
        <f t="shared" si="8"/>
        <v>0</v>
      </c>
      <c r="AI9" s="14">
        <v>0</v>
      </c>
      <c r="AJ9" s="231">
        <v>0</v>
      </c>
      <c r="AK9" s="236">
        <f t="shared" si="9"/>
        <v>0</v>
      </c>
      <c r="AL9" s="14">
        <v>0</v>
      </c>
      <c r="AM9" s="231">
        <v>0</v>
      </c>
      <c r="AN9" s="236">
        <f t="shared" si="10"/>
        <v>0</v>
      </c>
    </row>
    <row r="10" spans="1:40" x14ac:dyDescent="0.3">
      <c r="A10" s="25"/>
      <c r="B10" s="5">
        <v>0</v>
      </c>
      <c r="C10" s="5">
        <v>0</v>
      </c>
      <c r="D10" s="5">
        <v>0</v>
      </c>
      <c r="E10" s="9">
        <v>0</v>
      </c>
      <c r="F10" s="223">
        <v>0</v>
      </c>
      <c r="G10" s="252">
        <f t="shared" si="11"/>
        <v>0</v>
      </c>
      <c r="H10" s="14">
        <v>0</v>
      </c>
      <c r="I10" s="231">
        <v>0</v>
      </c>
      <c r="J10" s="236">
        <f t="shared" si="0"/>
        <v>0</v>
      </c>
      <c r="K10" s="171">
        <v>0</v>
      </c>
      <c r="L10" s="231">
        <v>0</v>
      </c>
      <c r="M10" s="236">
        <f t="shared" si="1"/>
        <v>0</v>
      </c>
      <c r="N10" s="14">
        <v>0</v>
      </c>
      <c r="O10" s="231">
        <v>0</v>
      </c>
      <c r="P10" s="236">
        <f t="shared" si="2"/>
        <v>0</v>
      </c>
      <c r="Q10" s="14">
        <v>0</v>
      </c>
      <c r="R10" s="231">
        <v>0</v>
      </c>
      <c r="S10" s="236">
        <f t="shared" si="3"/>
        <v>0</v>
      </c>
      <c r="T10" s="14">
        <v>0</v>
      </c>
      <c r="U10" s="231">
        <v>0</v>
      </c>
      <c r="V10" s="236">
        <f t="shared" si="4"/>
        <v>0</v>
      </c>
      <c r="W10" s="14">
        <v>0</v>
      </c>
      <c r="X10" s="231">
        <v>0</v>
      </c>
      <c r="Y10" s="236">
        <f t="shared" si="5"/>
        <v>0</v>
      </c>
      <c r="Z10" s="14">
        <v>0</v>
      </c>
      <c r="AA10" s="231">
        <v>0</v>
      </c>
      <c r="AB10" s="236">
        <f t="shared" si="6"/>
        <v>0</v>
      </c>
      <c r="AC10" s="14">
        <v>0</v>
      </c>
      <c r="AD10" s="231">
        <v>0</v>
      </c>
      <c r="AE10" s="236">
        <f t="shared" si="7"/>
        <v>0</v>
      </c>
      <c r="AF10" s="14">
        <v>0</v>
      </c>
      <c r="AG10" s="231">
        <v>0</v>
      </c>
      <c r="AH10" s="236">
        <f t="shared" si="8"/>
        <v>0</v>
      </c>
      <c r="AI10" s="14">
        <v>0</v>
      </c>
      <c r="AJ10" s="231">
        <v>0</v>
      </c>
      <c r="AK10" s="236">
        <f t="shared" si="9"/>
        <v>0</v>
      </c>
      <c r="AL10" s="14">
        <v>0</v>
      </c>
      <c r="AM10" s="231">
        <v>0</v>
      </c>
      <c r="AN10" s="236">
        <f t="shared" si="10"/>
        <v>0</v>
      </c>
    </row>
    <row r="11" spans="1:40" x14ac:dyDescent="0.3">
      <c r="A11" s="25"/>
      <c r="B11" s="5">
        <v>0</v>
      </c>
      <c r="C11" s="5">
        <v>0</v>
      </c>
      <c r="D11" s="5">
        <v>0</v>
      </c>
      <c r="E11" s="5">
        <v>0</v>
      </c>
      <c r="F11" s="223">
        <v>0</v>
      </c>
      <c r="G11" s="280">
        <f t="shared" si="11"/>
        <v>0</v>
      </c>
      <c r="H11" s="13">
        <v>0</v>
      </c>
      <c r="I11" s="231">
        <v>0</v>
      </c>
      <c r="J11" s="268">
        <f t="shared" si="0"/>
        <v>0</v>
      </c>
      <c r="K11" s="25">
        <v>0</v>
      </c>
      <c r="L11" s="231">
        <v>0</v>
      </c>
      <c r="M11" s="268">
        <f t="shared" si="1"/>
        <v>0</v>
      </c>
      <c r="N11" s="13">
        <v>0</v>
      </c>
      <c r="O11" s="231">
        <v>0</v>
      </c>
      <c r="P11" s="268">
        <f t="shared" si="2"/>
        <v>0</v>
      </c>
      <c r="Q11" s="13">
        <v>0</v>
      </c>
      <c r="R11" s="231">
        <v>0</v>
      </c>
      <c r="S11" s="268">
        <f t="shared" si="3"/>
        <v>0</v>
      </c>
      <c r="T11" s="13">
        <v>0</v>
      </c>
      <c r="U11" s="231">
        <v>0</v>
      </c>
      <c r="V11" s="268">
        <f t="shared" si="4"/>
        <v>0</v>
      </c>
      <c r="W11" s="13">
        <v>0</v>
      </c>
      <c r="X11" s="231">
        <v>0</v>
      </c>
      <c r="Y11" s="268">
        <f t="shared" si="5"/>
        <v>0</v>
      </c>
      <c r="Z11" s="13">
        <v>0</v>
      </c>
      <c r="AA11" s="231">
        <v>0</v>
      </c>
      <c r="AB11" s="268">
        <f t="shared" si="6"/>
        <v>0</v>
      </c>
      <c r="AC11" s="13">
        <v>0</v>
      </c>
      <c r="AD11" s="231">
        <v>0</v>
      </c>
      <c r="AE11" s="268">
        <f t="shared" si="7"/>
        <v>0</v>
      </c>
      <c r="AF11" s="13">
        <v>0</v>
      </c>
      <c r="AG11" s="231">
        <v>0</v>
      </c>
      <c r="AH11" s="268">
        <f t="shared" si="8"/>
        <v>0</v>
      </c>
      <c r="AI11" s="13">
        <v>0</v>
      </c>
      <c r="AJ11" s="231">
        <v>0</v>
      </c>
      <c r="AK11" s="268">
        <f t="shared" si="9"/>
        <v>0</v>
      </c>
      <c r="AL11" s="13">
        <v>0</v>
      </c>
      <c r="AM11" s="231">
        <v>0</v>
      </c>
      <c r="AN11" s="268">
        <f t="shared" si="10"/>
        <v>0</v>
      </c>
    </row>
    <row r="12" spans="1:40" x14ac:dyDescent="0.3">
      <c r="A12" s="5"/>
      <c r="B12" s="5">
        <v>0</v>
      </c>
      <c r="C12" s="5">
        <v>0</v>
      </c>
      <c r="D12" s="5">
        <v>0</v>
      </c>
      <c r="E12" s="5">
        <v>0</v>
      </c>
      <c r="F12" s="223">
        <v>0</v>
      </c>
      <c r="G12" s="280">
        <f t="shared" si="11"/>
        <v>0</v>
      </c>
      <c r="H12" s="13">
        <v>0</v>
      </c>
      <c r="I12" s="231">
        <v>0</v>
      </c>
      <c r="J12" s="268">
        <f t="shared" si="0"/>
        <v>0</v>
      </c>
      <c r="K12" s="13">
        <v>0</v>
      </c>
      <c r="L12" s="231">
        <v>0</v>
      </c>
      <c r="M12" s="268">
        <f t="shared" si="1"/>
        <v>0</v>
      </c>
      <c r="N12" s="13">
        <v>0</v>
      </c>
      <c r="O12" s="231">
        <v>0</v>
      </c>
      <c r="P12" s="268">
        <f t="shared" si="2"/>
        <v>0</v>
      </c>
      <c r="Q12" s="13">
        <v>0</v>
      </c>
      <c r="R12" s="231">
        <v>0</v>
      </c>
      <c r="S12" s="268">
        <f t="shared" si="3"/>
        <v>0</v>
      </c>
      <c r="T12" s="13">
        <v>0</v>
      </c>
      <c r="U12" s="231">
        <v>0</v>
      </c>
      <c r="V12" s="268">
        <f t="shared" si="4"/>
        <v>0</v>
      </c>
      <c r="W12" s="13">
        <v>0</v>
      </c>
      <c r="X12" s="231">
        <v>0</v>
      </c>
      <c r="Y12" s="268">
        <f t="shared" si="5"/>
        <v>0</v>
      </c>
      <c r="Z12" s="13">
        <v>0</v>
      </c>
      <c r="AA12" s="231">
        <v>0</v>
      </c>
      <c r="AB12" s="268">
        <f t="shared" si="6"/>
        <v>0</v>
      </c>
      <c r="AC12" s="13">
        <v>0</v>
      </c>
      <c r="AD12" s="231">
        <v>0</v>
      </c>
      <c r="AE12" s="268">
        <f t="shared" si="7"/>
        <v>0</v>
      </c>
      <c r="AF12" s="13">
        <v>0</v>
      </c>
      <c r="AG12" s="231">
        <v>0</v>
      </c>
      <c r="AH12" s="268">
        <f t="shared" si="8"/>
        <v>0</v>
      </c>
      <c r="AI12" s="13">
        <v>0</v>
      </c>
      <c r="AJ12" s="231">
        <v>0</v>
      </c>
      <c r="AK12" s="268">
        <f t="shared" si="9"/>
        <v>0</v>
      </c>
      <c r="AL12" s="13">
        <v>0</v>
      </c>
      <c r="AM12" s="231">
        <v>0</v>
      </c>
      <c r="AN12" s="268">
        <f t="shared" si="10"/>
        <v>0</v>
      </c>
    </row>
    <row r="13" spans="1:40" x14ac:dyDescent="0.3">
      <c r="A13" s="5"/>
      <c r="B13" s="5">
        <v>0</v>
      </c>
      <c r="C13" s="5">
        <v>0</v>
      </c>
      <c r="D13" s="5">
        <v>0</v>
      </c>
      <c r="E13" s="5">
        <v>0</v>
      </c>
      <c r="F13" s="223">
        <v>0</v>
      </c>
      <c r="G13" s="280">
        <f t="shared" si="11"/>
        <v>0</v>
      </c>
      <c r="H13" s="13">
        <v>0</v>
      </c>
      <c r="I13" s="232">
        <v>0</v>
      </c>
      <c r="J13" s="236">
        <f t="shared" si="0"/>
        <v>0</v>
      </c>
      <c r="K13" s="13">
        <v>0</v>
      </c>
      <c r="L13" s="232">
        <v>0</v>
      </c>
      <c r="M13" s="236">
        <f t="shared" si="1"/>
        <v>0</v>
      </c>
      <c r="N13" s="13">
        <v>0</v>
      </c>
      <c r="O13" s="232">
        <v>0</v>
      </c>
      <c r="P13" s="236">
        <f t="shared" si="2"/>
        <v>0</v>
      </c>
      <c r="Q13" s="13">
        <v>0</v>
      </c>
      <c r="R13" s="232">
        <v>0</v>
      </c>
      <c r="S13" s="236">
        <f t="shared" si="3"/>
        <v>0</v>
      </c>
      <c r="T13" s="13">
        <v>0</v>
      </c>
      <c r="U13" s="232">
        <v>0</v>
      </c>
      <c r="V13" s="236">
        <f t="shared" si="4"/>
        <v>0</v>
      </c>
      <c r="W13" s="13">
        <v>0</v>
      </c>
      <c r="X13" s="232">
        <v>0</v>
      </c>
      <c r="Y13" s="236">
        <f t="shared" si="5"/>
        <v>0</v>
      </c>
      <c r="Z13" s="13">
        <v>0</v>
      </c>
      <c r="AA13" s="232">
        <v>0</v>
      </c>
      <c r="AB13" s="236">
        <f t="shared" si="6"/>
        <v>0</v>
      </c>
      <c r="AC13" s="13">
        <v>0</v>
      </c>
      <c r="AD13" s="232">
        <v>0</v>
      </c>
      <c r="AE13" s="236">
        <f t="shared" si="7"/>
        <v>0</v>
      </c>
      <c r="AF13" s="13">
        <v>0</v>
      </c>
      <c r="AG13" s="232">
        <v>0</v>
      </c>
      <c r="AH13" s="236">
        <f t="shared" si="8"/>
        <v>0</v>
      </c>
      <c r="AI13" s="13">
        <v>0</v>
      </c>
      <c r="AJ13" s="232">
        <v>0</v>
      </c>
      <c r="AK13" s="236">
        <f t="shared" si="9"/>
        <v>0</v>
      </c>
      <c r="AL13" s="13">
        <v>0</v>
      </c>
      <c r="AM13" s="232">
        <v>0</v>
      </c>
      <c r="AN13" s="236">
        <f t="shared" si="10"/>
        <v>0</v>
      </c>
    </row>
    <row r="14" spans="1:40" ht="16.2" x14ac:dyDescent="0.45">
      <c r="A14" s="91"/>
      <c r="B14" s="91"/>
      <c r="C14" s="91"/>
      <c r="D14" s="91"/>
      <c r="E14" s="91"/>
      <c r="F14" s="195" t="s">
        <v>8</v>
      </c>
      <c r="G14" s="281">
        <f>SUM(G6:G13)</f>
        <v>0</v>
      </c>
      <c r="H14" s="12"/>
      <c r="I14" s="191" t="s">
        <v>8</v>
      </c>
      <c r="J14" s="269">
        <f>SUM(J6:J13)</f>
        <v>0</v>
      </c>
      <c r="K14" s="12"/>
      <c r="L14" s="191" t="s">
        <v>8</v>
      </c>
      <c r="M14" s="269">
        <f>SUM(M6:M13)</f>
        <v>0</v>
      </c>
      <c r="N14" s="12"/>
      <c r="O14" s="191" t="s">
        <v>8</v>
      </c>
      <c r="P14" s="269">
        <f>SUM(P6:P13)</f>
        <v>0</v>
      </c>
      <c r="Q14" s="12"/>
      <c r="R14" s="191" t="s">
        <v>8</v>
      </c>
      <c r="S14" s="269">
        <f>SUM(S6:S13)</f>
        <v>0</v>
      </c>
      <c r="T14" s="12"/>
      <c r="U14" s="191" t="s">
        <v>8</v>
      </c>
      <c r="V14" s="269">
        <f>SUM(V6:V13)</f>
        <v>0</v>
      </c>
      <c r="W14" s="12"/>
      <c r="X14" s="191" t="s">
        <v>8</v>
      </c>
      <c r="Y14" s="269">
        <f>SUM(Y6:Y13)</f>
        <v>0</v>
      </c>
      <c r="Z14" s="12"/>
      <c r="AA14" s="191" t="s">
        <v>8</v>
      </c>
      <c r="AB14" s="269">
        <f>SUM(AB6:AB13)</f>
        <v>0</v>
      </c>
      <c r="AC14" s="12"/>
      <c r="AD14" s="191" t="s">
        <v>8</v>
      </c>
      <c r="AE14" s="269">
        <f>SUM(AE6:AE13)</f>
        <v>0</v>
      </c>
      <c r="AF14" s="12"/>
      <c r="AG14" s="191" t="s">
        <v>8</v>
      </c>
      <c r="AH14" s="269">
        <f>SUM(AH6:AH13)</f>
        <v>0</v>
      </c>
      <c r="AI14" s="12"/>
      <c r="AJ14" s="191" t="s">
        <v>8</v>
      </c>
      <c r="AK14" s="269">
        <f>SUM(AK6:AK13)</f>
        <v>0</v>
      </c>
      <c r="AL14" s="12"/>
      <c r="AM14" s="191" t="s">
        <v>8</v>
      </c>
      <c r="AN14" s="269">
        <f>SUM(AN6:AN13)</f>
        <v>0</v>
      </c>
    </row>
  </sheetData>
  <mergeCells count="1">
    <mergeCell ref="D2:D3"/>
  </mergeCells>
  <hyperlinks>
    <hyperlink ref="A2" location="Menu!A1" display="Menu" xr:uid="{00000000-0004-0000-1300-000000000000}"/>
  </hyperlinks>
  <pageMargins left="0.511811024" right="0.511811024" top="0.78740157499999996" bottom="0.78740157499999996" header="0.31496062000000002" footer="0.3149606200000000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AN14"/>
  <sheetViews>
    <sheetView workbookViewId="0">
      <pane xSplit="1" topLeftCell="K1" activePane="topRight" state="frozen"/>
      <selection pane="topRight" activeCell="A2" sqref="A2"/>
    </sheetView>
  </sheetViews>
  <sheetFormatPr defaultColWidth="9.109375" defaultRowHeight="14.4" x14ac:dyDescent="0.3"/>
  <cols>
    <col min="1" max="1" width="42.33203125" style="1" bestFit="1" customWidth="1"/>
    <col min="2" max="2" width="9.109375" style="1"/>
    <col min="3" max="3" width="18.88671875" style="1" bestFit="1" customWidth="1"/>
    <col min="4" max="4" width="16.6640625" style="1" bestFit="1" customWidth="1"/>
    <col min="5" max="5" width="14.109375" style="1" bestFit="1" customWidth="1"/>
    <col min="6" max="6" width="9.109375" style="1"/>
    <col min="7" max="7" width="12.109375" style="1" bestFit="1" customWidth="1"/>
    <col min="8" max="8" width="14.109375" style="1" bestFit="1" customWidth="1"/>
    <col min="9" max="9" width="9.109375" style="1"/>
    <col min="10" max="10" width="10.88671875" style="1" bestFit="1" customWidth="1"/>
    <col min="11" max="11" width="14.109375" style="1" bestFit="1" customWidth="1"/>
    <col min="12" max="12" width="10.6640625" style="1" bestFit="1" customWidth="1"/>
    <col min="13" max="13" width="10.88671875" style="1" bestFit="1" customWidth="1"/>
    <col min="14" max="14" width="14.109375" style="1" bestFit="1" customWidth="1"/>
    <col min="15" max="15" width="9.109375" style="1"/>
    <col min="16" max="16" width="10.88671875" style="1" bestFit="1" customWidth="1"/>
    <col min="17" max="17" width="14.109375" style="1" bestFit="1" customWidth="1"/>
    <col min="18" max="18" width="9" style="1" bestFit="1" customWidth="1"/>
    <col min="19" max="19" width="10.88671875" style="1" bestFit="1" customWidth="1"/>
    <col min="20" max="20" width="14.109375" style="1" bestFit="1" customWidth="1"/>
    <col min="21" max="21" width="9.109375" style="1"/>
    <col min="22" max="22" width="10.88671875" style="1" bestFit="1" customWidth="1"/>
    <col min="23" max="23" width="14.109375" style="1" bestFit="1" customWidth="1"/>
    <col min="24" max="24" width="9.109375" style="1"/>
    <col min="25" max="25" width="10.88671875" style="1" bestFit="1" customWidth="1"/>
    <col min="26" max="26" width="14.109375" style="1" bestFit="1" customWidth="1"/>
    <col min="27" max="27" width="9.109375" style="1"/>
    <col min="28" max="28" width="10.88671875" style="1" bestFit="1" customWidth="1"/>
    <col min="29" max="29" width="14.109375" style="1" bestFit="1" customWidth="1"/>
    <col min="30" max="30" width="9.109375" style="1"/>
    <col min="31" max="31" width="10.88671875" style="1" bestFit="1" customWidth="1"/>
    <col min="32" max="32" width="14.109375" style="1" bestFit="1" customWidth="1"/>
    <col min="33" max="33" width="9.5546875" style="1" bestFit="1" customWidth="1"/>
    <col min="34" max="34" width="10.88671875" style="1" bestFit="1" customWidth="1"/>
    <col min="35" max="35" width="14.109375" style="1" bestFit="1" customWidth="1"/>
    <col min="36" max="36" width="9.5546875" style="1" bestFit="1" customWidth="1"/>
    <col min="37" max="37" width="10.88671875" style="1" bestFit="1" customWidth="1"/>
    <col min="38" max="38" width="14.109375" style="1" bestFit="1" customWidth="1"/>
    <col min="39" max="39" width="9.5546875" style="1" bestFit="1" customWidth="1"/>
    <col min="40" max="40" width="10.88671875" style="1" bestFit="1" customWidth="1"/>
    <col min="41" max="16384" width="9.109375" style="1"/>
  </cols>
  <sheetData>
    <row r="1" spans="1:40" ht="15" thickBot="1" x14ac:dyDescent="0.35"/>
    <row r="2" spans="1:40" ht="28.5" customHeight="1" thickBot="1" x14ac:dyDescent="0.6">
      <c r="A2" s="262" t="s">
        <v>110</v>
      </c>
      <c r="B2" s="164"/>
      <c r="C2" s="164"/>
      <c r="D2" s="736"/>
      <c r="E2" s="6"/>
      <c r="F2" s="6"/>
      <c r="G2" s="6"/>
    </row>
    <row r="3" spans="1:40" ht="28.8" x14ac:dyDescent="0.55000000000000004">
      <c r="A3" s="265" t="s">
        <v>191</v>
      </c>
      <c r="B3" s="165"/>
      <c r="C3" s="165"/>
      <c r="D3" s="736"/>
      <c r="E3" s="6"/>
      <c r="F3" s="6"/>
      <c r="G3" s="6"/>
    </row>
    <row r="4" spans="1:40" x14ac:dyDescent="0.3">
      <c r="A4" s="7"/>
      <c r="B4" s="7"/>
      <c r="C4" s="7"/>
      <c r="D4" s="7"/>
      <c r="E4" s="4">
        <v>44562</v>
      </c>
      <c r="F4" s="4">
        <v>44562</v>
      </c>
      <c r="G4" s="29">
        <v>44562</v>
      </c>
      <c r="H4" s="11">
        <v>45323</v>
      </c>
      <c r="I4" s="11">
        <v>45323</v>
      </c>
      <c r="J4" s="11">
        <v>45323</v>
      </c>
      <c r="K4" s="11">
        <v>45352</v>
      </c>
      <c r="L4" s="11">
        <v>45352</v>
      </c>
      <c r="M4" s="11">
        <v>45352</v>
      </c>
      <c r="N4" s="11">
        <v>45383</v>
      </c>
      <c r="O4" s="11">
        <v>45383</v>
      </c>
      <c r="P4" s="11">
        <v>45383</v>
      </c>
      <c r="Q4" s="11">
        <v>45413</v>
      </c>
      <c r="R4" s="11">
        <v>45413</v>
      </c>
      <c r="S4" s="11">
        <v>45413</v>
      </c>
      <c r="T4" s="11">
        <v>45444</v>
      </c>
      <c r="U4" s="11">
        <v>45444</v>
      </c>
      <c r="V4" s="11">
        <v>45444</v>
      </c>
      <c r="W4" s="11">
        <v>45474</v>
      </c>
      <c r="X4" s="11">
        <v>45474</v>
      </c>
      <c r="Y4" s="11">
        <v>45474</v>
      </c>
      <c r="Z4" s="11">
        <v>45505</v>
      </c>
      <c r="AA4" s="11">
        <v>45505</v>
      </c>
      <c r="AB4" s="11">
        <v>45505</v>
      </c>
      <c r="AC4" s="11">
        <v>45536</v>
      </c>
      <c r="AD4" s="11">
        <v>45536</v>
      </c>
      <c r="AE4" s="11">
        <v>45536</v>
      </c>
      <c r="AF4" s="11">
        <v>45566</v>
      </c>
      <c r="AG4" s="11">
        <v>45566</v>
      </c>
      <c r="AH4" s="11">
        <v>45566</v>
      </c>
      <c r="AI4" s="11">
        <v>45597</v>
      </c>
      <c r="AJ4" s="11">
        <v>45597</v>
      </c>
      <c r="AK4" s="11">
        <v>45597</v>
      </c>
      <c r="AL4" s="11">
        <v>45627</v>
      </c>
      <c r="AM4" s="11">
        <v>45627</v>
      </c>
      <c r="AN4" s="11">
        <v>45627</v>
      </c>
    </row>
    <row r="5" spans="1:40" x14ac:dyDescent="0.3">
      <c r="A5" s="5" t="s">
        <v>1</v>
      </c>
      <c r="B5" s="5" t="s">
        <v>2</v>
      </c>
      <c r="C5" s="5" t="s">
        <v>3</v>
      </c>
      <c r="D5" s="5" t="s">
        <v>9</v>
      </c>
      <c r="E5" s="5" t="s">
        <v>5</v>
      </c>
      <c r="F5" s="5" t="s">
        <v>6</v>
      </c>
      <c r="G5" s="23" t="s">
        <v>7</v>
      </c>
      <c r="H5" s="13" t="s">
        <v>5</v>
      </c>
      <c r="I5" s="13" t="s">
        <v>6</v>
      </c>
      <c r="J5" s="26" t="s">
        <v>7</v>
      </c>
      <c r="K5" s="13" t="s">
        <v>5</v>
      </c>
      <c r="L5" s="13" t="s">
        <v>116</v>
      </c>
      <c r="M5" s="26" t="s">
        <v>7</v>
      </c>
      <c r="N5" s="13" t="s">
        <v>5</v>
      </c>
      <c r="O5" s="13" t="s">
        <v>6</v>
      </c>
      <c r="P5" s="26" t="s">
        <v>7</v>
      </c>
      <c r="Q5" s="13" t="s">
        <v>5</v>
      </c>
      <c r="R5" s="13" t="s">
        <v>6</v>
      </c>
      <c r="S5" s="26" t="s">
        <v>7</v>
      </c>
      <c r="T5" s="13" t="s">
        <v>5</v>
      </c>
      <c r="U5" s="13" t="s">
        <v>6</v>
      </c>
      <c r="V5" s="26" t="s">
        <v>7</v>
      </c>
      <c r="W5" s="13" t="s">
        <v>5</v>
      </c>
      <c r="X5" s="13" t="s">
        <v>6</v>
      </c>
      <c r="Y5" s="26" t="s">
        <v>7</v>
      </c>
      <c r="Z5" s="13" t="s">
        <v>5</v>
      </c>
      <c r="AA5" s="13" t="s">
        <v>6</v>
      </c>
      <c r="AB5" s="26" t="s">
        <v>7</v>
      </c>
      <c r="AC5" s="13" t="s">
        <v>5</v>
      </c>
      <c r="AD5" s="13" t="s">
        <v>6</v>
      </c>
      <c r="AE5" s="26" t="s">
        <v>7</v>
      </c>
      <c r="AF5" s="13" t="s">
        <v>5</v>
      </c>
      <c r="AG5" s="13" t="s">
        <v>6</v>
      </c>
      <c r="AH5" s="26" t="s">
        <v>7</v>
      </c>
      <c r="AI5" s="13" t="s">
        <v>5</v>
      </c>
      <c r="AJ5" s="13" t="s">
        <v>6</v>
      </c>
      <c r="AK5" s="26" t="s">
        <v>7</v>
      </c>
      <c r="AL5" s="13" t="s">
        <v>5</v>
      </c>
      <c r="AM5" s="13" t="s">
        <v>6</v>
      </c>
      <c r="AN5" s="26" t="s">
        <v>7</v>
      </c>
    </row>
    <row r="6" spans="1:40" x14ac:dyDescent="0.3">
      <c r="A6" s="5" t="s">
        <v>259</v>
      </c>
      <c r="B6" s="5">
        <v>0</v>
      </c>
      <c r="C6" s="5">
        <v>0</v>
      </c>
      <c r="D6" s="5">
        <v>0</v>
      </c>
      <c r="E6" s="9">
        <v>0</v>
      </c>
      <c r="F6" s="223">
        <v>0</v>
      </c>
      <c r="G6" s="252">
        <f>E6*F6</f>
        <v>0</v>
      </c>
      <c r="H6" s="14">
        <v>0</v>
      </c>
      <c r="I6" s="231">
        <v>0</v>
      </c>
      <c r="J6" s="236">
        <f t="shared" ref="J6:J13" si="0">I6*H6</f>
        <v>0</v>
      </c>
      <c r="K6" s="14">
        <v>4</v>
      </c>
      <c r="L6" s="559">
        <v>10</v>
      </c>
      <c r="M6" s="236">
        <f t="shared" ref="M6:M13" si="1">L6*K6</f>
        <v>40</v>
      </c>
      <c r="N6" s="14">
        <v>0</v>
      </c>
      <c r="O6" s="231">
        <v>0</v>
      </c>
      <c r="P6" s="236">
        <f t="shared" ref="P6:P13" si="2">O6*N6</f>
        <v>0</v>
      </c>
      <c r="Q6" s="14">
        <v>0</v>
      </c>
      <c r="R6" s="231">
        <v>0</v>
      </c>
      <c r="S6" s="236">
        <f t="shared" ref="S6:S13" si="3">R6*Q6</f>
        <v>0</v>
      </c>
      <c r="T6" s="14">
        <v>0</v>
      </c>
      <c r="U6" s="231">
        <v>0</v>
      </c>
      <c r="V6" s="236">
        <f t="shared" ref="V6:V13" si="4">U6*T6</f>
        <v>0</v>
      </c>
      <c r="W6" s="14">
        <v>0</v>
      </c>
      <c r="X6" s="231">
        <v>0</v>
      </c>
      <c r="Y6" s="236">
        <f t="shared" ref="Y6:Y13" si="5">X6*W6</f>
        <v>0</v>
      </c>
      <c r="Z6" s="14">
        <v>0</v>
      </c>
      <c r="AA6" s="231">
        <v>0</v>
      </c>
      <c r="AB6" s="236">
        <f t="shared" ref="AB6:AB13" si="6">AA6*Z6</f>
        <v>0</v>
      </c>
      <c r="AC6" s="14">
        <v>0</v>
      </c>
      <c r="AD6" s="231">
        <v>0</v>
      </c>
      <c r="AE6" s="236">
        <f t="shared" ref="AE6:AE13" si="7">AD6*AC6</f>
        <v>0</v>
      </c>
      <c r="AF6" s="14">
        <v>0</v>
      </c>
      <c r="AG6" s="231">
        <v>0</v>
      </c>
      <c r="AH6" s="236">
        <f t="shared" ref="AH6:AH13" si="8">AG6*AF6</f>
        <v>0</v>
      </c>
      <c r="AI6" s="14">
        <v>0</v>
      </c>
      <c r="AJ6" s="231">
        <v>0</v>
      </c>
      <c r="AK6" s="236">
        <f t="shared" ref="AK6:AK13" si="9">AJ6*AI6</f>
        <v>0</v>
      </c>
      <c r="AL6" s="14">
        <v>0</v>
      </c>
      <c r="AM6" s="231">
        <v>0</v>
      </c>
      <c r="AN6" s="236">
        <f t="shared" ref="AN6:AN13" si="10">AM6*AL6</f>
        <v>0</v>
      </c>
    </row>
    <row r="7" spans="1:40" x14ac:dyDescent="0.3">
      <c r="A7" s="5" t="s">
        <v>260</v>
      </c>
      <c r="B7" s="5">
        <v>0</v>
      </c>
      <c r="C7" s="5">
        <v>0</v>
      </c>
      <c r="D7" s="5">
        <v>0</v>
      </c>
      <c r="E7" s="9">
        <v>0</v>
      </c>
      <c r="F7" s="223">
        <v>0</v>
      </c>
      <c r="G7" s="252">
        <f t="shared" ref="G7:G13" si="11">E7*F7</f>
        <v>0</v>
      </c>
      <c r="H7" s="14">
        <v>0</v>
      </c>
      <c r="I7" s="231">
        <v>0</v>
      </c>
      <c r="J7" s="236">
        <f t="shared" si="0"/>
        <v>0</v>
      </c>
      <c r="K7" s="14">
        <v>5</v>
      </c>
      <c r="L7" s="559">
        <v>20</v>
      </c>
      <c r="M7" s="236">
        <f t="shared" si="1"/>
        <v>100</v>
      </c>
      <c r="N7" s="14">
        <v>0</v>
      </c>
      <c r="O7" s="231">
        <v>0</v>
      </c>
      <c r="P7" s="236">
        <f t="shared" si="2"/>
        <v>0</v>
      </c>
      <c r="Q7" s="14">
        <v>0</v>
      </c>
      <c r="R7" s="231">
        <v>0</v>
      </c>
      <c r="S7" s="236">
        <f t="shared" si="3"/>
        <v>0</v>
      </c>
      <c r="T7" s="14">
        <v>0</v>
      </c>
      <c r="U7" s="231">
        <v>0</v>
      </c>
      <c r="V7" s="236">
        <f t="shared" si="4"/>
        <v>0</v>
      </c>
      <c r="W7" s="14">
        <v>0</v>
      </c>
      <c r="X7" s="231">
        <v>0</v>
      </c>
      <c r="Y7" s="236">
        <f t="shared" si="5"/>
        <v>0</v>
      </c>
      <c r="Z7" s="14">
        <v>0</v>
      </c>
      <c r="AA7" s="231">
        <v>0</v>
      </c>
      <c r="AB7" s="236">
        <f t="shared" si="6"/>
        <v>0</v>
      </c>
      <c r="AC7" s="14">
        <v>0</v>
      </c>
      <c r="AD7" s="231">
        <v>0</v>
      </c>
      <c r="AE7" s="236">
        <f t="shared" si="7"/>
        <v>0</v>
      </c>
      <c r="AF7" s="14">
        <v>0</v>
      </c>
      <c r="AG7" s="231">
        <v>0</v>
      </c>
      <c r="AH7" s="236">
        <f t="shared" si="8"/>
        <v>0</v>
      </c>
      <c r="AI7" s="14">
        <v>0</v>
      </c>
      <c r="AJ7" s="231">
        <v>0</v>
      </c>
      <c r="AK7" s="236">
        <f t="shared" si="9"/>
        <v>0</v>
      </c>
      <c r="AL7" s="14">
        <v>0</v>
      </c>
      <c r="AM7" s="231">
        <v>0</v>
      </c>
      <c r="AN7" s="236">
        <f t="shared" si="10"/>
        <v>0</v>
      </c>
    </row>
    <row r="8" spans="1:40" x14ac:dyDescent="0.3">
      <c r="A8" s="25"/>
      <c r="B8" s="5">
        <v>0</v>
      </c>
      <c r="C8" s="5">
        <v>0</v>
      </c>
      <c r="D8" s="5">
        <v>0</v>
      </c>
      <c r="E8" s="9">
        <v>0</v>
      </c>
      <c r="F8" s="223">
        <v>0</v>
      </c>
      <c r="G8" s="252">
        <f t="shared" si="11"/>
        <v>0</v>
      </c>
      <c r="H8" s="14">
        <v>0</v>
      </c>
      <c r="I8" s="231">
        <v>0</v>
      </c>
      <c r="J8" s="236">
        <f t="shared" si="0"/>
        <v>0</v>
      </c>
      <c r="K8" s="171">
        <v>0</v>
      </c>
      <c r="L8" s="231">
        <v>0</v>
      </c>
      <c r="M8" s="236">
        <f t="shared" si="1"/>
        <v>0</v>
      </c>
      <c r="N8" s="14">
        <v>0</v>
      </c>
      <c r="O8" s="231">
        <v>0</v>
      </c>
      <c r="P8" s="236">
        <f t="shared" si="2"/>
        <v>0</v>
      </c>
      <c r="Q8" s="14">
        <v>0</v>
      </c>
      <c r="R8" s="231">
        <v>0</v>
      </c>
      <c r="S8" s="236">
        <f t="shared" si="3"/>
        <v>0</v>
      </c>
      <c r="T8" s="14">
        <v>0</v>
      </c>
      <c r="U8" s="231">
        <v>0</v>
      </c>
      <c r="V8" s="236">
        <f t="shared" si="4"/>
        <v>0</v>
      </c>
      <c r="W8" s="14">
        <v>0</v>
      </c>
      <c r="X8" s="231">
        <v>0</v>
      </c>
      <c r="Y8" s="236">
        <f t="shared" si="5"/>
        <v>0</v>
      </c>
      <c r="Z8" s="14">
        <v>0</v>
      </c>
      <c r="AA8" s="231">
        <v>0</v>
      </c>
      <c r="AB8" s="236">
        <f t="shared" si="6"/>
        <v>0</v>
      </c>
      <c r="AC8" s="14">
        <v>0</v>
      </c>
      <c r="AD8" s="231">
        <v>0</v>
      </c>
      <c r="AE8" s="236">
        <f t="shared" si="7"/>
        <v>0</v>
      </c>
      <c r="AF8" s="14">
        <v>0</v>
      </c>
      <c r="AG8" s="231">
        <v>0</v>
      </c>
      <c r="AH8" s="236">
        <f t="shared" si="8"/>
        <v>0</v>
      </c>
      <c r="AI8" s="14">
        <v>0</v>
      </c>
      <c r="AJ8" s="231">
        <v>0</v>
      </c>
      <c r="AK8" s="236">
        <f t="shared" si="9"/>
        <v>0</v>
      </c>
      <c r="AL8" s="14">
        <v>0</v>
      </c>
      <c r="AM8" s="231">
        <v>0</v>
      </c>
      <c r="AN8" s="236">
        <f t="shared" si="10"/>
        <v>0</v>
      </c>
    </row>
    <row r="9" spans="1:40" x14ac:dyDescent="0.3">
      <c r="A9" s="25"/>
      <c r="B9" s="5">
        <v>0</v>
      </c>
      <c r="C9" s="5">
        <v>0</v>
      </c>
      <c r="D9" s="5">
        <v>0</v>
      </c>
      <c r="E9" s="9">
        <v>0</v>
      </c>
      <c r="F9" s="223">
        <v>0</v>
      </c>
      <c r="G9" s="252">
        <f t="shared" si="11"/>
        <v>0</v>
      </c>
      <c r="H9" s="14">
        <v>0</v>
      </c>
      <c r="I9" s="231">
        <v>0</v>
      </c>
      <c r="J9" s="236">
        <f t="shared" si="0"/>
        <v>0</v>
      </c>
      <c r="K9" s="171">
        <v>0</v>
      </c>
      <c r="L9" s="231">
        <v>0</v>
      </c>
      <c r="M9" s="236">
        <f t="shared" si="1"/>
        <v>0</v>
      </c>
      <c r="N9" s="14">
        <v>0</v>
      </c>
      <c r="O9" s="231">
        <v>0</v>
      </c>
      <c r="P9" s="236">
        <f t="shared" si="2"/>
        <v>0</v>
      </c>
      <c r="Q9" s="14">
        <v>0</v>
      </c>
      <c r="R9" s="231">
        <v>0</v>
      </c>
      <c r="S9" s="236">
        <f t="shared" si="3"/>
        <v>0</v>
      </c>
      <c r="T9" s="14">
        <v>0</v>
      </c>
      <c r="U9" s="231">
        <v>0</v>
      </c>
      <c r="V9" s="236">
        <f t="shared" si="4"/>
        <v>0</v>
      </c>
      <c r="W9" s="14">
        <v>0</v>
      </c>
      <c r="X9" s="231">
        <v>0</v>
      </c>
      <c r="Y9" s="236">
        <f t="shared" si="5"/>
        <v>0</v>
      </c>
      <c r="Z9" s="14">
        <v>0</v>
      </c>
      <c r="AA9" s="231">
        <v>0</v>
      </c>
      <c r="AB9" s="236">
        <f t="shared" si="6"/>
        <v>0</v>
      </c>
      <c r="AC9" s="14">
        <v>0</v>
      </c>
      <c r="AD9" s="231">
        <v>0</v>
      </c>
      <c r="AE9" s="236">
        <f t="shared" si="7"/>
        <v>0</v>
      </c>
      <c r="AF9" s="14">
        <v>0</v>
      </c>
      <c r="AG9" s="231">
        <v>0</v>
      </c>
      <c r="AH9" s="236">
        <f t="shared" si="8"/>
        <v>0</v>
      </c>
      <c r="AI9" s="14">
        <v>0</v>
      </c>
      <c r="AJ9" s="231">
        <v>0</v>
      </c>
      <c r="AK9" s="236">
        <f t="shared" si="9"/>
        <v>0</v>
      </c>
      <c r="AL9" s="14">
        <v>0</v>
      </c>
      <c r="AM9" s="231">
        <v>0</v>
      </c>
      <c r="AN9" s="236">
        <f t="shared" si="10"/>
        <v>0</v>
      </c>
    </row>
    <row r="10" spans="1:40" x14ac:dyDescent="0.3">
      <c r="A10" s="25"/>
      <c r="B10" s="5">
        <v>0</v>
      </c>
      <c r="C10" s="5">
        <v>0</v>
      </c>
      <c r="D10" s="5">
        <v>0</v>
      </c>
      <c r="E10" s="9">
        <v>0</v>
      </c>
      <c r="F10" s="223">
        <v>0</v>
      </c>
      <c r="G10" s="252">
        <f t="shared" si="11"/>
        <v>0</v>
      </c>
      <c r="H10" s="14">
        <v>0</v>
      </c>
      <c r="I10" s="231">
        <v>0</v>
      </c>
      <c r="J10" s="236">
        <f t="shared" si="0"/>
        <v>0</v>
      </c>
      <c r="K10" s="171">
        <v>0</v>
      </c>
      <c r="L10" s="231">
        <v>0</v>
      </c>
      <c r="M10" s="236">
        <f t="shared" si="1"/>
        <v>0</v>
      </c>
      <c r="N10" s="14">
        <v>0</v>
      </c>
      <c r="O10" s="231">
        <v>0</v>
      </c>
      <c r="P10" s="236">
        <f t="shared" si="2"/>
        <v>0</v>
      </c>
      <c r="Q10" s="14">
        <v>0</v>
      </c>
      <c r="R10" s="231">
        <v>0</v>
      </c>
      <c r="S10" s="236">
        <f t="shared" si="3"/>
        <v>0</v>
      </c>
      <c r="T10" s="14">
        <v>0</v>
      </c>
      <c r="U10" s="231">
        <v>0</v>
      </c>
      <c r="V10" s="236">
        <f t="shared" si="4"/>
        <v>0</v>
      </c>
      <c r="W10" s="14">
        <v>0</v>
      </c>
      <c r="X10" s="231">
        <v>0</v>
      </c>
      <c r="Y10" s="236">
        <f t="shared" si="5"/>
        <v>0</v>
      </c>
      <c r="Z10" s="14">
        <v>0</v>
      </c>
      <c r="AA10" s="231">
        <v>0</v>
      </c>
      <c r="AB10" s="236">
        <f t="shared" si="6"/>
        <v>0</v>
      </c>
      <c r="AC10" s="14">
        <v>0</v>
      </c>
      <c r="AD10" s="231">
        <v>0</v>
      </c>
      <c r="AE10" s="236">
        <f t="shared" si="7"/>
        <v>0</v>
      </c>
      <c r="AF10" s="14">
        <v>0</v>
      </c>
      <c r="AG10" s="231">
        <v>0</v>
      </c>
      <c r="AH10" s="236">
        <f t="shared" si="8"/>
        <v>0</v>
      </c>
      <c r="AI10" s="14">
        <v>0</v>
      </c>
      <c r="AJ10" s="231">
        <v>0</v>
      </c>
      <c r="AK10" s="236">
        <f t="shared" si="9"/>
        <v>0</v>
      </c>
      <c r="AL10" s="14">
        <v>0</v>
      </c>
      <c r="AM10" s="231">
        <v>0</v>
      </c>
      <c r="AN10" s="236">
        <f t="shared" si="10"/>
        <v>0</v>
      </c>
    </row>
    <row r="11" spans="1:40" x14ac:dyDescent="0.3">
      <c r="A11" s="25"/>
      <c r="B11" s="5">
        <v>0</v>
      </c>
      <c r="C11" s="5">
        <v>0</v>
      </c>
      <c r="D11" s="5">
        <v>0</v>
      </c>
      <c r="E11" s="5">
        <v>0</v>
      </c>
      <c r="F11" s="223">
        <v>0</v>
      </c>
      <c r="G11" s="280">
        <f t="shared" si="11"/>
        <v>0</v>
      </c>
      <c r="H11" s="13">
        <v>0</v>
      </c>
      <c r="I11" s="231">
        <v>0</v>
      </c>
      <c r="J11" s="268">
        <f t="shared" si="0"/>
        <v>0</v>
      </c>
      <c r="K11" s="25">
        <v>0</v>
      </c>
      <c r="L11" s="231">
        <v>0</v>
      </c>
      <c r="M11" s="268">
        <f t="shared" si="1"/>
        <v>0</v>
      </c>
      <c r="N11" s="13">
        <v>0</v>
      </c>
      <c r="O11" s="231">
        <v>0</v>
      </c>
      <c r="P11" s="268">
        <f t="shared" si="2"/>
        <v>0</v>
      </c>
      <c r="Q11" s="13">
        <v>0</v>
      </c>
      <c r="R11" s="231">
        <v>0</v>
      </c>
      <c r="S11" s="268">
        <f t="shared" si="3"/>
        <v>0</v>
      </c>
      <c r="T11" s="13">
        <v>0</v>
      </c>
      <c r="U11" s="231">
        <v>0</v>
      </c>
      <c r="V11" s="268">
        <f t="shared" si="4"/>
        <v>0</v>
      </c>
      <c r="W11" s="13">
        <v>0</v>
      </c>
      <c r="X11" s="231">
        <v>0</v>
      </c>
      <c r="Y11" s="268">
        <f t="shared" si="5"/>
        <v>0</v>
      </c>
      <c r="Z11" s="13">
        <v>0</v>
      </c>
      <c r="AA11" s="231">
        <v>0</v>
      </c>
      <c r="AB11" s="268">
        <f t="shared" si="6"/>
        <v>0</v>
      </c>
      <c r="AC11" s="13">
        <v>0</v>
      </c>
      <c r="AD11" s="231">
        <v>0</v>
      </c>
      <c r="AE11" s="268">
        <f t="shared" si="7"/>
        <v>0</v>
      </c>
      <c r="AF11" s="13">
        <v>0</v>
      </c>
      <c r="AG11" s="231">
        <v>0</v>
      </c>
      <c r="AH11" s="268">
        <f t="shared" si="8"/>
        <v>0</v>
      </c>
      <c r="AI11" s="13">
        <v>0</v>
      </c>
      <c r="AJ11" s="231">
        <v>0</v>
      </c>
      <c r="AK11" s="268">
        <f t="shared" si="9"/>
        <v>0</v>
      </c>
      <c r="AL11" s="13">
        <v>0</v>
      </c>
      <c r="AM11" s="231">
        <v>0</v>
      </c>
      <c r="AN11" s="268">
        <f t="shared" si="10"/>
        <v>0</v>
      </c>
    </row>
    <row r="12" spans="1:40" x14ac:dyDescent="0.3">
      <c r="A12" s="5"/>
      <c r="B12" s="5">
        <v>0</v>
      </c>
      <c r="C12" s="5">
        <v>0</v>
      </c>
      <c r="D12" s="5">
        <v>0</v>
      </c>
      <c r="E12" s="5">
        <v>0</v>
      </c>
      <c r="F12" s="223">
        <v>0</v>
      </c>
      <c r="G12" s="280">
        <f t="shared" si="11"/>
        <v>0</v>
      </c>
      <c r="H12" s="13">
        <v>0</v>
      </c>
      <c r="I12" s="231">
        <v>0</v>
      </c>
      <c r="J12" s="268">
        <f t="shared" si="0"/>
        <v>0</v>
      </c>
      <c r="K12" s="13">
        <v>0</v>
      </c>
      <c r="L12" s="231">
        <v>0</v>
      </c>
      <c r="M12" s="268">
        <f t="shared" si="1"/>
        <v>0</v>
      </c>
      <c r="N12" s="13">
        <v>0</v>
      </c>
      <c r="O12" s="231">
        <v>0</v>
      </c>
      <c r="P12" s="268">
        <f t="shared" si="2"/>
        <v>0</v>
      </c>
      <c r="Q12" s="13">
        <v>0</v>
      </c>
      <c r="R12" s="231">
        <v>0</v>
      </c>
      <c r="S12" s="268">
        <f t="shared" si="3"/>
        <v>0</v>
      </c>
      <c r="T12" s="13">
        <v>0</v>
      </c>
      <c r="U12" s="231">
        <v>0</v>
      </c>
      <c r="V12" s="268">
        <f t="shared" si="4"/>
        <v>0</v>
      </c>
      <c r="W12" s="13">
        <v>0</v>
      </c>
      <c r="X12" s="231">
        <v>0</v>
      </c>
      <c r="Y12" s="268">
        <f t="shared" si="5"/>
        <v>0</v>
      </c>
      <c r="Z12" s="13">
        <v>0</v>
      </c>
      <c r="AA12" s="231">
        <v>0</v>
      </c>
      <c r="AB12" s="268">
        <f t="shared" si="6"/>
        <v>0</v>
      </c>
      <c r="AC12" s="13">
        <v>0</v>
      </c>
      <c r="AD12" s="231">
        <v>0</v>
      </c>
      <c r="AE12" s="268">
        <f t="shared" si="7"/>
        <v>0</v>
      </c>
      <c r="AF12" s="13">
        <v>0</v>
      </c>
      <c r="AG12" s="231">
        <v>0</v>
      </c>
      <c r="AH12" s="268">
        <f t="shared" si="8"/>
        <v>0</v>
      </c>
      <c r="AI12" s="13">
        <v>0</v>
      </c>
      <c r="AJ12" s="231">
        <v>0</v>
      </c>
      <c r="AK12" s="268">
        <f t="shared" si="9"/>
        <v>0</v>
      </c>
      <c r="AL12" s="13">
        <v>0</v>
      </c>
      <c r="AM12" s="231">
        <v>0</v>
      </c>
      <c r="AN12" s="268">
        <f t="shared" si="10"/>
        <v>0</v>
      </c>
    </row>
    <row r="13" spans="1:40" x14ac:dyDescent="0.3">
      <c r="A13" s="5"/>
      <c r="B13" s="5">
        <v>0</v>
      </c>
      <c r="C13" s="5">
        <v>0</v>
      </c>
      <c r="D13" s="5">
        <v>0</v>
      </c>
      <c r="E13" s="5">
        <v>0</v>
      </c>
      <c r="F13" s="223">
        <v>0</v>
      </c>
      <c r="G13" s="280">
        <f t="shared" si="11"/>
        <v>0</v>
      </c>
      <c r="H13" s="13">
        <v>0</v>
      </c>
      <c r="I13" s="232">
        <v>0</v>
      </c>
      <c r="J13" s="236">
        <f t="shared" si="0"/>
        <v>0</v>
      </c>
      <c r="K13" s="13">
        <v>0</v>
      </c>
      <c r="L13" s="232">
        <v>0</v>
      </c>
      <c r="M13" s="236">
        <f t="shared" si="1"/>
        <v>0</v>
      </c>
      <c r="N13" s="13">
        <v>0</v>
      </c>
      <c r="O13" s="232">
        <v>0</v>
      </c>
      <c r="P13" s="236">
        <f t="shared" si="2"/>
        <v>0</v>
      </c>
      <c r="Q13" s="13">
        <v>0</v>
      </c>
      <c r="R13" s="232">
        <v>0</v>
      </c>
      <c r="S13" s="236">
        <f t="shared" si="3"/>
        <v>0</v>
      </c>
      <c r="T13" s="13">
        <v>0</v>
      </c>
      <c r="U13" s="232">
        <v>0</v>
      </c>
      <c r="V13" s="236">
        <f t="shared" si="4"/>
        <v>0</v>
      </c>
      <c r="W13" s="13">
        <v>0</v>
      </c>
      <c r="X13" s="232">
        <v>0</v>
      </c>
      <c r="Y13" s="236">
        <f t="shared" si="5"/>
        <v>0</v>
      </c>
      <c r="Z13" s="13">
        <v>0</v>
      </c>
      <c r="AA13" s="232">
        <v>0</v>
      </c>
      <c r="AB13" s="236">
        <f t="shared" si="6"/>
        <v>0</v>
      </c>
      <c r="AC13" s="13">
        <v>0</v>
      </c>
      <c r="AD13" s="232">
        <v>0</v>
      </c>
      <c r="AE13" s="236">
        <f t="shared" si="7"/>
        <v>0</v>
      </c>
      <c r="AF13" s="13">
        <v>0</v>
      </c>
      <c r="AG13" s="232">
        <v>0</v>
      </c>
      <c r="AH13" s="236">
        <f t="shared" si="8"/>
        <v>0</v>
      </c>
      <c r="AI13" s="13">
        <v>0</v>
      </c>
      <c r="AJ13" s="232">
        <v>0</v>
      </c>
      <c r="AK13" s="236">
        <f t="shared" si="9"/>
        <v>0</v>
      </c>
      <c r="AL13" s="13">
        <v>0</v>
      </c>
      <c r="AM13" s="232">
        <v>0</v>
      </c>
      <c r="AN13" s="236">
        <f t="shared" si="10"/>
        <v>0</v>
      </c>
    </row>
    <row r="14" spans="1:40" ht="16.2" x14ac:dyDescent="0.45">
      <c r="A14" s="91"/>
      <c r="B14" s="91"/>
      <c r="C14" s="91"/>
      <c r="D14" s="91"/>
      <c r="E14" s="91"/>
      <c r="F14" s="195" t="s">
        <v>8</v>
      </c>
      <c r="G14" s="281">
        <f>SUM(G6:G13)</f>
        <v>0</v>
      </c>
      <c r="H14" s="12"/>
      <c r="I14" s="191" t="s">
        <v>8</v>
      </c>
      <c r="J14" s="269">
        <f>SUM(J6:J13)</f>
        <v>0</v>
      </c>
      <c r="K14" s="12"/>
      <c r="L14" s="191" t="s">
        <v>8</v>
      </c>
      <c r="M14" s="269">
        <f>SUM(M6:M13)</f>
        <v>140</v>
      </c>
      <c r="N14" s="12"/>
      <c r="O14" s="191" t="s">
        <v>8</v>
      </c>
      <c r="P14" s="269">
        <f>SUM(P6:P13)</f>
        <v>0</v>
      </c>
      <c r="Q14" s="12"/>
      <c r="R14" s="191" t="s">
        <v>8</v>
      </c>
      <c r="S14" s="269">
        <f>SUM(S6:S13)</f>
        <v>0</v>
      </c>
      <c r="T14" s="12"/>
      <c r="U14" s="191" t="s">
        <v>8</v>
      </c>
      <c r="V14" s="269">
        <f>SUM(V6:V13)</f>
        <v>0</v>
      </c>
      <c r="W14" s="12"/>
      <c r="X14" s="191" t="s">
        <v>8</v>
      </c>
      <c r="Y14" s="269">
        <f>SUM(Y6:Y13)</f>
        <v>0</v>
      </c>
      <c r="Z14" s="12"/>
      <c r="AA14" s="191" t="s">
        <v>8</v>
      </c>
      <c r="AB14" s="269">
        <f>SUM(AB6:AB13)</f>
        <v>0</v>
      </c>
      <c r="AC14" s="12"/>
      <c r="AD14" s="191" t="s">
        <v>8</v>
      </c>
      <c r="AE14" s="269">
        <f>SUM(AE6:AE13)</f>
        <v>0</v>
      </c>
      <c r="AF14" s="12"/>
      <c r="AG14" s="191" t="s">
        <v>8</v>
      </c>
      <c r="AH14" s="269">
        <f>SUM(AH6:AH13)</f>
        <v>0</v>
      </c>
      <c r="AI14" s="12"/>
      <c r="AJ14" s="191" t="s">
        <v>8</v>
      </c>
      <c r="AK14" s="269">
        <f>SUM(AK6:AK13)</f>
        <v>0</v>
      </c>
      <c r="AL14" s="12"/>
      <c r="AM14" s="191" t="s">
        <v>8</v>
      </c>
      <c r="AN14" s="269">
        <f>SUM(AN6:AN13)</f>
        <v>0</v>
      </c>
    </row>
  </sheetData>
  <mergeCells count="1">
    <mergeCell ref="D2:D3"/>
  </mergeCells>
  <hyperlinks>
    <hyperlink ref="A2" location="Menu!A1" display="Menu" xr:uid="{00000000-0004-0000-1400-000000000000}"/>
  </hyperlinks>
  <pageMargins left="0.511811024" right="0.511811024" top="0.78740157499999996" bottom="0.78740157499999996" header="0.31496062000000002" footer="0.3149606200000000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BD42"/>
  <sheetViews>
    <sheetView zoomScaleNormal="100" workbookViewId="0">
      <pane xSplit="1" topLeftCell="J1" activePane="topRight" state="frozen"/>
      <selection pane="topRight" activeCell="A2" sqref="A2"/>
    </sheetView>
  </sheetViews>
  <sheetFormatPr defaultColWidth="9.109375" defaultRowHeight="14.4" x14ac:dyDescent="0.3"/>
  <cols>
    <col min="1" max="1" width="35.5546875" style="1" bestFit="1" customWidth="1"/>
    <col min="2" max="2" width="18.88671875" style="1" bestFit="1" customWidth="1"/>
    <col min="3" max="3" width="16.6640625" style="1" bestFit="1" customWidth="1"/>
    <col min="4" max="4" width="14.109375" style="1" bestFit="1" customWidth="1"/>
    <col min="5" max="5" width="13.33203125" style="1" bestFit="1" customWidth="1"/>
    <col min="6" max="6" width="12.109375" style="1" bestFit="1" customWidth="1"/>
    <col min="7" max="7" width="14.109375" style="1" bestFit="1" customWidth="1"/>
    <col min="8" max="8" width="13.33203125" style="1" bestFit="1" customWidth="1"/>
    <col min="9" max="9" width="12.109375" style="1" bestFit="1" customWidth="1"/>
    <col min="10" max="10" width="14.109375" style="1" bestFit="1" customWidth="1"/>
    <col min="11" max="12" width="13.33203125" style="1" bestFit="1" customWidth="1"/>
    <col min="13" max="13" width="14.109375" style="1" bestFit="1" customWidth="1"/>
    <col min="14" max="14" width="13.33203125" style="1" bestFit="1" customWidth="1"/>
    <col min="15" max="15" width="11.6640625" style="1" bestFit="1" customWidth="1"/>
    <col min="16" max="16" width="14.109375" style="1" bestFit="1" customWidth="1"/>
    <col min="17" max="17" width="13.33203125" style="1" bestFit="1" customWidth="1"/>
    <col min="18" max="18" width="10.88671875" style="1" bestFit="1" customWidth="1"/>
    <col min="19" max="19" width="14.109375" style="1" bestFit="1" customWidth="1"/>
    <col min="20" max="20" width="13.33203125" style="1" bestFit="1" customWidth="1"/>
    <col min="21" max="21" width="10.88671875" style="1" bestFit="1" customWidth="1"/>
    <col min="22" max="22" width="14.109375" style="1" bestFit="1" customWidth="1"/>
    <col min="23" max="23" width="13.33203125" style="1" bestFit="1" customWidth="1"/>
    <col min="24" max="24" width="10.88671875" style="1" bestFit="1" customWidth="1"/>
    <col min="25" max="25" width="14.109375" style="1" bestFit="1" customWidth="1"/>
    <col min="26" max="26" width="13.33203125" style="1" bestFit="1" customWidth="1"/>
    <col min="27" max="27" width="10.88671875" style="1" bestFit="1" customWidth="1"/>
    <col min="28" max="28" width="14.109375" style="1" bestFit="1" customWidth="1"/>
    <col min="29" max="29" width="13.33203125" style="1" bestFit="1" customWidth="1"/>
    <col min="30" max="30" width="10.88671875" style="1" bestFit="1" customWidth="1"/>
    <col min="31" max="31" width="14.109375" style="1" bestFit="1" customWidth="1"/>
    <col min="32" max="32" width="13.33203125" style="1" bestFit="1" customWidth="1"/>
    <col min="33" max="33" width="10.88671875" style="1" bestFit="1" customWidth="1"/>
    <col min="34" max="34" width="14.109375" style="1" bestFit="1" customWidth="1"/>
    <col min="35" max="35" width="13.33203125" style="1" bestFit="1" customWidth="1"/>
    <col min="36" max="36" width="10.88671875" style="1" bestFit="1" customWidth="1"/>
    <col min="37" max="37" width="14.109375" style="1" bestFit="1" customWidth="1"/>
    <col min="38" max="38" width="13.33203125" style="1" bestFit="1" customWidth="1"/>
    <col min="39" max="39" width="10.88671875" style="1" bestFit="1" customWidth="1"/>
    <col min="40" max="16384" width="9.109375" style="1"/>
  </cols>
  <sheetData>
    <row r="1" spans="1:52" ht="15" thickBot="1" x14ac:dyDescent="0.35"/>
    <row r="2" spans="1:52" ht="29.4" thickBot="1" x14ac:dyDescent="0.6">
      <c r="A2" s="262" t="s">
        <v>110</v>
      </c>
      <c r="B2" s="164"/>
      <c r="C2" s="270"/>
      <c r="D2" s="6"/>
      <c r="E2" s="6"/>
      <c r="F2" s="6"/>
    </row>
    <row r="3" spans="1:52" ht="29.4" thickBot="1" x14ac:dyDescent="0.6">
      <c r="A3" s="257" t="s">
        <v>12</v>
      </c>
      <c r="B3" s="165"/>
      <c r="C3" s="271"/>
      <c r="D3" s="6"/>
      <c r="E3" s="6"/>
      <c r="F3" s="6"/>
    </row>
    <row r="4" spans="1:52" x14ac:dyDescent="0.3">
      <c r="A4" s="182"/>
      <c r="B4" s="7"/>
      <c r="C4" s="7"/>
      <c r="D4" s="4">
        <v>45292</v>
      </c>
      <c r="E4" s="4">
        <v>45292</v>
      </c>
      <c r="F4" s="29">
        <v>45292</v>
      </c>
      <c r="G4" s="11">
        <v>45323</v>
      </c>
      <c r="H4" s="11">
        <v>45323</v>
      </c>
      <c r="I4" s="11">
        <v>45323</v>
      </c>
      <c r="J4" s="11">
        <v>45352</v>
      </c>
      <c r="K4" s="11">
        <v>45352</v>
      </c>
      <c r="L4" s="11">
        <v>45352</v>
      </c>
      <c r="M4" s="11">
        <v>45383</v>
      </c>
      <c r="N4" s="11">
        <v>45383</v>
      </c>
      <c r="O4" s="11">
        <v>45383</v>
      </c>
      <c r="P4" s="11">
        <v>45413</v>
      </c>
      <c r="Q4" s="11">
        <v>45413</v>
      </c>
      <c r="R4" s="11">
        <v>45413</v>
      </c>
      <c r="S4" s="11">
        <v>45444</v>
      </c>
      <c r="T4" s="11">
        <v>45444</v>
      </c>
      <c r="U4" s="11">
        <v>45444</v>
      </c>
      <c r="V4" s="11">
        <v>45474</v>
      </c>
      <c r="W4" s="11">
        <v>45474</v>
      </c>
      <c r="X4" s="11">
        <v>45474</v>
      </c>
      <c r="Y4" s="11">
        <v>45505</v>
      </c>
      <c r="Z4" s="11">
        <v>45505</v>
      </c>
      <c r="AA4" s="11">
        <v>45505</v>
      </c>
      <c r="AB4" s="11">
        <v>45536</v>
      </c>
      <c r="AC4" s="11">
        <v>45536</v>
      </c>
      <c r="AD4" s="11">
        <v>45536</v>
      </c>
      <c r="AE4" s="11">
        <v>45566</v>
      </c>
      <c r="AF4" s="11">
        <v>45566</v>
      </c>
      <c r="AG4" s="11">
        <v>45566</v>
      </c>
      <c r="AH4" s="11">
        <v>45597</v>
      </c>
      <c r="AI4" s="11">
        <v>45597</v>
      </c>
      <c r="AJ4" s="11">
        <v>45597</v>
      </c>
      <c r="AK4" s="11">
        <v>45627</v>
      </c>
      <c r="AL4" s="11">
        <v>45627</v>
      </c>
      <c r="AM4" s="11">
        <v>45627</v>
      </c>
    </row>
    <row r="5" spans="1:52" x14ac:dyDescent="0.3">
      <c r="A5" s="134" t="s">
        <v>1</v>
      </c>
      <c r="B5" s="5" t="s">
        <v>3</v>
      </c>
      <c r="C5" s="5" t="s">
        <v>9</v>
      </c>
      <c r="D5" s="5" t="s">
        <v>5</v>
      </c>
      <c r="E5" s="5" t="s">
        <v>6</v>
      </c>
      <c r="F5" s="23" t="s">
        <v>7</v>
      </c>
      <c r="G5" s="13" t="s">
        <v>5</v>
      </c>
      <c r="H5" s="13" t="s">
        <v>6</v>
      </c>
      <c r="I5" s="26" t="s">
        <v>7</v>
      </c>
      <c r="J5" s="13" t="s">
        <v>5</v>
      </c>
      <c r="K5" s="13" t="s">
        <v>6</v>
      </c>
      <c r="L5" s="26" t="s">
        <v>7</v>
      </c>
      <c r="M5" s="13" t="s">
        <v>5</v>
      </c>
      <c r="N5" s="13" t="s">
        <v>6</v>
      </c>
      <c r="O5" s="26" t="s">
        <v>7</v>
      </c>
      <c r="P5" s="13" t="s">
        <v>5</v>
      </c>
      <c r="Q5" s="13" t="s">
        <v>6</v>
      </c>
      <c r="R5" s="26" t="s">
        <v>7</v>
      </c>
      <c r="S5" s="13" t="s">
        <v>5</v>
      </c>
      <c r="T5" s="13" t="s">
        <v>6</v>
      </c>
      <c r="U5" s="26" t="s">
        <v>7</v>
      </c>
      <c r="V5" s="13" t="s">
        <v>5</v>
      </c>
      <c r="W5" s="13" t="s">
        <v>6</v>
      </c>
      <c r="X5" s="26" t="s">
        <v>7</v>
      </c>
      <c r="Y5" s="13" t="s">
        <v>5</v>
      </c>
      <c r="Z5" s="13" t="s">
        <v>6</v>
      </c>
      <c r="AA5" s="26" t="s">
        <v>7</v>
      </c>
      <c r="AB5" s="13" t="s">
        <v>5</v>
      </c>
      <c r="AC5" s="13" t="s">
        <v>6</v>
      </c>
      <c r="AD5" s="26" t="s">
        <v>7</v>
      </c>
      <c r="AE5" s="13" t="s">
        <v>5</v>
      </c>
      <c r="AF5" s="13" t="s">
        <v>6</v>
      </c>
      <c r="AG5" s="26" t="s">
        <v>7</v>
      </c>
      <c r="AH5" s="13" t="s">
        <v>5</v>
      </c>
      <c r="AI5" s="13" t="s">
        <v>6</v>
      </c>
      <c r="AJ5" s="26" t="s">
        <v>7</v>
      </c>
      <c r="AK5" s="13" t="s">
        <v>5</v>
      </c>
      <c r="AL5" s="13" t="s">
        <v>6</v>
      </c>
      <c r="AM5" s="26" t="s">
        <v>7</v>
      </c>
    </row>
    <row r="6" spans="1:52" x14ac:dyDescent="0.3">
      <c r="A6" s="184" t="s">
        <v>131</v>
      </c>
      <c r="B6" s="8">
        <v>0</v>
      </c>
      <c r="C6" s="5">
        <v>0</v>
      </c>
      <c r="D6" s="9">
        <v>0</v>
      </c>
      <c r="E6" s="223">
        <v>0</v>
      </c>
      <c r="F6" s="229">
        <f t="shared" ref="F6:F28" si="0">E6*D6</f>
        <v>0</v>
      </c>
      <c r="G6" s="14">
        <v>0</v>
      </c>
      <c r="H6" s="255">
        <v>0</v>
      </c>
      <c r="I6" s="233">
        <f t="shared" ref="I6:I16" si="1">H6*G6</f>
        <v>0</v>
      </c>
      <c r="J6" s="14">
        <v>24</v>
      </c>
      <c r="K6" s="559">
        <v>426.73</v>
      </c>
      <c r="L6" s="233">
        <f t="shared" ref="L6:L16" si="2">K6*J6</f>
        <v>10241.52</v>
      </c>
      <c r="M6" s="14">
        <v>19</v>
      </c>
      <c r="N6" s="255">
        <v>426.73</v>
      </c>
      <c r="O6" s="233">
        <f t="shared" ref="O6:O40" si="3">N6*M6</f>
        <v>8107.8700000000008</v>
      </c>
      <c r="P6" s="14">
        <v>0</v>
      </c>
      <c r="Q6" s="255">
        <v>0</v>
      </c>
      <c r="R6" s="233">
        <f t="shared" ref="R6:R40" si="4">Q6*P6</f>
        <v>0</v>
      </c>
      <c r="S6" s="14">
        <v>0</v>
      </c>
      <c r="T6" s="255">
        <v>8</v>
      </c>
      <c r="U6" s="233">
        <f t="shared" ref="U6:U40" si="5">T6*S6</f>
        <v>0</v>
      </c>
      <c r="V6" s="14">
        <v>0</v>
      </c>
      <c r="W6" s="255">
        <v>9</v>
      </c>
      <c r="X6" s="233">
        <f t="shared" ref="X6:X40" si="6">W6*V6</f>
        <v>0</v>
      </c>
      <c r="Y6" s="14">
        <v>0</v>
      </c>
      <c r="Z6" s="255">
        <v>10</v>
      </c>
      <c r="AA6" s="233">
        <f t="shared" ref="AA6:AA40" si="7">Z6*Y6</f>
        <v>0</v>
      </c>
      <c r="AB6" s="14">
        <v>0</v>
      </c>
      <c r="AC6" s="255">
        <v>11</v>
      </c>
      <c r="AD6" s="233">
        <f t="shared" ref="AD6:AD40" si="8">AC6*AB6</f>
        <v>0</v>
      </c>
      <c r="AE6" s="14">
        <v>0</v>
      </c>
      <c r="AF6" s="255">
        <v>0</v>
      </c>
      <c r="AG6" s="233">
        <f t="shared" ref="AG6:AG40" si="9">AF6*AE6</f>
        <v>0</v>
      </c>
      <c r="AH6" s="14">
        <v>0</v>
      </c>
      <c r="AI6" s="255">
        <v>0</v>
      </c>
      <c r="AJ6" s="233">
        <f t="shared" ref="AJ6:AJ40" si="10">AI6*AH6</f>
        <v>0</v>
      </c>
      <c r="AK6" s="14">
        <v>0</v>
      </c>
      <c r="AL6" s="255">
        <v>14</v>
      </c>
      <c r="AM6" s="233">
        <f t="shared" ref="AM6:AM40" si="11">AL6*AK6</f>
        <v>0</v>
      </c>
    </row>
    <row r="7" spans="1:52" x14ac:dyDescent="0.3">
      <c r="A7" s="134" t="s">
        <v>13</v>
      </c>
      <c r="B7" s="8">
        <v>0</v>
      </c>
      <c r="C7" s="5">
        <v>0</v>
      </c>
      <c r="D7" s="9">
        <v>0</v>
      </c>
      <c r="E7" s="223">
        <v>0</v>
      </c>
      <c r="F7" s="229">
        <f>E7*D7</f>
        <v>0</v>
      </c>
      <c r="G7" s="14">
        <v>0</v>
      </c>
      <c r="H7" s="255">
        <v>0</v>
      </c>
      <c r="I7" s="233">
        <f t="shared" si="1"/>
        <v>0</v>
      </c>
      <c r="J7" s="14">
        <v>13</v>
      </c>
      <c r="K7" s="559">
        <v>81.16</v>
      </c>
      <c r="L7" s="233">
        <f>K7*J7</f>
        <v>1055.08</v>
      </c>
      <c r="M7" s="14">
        <v>5</v>
      </c>
      <c r="N7" s="255">
        <v>81.16</v>
      </c>
      <c r="O7" s="233">
        <f t="shared" si="3"/>
        <v>405.79999999999995</v>
      </c>
      <c r="P7" s="14">
        <v>0</v>
      </c>
      <c r="Q7" s="255">
        <v>0</v>
      </c>
      <c r="R7" s="233">
        <f t="shared" si="4"/>
        <v>0</v>
      </c>
      <c r="S7" s="14">
        <v>0</v>
      </c>
      <c r="T7" s="255">
        <v>0</v>
      </c>
      <c r="U7" s="233">
        <f t="shared" si="5"/>
        <v>0</v>
      </c>
      <c r="V7" s="14">
        <v>0</v>
      </c>
      <c r="W7" s="255">
        <v>0</v>
      </c>
      <c r="X7" s="233">
        <f t="shared" si="6"/>
        <v>0</v>
      </c>
      <c r="Y7" s="14">
        <v>0</v>
      </c>
      <c r="Z7" s="255">
        <v>0</v>
      </c>
      <c r="AA7" s="233">
        <f t="shared" si="7"/>
        <v>0</v>
      </c>
      <c r="AB7" s="14">
        <v>0</v>
      </c>
      <c r="AC7" s="255">
        <v>0</v>
      </c>
      <c r="AD7" s="233">
        <f t="shared" si="8"/>
        <v>0</v>
      </c>
      <c r="AE7" s="14">
        <v>0</v>
      </c>
      <c r="AF7" s="255">
        <v>0</v>
      </c>
      <c r="AG7" s="233">
        <f t="shared" si="9"/>
        <v>0</v>
      </c>
      <c r="AH7" s="14">
        <v>0</v>
      </c>
      <c r="AI7" s="255">
        <v>0</v>
      </c>
      <c r="AJ7" s="233">
        <f t="shared" si="10"/>
        <v>0</v>
      </c>
      <c r="AK7" s="14">
        <v>0</v>
      </c>
      <c r="AL7" s="255">
        <v>0</v>
      </c>
      <c r="AM7" s="233">
        <f t="shared" si="11"/>
        <v>0</v>
      </c>
    </row>
    <row r="8" spans="1:52" x14ac:dyDescent="0.3">
      <c r="A8" s="134" t="s">
        <v>125</v>
      </c>
      <c r="B8" s="8">
        <v>0</v>
      </c>
      <c r="C8" s="5">
        <v>0</v>
      </c>
      <c r="D8" s="9">
        <v>0</v>
      </c>
      <c r="E8" s="223">
        <v>0</v>
      </c>
      <c r="F8" s="229">
        <f t="shared" si="0"/>
        <v>0</v>
      </c>
      <c r="G8" s="14">
        <v>0</v>
      </c>
      <c r="H8" s="255">
        <v>0</v>
      </c>
      <c r="I8" s="233">
        <f t="shared" si="1"/>
        <v>0</v>
      </c>
      <c r="J8" s="14">
        <v>20</v>
      </c>
      <c r="K8" s="559">
        <v>170.17</v>
      </c>
      <c r="L8" s="233">
        <f>K8*J8</f>
        <v>3403.3999999999996</v>
      </c>
      <c r="M8" s="14">
        <v>10</v>
      </c>
      <c r="N8" s="255">
        <v>170.17</v>
      </c>
      <c r="O8" s="233">
        <f t="shared" si="3"/>
        <v>1701.6999999999998</v>
      </c>
      <c r="P8" s="14">
        <v>0</v>
      </c>
      <c r="Q8" s="255">
        <v>0</v>
      </c>
      <c r="R8" s="233">
        <f t="shared" si="4"/>
        <v>0</v>
      </c>
      <c r="S8" s="14">
        <v>0</v>
      </c>
      <c r="T8" s="255">
        <v>0</v>
      </c>
      <c r="U8" s="233">
        <v>0</v>
      </c>
      <c r="V8" s="14">
        <v>0</v>
      </c>
      <c r="W8" s="255">
        <v>0</v>
      </c>
      <c r="X8" s="233">
        <f t="shared" si="6"/>
        <v>0</v>
      </c>
      <c r="Y8" s="14">
        <v>0</v>
      </c>
      <c r="Z8" s="255">
        <v>0</v>
      </c>
      <c r="AA8" s="233">
        <v>0</v>
      </c>
      <c r="AB8" s="14">
        <v>0</v>
      </c>
      <c r="AC8" s="255">
        <v>0</v>
      </c>
      <c r="AD8" s="233">
        <v>0</v>
      </c>
      <c r="AE8" s="14">
        <v>0</v>
      </c>
      <c r="AF8" s="255">
        <v>0</v>
      </c>
      <c r="AG8" s="233">
        <v>0</v>
      </c>
      <c r="AH8" s="14">
        <v>0</v>
      </c>
      <c r="AI8" s="255">
        <v>0</v>
      </c>
      <c r="AJ8" s="233">
        <v>0</v>
      </c>
      <c r="AK8" s="14">
        <v>0</v>
      </c>
      <c r="AL8" s="255">
        <v>0</v>
      </c>
      <c r="AM8" s="233">
        <v>0</v>
      </c>
    </row>
    <row r="9" spans="1:52" ht="15" customHeight="1" x14ac:dyDescent="0.3">
      <c r="A9" s="134" t="s">
        <v>126</v>
      </c>
      <c r="B9" s="8">
        <v>0</v>
      </c>
      <c r="C9" s="5">
        <v>0</v>
      </c>
      <c r="D9" s="9">
        <v>0</v>
      </c>
      <c r="E9" s="223">
        <v>0</v>
      </c>
      <c r="F9" s="229">
        <f t="shared" si="0"/>
        <v>0</v>
      </c>
      <c r="G9" s="14">
        <v>0</v>
      </c>
      <c r="H9" s="255">
        <v>0</v>
      </c>
      <c r="I9" s="233">
        <f t="shared" si="1"/>
        <v>0</v>
      </c>
      <c r="J9" s="14">
        <v>19</v>
      </c>
      <c r="K9" s="559">
        <v>23.74</v>
      </c>
      <c r="L9" s="233">
        <f t="shared" ref="L9:L10" si="12">K9*J9</f>
        <v>451.05999999999995</v>
      </c>
      <c r="M9" s="14">
        <v>10</v>
      </c>
      <c r="N9" s="255">
        <v>23.74</v>
      </c>
      <c r="O9" s="233">
        <f t="shared" si="3"/>
        <v>237.39999999999998</v>
      </c>
      <c r="P9" s="14">
        <v>0</v>
      </c>
      <c r="Q9" s="255">
        <v>0</v>
      </c>
      <c r="R9" s="233">
        <f t="shared" si="4"/>
        <v>0</v>
      </c>
      <c r="S9" s="14">
        <v>0</v>
      </c>
      <c r="T9" s="255">
        <v>0</v>
      </c>
      <c r="U9" s="233">
        <v>0</v>
      </c>
      <c r="V9" s="14">
        <v>0</v>
      </c>
      <c r="W9" s="255">
        <v>0</v>
      </c>
      <c r="X9" s="233">
        <f t="shared" si="6"/>
        <v>0</v>
      </c>
      <c r="Y9" s="14">
        <v>0</v>
      </c>
      <c r="Z9" s="255">
        <v>0</v>
      </c>
      <c r="AA9" s="233">
        <v>0</v>
      </c>
      <c r="AB9" s="14">
        <v>0</v>
      </c>
      <c r="AC9" s="255">
        <v>0</v>
      </c>
      <c r="AD9" s="233">
        <v>0</v>
      </c>
      <c r="AE9" s="14">
        <v>0</v>
      </c>
      <c r="AF9" s="255">
        <v>0</v>
      </c>
      <c r="AG9" s="233">
        <v>0</v>
      </c>
      <c r="AH9" s="14">
        <v>0</v>
      </c>
      <c r="AI9" s="255">
        <v>0</v>
      </c>
      <c r="AJ9" s="233">
        <v>0</v>
      </c>
      <c r="AK9" s="14">
        <v>0</v>
      </c>
      <c r="AL9" s="255">
        <v>0</v>
      </c>
      <c r="AM9" s="233">
        <v>0</v>
      </c>
    </row>
    <row r="10" spans="1:52" ht="15" customHeight="1" x14ac:dyDescent="0.3">
      <c r="A10" s="134" t="s">
        <v>127</v>
      </c>
      <c r="B10" s="8">
        <v>0</v>
      </c>
      <c r="C10" s="5">
        <v>0</v>
      </c>
      <c r="D10" s="9">
        <v>0</v>
      </c>
      <c r="E10" s="223">
        <v>0</v>
      </c>
      <c r="F10" s="229">
        <f t="shared" si="0"/>
        <v>0</v>
      </c>
      <c r="G10" s="14">
        <v>0</v>
      </c>
      <c r="H10" s="255">
        <v>0</v>
      </c>
      <c r="I10" s="233">
        <f t="shared" si="1"/>
        <v>0</v>
      </c>
      <c r="J10" s="14">
        <v>25</v>
      </c>
      <c r="K10" s="559">
        <v>353.11</v>
      </c>
      <c r="L10" s="233">
        <f t="shared" si="12"/>
        <v>8827.75</v>
      </c>
      <c r="M10" s="14">
        <v>15</v>
      </c>
      <c r="N10" s="255">
        <v>353.11</v>
      </c>
      <c r="O10" s="233">
        <f t="shared" si="3"/>
        <v>5296.6500000000005</v>
      </c>
      <c r="P10" s="14">
        <v>0</v>
      </c>
      <c r="Q10" s="255">
        <v>0</v>
      </c>
      <c r="R10" s="233">
        <f t="shared" si="4"/>
        <v>0</v>
      </c>
      <c r="S10" s="14">
        <v>0</v>
      </c>
      <c r="T10" s="255">
        <v>0</v>
      </c>
      <c r="U10" s="233">
        <v>0</v>
      </c>
      <c r="V10" s="14">
        <v>0</v>
      </c>
      <c r="W10" s="255">
        <v>0</v>
      </c>
      <c r="X10" s="233">
        <f t="shared" si="6"/>
        <v>0</v>
      </c>
      <c r="Y10" s="14">
        <v>0</v>
      </c>
      <c r="Z10" s="255">
        <v>0</v>
      </c>
      <c r="AA10" s="233">
        <v>0</v>
      </c>
      <c r="AB10" s="14">
        <v>0</v>
      </c>
      <c r="AC10" s="255">
        <v>0</v>
      </c>
      <c r="AD10" s="233">
        <v>0</v>
      </c>
      <c r="AE10" s="14">
        <v>0</v>
      </c>
      <c r="AF10" s="255">
        <v>0</v>
      </c>
      <c r="AG10" s="233">
        <v>0</v>
      </c>
      <c r="AH10" s="14">
        <v>0</v>
      </c>
      <c r="AI10" s="255">
        <v>0</v>
      </c>
      <c r="AJ10" s="233">
        <v>0</v>
      </c>
      <c r="AK10" s="14">
        <v>0</v>
      </c>
      <c r="AL10" s="255">
        <v>0</v>
      </c>
      <c r="AM10" s="233">
        <v>0</v>
      </c>
    </row>
    <row r="11" spans="1:52" s="180" customFormat="1" ht="18" customHeight="1" x14ac:dyDescent="0.45">
      <c r="A11" s="183"/>
      <c r="B11" s="8"/>
      <c r="C11" s="5"/>
      <c r="D11" s="9"/>
      <c r="E11" s="179" t="s">
        <v>8</v>
      </c>
      <c r="F11" s="261">
        <f>SUM(F6:F10)</f>
        <v>0</v>
      </c>
      <c r="G11" s="14"/>
      <c r="H11" s="179" t="s">
        <v>8</v>
      </c>
      <c r="I11" s="261">
        <f>SUM(I6:I10)</f>
        <v>0</v>
      </c>
      <c r="J11" s="14"/>
      <c r="K11" s="179" t="s">
        <v>8</v>
      </c>
      <c r="L11" s="261">
        <f>SUM(L6:L10)</f>
        <v>23978.809999999998</v>
      </c>
      <c r="M11" s="14"/>
      <c r="N11" s="181" t="s">
        <v>8</v>
      </c>
      <c r="O11" s="238">
        <f>SUM(O6:O10)</f>
        <v>15749.419999999998</v>
      </c>
      <c r="P11" s="14"/>
      <c r="Q11" s="181" t="s">
        <v>8</v>
      </c>
      <c r="R11" s="238">
        <f>SUM(R6:R10)</f>
        <v>0</v>
      </c>
      <c r="S11" s="14"/>
      <c r="T11" s="181" t="s">
        <v>8</v>
      </c>
      <c r="U11" s="238">
        <f>SUM(U6:U10)</f>
        <v>0</v>
      </c>
      <c r="V11" s="14"/>
      <c r="W11" s="181" t="s">
        <v>8</v>
      </c>
      <c r="X11" s="238">
        <f>SUM(X6:X10)</f>
        <v>0</v>
      </c>
      <c r="Y11" s="14"/>
      <c r="Z11" s="181" t="s">
        <v>8</v>
      </c>
      <c r="AA11" s="238">
        <f>SUM(AA6:AA10)</f>
        <v>0</v>
      </c>
      <c r="AB11" s="14"/>
      <c r="AC11" s="181" t="s">
        <v>8</v>
      </c>
      <c r="AD11" s="238">
        <f>SUM(AD6:AD10)</f>
        <v>0</v>
      </c>
      <c r="AE11" s="14"/>
      <c r="AF11" s="181" t="s">
        <v>8</v>
      </c>
      <c r="AG11" s="238">
        <f>SUM(AG6:AG10)</f>
        <v>0</v>
      </c>
      <c r="AH11" s="14"/>
      <c r="AI11" s="181" t="s">
        <v>8</v>
      </c>
      <c r="AJ11" s="238">
        <f>SUM(AJ6:AJ10)</f>
        <v>0</v>
      </c>
      <c r="AK11" s="14"/>
      <c r="AL11" s="181" t="s">
        <v>8</v>
      </c>
      <c r="AM11" s="238">
        <f>SUM(AM6:AM10)</f>
        <v>0</v>
      </c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</row>
    <row r="12" spans="1:52" x14ac:dyDescent="0.3">
      <c r="A12" s="168" t="s">
        <v>113</v>
      </c>
      <c r="B12" s="8">
        <v>0</v>
      </c>
      <c r="C12" s="5">
        <v>0</v>
      </c>
      <c r="D12" s="5">
        <v>0</v>
      </c>
      <c r="E12" s="223">
        <v>0</v>
      </c>
      <c r="F12" s="229">
        <f>D12*E12</f>
        <v>0</v>
      </c>
      <c r="G12" s="13">
        <v>0</v>
      </c>
      <c r="H12" s="255">
        <v>0</v>
      </c>
      <c r="I12" s="235">
        <f t="shared" si="1"/>
        <v>0</v>
      </c>
      <c r="J12" s="13">
        <v>60</v>
      </c>
      <c r="K12" s="559">
        <v>448.34</v>
      </c>
      <c r="L12" s="235">
        <f t="shared" si="2"/>
        <v>26900.399999999998</v>
      </c>
      <c r="M12" s="13">
        <v>65</v>
      </c>
      <c r="N12" s="255">
        <v>448.34</v>
      </c>
      <c r="O12" s="235">
        <f t="shared" si="3"/>
        <v>29142.1</v>
      </c>
      <c r="P12" s="13">
        <v>0</v>
      </c>
      <c r="Q12" s="255">
        <v>0</v>
      </c>
      <c r="R12" s="235">
        <f t="shared" si="4"/>
        <v>0</v>
      </c>
      <c r="S12" s="13">
        <v>0</v>
      </c>
      <c r="T12" s="255">
        <v>0</v>
      </c>
      <c r="U12" s="235">
        <f t="shared" si="5"/>
        <v>0</v>
      </c>
      <c r="V12" s="13">
        <v>0</v>
      </c>
      <c r="W12" s="255">
        <v>0</v>
      </c>
      <c r="X12" s="235">
        <f t="shared" si="6"/>
        <v>0</v>
      </c>
      <c r="Y12" s="13">
        <v>0</v>
      </c>
      <c r="Z12" s="255">
        <v>0</v>
      </c>
      <c r="AA12" s="235">
        <f t="shared" si="7"/>
        <v>0</v>
      </c>
      <c r="AB12" s="13">
        <v>0</v>
      </c>
      <c r="AC12" s="255">
        <v>0</v>
      </c>
      <c r="AD12" s="235">
        <f t="shared" si="8"/>
        <v>0</v>
      </c>
      <c r="AE12" s="13">
        <v>0</v>
      </c>
      <c r="AF12" s="255">
        <v>0</v>
      </c>
      <c r="AG12" s="235">
        <f t="shared" si="9"/>
        <v>0</v>
      </c>
      <c r="AH12" s="13">
        <v>0</v>
      </c>
      <c r="AI12" s="255">
        <v>0</v>
      </c>
      <c r="AJ12" s="235">
        <f t="shared" si="10"/>
        <v>0</v>
      </c>
      <c r="AK12" s="13">
        <v>0</v>
      </c>
      <c r="AL12" s="255">
        <v>0</v>
      </c>
      <c r="AM12" s="235">
        <f t="shared" si="11"/>
        <v>0</v>
      </c>
    </row>
    <row r="13" spans="1:52" x14ac:dyDescent="0.3">
      <c r="A13" s="134" t="s">
        <v>13</v>
      </c>
      <c r="B13" s="8">
        <v>0</v>
      </c>
      <c r="C13" s="5">
        <v>0</v>
      </c>
      <c r="D13" s="5">
        <v>0</v>
      </c>
      <c r="E13" s="223">
        <v>0</v>
      </c>
      <c r="F13" s="229">
        <f t="shared" si="0"/>
        <v>0</v>
      </c>
      <c r="G13" s="13">
        <v>0</v>
      </c>
      <c r="H13" s="255">
        <v>0</v>
      </c>
      <c r="I13" s="235">
        <f t="shared" si="1"/>
        <v>0</v>
      </c>
      <c r="J13" s="13">
        <v>12</v>
      </c>
      <c r="K13" s="559">
        <v>81.16</v>
      </c>
      <c r="L13" s="235">
        <f t="shared" si="2"/>
        <v>973.92</v>
      </c>
      <c r="M13" s="13">
        <v>9</v>
      </c>
      <c r="N13" s="255">
        <v>81.16</v>
      </c>
      <c r="O13" s="235">
        <f t="shared" si="3"/>
        <v>730.43999999999994</v>
      </c>
      <c r="P13" s="13">
        <v>0</v>
      </c>
      <c r="Q13" s="255">
        <v>0</v>
      </c>
      <c r="R13" s="235">
        <f t="shared" si="4"/>
        <v>0</v>
      </c>
      <c r="S13" s="13">
        <v>0</v>
      </c>
      <c r="T13" s="255">
        <v>0</v>
      </c>
      <c r="U13" s="235">
        <f t="shared" si="5"/>
        <v>0</v>
      </c>
      <c r="V13" s="13">
        <v>0</v>
      </c>
      <c r="W13" s="255">
        <v>0</v>
      </c>
      <c r="X13" s="235">
        <f t="shared" si="6"/>
        <v>0</v>
      </c>
      <c r="Y13" s="13">
        <v>0</v>
      </c>
      <c r="Z13" s="255">
        <v>0</v>
      </c>
      <c r="AA13" s="235">
        <f t="shared" si="7"/>
        <v>0</v>
      </c>
      <c r="AB13" s="13">
        <v>0</v>
      </c>
      <c r="AC13" s="255">
        <v>0</v>
      </c>
      <c r="AD13" s="235">
        <f t="shared" si="8"/>
        <v>0</v>
      </c>
      <c r="AE13" s="13">
        <v>0</v>
      </c>
      <c r="AF13" s="255">
        <v>0</v>
      </c>
      <c r="AG13" s="235">
        <f t="shared" si="9"/>
        <v>0</v>
      </c>
      <c r="AH13" s="13">
        <v>0</v>
      </c>
      <c r="AI13" s="255">
        <v>0</v>
      </c>
      <c r="AJ13" s="235">
        <f t="shared" si="10"/>
        <v>0</v>
      </c>
      <c r="AK13" s="13">
        <v>0</v>
      </c>
      <c r="AL13" s="255">
        <v>0</v>
      </c>
      <c r="AM13" s="235">
        <f t="shared" si="11"/>
        <v>0</v>
      </c>
    </row>
    <row r="14" spans="1:52" x14ac:dyDescent="0.3">
      <c r="A14" s="134" t="s">
        <v>125</v>
      </c>
      <c r="B14" s="8">
        <v>0</v>
      </c>
      <c r="C14" s="5">
        <v>0</v>
      </c>
      <c r="D14" s="5">
        <v>0</v>
      </c>
      <c r="E14" s="223">
        <v>0</v>
      </c>
      <c r="F14" s="229">
        <f t="shared" si="0"/>
        <v>0</v>
      </c>
      <c r="G14" s="13">
        <v>0</v>
      </c>
      <c r="H14" s="255">
        <v>0</v>
      </c>
      <c r="I14" s="235">
        <f t="shared" si="1"/>
        <v>0</v>
      </c>
      <c r="J14" s="13">
        <v>22</v>
      </c>
      <c r="K14" s="559">
        <v>170.17</v>
      </c>
      <c r="L14" s="235">
        <f t="shared" si="2"/>
        <v>3743.74</v>
      </c>
      <c r="M14" s="13">
        <v>24</v>
      </c>
      <c r="N14" s="255">
        <v>170.17</v>
      </c>
      <c r="O14" s="235">
        <f t="shared" si="3"/>
        <v>4084.08</v>
      </c>
      <c r="P14" s="13">
        <v>0</v>
      </c>
      <c r="Q14" s="255">
        <v>0</v>
      </c>
      <c r="R14" s="235">
        <f t="shared" si="4"/>
        <v>0</v>
      </c>
      <c r="S14" s="13">
        <v>0</v>
      </c>
      <c r="T14" s="255">
        <v>0</v>
      </c>
      <c r="U14" s="235">
        <f t="shared" si="5"/>
        <v>0</v>
      </c>
      <c r="V14" s="13">
        <v>0</v>
      </c>
      <c r="W14" s="255">
        <v>0</v>
      </c>
      <c r="X14" s="235">
        <f t="shared" si="6"/>
        <v>0</v>
      </c>
      <c r="Y14" s="13">
        <v>0</v>
      </c>
      <c r="Z14" s="255">
        <v>0</v>
      </c>
      <c r="AA14" s="235">
        <f t="shared" si="7"/>
        <v>0</v>
      </c>
      <c r="AB14" s="13">
        <v>0</v>
      </c>
      <c r="AC14" s="255">
        <v>0</v>
      </c>
      <c r="AD14" s="235">
        <f t="shared" si="8"/>
        <v>0</v>
      </c>
      <c r="AE14" s="13">
        <v>0</v>
      </c>
      <c r="AF14" s="255">
        <v>0</v>
      </c>
      <c r="AG14" s="235">
        <f t="shared" si="9"/>
        <v>0</v>
      </c>
      <c r="AH14" s="13">
        <v>0</v>
      </c>
      <c r="AI14" s="255">
        <v>0</v>
      </c>
      <c r="AJ14" s="235">
        <f t="shared" si="10"/>
        <v>0</v>
      </c>
      <c r="AK14" s="13">
        <v>0</v>
      </c>
      <c r="AL14" s="255">
        <v>0</v>
      </c>
      <c r="AM14" s="235">
        <f t="shared" si="11"/>
        <v>0</v>
      </c>
    </row>
    <row r="15" spans="1:52" x14ac:dyDescent="0.3">
      <c r="A15" s="134" t="s">
        <v>128</v>
      </c>
      <c r="B15" s="8">
        <v>0</v>
      </c>
      <c r="C15" s="5">
        <v>0</v>
      </c>
      <c r="D15" s="5">
        <v>0</v>
      </c>
      <c r="E15" s="223">
        <v>0</v>
      </c>
      <c r="F15" s="229">
        <f t="shared" si="0"/>
        <v>0</v>
      </c>
      <c r="G15" s="13">
        <v>0</v>
      </c>
      <c r="H15" s="255">
        <v>0</v>
      </c>
      <c r="I15" s="235">
        <f t="shared" si="1"/>
        <v>0</v>
      </c>
      <c r="J15" s="13">
        <v>22</v>
      </c>
      <c r="K15" s="559">
        <v>23.74</v>
      </c>
      <c r="L15" s="235">
        <f t="shared" si="2"/>
        <v>522.28</v>
      </c>
      <c r="M15" s="13">
        <v>24</v>
      </c>
      <c r="N15" s="255">
        <v>23.34</v>
      </c>
      <c r="O15" s="235">
        <f t="shared" si="3"/>
        <v>560.16</v>
      </c>
      <c r="P15" s="13">
        <v>0</v>
      </c>
      <c r="Q15" s="255">
        <v>0</v>
      </c>
      <c r="R15" s="235">
        <f t="shared" si="4"/>
        <v>0</v>
      </c>
      <c r="S15" s="13">
        <v>0</v>
      </c>
      <c r="T15" s="255">
        <v>0</v>
      </c>
      <c r="U15" s="235">
        <f t="shared" si="5"/>
        <v>0</v>
      </c>
      <c r="V15" s="13">
        <v>0</v>
      </c>
      <c r="W15" s="255">
        <v>0</v>
      </c>
      <c r="X15" s="235">
        <f t="shared" si="6"/>
        <v>0</v>
      </c>
      <c r="Y15" s="13">
        <v>0</v>
      </c>
      <c r="Z15" s="255">
        <v>0</v>
      </c>
      <c r="AA15" s="235">
        <f t="shared" si="7"/>
        <v>0</v>
      </c>
      <c r="AB15" s="13">
        <v>0</v>
      </c>
      <c r="AC15" s="255">
        <v>0</v>
      </c>
      <c r="AD15" s="235">
        <f t="shared" si="8"/>
        <v>0</v>
      </c>
      <c r="AE15" s="13">
        <v>0</v>
      </c>
      <c r="AF15" s="255">
        <v>0</v>
      </c>
      <c r="AG15" s="235">
        <f t="shared" si="9"/>
        <v>0</v>
      </c>
      <c r="AH15" s="13">
        <v>0</v>
      </c>
      <c r="AI15" s="255">
        <v>0</v>
      </c>
      <c r="AJ15" s="235">
        <f t="shared" si="10"/>
        <v>0</v>
      </c>
      <c r="AK15" s="13">
        <v>0</v>
      </c>
      <c r="AL15" s="255">
        <v>0</v>
      </c>
      <c r="AM15" s="235">
        <f t="shared" si="11"/>
        <v>0</v>
      </c>
    </row>
    <row r="16" spans="1:52" x14ac:dyDescent="0.3">
      <c r="A16" s="134" t="s">
        <v>127</v>
      </c>
      <c r="B16" s="8">
        <v>0</v>
      </c>
      <c r="C16" s="5">
        <v>0</v>
      </c>
      <c r="D16" s="5">
        <v>0</v>
      </c>
      <c r="E16" s="223">
        <v>0</v>
      </c>
      <c r="F16" s="229">
        <f t="shared" si="0"/>
        <v>0</v>
      </c>
      <c r="G16" s="13">
        <v>0</v>
      </c>
      <c r="H16" s="255">
        <v>0</v>
      </c>
      <c r="I16" s="235">
        <f t="shared" si="1"/>
        <v>0</v>
      </c>
      <c r="J16" s="13">
        <v>22</v>
      </c>
      <c r="K16" s="559">
        <v>353.11</v>
      </c>
      <c r="L16" s="235">
        <f t="shared" si="2"/>
        <v>7768.42</v>
      </c>
      <c r="M16" s="13">
        <v>24</v>
      </c>
      <c r="N16" s="255">
        <v>353.11</v>
      </c>
      <c r="O16" s="235">
        <f t="shared" si="3"/>
        <v>8474.64</v>
      </c>
      <c r="P16" s="13">
        <v>0</v>
      </c>
      <c r="Q16" s="255">
        <v>0</v>
      </c>
      <c r="R16" s="235">
        <f t="shared" si="4"/>
        <v>0</v>
      </c>
      <c r="S16" s="13">
        <v>0</v>
      </c>
      <c r="T16" s="255">
        <v>0</v>
      </c>
      <c r="U16" s="235">
        <f t="shared" si="5"/>
        <v>0</v>
      </c>
      <c r="V16" s="13">
        <v>0</v>
      </c>
      <c r="W16" s="255">
        <v>0</v>
      </c>
      <c r="X16" s="235">
        <f t="shared" si="6"/>
        <v>0</v>
      </c>
      <c r="Y16" s="13">
        <v>0</v>
      </c>
      <c r="Z16" s="255">
        <v>0</v>
      </c>
      <c r="AA16" s="235">
        <f t="shared" si="7"/>
        <v>0</v>
      </c>
      <c r="AB16" s="13">
        <v>0</v>
      </c>
      <c r="AC16" s="255">
        <v>0</v>
      </c>
      <c r="AD16" s="235">
        <f t="shared" si="8"/>
        <v>0</v>
      </c>
      <c r="AE16" s="13">
        <v>0</v>
      </c>
      <c r="AF16" s="255">
        <v>0</v>
      </c>
      <c r="AG16" s="235">
        <f t="shared" si="9"/>
        <v>0</v>
      </c>
      <c r="AH16" s="13">
        <v>0</v>
      </c>
      <c r="AI16" s="255">
        <v>0</v>
      </c>
      <c r="AJ16" s="235">
        <f t="shared" si="10"/>
        <v>0</v>
      </c>
      <c r="AK16" s="13">
        <v>0</v>
      </c>
      <c r="AL16" s="255">
        <v>0</v>
      </c>
      <c r="AM16" s="235">
        <f t="shared" si="11"/>
        <v>0</v>
      </c>
    </row>
    <row r="17" spans="1:56" s="180" customFormat="1" ht="18" customHeight="1" x14ac:dyDescent="0.45">
      <c r="A17" s="168"/>
      <c r="B17" s="8"/>
      <c r="C17" s="5"/>
      <c r="D17" s="5"/>
      <c r="E17" s="179" t="s">
        <v>8</v>
      </c>
      <c r="F17" s="261">
        <f>SUM(F12:F16)</f>
        <v>0</v>
      </c>
      <c r="G17" s="13"/>
      <c r="H17" s="181" t="s">
        <v>8</v>
      </c>
      <c r="I17" s="272">
        <f>SUM(I12:I16)</f>
        <v>0</v>
      </c>
      <c r="J17" s="13"/>
      <c r="K17" s="181" t="s">
        <v>8</v>
      </c>
      <c r="L17" s="272">
        <f>SUM(L12:L16)</f>
        <v>39908.759999999995</v>
      </c>
      <c r="M17" s="13"/>
      <c r="N17" s="181" t="s">
        <v>8</v>
      </c>
      <c r="O17" s="238">
        <f>SUM(O12:O16)</f>
        <v>42991.42</v>
      </c>
      <c r="P17" s="13"/>
      <c r="Q17" s="181" t="s">
        <v>8</v>
      </c>
      <c r="R17" s="272">
        <f>SUM(R12:R16)</f>
        <v>0</v>
      </c>
      <c r="S17" s="13"/>
      <c r="T17" s="181" t="s">
        <v>8</v>
      </c>
      <c r="U17" s="272">
        <f>SUM(U12:U16)</f>
        <v>0</v>
      </c>
      <c r="V17" s="13"/>
      <c r="W17" s="181" t="s">
        <v>8</v>
      </c>
      <c r="X17" s="272">
        <f>SUM(X12:X16)</f>
        <v>0</v>
      </c>
      <c r="Y17" s="13"/>
      <c r="Z17" s="181" t="s">
        <v>8</v>
      </c>
      <c r="AA17" s="272">
        <f>SUM(AA12:AA16)</f>
        <v>0</v>
      </c>
      <c r="AB17" s="13"/>
      <c r="AC17" s="181" t="s">
        <v>8</v>
      </c>
      <c r="AD17" s="272">
        <f>SUM(AD12:AD16)</f>
        <v>0</v>
      </c>
      <c r="AE17" s="13"/>
      <c r="AF17" s="181" t="s">
        <v>8</v>
      </c>
      <c r="AG17" s="272">
        <f>SUM(AG12:AG16)</f>
        <v>0</v>
      </c>
      <c r="AH17" s="13"/>
      <c r="AI17" s="181" t="s">
        <v>8</v>
      </c>
      <c r="AJ17" s="272">
        <f>SUM(AJ12:AJ16)</f>
        <v>0</v>
      </c>
      <c r="AK17" s="13"/>
      <c r="AL17" s="181" t="s">
        <v>8</v>
      </c>
      <c r="AM17" s="272">
        <f>SUM(AM12:AM16)</f>
        <v>0</v>
      </c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</row>
    <row r="18" spans="1:56" x14ac:dyDescent="0.3">
      <c r="A18" s="134" t="s">
        <v>114</v>
      </c>
      <c r="B18" s="8">
        <v>0</v>
      </c>
      <c r="C18" s="5">
        <v>0</v>
      </c>
      <c r="D18" s="5">
        <v>0</v>
      </c>
      <c r="E18" s="223">
        <v>0</v>
      </c>
      <c r="F18" s="229">
        <f t="shared" si="0"/>
        <v>0</v>
      </c>
      <c r="G18" s="13">
        <v>0</v>
      </c>
      <c r="H18" s="255">
        <v>0</v>
      </c>
      <c r="I18" s="235">
        <f t="shared" ref="I18:I22" si="13">H18*G18</f>
        <v>0</v>
      </c>
      <c r="J18" s="13">
        <v>10</v>
      </c>
      <c r="K18" s="559">
        <v>305.79000000000002</v>
      </c>
      <c r="L18" s="235">
        <f t="shared" ref="L18:L22" si="14">K18*J18</f>
        <v>3057.9</v>
      </c>
      <c r="M18" s="13">
        <v>2</v>
      </c>
      <c r="N18" s="255">
        <v>305.79000000000002</v>
      </c>
      <c r="O18" s="235">
        <f t="shared" si="3"/>
        <v>611.58000000000004</v>
      </c>
      <c r="P18" s="13">
        <v>0</v>
      </c>
      <c r="Q18" s="255">
        <v>0</v>
      </c>
      <c r="R18" s="235">
        <f t="shared" si="4"/>
        <v>0</v>
      </c>
      <c r="S18" s="13">
        <v>0</v>
      </c>
      <c r="T18" s="255">
        <v>0</v>
      </c>
      <c r="U18" s="235">
        <f t="shared" si="5"/>
        <v>0</v>
      </c>
      <c r="V18" s="13">
        <v>0</v>
      </c>
      <c r="W18" s="255">
        <v>0</v>
      </c>
      <c r="X18" s="235">
        <f t="shared" si="6"/>
        <v>0</v>
      </c>
      <c r="Y18" s="13">
        <v>0</v>
      </c>
      <c r="Z18" s="255">
        <v>0</v>
      </c>
      <c r="AA18" s="235">
        <f t="shared" si="7"/>
        <v>0</v>
      </c>
      <c r="AB18" s="13">
        <v>0</v>
      </c>
      <c r="AC18" s="255">
        <v>0</v>
      </c>
      <c r="AD18" s="235">
        <f t="shared" si="8"/>
        <v>0</v>
      </c>
      <c r="AE18" s="13">
        <v>0</v>
      </c>
      <c r="AF18" s="255">
        <v>0</v>
      </c>
      <c r="AG18" s="235">
        <f t="shared" si="9"/>
        <v>0</v>
      </c>
      <c r="AH18" s="13">
        <v>0</v>
      </c>
      <c r="AI18" s="255">
        <v>0</v>
      </c>
      <c r="AJ18" s="235">
        <f t="shared" si="10"/>
        <v>0</v>
      </c>
      <c r="AK18" s="13">
        <v>0</v>
      </c>
      <c r="AL18" s="255">
        <v>0</v>
      </c>
      <c r="AM18" s="235">
        <f t="shared" si="11"/>
        <v>0</v>
      </c>
    </row>
    <row r="19" spans="1:56" x14ac:dyDescent="0.3">
      <c r="A19" s="134" t="s">
        <v>13</v>
      </c>
      <c r="B19" s="8">
        <v>0</v>
      </c>
      <c r="C19" s="5">
        <v>0</v>
      </c>
      <c r="D19" s="5">
        <v>0</v>
      </c>
      <c r="E19" s="223">
        <v>0</v>
      </c>
      <c r="F19" s="229">
        <f t="shared" si="0"/>
        <v>0</v>
      </c>
      <c r="G19" s="13">
        <v>0</v>
      </c>
      <c r="H19" s="255">
        <v>0</v>
      </c>
      <c r="I19" s="235">
        <f t="shared" si="13"/>
        <v>0</v>
      </c>
      <c r="J19" s="13">
        <v>5</v>
      </c>
      <c r="K19" s="559">
        <v>81.16</v>
      </c>
      <c r="L19" s="235">
        <f t="shared" si="14"/>
        <v>405.79999999999995</v>
      </c>
      <c r="M19" s="13">
        <v>3</v>
      </c>
      <c r="N19" s="255">
        <v>81.16</v>
      </c>
      <c r="O19" s="235">
        <f t="shared" si="3"/>
        <v>243.48</v>
      </c>
      <c r="P19" s="13">
        <v>0</v>
      </c>
      <c r="Q19" s="255">
        <v>0</v>
      </c>
      <c r="R19" s="235">
        <f t="shared" si="4"/>
        <v>0</v>
      </c>
      <c r="S19" s="13">
        <v>0</v>
      </c>
      <c r="T19" s="255">
        <v>0</v>
      </c>
      <c r="U19" s="235">
        <f t="shared" si="5"/>
        <v>0</v>
      </c>
      <c r="V19" s="13">
        <v>0</v>
      </c>
      <c r="W19" s="255">
        <v>0</v>
      </c>
      <c r="X19" s="235">
        <f t="shared" si="6"/>
        <v>0</v>
      </c>
      <c r="Y19" s="13">
        <v>0</v>
      </c>
      <c r="Z19" s="255">
        <v>0</v>
      </c>
      <c r="AA19" s="235">
        <f t="shared" si="7"/>
        <v>0</v>
      </c>
      <c r="AB19" s="13">
        <v>0</v>
      </c>
      <c r="AC19" s="255">
        <v>0</v>
      </c>
      <c r="AD19" s="235">
        <f t="shared" si="8"/>
        <v>0</v>
      </c>
      <c r="AE19" s="13">
        <v>0</v>
      </c>
      <c r="AF19" s="255">
        <v>0</v>
      </c>
      <c r="AG19" s="235">
        <f t="shared" si="9"/>
        <v>0</v>
      </c>
      <c r="AH19" s="13">
        <v>0</v>
      </c>
      <c r="AI19" s="255">
        <v>0</v>
      </c>
      <c r="AJ19" s="235">
        <f t="shared" si="10"/>
        <v>0</v>
      </c>
      <c r="AK19" s="13">
        <v>0</v>
      </c>
      <c r="AL19" s="255">
        <v>0</v>
      </c>
      <c r="AM19" s="235">
        <f t="shared" si="11"/>
        <v>0</v>
      </c>
    </row>
    <row r="20" spans="1:56" x14ac:dyDescent="0.3">
      <c r="A20" s="134" t="s">
        <v>125</v>
      </c>
      <c r="B20" s="5">
        <v>0</v>
      </c>
      <c r="C20" s="5">
        <v>0</v>
      </c>
      <c r="D20" s="5">
        <v>0</v>
      </c>
      <c r="E20" s="223">
        <v>0</v>
      </c>
      <c r="F20" s="229">
        <f t="shared" si="0"/>
        <v>0</v>
      </c>
      <c r="G20" s="13">
        <v>0</v>
      </c>
      <c r="H20" s="255">
        <v>0</v>
      </c>
      <c r="I20" s="235">
        <f t="shared" si="13"/>
        <v>0</v>
      </c>
      <c r="J20" s="13">
        <v>2</v>
      </c>
      <c r="K20" s="559">
        <v>170.17</v>
      </c>
      <c r="L20" s="235">
        <f t="shared" si="14"/>
        <v>340.34</v>
      </c>
      <c r="M20" s="13">
        <v>2</v>
      </c>
      <c r="N20" s="255">
        <v>170.17</v>
      </c>
      <c r="O20" s="235">
        <f t="shared" si="3"/>
        <v>340.34</v>
      </c>
      <c r="P20" s="13">
        <v>0</v>
      </c>
      <c r="Q20" s="255">
        <v>0</v>
      </c>
      <c r="R20" s="235">
        <f t="shared" si="4"/>
        <v>0</v>
      </c>
      <c r="S20" s="13">
        <v>0</v>
      </c>
      <c r="T20" s="255">
        <v>0</v>
      </c>
      <c r="U20" s="235">
        <f t="shared" si="5"/>
        <v>0</v>
      </c>
      <c r="V20" s="13">
        <v>0</v>
      </c>
      <c r="W20" s="255">
        <v>0</v>
      </c>
      <c r="X20" s="235">
        <f t="shared" si="6"/>
        <v>0</v>
      </c>
      <c r="Y20" s="13">
        <v>0</v>
      </c>
      <c r="Z20" s="255">
        <v>0</v>
      </c>
      <c r="AA20" s="235">
        <f t="shared" si="7"/>
        <v>0</v>
      </c>
      <c r="AB20" s="13">
        <v>0</v>
      </c>
      <c r="AC20" s="255">
        <v>0</v>
      </c>
      <c r="AD20" s="235">
        <f t="shared" si="8"/>
        <v>0</v>
      </c>
      <c r="AE20" s="13">
        <v>0</v>
      </c>
      <c r="AF20" s="255">
        <v>0</v>
      </c>
      <c r="AG20" s="235">
        <f t="shared" si="9"/>
        <v>0</v>
      </c>
      <c r="AH20" s="13">
        <v>0</v>
      </c>
      <c r="AI20" s="255">
        <v>0</v>
      </c>
      <c r="AJ20" s="235">
        <f t="shared" si="10"/>
        <v>0</v>
      </c>
      <c r="AK20" s="13">
        <v>0</v>
      </c>
      <c r="AL20" s="255">
        <v>0</v>
      </c>
      <c r="AM20" s="235">
        <f t="shared" si="11"/>
        <v>0</v>
      </c>
    </row>
    <row r="21" spans="1:56" x14ac:dyDescent="0.3">
      <c r="A21" s="134"/>
      <c r="B21" s="5">
        <v>0</v>
      </c>
      <c r="C21" s="5">
        <v>0</v>
      </c>
      <c r="D21" s="5">
        <v>0</v>
      </c>
      <c r="E21" s="223">
        <v>0</v>
      </c>
      <c r="F21" s="229">
        <f t="shared" si="0"/>
        <v>0</v>
      </c>
      <c r="G21" s="13">
        <v>0</v>
      </c>
      <c r="H21" s="255">
        <v>0</v>
      </c>
      <c r="I21" s="235">
        <f t="shared" si="13"/>
        <v>0</v>
      </c>
      <c r="J21" s="13">
        <v>0</v>
      </c>
      <c r="K21" s="255">
        <v>0</v>
      </c>
      <c r="L21" s="235">
        <f t="shared" si="14"/>
        <v>0</v>
      </c>
      <c r="M21" s="13">
        <v>0</v>
      </c>
      <c r="N21" s="255">
        <v>0</v>
      </c>
      <c r="O21" s="235">
        <f t="shared" si="3"/>
        <v>0</v>
      </c>
      <c r="P21" s="13">
        <v>0</v>
      </c>
      <c r="Q21" s="255">
        <v>0</v>
      </c>
      <c r="R21" s="235">
        <f t="shared" si="4"/>
        <v>0</v>
      </c>
      <c r="S21" s="13">
        <v>0</v>
      </c>
      <c r="T21" s="255">
        <v>0</v>
      </c>
      <c r="U21" s="235">
        <f t="shared" si="5"/>
        <v>0</v>
      </c>
      <c r="V21" s="13">
        <v>0</v>
      </c>
      <c r="W21" s="255">
        <v>0</v>
      </c>
      <c r="X21" s="235">
        <f t="shared" si="6"/>
        <v>0</v>
      </c>
      <c r="Y21" s="13">
        <v>0</v>
      </c>
      <c r="Z21" s="255">
        <v>0</v>
      </c>
      <c r="AA21" s="235">
        <f t="shared" si="7"/>
        <v>0</v>
      </c>
      <c r="AB21" s="13">
        <v>0</v>
      </c>
      <c r="AC21" s="255">
        <v>0</v>
      </c>
      <c r="AD21" s="235">
        <f t="shared" si="8"/>
        <v>0</v>
      </c>
      <c r="AE21" s="13">
        <v>0</v>
      </c>
      <c r="AF21" s="255">
        <v>0</v>
      </c>
      <c r="AG21" s="235">
        <f t="shared" si="9"/>
        <v>0</v>
      </c>
      <c r="AH21" s="13">
        <v>0</v>
      </c>
      <c r="AI21" s="255">
        <v>0</v>
      </c>
      <c r="AJ21" s="235">
        <f t="shared" si="10"/>
        <v>0</v>
      </c>
      <c r="AK21" s="13">
        <v>0</v>
      </c>
      <c r="AL21" s="255">
        <v>0</v>
      </c>
      <c r="AM21" s="235">
        <f t="shared" si="11"/>
        <v>0</v>
      </c>
    </row>
    <row r="22" spans="1:56" x14ac:dyDescent="0.3">
      <c r="A22" s="134"/>
      <c r="B22" s="5">
        <v>0</v>
      </c>
      <c r="C22" s="5">
        <v>0</v>
      </c>
      <c r="D22" s="5">
        <v>0</v>
      </c>
      <c r="E22" s="223">
        <v>0</v>
      </c>
      <c r="F22" s="229">
        <f t="shared" si="0"/>
        <v>0</v>
      </c>
      <c r="G22" s="13">
        <v>0</v>
      </c>
      <c r="H22" s="255">
        <v>0</v>
      </c>
      <c r="I22" s="235">
        <f t="shared" si="13"/>
        <v>0</v>
      </c>
      <c r="J22" s="13">
        <v>0</v>
      </c>
      <c r="K22" s="255">
        <v>0</v>
      </c>
      <c r="L22" s="235">
        <f t="shared" si="14"/>
        <v>0</v>
      </c>
      <c r="M22" s="13">
        <v>0</v>
      </c>
      <c r="N22" s="255">
        <v>0</v>
      </c>
      <c r="O22" s="235">
        <f t="shared" si="3"/>
        <v>0</v>
      </c>
      <c r="P22" s="13">
        <v>0</v>
      </c>
      <c r="Q22" s="255">
        <v>0</v>
      </c>
      <c r="R22" s="235">
        <f t="shared" si="4"/>
        <v>0</v>
      </c>
      <c r="S22" s="13">
        <v>0</v>
      </c>
      <c r="T22" s="255">
        <v>0</v>
      </c>
      <c r="U22" s="235">
        <f t="shared" si="5"/>
        <v>0</v>
      </c>
      <c r="V22" s="13">
        <v>0</v>
      </c>
      <c r="W22" s="255">
        <v>0</v>
      </c>
      <c r="X22" s="235">
        <f t="shared" si="6"/>
        <v>0</v>
      </c>
      <c r="Y22" s="13">
        <v>0</v>
      </c>
      <c r="Z22" s="255">
        <v>0</v>
      </c>
      <c r="AA22" s="235">
        <f t="shared" si="7"/>
        <v>0</v>
      </c>
      <c r="AB22" s="13">
        <v>0</v>
      </c>
      <c r="AC22" s="255">
        <v>0</v>
      </c>
      <c r="AD22" s="235">
        <f t="shared" si="8"/>
        <v>0</v>
      </c>
      <c r="AE22" s="13">
        <v>0</v>
      </c>
      <c r="AF22" s="255">
        <v>0</v>
      </c>
      <c r="AG22" s="235">
        <f t="shared" si="9"/>
        <v>0</v>
      </c>
      <c r="AH22" s="13">
        <v>0</v>
      </c>
      <c r="AI22" s="255">
        <v>0</v>
      </c>
      <c r="AJ22" s="235">
        <f t="shared" si="10"/>
        <v>0</v>
      </c>
      <c r="AK22" s="13">
        <v>0</v>
      </c>
      <c r="AL22" s="255">
        <v>0</v>
      </c>
      <c r="AM22" s="235">
        <f t="shared" si="11"/>
        <v>0</v>
      </c>
    </row>
    <row r="23" spans="1:56" s="180" customFormat="1" ht="18" customHeight="1" x14ac:dyDescent="0.45">
      <c r="A23" s="168"/>
      <c r="B23" s="8"/>
      <c r="C23" s="5"/>
      <c r="D23" s="5"/>
      <c r="E23" s="179" t="s">
        <v>8</v>
      </c>
      <c r="F23" s="261">
        <f>SUM(F18:F20)</f>
        <v>0</v>
      </c>
      <c r="G23" s="13"/>
      <c r="H23" s="181" t="s">
        <v>8</v>
      </c>
      <c r="I23" s="272">
        <f>SUM(I18:I20)</f>
        <v>0</v>
      </c>
      <c r="J23" s="13"/>
      <c r="K23" s="181" t="s">
        <v>8</v>
      </c>
      <c r="L23" s="272">
        <f>SUM(L18:L20)</f>
        <v>3804.04</v>
      </c>
      <c r="M23" s="13"/>
      <c r="N23" s="181" t="s">
        <v>8</v>
      </c>
      <c r="O23" s="274">
        <f>SUM(O18:O20)</f>
        <v>1195.4000000000001</v>
      </c>
      <c r="P23" s="13"/>
      <c r="Q23" s="181" t="s">
        <v>8</v>
      </c>
      <c r="R23" s="272">
        <f>SUM(R18:R20)</f>
        <v>0</v>
      </c>
      <c r="S23" s="13"/>
      <c r="T23" s="181" t="s">
        <v>8</v>
      </c>
      <c r="U23" s="272">
        <f>SUM(U18:U20)</f>
        <v>0</v>
      </c>
      <c r="V23" s="13"/>
      <c r="W23" s="181" t="s">
        <v>8</v>
      </c>
      <c r="X23" s="272">
        <f>SUM(X18:X20)</f>
        <v>0</v>
      </c>
      <c r="Y23" s="13"/>
      <c r="Z23" s="181" t="s">
        <v>8</v>
      </c>
      <c r="AA23" s="272">
        <f>SUM(AA18:AA20)</f>
        <v>0</v>
      </c>
      <c r="AB23" s="13"/>
      <c r="AC23" s="181" t="s">
        <v>8</v>
      </c>
      <c r="AD23" s="272">
        <f>SUM(AD18:AD20)</f>
        <v>0</v>
      </c>
      <c r="AE23" s="13"/>
      <c r="AF23" s="181" t="s">
        <v>8</v>
      </c>
      <c r="AG23" s="272">
        <f>SUM(AG18:AG20)</f>
        <v>0</v>
      </c>
      <c r="AH23" s="13"/>
      <c r="AI23" s="181" t="s">
        <v>8</v>
      </c>
      <c r="AJ23" s="272">
        <f>SUM(AJ18:AJ20)</f>
        <v>0</v>
      </c>
      <c r="AK23" s="13"/>
      <c r="AL23" s="181" t="s">
        <v>8</v>
      </c>
      <c r="AM23" s="272">
        <f>SUM(AM18:AM20)</f>
        <v>0</v>
      </c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</row>
    <row r="24" spans="1:56" x14ac:dyDescent="0.3">
      <c r="A24" s="168" t="s">
        <v>129</v>
      </c>
      <c r="B24" s="8">
        <v>0</v>
      </c>
      <c r="C24" s="5">
        <v>0</v>
      </c>
      <c r="D24" s="5">
        <v>0</v>
      </c>
      <c r="E24" s="223">
        <v>0</v>
      </c>
      <c r="F24" s="229">
        <f t="shared" si="0"/>
        <v>0</v>
      </c>
      <c r="G24" s="13">
        <v>0</v>
      </c>
      <c r="H24" s="255">
        <v>0</v>
      </c>
      <c r="I24" s="235">
        <f t="shared" ref="I24:I28" si="15">H24*G24</f>
        <v>0</v>
      </c>
      <c r="J24" s="13">
        <v>20</v>
      </c>
      <c r="K24" s="559">
        <v>427.38</v>
      </c>
      <c r="L24" s="235">
        <f t="shared" ref="L24:L28" si="16">K24*J24</f>
        <v>8547.6</v>
      </c>
      <c r="M24" s="13">
        <v>17</v>
      </c>
      <c r="N24" s="255">
        <v>427.38</v>
      </c>
      <c r="O24" s="235">
        <f t="shared" si="3"/>
        <v>7265.46</v>
      </c>
      <c r="P24" s="13">
        <v>0</v>
      </c>
      <c r="Q24" s="255">
        <v>0</v>
      </c>
      <c r="R24" s="235">
        <f t="shared" si="4"/>
        <v>0</v>
      </c>
      <c r="S24" s="13">
        <v>0</v>
      </c>
      <c r="T24" s="255">
        <v>4</v>
      </c>
      <c r="U24" s="235">
        <f t="shared" si="5"/>
        <v>0</v>
      </c>
      <c r="V24" s="13">
        <v>0</v>
      </c>
      <c r="W24" s="255">
        <v>0</v>
      </c>
      <c r="X24" s="235">
        <f t="shared" si="6"/>
        <v>0</v>
      </c>
      <c r="Y24" s="13">
        <v>0</v>
      </c>
      <c r="Z24" s="255">
        <v>6</v>
      </c>
      <c r="AA24" s="235">
        <f t="shared" si="7"/>
        <v>0</v>
      </c>
      <c r="AB24" s="13">
        <v>0</v>
      </c>
      <c r="AC24" s="255">
        <v>0</v>
      </c>
      <c r="AD24" s="235">
        <f t="shared" si="8"/>
        <v>0</v>
      </c>
      <c r="AE24" s="13">
        <v>0</v>
      </c>
      <c r="AF24" s="255">
        <v>0</v>
      </c>
      <c r="AG24" s="235">
        <f t="shared" si="9"/>
        <v>0</v>
      </c>
      <c r="AH24" s="13">
        <v>0</v>
      </c>
      <c r="AI24" s="255">
        <v>0</v>
      </c>
      <c r="AJ24" s="235">
        <f t="shared" si="10"/>
        <v>0</v>
      </c>
      <c r="AK24" s="13">
        <v>0</v>
      </c>
      <c r="AL24" s="255">
        <v>10</v>
      </c>
      <c r="AM24" s="235">
        <f t="shared" si="11"/>
        <v>0</v>
      </c>
    </row>
    <row r="25" spans="1:56" x14ac:dyDescent="0.3">
      <c r="A25" s="134" t="s">
        <v>13</v>
      </c>
      <c r="B25" s="8">
        <v>0</v>
      </c>
      <c r="C25" s="5">
        <v>0</v>
      </c>
      <c r="D25" s="5">
        <v>0</v>
      </c>
      <c r="E25" s="223">
        <v>0</v>
      </c>
      <c r="F25" s="229">
        <f t="shared" si="0"/>
        <v>0</v>
      </c>
      <c r="G25" s="13">
        <v>0</v>
      </c>
      <c r="H25" s="255">
        <v>0</v>
      </c>
      <c r="I25" s="235">
        <f t="shared" si="15"/>
        <v>0</v>
      </c>
      <c r="J25" s="13">
        <v>13</v>
      </c>
      <c r="K25" s="559">
        <v>81.16</v>
      </c>
      <c r="L25" s="235">
        <f t="shared" si="16"/>
        <v>1055.08</v>
      </c>
      <c r="M25" s="13">
        <v>7</v>
      </c>
      <c r="N25" s="255">
        <v>81.16</v>
      </c>
      <c r="O25" s="235">
        <f t="shared" si="3"/>
        <v>568.12</v>
      </c>
      <c r="P25" s="13">
        <v>0</v>
      </c>
      <c r="Q25" s="255">
        <v>0</v>
      </c>
      <c r="R25" s="235">
        <f t="shared" si="4"/>
        <v>0</v>
      </c>
      <c r="S25" s="13">
        <v>0</v>
      </c>
      <c r="T25" s="255">
        <v>0</v>
      </c>
      <c r="U25" s="235">
        <f t="shared" si="5"/>
        <v>0</v>
      </c>
      <c r="V25" s="13">
        <v>0</v>
      </c>
      <c r="W25" s="255">
        <v>0</v>
      </c>
      <c r="X25" s="235">
        <f t="shared" si="6"/>
        <v>0</v>
      </c>
      <c r="Y25" s="13">
        <v>0</v>
      </c>
      <c r="Z25" s="255">
        <v>0</v>
      </c>
      <c r="AA25" s="235">
        <f t="shared" si="7"/>
        <v>0</v>
      </c>
      <c r="AB25" s="13">
        <v>0</v>
      </c>
      <c r="AC25" s="255">
        <v>0</v>
      </c>
      <c r="AD25" s="235">
        <f t="shared" si="8"/>
        <v>0</v>
      </c>
      <c r="AE25" s="13">
        <v>0</v>
      </c>
      <c r="AF25" s="255">
        <v>0</v>
      </c>
      <c r="AG25" s="235">
        <f t="shared" si="9"/>
        <v>0</v>
      </c>
      <c r="AH25" s="13">
        <v>0</v>
      </c>
      <c r="AI25" s="255">
        <v>0</v>
      </c>
      <c r="AJ25" s="235">
        <f t="shared" si="10"/>
        <v>0</v>
      </c>
      <c r="AK25" s="13">
        <v>0</v>
      </c>
      <c r="AL25" s="255">
        <v>0</v>
      </c>
      <c r="AM25" s="235">
        <f t="shared" si="11"/>
        <v>0</v>
      </c>
    </row>
    <row r="26" spans="1:56" x14ac:dyDescent="0.3">
      <c r="A26" s="134" t="s">
        <v>125</v>
      </c>
      <c r="B26" s="8">
        <v>0</v>
      </c>
      <c r="C26" s="5">
        <v>0</v>
      </c>
      <c r="D26" s="5">
        <v>0</v>
      </c>
      <c r="E26" s="223">
        <v>0</v>
      </c>
      <c r="F26" s="229">
        <f t="shared" si="0"/>
        <v>0</v>
      </c>
      <c r="G26" s="13">
        <v>0</v>
      </c>
      <c r="H26" s="255">
        <v>0</v>
      </c>
      <c r="I26" s="235">
        <f t="shared" si="15"/>
        <v>0</v>
      </c>
      <c r="J26" s="13">
        <v>20</v>
      </c>
      <c r="K26" s="559">
        <v>170.17</v>
      </c>
      <c r="L26" s="235">
        <f t="shared" si="16"/>
        <v>3403.3999999999996</v>
      </c>
      <c r="M26" s="13">
        <v>10</v>
      </c>
      <c r="N26" s="255">
        <v>170.17</v>
      </c>
      <c r="O26" s="235">
        <f t="shared" si="3"/>
        <v>1701.6999999999998</v>
      </c>
      <c r="P26" s="13">
        <v>0</v>
      </c>
      <c r="Q26" s="255">
        <v>0</v>
      </c>
      <c r="R26" s="235">
        <f t="shared" si="4"/>
        <v>0</v>
      </c>
      <c r="S26" s="13">
        <v>0</v>
      </c>
      <c r="T26" s="255">
        <v>0</v>
      </c>
      <c r="U26" s="235">
        <f t="shared" si="5"/>
        <v>0</v>
      </c>
      <c r="V26" s="13">
        <v>0</v>
      </c>
      <c r="W26" s="255">
        <v>0</v>
      </c>
      <c r="X26" s="235">
        <f t="shared" si="6"/>
        <v>0</v>
      </c>
      <c r="Y26" s="13">
        <v>0</v>
      </c>
      <c r="Z26" s="255">
        <v>0</v>
      </c>
      <c r="AA26" s="235">
        <f t="shared" si="7"/>
        <v>0</v>
      </c>
      <c r="AB26" s="13">
        <v>0</v>
      </c>
      <c r="AC26" s="255">
        <v>0</v>
      </c>
      <c r="AD26" s="235">
        <f t="shared" si="8"/>
        <v>0</v>
      </c>
      <c r="AE26" s="13">
        <v>0</v>
      </c>
      <c r="AF26" s="255">
        <v>0</v>
      </c>
      <c r="AG26" s="235">
        <f t="shared" si="9"/>
        <v>0</v>
      </c>
      <c r="AH26" s="13">
        <v>0</v>
      </c>
      <c r="AI26" s="255">
        <v>0</v>
      </c>
      <c r="AJ26" s="235">
        <f t="shared" si="10"/>
        <v>0</v>
      </c>
      <c r="AK26" s="13">
        <v>0</v>
      </c>
      <c r="AL26" s="255">
        <v>0</v>
      </c>
      <c r="AM26" s="235">
        <f t="shared" si="11"/>
        <v>0</v>
      </c>
    </row>
    <row r="27" spans="1:56" x14ac:dyDescent="0.3">
      <c r="A27" s="134" t="s">
        <v>126</v>
      </c>
      <c r="B27" s="8">
        <v>0</v>
      </c>
      <c r="C27" s="5">
        <v>0</v>
      </c>
      <c r="D27" s="5">
        <v>0</v>
      </c>
      <c r="E27" s="223">
        <v>0</v>
      </c>
      <c r="F27" s="229">
        <f t="shared" si="0"/>
        <v>0</v>
      </c>
      <c r="G27" s="13">
        <v>0</v>
      </c>
      <c r="H27" s="255">
        <v>0</v>
      </c>
      <c r="I27" s="235">
        <f t="shared" si="15"/>
        <v>0</v>
      </c>
      <c r="J27" s="13">
        <v>19</v>
      </c>
      <c r="K27" s="559">
        <v>23.74</v>
      </c>
      <c r="L27" s="235">
        <f t="shared" si="16"/>
        <v>451.05999999999995</v>
      </c>
      <c r="M27" s="13">
        <v>10</v>
      </c>
      <c r="N27" s="255">
        <v>23.74</v>
      </c>
      <c r="O27" s="235">
        <f t="shared" si="3"/>
        <v>237.39999999999998</v>
      </c>
      <c r="P27" s="13">
        <v>0</v>
      </c>
      <c r="Q27" s="255">
        <v>0</v>
      </c>
      <c r="R27" s="235">
        <f t="shared" si="4"/>
        <v>0</v>
      </c>
      <c r="S27" s="13">
        <v>0</v>
      </c>
      <c r="T27" s="255">
        <v>0</v>
      </c>
      <c r="U27" s="235">
        <f t="shared" si="5"/>
        <v>0</v>
      </c>
      <c r="V27" s="13">
        <v>0</v>
      </c>
      <c r="W27" s="255">
        <v>0</v>
      </c>
      <c r="X27" s="235">
        <f t="shared" si="6"/>
        <v>0</v>
      </c>
      <c r="Y27" s="13">
        <v>0</v>
      </c>
      <c r="Z27" s="255">
        <v>0</v>
      </c>
      <c r="AA27" s="235">
        <f t="shared" si="7"/>
        <v>0</v>
      </c>
      <c r="AB27" s="13">
        <v>0</v>
      </c>
      <c r="AC27" s="255">
        <v>0</v>
      </c>
      <c r="AD27" s="235">
        <f t="shared" si="8"/>
        <v>0</v>
      </c>
      <c r="AE27" s="13">
        <v>0</v>
      </c>
      <c r="AF27" s="255">
        <v>0</v>
      </c>
      <c r="AG27" s="235">
        <f t="shared" si="9"/>
        <v>0</v>
      </c>
      <c r="AH27" s="13">
        <v>0</v>
      </c>
      <c r="AI27" s="255">
        <v>0</v>
      </c>
      <c r="AJ27" s="235">
        <f t="shared" si="10"/>
        <v>0</v>
      </c>
      <c r="AK27" s="13">
        <v>0</v>
      </c>
      <c r="AL27" s="255">
        <v>0</v>
      </c>
      <c r="AM27" s="235">
        <f t="shared" si="11"/>
        <v>0</v>
      </c>
    </row>
    <row r="28" spans="1:56" x14ac:dyDescent="0.3">
      <c r="A28" s="134" t="s">
        <v>127</v>
      </c>
      <c r="B28" s="8">
        <v>0</v>
      </c>
      <c r="C28" s="5">
        <v>0</v>
      </c>
      <c r="D28" s="5">
        <v>0</v>
      </c>
      <c r="E28" s="223">
        <v>0</v>
      </c>
      <c r="F28" s="229">
        <f t="shared" si="0"/>
        <v>0</v>
      </c>
      <c r="G28" s="13">
        <v>0</v>
      </c>
      <c r="H28" s="255">
        <v>0</v>
      </c>
      <c r="I28" s="235">
        <f t="shared" si="15"/>
        <v>0</v>
      </c>
      <c r="J28" s="13">
        <v>25</v>
      </c>
      <c r="K28" s="559">
        <v>353.11</v>
      </c>
      <c r="L28" s="235">
        <f t="shared" si="16"/>
        <v>8827.75</v>
      </c>
      <c r="M28" s="13">
        <v>12</v>
      </c>
      <c r="N28" s="255">
        <v>353.11</v>
      </c>
      <c r="O28" s="235">
        <f t="shared" si="3"/>
        <v>4237.32</v>
      </c>
      <c r="P28" s="13">
        <v>0</v>
      </c>
      <c r="Q28" s="255">
        <v>0</v>
      </c>
      <c r="R28" s="235">
        <f t="shared" si="4"/>
        <v>0</v>
      </c>
      <c r="S28" s="13">
        <v>0</v>
      </c>
      <c r="T28" s="255">
        <v>0</v>
      </c>
      <c r="U28" s="235">
        <f t="shared" si="5"/>
        <v>0</v>
      </c>
      <c r="V28" s="13">
        <v>0</v>
      </c>
      <c r="W28" s="255">
        <v>0</v>
      </c>
      <c r="X28" s="235">
        <f t="shared" si="6"/>
        <v>0</v>
      </c>
      <c r="Y28" s="13">
        <v>0</v>
      </c>
      <c r="Z28" s="255">
        <v>0</v>
      </c>
      <c r="AA28" s="235">
        <f t="shared" si="7"/>
        <v>0</v>
      </c>
      <c r="AB28" s="13">
        <v>0</v>
      </c>
      <c r="AC28" s="255">
        <v>0</v>
      </c>
      <c r="AD28" s="235">
        <f t="shared" si="8"/>
        <v>0</v>
      </c>
      <c r="AE28" s="13">
        <v>0</v>
      </c>
      <c r="AF28" s="255">
        <v>0</v>
      </c>
      <c r="AG28" s="235">
        <f t="shared" si="9"/>
        <v>0</v>
      </c>
      <c r="AH28" s="13">
        <v>0</v>
      </c>
      <c r="AI28" s="255">
        <v>0</v>
      </c>
      <c r="AJ28" s="235">
        <f t="shared" si="10"/>
        <v>0</v>
      </c>
      <c r="AK28" s="13">
        <v>0</v>
      </c>
      <c r="AL28" s="255">
        <v>0</v>
      </c>
      <c r="AM28" s="235">
        <f t="shared" si="11"/>
        <v>0</v>
      </c>
    </row>
    <row r="29" spans="1:56" s="180" customFormat="1" ht="17.399999999999999" x14ac:dyDescent="0.45">
      <c r="A29" s="168"/>
      <c r="B29" s="8"/>
      <c r="C29" s="5"/>
      <c r="D29" s="5"/>
      <c r="E29" s="179" t="s">
        <v>8</v>
      </c>
      <c r="F29" s="261">
        <f>SUM(F24:F28)</f>
        <v>0</v>
      </c>
      <c r="G29" s="12"/>
      <c r="H29" s="181" t="s">
        <v>8</v>
      </c>
      <c r="I29" s="238">
        <f>SUM(I24:I28)</f>
        <v>0</v>
      </c>
      <c r="J29" s="12"/>
      <c r="K29" s="181" t="s">
        <v>8</v>
      </c>
      <c r="L29" s="238">
        <f>SUM(L24:L28)</f>
        <v>22284.89</v>
      </c>
      <c r="M29" s="12"/>
      <c r="N29" s="181" t="s">
        <v>8</v>
      </c>
      <c r="O29" s="238">
        <f>SUM(O24:O28)</f>
        <v>14009.999999999998</v>
      </c>
      <c r="P29" s="12"/>
      <c r="Q29" s="181" t="s">
        <v>8</v>
      </c>
      <c r="R29" s="238">
        <f>SUM(R24:R28)</f>
        <v>0</v>
      </c>
      <c r="S29" s="12"/>
      <c r="T29" s="181" t="s">
        <v>8</v>
      </c>
      <c r="U29" s="238">
        <f>SUM(U24:U28)</f>
        <v>0</v>
      </c>
      <c r="V29" s="12"/>
      <c r="W29" s="181" t="s">
        <v>8</v>
      </c>
      <c r="X29" s="238">
        <f>SUM(X24:X28)</f>
        <v>0</v>
      </c>
      <c r="Y29" s="12"/>
      <c r="Z29" s="181" t="s">
        <v>8</v>
      </c>
      <c r="AA29" s="238">
        <f>SUM(AA24:AA28)</f>
        <v>0</v>
      </c>
      <c r="AB29" s="12"/>
      <c r="AC29" s="181" t="s">
        <v>8</v>
      </c>
      <c r="AD29" s="238">
        <f>SUM(AD24:AD28)</f>
        <v>0</v>
      </c>
      <c r="AE29" s="12"/>
      <c r="AF29" s="181" t="s">
        <v>8</v>
      </c>
      <c r="AG29" s="238">
        <f>SUM(AG24:AG28)</f>
        <v>0</v>
      </c>
      <c r="AH29" s="12"/>
      <c r="AI29" s="181" t="s">
        <v>8</v>
      </c>
      <c r="AJ29" s="238">
        <f>SUM(AJ24:AJ28)</f>
        <v>0</v>
      </c>
      <c r="AK29" s="12"/>
      <c r="AL29" s="181" t="s">
        <v>8</v>
      </c>
      <c r="AM29" s="238">
        <f>SUM(AM24:AM28)</f>
        <v>0</v>
      </c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</row>
    <row r="30" spans="1:56" x14ac:dyDescent="0.3">
      <c r="A30" s="168" t="s">
        <v>120</v>
      </c>
      <c r="B30" s="8">
        <v>0</v>
      </c>
      <c r="C30" s="5">
        <v>0</v>
      </c>
      <c r="D30" s="5">
        <v>0</v>
      </c>
      <c r="E30" s="223">
        <v>0</v>
      </c>
      <c r="F30" s="229">
        <f t="shared" ref="F30:F34" si="17">E30*D30</f>
        <v>0</v>
      </c>
      <c r="G30" s="13">
        <v>0</v>
      </c>
      <c r="H30" s="255">
        <v>0</v>
      </c>
      <c r="I30" s="235">
        <f>H30*G30</f>
        <v>0</v>
      </c>
      <c r="J30" s="13">
        <v>0</v>
      </c>
      <c r="K30" s="559">
        <v>476.4</v>
      </c>
      <c r="L30" s="235">
        <f>K30*J30</f>
        <v>0</v>
      </c>
      <c r="M30" s="13">
        <v>20</v>
      </c>
      <c r="N30" s="255">
        <v>476.4</v>
      </c>
      <c r="O30" s="235">
        <f t="shared" si="3"/>
        <v>9528</v>
      </c>
      <c r="P30" s="13">
        <v>0</v>
      </c>
      <c r="Q30" s="255">
        <v>0</v>
      </c>
      <c r="R30" s="235">
        <f t="shared" si="4"/>
        <v>0</v>
      </c>
      <c r="S30" s="13">
        <v>0</v>
      </c>
      <c r="T30" s="255">
        <v>0</v>
      </c>
      <c r="U30" s="235">
        <f t="shared" si="5"/>
        <v>0</v>
      </c>
      <c r="V30" s="13">
        <v>0</v>
      </c>
      <c r="W30" s="255">
        <v>0</v>
      </c>
      <c r="X30" s="235">
        <f t="shared" si="6"/>
        <v>0</v>
      </c>
      <c r="Y30" s="13">
        <v>0</v>
      </c>
      <c r="Z30" s="255">
        <v>0</v>
      </c>
      <c r="AA30" s="235">
        <f t="shared" si="7"/>
        <v>0</v>
      </c>
      <c r="AB30" s="13">
        <v>0</v>
      </c>
      <c r="AC30" s="255">
        <v>0</v>
      </c>
      <c r="AD30" s="235">
        <f t="shared" si="8"/>
        <v>0</v>
      </c>
      <c r="AE30" s="13">
        <v>0</v>
      </c>
      <c r="AF30" s="255">
        <v>7</v>
      </c>
      <c r="AG30" s="235">
        <f t="shared" si="9"/>
        <v>0</v>
      </c>
      <c r="AH30" s="13">
        <v>0</v>
      </c>
      <c r="AI30" s="255">
        <v>0</v>
      </c>
      <c r="AJ30" s="235">
        <f t="shared" si="10"/>
        <v>0</v>
      </c>
      <c r="AK30" s="13">
        <v>0</v>
      </c>
      <c r="AL30" s="255">
        <v>0</v>
      </c>
      <c r="AM30" s="235">
        <f t="shared" si="11"/>
        <v>0</v>
      </c>
    </row>
    <row r="31" spans="1:56" x14ac:dyDescent="0.3">
      <c r="A31" s="134" t="s">
        <v>13</v>
      </c>
      <c r="B31" s="8">
        <v>0</v>
      </c>
      <c r="C31" s="5">
        <v>0</v>
      </c>
      <c r="D31" s="5">
        <v>0</v>
      </c>
      <c r="E31" s="223">
        <v>0</v>
      </c>
      <c r="F31" s="229">
        <f t="shared" si="17"/>
        <v>0</v>
      </c>
      <c r="G31" s="13">
        <v>0</v>
      </c>
      <c r="H31" s="255">
        <v>0</v>
      </c>
      <c r="I31" s="235">
        <f t="shared" ref="I31:I34" si="18">H31*G31</f>
        <v>0</v>
      </c>
      <c r="J31" s="13">
        <v>13</v>
      </c>
      <c r="K31" s="559">
        <v>81.16</v>
      </c>
      <c r="L31" s="235">
        <f t="shared" ref="L31:L34" si="19">K31*J31</f>
        <v>1055.08</v>
      </c>
      <c r="M31" s="13">
        <v>9</v>
      </c>
      <c r="N31" s="255">
        <v>81.16</v>
      </c>
      <c r="O31" s="235">
        <f t="shared" si="3"/>
        <v>730.43999999999994</v>
      </c>
      <c r="P31" s="13">
        <v>0</v>
      </c>
      <c r="Q31" s="255">
        <v>0</v>
      </c>
      <c r="R31" s="235">
        <f t="shared" si="4"/>
        <v>0</v>
      </c>
      <c r="S31" s="13">
        <v>0</v>
      </c>
      <c r="T31" s="255">
        <v>0</v>
      </c>
      <c r="U31" s="235">
        <f t="shared" si="5"/>
        <v>0</v>
      </c>
      <c r="V31" s="13">
        <v>0</v>
      </c>
      <c r="W31" s="255">
        <v>0</v>
      </c>
      <c r="X31" s="235">
        <f t="shared" si="6"/>
        <v>0</v>
      </c>
      <c r="Y31" s="13">
        <v>0</v>
      </c>
      <c r="Z31" s="255">
        <v>0</v>
      </c>
      <c r="AA31" s="235">
        <f t="shared" si="7"/>
        <v>0</v>
      </c>
      <c r="AB31" s="13">
        <v>0</v>
      </c>
      <c r="AC31" s="255">
        <v>0</v>
      </c>
      <c r="AD31" s="235">
        <f t="shared" si="8"/>
        <v>0</v>
      </c>
      <c r="AE31" s="13">
        <v>0</v>
      </c>
      <c r="AF31" s="255">
        <v>0</v>
      </c>
      <c r="AG31" s="235">
        <f t="shared" si="9"/>
        <v>0</v>
      </c>
      <c r="AH31" s="13">
        <v>0</v>
      </c>
      <c r="AI31" s="255">
        <v>0</v>
      </c>
      <c r="AJ31" s="235">
        <f t="shared" si="10"/>
        <v>0</v>
      </c>
      <c r="AK31" s="13">
        <v>0</v>
      </c>
      <c r="AL31" s="255">
        <v>0</v>
      </c>
      <c r="AM31" s="235">
        <f t="shared" si="11"/>
        <v>0</v>
      </c>
    </row>
    <row r="32" spans="1:56" x14ac:dyDescent="0.3">
      <c r="A32" s="134" t="s">
        <v>125</v>
      </c>
      <c r="B32" s="8">
        <v>0</v>
      </c>
      <c r="C32" s="5">
        <v>0</v>
      </c>
      <c r="D32" s="5">
        <v>0</v>
      </c>
      <c r="E32" s="223">
        <v>0</v>
      </c>
      <c r="F32" s="229">
        <f t="shared" si="17"/>
        <v>0</v>
      </c>
      <c r="G32" s="13">
        <v>0</v>
      </c>
      <c r="H32" s="255">
        <v>0</v>
      </c>
      <c r="I32" s="235">
        <f t="shared" si="18"/>
        <v>0</v>
      </c>
      <c r="J32" s="13">
        <v>20</v>
      </c>
      <c r="K32" s="559">
        <v>170.17</v>
      </c>
      <c r="L32" s="235">
        <f t="shared" si="19"/>
        <v>3403.3999999999996</v>
      </c>
      <c r="M32" s="13">
        <v>19</v>
      </c>
      <c r="N32" s="255">
        <v>170.17</v>
      </c>
      <c r="O32" s="235">
        <f t="shared" si="3"/>
        <v>3233.2299999999996</v>
      </c>
      <c r="P32" s="13">
        <v>0</v>
      </c>
      <c r="Q32" s="255">
        <v>0</v>
      </c>
      <c r="R32" s="235">
        <f t="shared" si="4"/>
        <v>0</v>
      </c>
      <c r="S32" s="13">
        <v>0</v>
      </c>
      <c r="T32" s="255">
        <v>0</v>
      </c>
      <c r="U32" s="235">
        <f t="shared" si="5"/>
        <v>0</v>
      </c>
      <c r="V32" s="13">
        <v>0</v>
      </c>
      <c r="W32" s="255">
        <v>0</v>
      </c>
      <c r="X32" s="235">
        <f t="shared" si="6"/>
        <v>0</v>
      </c>
      <c r="Y32" s="13">
        <v>0</v>
      </c>
      <c r="Z32" s="255">
        <v>0</v>
      </c>
      <c r="AA32" s="235">
        <f t="shared" si="7"/>
        <v>0</v>
      </c>
      <c r="AB32" s="13">
        <v>0</v>
      </c>
      <c r="AC32" s="255">
        <v>0</v>
      </c>
      <c r="AD32" s="235">
        <f t="shared" si="8"/>
        <v>0</v>
      </c>
      <c r="AE32" s="13">
        <v>0</v>
      </c>
      <c r="AF32" s="255">
        <v>0</v>
      </c>
      <c r="AG32" s="235">
        <f t="shared" si="9"/>
        <v>0</v>
      </c>
      <c r="AH32" s="13">
        <v>0</v>
      </c>
      <c r="AI32" s="255">
        <v>0</v>
      </c>
      <c r="AJ32" s="235">
        <f t="shared" si="10"/>
        <v>0</v>
      </c>
      <c r="AK32" s="13">
        <v>0</v>
      </c>
      <c r="AL32" s="255">
        <v>0</v>
      </c>
      <c r="AM32" s="235">
        <f t="shared" si="11"/>
        <v>0</v>
      </c>
    </row>
    <row r="33" spans="1:56" x14ac:dyDescent="0.3">
      <c r="A33" s="134" t="s">
        <v>126</v>
      </c>
      <c r="B33" s="8">
        <v>0</v>
      </c>
      <c r="C33" s="5">
        <v>0</v>
      </c>
      <c r="D33" s="5">
        <v>0</v>
      </c>
      <c r="E33" s="223">
        <v>0</v>
      </c>
      <c r="F33" s="229">
        <f t="shared" si="17"/>
        <v>0</v>
      </c>
      <c r="G33" s="13">
        <v>0</v>
      </c>
      <c r="H33" s="255">
        <v>0</v>
      </c>
      <c r="I33" s="235">
        <f t="shared" si="18"/>
        <v>0</v>
      </c>
      <c r="J33" s="13">
        <v>19</v>
      </c>
      <c r="K33" s="559">
        <v>23.74</v>
      </c>
      <c r="L33" s="235">
        <f t="shared" si="19"/>
        <v>451.05999999999995</v>
      </c>
      <c r="M33" s="13">
        <v>19</v>
      </c>
      <c r="N33" s="255">
        <v>23.74</v>
      </c>
      <c r="O33" s="235">
        <f t="shared" si="3"/>
        <v>451.05999999999995</v>
      </c>
      <c r="P33" s="13">
        <v>0</v>
      </c>
      <c r="Q33" s="255">
        <v>0</v>
      </c>
      <c r="R33" s="235">
        <f t="shared" si="4"/>
        <v>0</v>
      </c>
      <c r="S33" s="13">
        <v>0</v>
      </c>
      <c r="T33" s="255">
        <v>0</v>
      </c>
      <c r="U33" s="235">
        <f t="shared" si="5"/>
        <v>0</v>
      </c>
      <c r="V33" s="13">
        <v>0</v>
      </c>
      <c r="W33" s="255">
        <v>0</v>
      </c>
      <c r="X33" s="235">
        <f t="shared" si="6"/>
        <v>0</v>
      </c>
      <c r="Y33" s="13">
        <v>0</v>
      </c>
      <c r="Z33" s="255">
        <v>0</v>
      </c>
      <c r="AA33" s="235">
        <f t="shared" si="7"/>
        <v>0</v>
      </c>
      <c r="AB33" s="13">
        <v>0</v>
      </c>
      <c r="AC33" s="255">
        <v>0</v>
      </c>
      <c r="AD33" s="235">
        <f t="shared" si="8"/>
        <v>0</v>
      </c>
      <c r="AE33" s="13">
        <v>0</v>
      </c>
      <c r="AF33" s="255">
        <v>0</v>
      </c>
      <c r="AG33" s="235">
        <f t="shared" si="9"/>
        <v>0</v>
      </c>
      <c r="AH33" s="13">
        <v>0</v>
      </c>
      <c r="AI33" s="255">
        <v>0</v>
      </c>
      <c r="AJ33" s="235">
        <f t="shared" si="10"/>
        <v>0</v>
      </c>
      <c r="AK33" s="13">
        <v>0</v>
      </c>
      <c r="AL33" s="255">
        <v>0</v>
      </c>
      <c r="AM33" s="235">
        <f t="shared" si="11"/>
        <v>0</v>
      </c>
    </row>
    <row r="34" spans="1:56" x14ac:dyDescent="0.3">
      <c r="A34" s="134" t="s">
        <v>127</v>
      </c>
      <c r="B34" s="8">
        <v>0</v>
      </c>
      <c r="C34" s="5">
        <v>0</v>
      </c>
      <c r="D34" s="5">
        <v>0</v>
      </c>
      <c r="E34" s="223">
        <v>0</v>
      </c>
      <c r="F34" s="229">
        <f t="shared" si="17"/>
        <v>0</v>
      </c>
      <c r="G34" s="13">
        <v>0</v>
      </c>
      <c r="H34" s="255">
        <v>0</v>
      </c>
      <c r="I34" s="235">
        <f t="shared" si="18"/>
        <v>0</v>
      </c>
      <c r="J34" s="13">
        <v>25</v>
      </c>
      <c r="K34" s="559">
        <v>353.11</v>
      </c>
      <c r="L34" s="235">
        <f t="shared" si="19"/>
        <v>8827.75</v>
      </c>
      <c r="M34" s="13">
        <v>19</v>
      </c>
      <c r="N34" s="255">
        <v>353.11</v>
      </c>
      <c r="O34" s="235">
        <f t="shared" si="3"/>
        <v>6709.09</v>
      </c>
      <c r="P34" s="13">
        <v>0</v>
      </c>
      <c r="Q34" s="255">
        <v>0</v>
      </c>
      <c r="R34" s="235">
        <f t="shared" si="4"/>
        <v>0</v>
      </c>
      <c r="S34" s="13">
        <v>0</v>
      </c>
      <c r="T34" s="255">
        <v>0</v>
      </c>
      <c r="U34" s="235">
        <f t="shared" si="5"/>
        <v>0</v>
      </c>
      <c r="V34" s="13">
        <v>0</v>
      </c>
      <c r="W34" s="255">
        <v>0</v>
      </c>
      <c r="X34" s="235">
        <f t="shared" si="6"/>
        <v>0</v>
      </c>
      <c r="Y34" s="13">
        <v>0</v>
      </c>
      <c r="Z34" s="255">
        <v>0</v>
      </c>
      <c r="AA34" s="235">
        <f t="shared" si="7"/>
        <v>0</v>
      </c>
      <c r="AB34" s="13">
        <v>0</v>
      </c>
      <c r="AC34" s="255">
        <v>0</v>
      </c>
      <c r="AD34" s="235">
        <f t="shared" si="8"/>
        <v>0</v>
      </c>
      <c r="AE34" s="13">
        <v>0</v>
      </c>
      <c r="AF34" s="255">
        <v>0</v>
      </c>
      <c r="AG34" s="235">
        <f t="shared" si="9"/>
        <v>0</v>
      </c>
      <c r="AH34" s="13">
        <v>0</v>
      </c>
      <c r="AI34" s="255">
        <v>0</v>
      </c>
      <c r="AJ34" s="235">
        <f t="shared" si="10"/>
        <v>0</v>
      </c>
      <c r="AK34" s="13">
        <v>0</v>
      </c>
      <c r="AL34" s="255">
        <v>0</v>
      </c>
      <c r="AM34" s="235">
        <f t="shared" si="11"/>
        <v>0</v>
      </c>
    </row>
    <row r="35" spans="1:56" s="180" customFormat="1" ht="18" customHeight="1" x14ac:dyDescent="0.45">
      <c r="A35" s="168"/>
      <c r="B35" s="8"/>
      <c r="C35" s="5"/>
      <c r="D35" s="5"/>
      <c r="E35" s="179" t="s">
        <v>8</v>
      </c>
      <c r="F35" s="261">
        <f>SUM(F30:F34)</f>
        <v>0</v>
      </c>
      <c r="G35" s="12"/>
      <c r="H35" s="179" t="s">
        <v>8</v>
      </c>
      <c r="I35" s="238">
        <f>SUM(I30:I34)</f>
        <v>0</v>
      </c>
      <c r="J35" s="12"/>
      <c r="K35" s="181" t="s">
        <v>8</v>
      </c>
      <c r="L35" s="238">
        <f>SUM(L30:L34)</f>
        <v>13737.289999999999</v>
      </c>
      <c r="M35" s="12"/>
      <c r="N35" s="181" t="s">
        <v>8</v>
      </c>
      <c r="O35" s="238">
        <f>SUM(O30:O34)</f>
        <v>20651.82</v>
      </c>
      <c r="P35" s="12"/>
      <c r="Q35" s="181" t="s">
        <v>8</v>
      </c>
      <c r="R35" s="238">
        <f>SUM(R30:R34)</f>
        <v>0</v>
      </c>
      <c r="S35" s="12"/>
      <c r="T35" s="181" t="s">
        <v>8</v>
      </c>
      <c r="U35" s="238">
        <f>SUM(U30:U34)</f>
        <v>0</v>
      </c>
      <c r="V35" s="12"/>
      <c r="W35" s="181" t="s">
        <v>8</v>
      </c>
      <c r="X35" s="238">
        <f>SUM(X30:X34)</f>
        <v>0</v>
      </c>
      <c r="Y35" s="12"/>
      <c r="Z35" s="181" t="s">
        <v>8</v>
      </c>
      <c r="AA35" s="238">
        <f>SUM(AA30:AA34)</f>
        <v>0</v>
      </c>
      <c r="AB35" s="12"/>
      <c r="AC35" s="181" t="s">
        <v>8</v>
      </c>
      <c r="AD35" s="238">
        <f>SUM(AD30:AD34)</f>
        <v>0</v>
      </c>
      <c r="AE35" s="12"/>
      <c r="AF35" s="181" t="s">
        <v>8</v>
      </c>
      <c r="AG35" s="238">
        <f>SUM(AG30:AG34)</f>
        <v>0</v>
      </c>
      <c r="AH35" s="12"/>
      <c r="AI35" s="181" t="s">
        <v>8</v>
      </c>
      <c r="AJ35" s="238">
        <f>SUM(AJ30:AJ34)</f>
        <v>0</v>
      </c>
      <c r="AK35" s="12"/>
      <c r="AL35" s="181" t="s">
        <v>8</v>
      </c>
      <c r="AM35" s="238">
        <f>SUM(AM30:AM34)</f>
        <v>0</v>
      </c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</row>
    <row r="36" spans="1:56" x14ac:dyDescent="0.3">
      <c r="A36" s="168" t="s">
        <v>130</v>
      </c>
      <c r="B36" s="8">
        <v>0</v>
      </c>
      <c r="C36" s="5">
        <v>0</v>
      </c>
      <c r="D36" s="5">
        <v>0</v>
      </c>
      <c r="E36" s="223">
        <v>0</v>
      </c>
      <c r="F36" s="229">
        <f t="shared" ref="F36:F40" si="20">E36*D36</f>
        <v>0</v>
      </c>
      <c r="G36" s="13">
        <v>0</v>
      </c>
      <c r="H36" s="255">
        <v>0</v>
      </c>
      <c r="I36" s="235">
        <f>H36*G36</f>
        <v>0</v>
      </c>
      <c r="J36" s="13">
        <v>0</v>
      </c>
      <c r="K36" s="559">
        <v>343.8</v>
      </c>
      <c r="L36" s="235">
        <f>K36*J36</f>
        <v>0</v>
      </c>
      <c r="M36" s="13">
        <v>10</v>
      </c>
      <c r="N36" s="255">
        <v>343.11</v>
      </c>
      <c r="O36" s="235">
        <f t="shared" si="3"/>
        <v>3431.1000000000004</v>
      </c>
      <c r="P36" s="13">
        <v>0</v>
      </c>
      <c r="Q36" s="255">
        <v>0</v>
      </c>
      <c r="R36" s="235">
        <f t="shared" si="4"/>
        <v>0</v>
      </c>
      <c r="S36" s="13">
        <v>0</v>
      </c>
      <c r="T36" s="255">
        <v>0</v>
      </c>
      <c r="U36" s="235">
        <f t="shared" si="5"/>
        <v>0</v>
      </c>
      <c r="V36" s="13">
        <v>0</v>
      </c>
      <c r="W36" s="255">
        <v>0</v>
      </c>
      <c r="X36" s="235">
        <f t="shared" si="6"/>
        <v>0</v>
      </c>
      <c r="Y36" s="13">
        <v>0</v>
      </c>
      <c r="Z36" s="255">
        <v>0</v>
      </c>
      <c r="AA36" s="235">
        <f t="shared" si="7"/>
        <v>0</v>
      </c>
      <c r="AB36" s="13">
        <v>0</v>
      </c>
      <c r="AC36" s="255">
        <v>0</v>
      </c>
      <c r="AD36" s="235">
        <f t="shared" si="8"/>
        <v>0</v>
      </c>
      <c r="AE36" s="13">
        <v>0</v>
      </c>
      <c r="AF36" s="255">
        <v>0</v>
      </c>
      <c r="AG36" s="235">
        <f t="shared" si="9"/>
        <v>0</v>
      </c>
      <c r="AH36" s="13">
        <v>0</v>
      </c>
      <c r="AI36" s="255">
        <v>0</v>
      </c>
      <c r="AJ36" s="235">
        <f t="shared" si="10"/>
        <v>0</v>
      </c>
      <c r="AK36" s="13">
        <v>0</v>
      </c>
      <c r="AL36" s="255">
        <v>0</v>
      </c>
      <c r="AM36" s="235">
        <f t="shared" si="11"/>
        <v>0</v>
      </c>
    </row>
    <row r="37" spans="1:56" x14ac:dyDescent="0.3">
      <c r="A37" s="134" t="s">
        <v>13</v>
      </c>
      <c r="B37" s="8">
        <v>0</v>
      </c>
      <c r="C37" s="5">
        <v>0</v>
      </c>
      <c r="D37" s="5">
        <v>0</v>
      </c>
      <c r="E37" s="223">
        <v>0</v>
      </c>
      <c r="F37" s="229">
        <f t="shared" si="20"/>
        <v>0</v>
      </c>
      <c r="G37" s="13">
        <v>0</v>
      </c>
      <c r="H37" s="255">
        <v>0</v>
      </c>
      <c r="I37" s="235">
        <f t="shared" ref="I37:I40" si="21">H37*G37</f>
        <v>0</v>
      </c>
      <c r="J37" s="13">
        <v>15</v>
      </c>
      <c r="K37" s="559">
        <v>81.16</v>
      </c>
      <c r="L37" s="235">
        <f t="shared" ref="L37:L40" si="22">K37*J37</f>
        <v>1217.3999999999999</v>
      </c>
      <c r="M37" s="13">
        <v>5</v>
      </c>
      <c r="N37" s="255">
        <v>81.16</v>
      </c>
      <c r="O37" s="235">
        <f t="shared" si="3"/>
        <v>405.79999999999995</v>
      </c>
      <c r="P37" s="13">
        <v>0</v>
      </c>
      <c r="Q37" s="255">
        <v>0</v>
      </c>
      <c r="R37" s="235">
        <f t="shared" si="4"/>
        <v>0</v>
      </c>
      <c r="S37" s="13">
        <v>0</v>
      </c>
      <c r="T37" s="255">
        <v>0</v>
      </c>
      <c r="U37" s="235">
        <f t="shared" si="5"/>
        <v>0</v>
      </c>
      <c r="V37" s="13">
        <v>0</v>
      </c>
      <c r="W37" s="255">
        <v>0</v>
      </c>
      <c r="X37" s="235">
        <f t="shared" si="6"/>
        <v>0</v>
      </c>
      <c r="Y37" s="13">
        <v>0</v>
      </c>
      <c r="Z37" s="255">
        <v>0</v>
      </c>
      <c r="AA37" s="235">
        <f t="shared" si="7"/>
        <v>0</v>
      </c>
      <c r="AB37" s="13">
        <v>0</v>
      </c>
      <c r="AC37" s="255">
        <v>0</v>
      </c>
      <c r="AD37" s="235">
        <f t="shared" si="8"/>
        <v>0</v>
      </c>
      <c r="AE37" s="13">
        <v>0</v>
      </c>
      <c r="AF37" s="255">
        <v>0</v>
      </c>
      <c r="AG37" s="235">
        <f t="shared" si="9"/>
        <v>0</v>
      </c>
      <c r="AH37" s="13">
        <v>0</v>
      </c>
      <c r="AI37" s="255">
        <v>0</v>
      </c>
      <c r="AJ37" s="235">
        <f t="shared" si="10"/>
        <v>0</v>
      </c>
      <c r="AK37" s="13">
        <v>0</v>
      </c>
      <c r="AL37" s="255">
        <v>0</v>
      </c>
      <c r="AM37" s="235">
        <f t="shared" si="11"/>
        <v>0</v>
      </c>
    </row>
    <row r="38" spans="1:56" x14ac:dyDescent="0.3">
      <c r="A38" s="134" t="s">
        <v>125</v>
      </c>
      <c r="B38" s="8">
        <v>0</v>
      </c>
      <c r="C38" s="5">
        <v>0</v>
      </c>
      <c r="D38" s="5">
        <v>0</v>
      </c>
      <c r="E38" s="223">
        <v>0</v>
      </c>
      <c r="F38" s="229">
        <f t="shared" si="20"/>
        <v>0</v>
      </c>
      <c r="G38" s="13">
        <v>0</v>
      </c>
      <c r="H38" s="255">
        <v>0</v>
      </c>
      <c r="I38" s="235">
        <f t="shared" si="21"/>
        <v>0</v>
      </c>
      <c r="J38" s="13">
        <v>5</v>
      </c>
      <c r="K38" s="559">
        <v>170.17</v>
      </c>
      <c r="L38" s="235">
        <f t="shared" si="22"/>
        <v>850.84999999999991</v>
      </c>
      <c r="M38" s="13">
        <v>2</v>
      </c>
      <c r="N38" s="255">
        <v>170.17</v>
      </c>
      <c r="O38" s="235">
        <f t="shared" si="3"/>
        <v>340.34</v>
      </c>
      <c r="P38" s="13">
        <v>0</v>
      </c>
      <c r="Q38" s="255">
        <v>0</v>
      </c>
      <c r="R38" s="235">
        <f t="shared" si="4"/>
        <v>0</v>
      </c>
      <c r="S38" s="13">
        <v>0</v>
      </c>
      <c r="T38" s="255">
        <v>0</v>
      </c>
      <c r="U38" s="235">
        <f t="shared" si="5"/>
        <v>0</v>
      </c>
      <c r="V38" s="13">
        <v>0</v>
      </c>
      <c r="W38" s="255">
        <v>0</v>
      </c>
      <c r="X38" s="235">
        <f t="shared" si="6"/>
        <v>0</v>
      </c>
      <c r="Y38" s="13">
        <v>0</v>
      </c>
      <c r="Z38" s="255">
        <v>0</v>
      </c>
      <c r="AA38" s="235">
        <f t="shared" si="7"/>
        <v>0</v>
      </c>
      <c r="AB38" s="13">
        <v>0</v>
      </c>
      <c r="AC38" s="255">
        <v>0</v>
      </c>
      <c r="AD38" s="235">
        <f t="shared" si="8"/>
        <v>0</v>
      </c>
      <c r="AE38" s="13">
        <v>0</v>
      </c>
      <c r="AF38" s="255">
        <v>0</v>
      </c>
      <c r="AG38" s="235">
        <f t="shared" si="9"/>
        <v>0</v>
      </c>
      <c r="AH38" s="13">
        <v>0</v>
      </c>
      <c r="AI38" s="255">
        <v>0</v>
      </c>
      <c r="AJ38" s="235">
        <f t="shared" si="10"/>
        <v>0</v>
      </c>
      <c r="AK38" s="13">
        <v>0</v>
      </c>
      <c r="AL38" s="255">
        <v>0</v>
      </c>
      <c r="AM38" s="235">
        <f t="shared" si="11"/>
        <v>0</v>
      </c>
    </row>
    <row r="39" spans="1:56" x14ac:dyDescent="0.3">
      <c r="A39" s="134"/>
      <c r="B39" s="8">
        <v>0</v>
      </c>
      <c r="C39" s="5">
        <v>0</v>
      </c>
      <c r="D39" s="5">
        <v>0</v>
      </c>
      <c r="E39" s="223">
        <v>0</v>
      </c>
      <c r="F39" s="229">
        <f t="shared" si="20"/>
        <v>0</v>
      </c>
      <c r="G39" s="13">
        <v>0</v>
      </c>
      <c r="H39" s="255">
        <v>0</v>
      </c>
      <c r="I39" s="235">
        <f t="shared" si="21"/>
        <v>0</v>
      </c>
      <c r="J39" s="13">
        <v>0</v>
      </c>
      <c r="K39" s="255">
        <v>0</v>
      </c>
      <c r="L39" s="235">
        <f t="shared" si="22"/>
        <v>0</v>
      </c>
      <c r="M39" s="13">
        <v>0</v>
      </c>
      <c r="N39" s="255">
        <v>0</v>
      </c>
      <c r="O39" s="235">
        <f t="shared" si="3"/>
        <v>0</v>
      </c>
      <c r="P39" s="13">
        <v>0</v>
      </c>
      <c r="Q39" s="255">
        <v>0</v>
      </c>
      <c r="R39" s="235">
        <f t="shared" si="4"/>
        <v>0</v>
      </c>
      <c r="S39" s="13">
        <v>0</v>
      </c>
      <c r="T39" s="255">
        <v>0</v>
      </c>
      <c r="U39" s="235">
        <f t="shared" si="5"/>
        <v>0</v>
      </c>
      <c r="V39" s="13">
        <v>0</v>
      </c>
      <c r="W39" s="255">
        <v>0</v>
      </c>
      <c r="X39" s="235">
        <f t="shared" si="6"/>
        <v>0</v>
      </c>
      <c r="Y39" s="13">
        <v>0</v>
      </c>
      <c r="Z39" s="255">
        <v>0</v>
      </c>
      <c r="AA39" s="235">
        <f t="shared" si="7"/>
        <v>0</v>
      </c>
      <c r="AB39" s="13">
        <v>0</v>
      </c>
      <c r="AC39" s="255">
        <v>0</v>
      </c>
      <c r="AD39" s="235">
        <f t="shared" si="8"/>
        <v>0</v>
      </c>
      <c r="AE39" s="13">
        <v>0</v>
      </c>
      <c r="AF39" s="255">
        <v>0</v>
      </c>
      <c r="AG39" s="235">
        <f t="shared" si="9"/>
        <v>0</v>
      </c>
      <c r="AH39" s="13">
        <v>0</v>
      </c>
      <c r="AI39" s="255">
        <v>0</v>
      </c>
      <c r="AJ39" s="235">
        <f t="shared" si="10"/>
        <v>0</v>
      </c>
      <c r="AK39" s="13">
        <v>0</v>
      </c>
      <c r="AL39" s="255">
        <v>0</v>
      </c>
      <c r="AM39" s="235">
        <f t="shared" si="11"/>
        <v>0</v>
      </c>
    </row>
    <row r="40" spans="1:56" x14ac:dyDescent="0.3">
      <c r="A40" s="134"/>
      <c r="B40" s="8">
        <v>0</v>
      </c>
      <c r="C40" s="5">
        <v>0</v>
      </c>
      <c r="D40" s="5">
        <v>0</v>
      </c>
      <c r="E40" s="223">
        <v>0</v>
      </c>
      <c r="F40" s="229">
        <f t="shared" si="20"/>
        <v>0</v>
      </c>
      <c r="G40" s="13">
        <v>0</v>
      </c>
      <c r="H40" s="273">
        <v>0</v>
      </c>
      <c r="I40" s="235">
        <f t="shared" si="21"/>
        <v>0</v>
      </c>
      <c r="J40" s="13">
        <v>0</v>
      </c>
      <c r="K40" s="255">
        <v>0</v>
      </c>
      <c r="L40" s="235">
        <f t="shared" si="22"/>
        <v>0</v>
      </c>
      <c r="M40" s="13">
        <v>0</v>
      </c>
      <c r="N40" s="255">
        <v>0</v>
      </c>
      <c r="O40" s="235">
        <f t="shared" si="3"/>
        <v>0</v>
      </c>
      <c r="P40" s="13">
        <v>0</v>
      </c>
      <c r="Q40" s="255">
        <v>0</v>
      </c>
      <c r="R40" s="235">
        <f t="shared" si="4"/>
        <v>0</v>
      </c>
      <c r="S40" s="13">
        <v>0</v>
      </c>
      <c r="T40" s="255">
        <v>0</v>
      </c>
      <c r="U40" s="235">
        <f t="shared" si="5"/>
        <v>0</v>
      </c>
      <c r="V40" s="13">
        <v>0</v>
      </c>
      <c r="W40" s="255">
        <v>0</v>
      </c>
      <c r="X40" s="235">
        <f t="shared" si="6"/>
        <v>0</v>
      </c>
      <c r="Y40" s="13">
        <v>0</v>
      </c>
      <c r="Z40" s="255">
        <v>0</v>
      </c>
      <c r="AA40" s="235">
        <f t="shared" si="7"/>
        <v>0</v>
      </c>
      <c r="AB40" s="13">
        <v>0</v>
      </c>
      <c r="AC40" s="255">
        <v>0</v>
      </c>
      <c r="AD40" s="235">
        <f t="shared" si="8"/>
        <v>0</v>
      </c>
      <c r="AE40" s="13">
        <v>0</v>
      </c>
      <c r="AF40" s="255">
        <v>0</v>
      </c>
      <c r="AG40" s="235">
        <f t="shared" si="9"/>
        <v>0</v>
      </c>
      <c r="AH40" s="13">
        <v>0</v>
      </c>
      <c r="AI40" s="255">
        <v>0</v>
      </c>
      <c r="AJ40" s="235">
        <f t="shared" si="10"/>
        <v>0</v>
      </c>
      <c r="AK40" s="13">
        <v>0</v>
      </c>
      <c r="AL40" s="255">
        <v>0</v>
      </c>
      <c r="AM40" s="235">
        <f t="shared" si="11"/>
        <v>0</v>
      </c>
    </row>
    <row r="41" spans="1:56" ht="18" customHeight="1" x14ac:dyDescent="0.45">
      <c r="A41" s="288"/>
      <c r="B41" s="90"/>
      <c r="C41" s="10"/>
      <c r="D41" s="10"/>
      <c r="E41" s="647" t="s">
        <v>8</v>
      </c>
      <c r="F41" s="648">
        <f>SUM(F36:F38)</f>
        <v>0</v>
      </c>
      <c r="G41" s="18"/>
      <c r="H41" s="647" t="s">
        <v>8</v>
      </c>
      <c r="I41" s="649">
        <f>SUM(I36:I38)</f>
        <v>0</v>
      </c>
      <c r="J41" s="18"/>
      <c r="K41" s="650" t="s">
        <v>8</v>
      </c>
      <c r="L41" s="649">
        <f>SUM(L36:L38)</f>
        <v>2068.25</v>
      </c>
      <c r="M41" s="18"/>
      <c r="N41" s="650" t="s">
        <v>8</v>
      </c>
      <c r="O41" s="649">
        <f>SUM(O36:O38)</f>
        <v>4177.2400000000007</v>
      </c>
      <c r="P41" s="18"/>
      <c r="Q41" s="650" t="s">
        <v>8</v>
      </c>
      <c r="R41" s="649">
        <f>SUM(R36:R38)</f>
        <v>0</v>
      </c>
      <c r="S41" s="18"/>
      <c r="T41" s="650" t="s">
        <v>8</v>
      </c>
      <c r="U41" s="649">
        <f>SUM(U36:U38)</f>
        <v>0</v>
      </c>
      <c r="V41" s="18"/>
      <c r="W41" s="650" t="s">
        <v>8</v>
      </c>
      <c r="X41" s="649">
        <f>SUM(X36:X38)</f>
        <v>0</v>
      </c>
      <c r="Y41" s="18"/>
      <c r="Z41" s="650" t="s">
        <v>8</v>
      </c>
      <c r="AA41" s="649">
        <f>SUM(AA36:AA38)</f>
        <v>0</v>
      </c>
      <c r="AB41" s="18"/>
      <c r="AC41" s="650" t="s">
        <v>8</v>
      </c>
      <c r="AD41" s="649">
        <f>SUM(AD36:AD38)</f>
        <v>0</v>
      </c>
      <c r="AE41" s="18"/>
      <c r="AF41" s="650" t="s">
        <v>8</v>
      </c>
      <c r="AG41" s="649">
        <f>SUM(AG36:AG38)</f>
        <v>0</v>
      </c>
      <c r="AH41" s="18"/>
      <c r="AI41" s="650" t="s">
        <v>8</v>
      </c>
      <c r="AJ41" s="649">
        <f>SUM(AJ36:AJ38)</f>
        <v>0</v>
      </c>
      <c r="AK41" s="18"/>
      <c r="AL41" s="650" t="s">
        <v>8</v>
      </c>
      <c r="AM41" s="649">
        <f>SUM(AM36:AM38)</f>
        <v>0</v>
      </c>
    </row>
    <row r="42" spans="1:56" ht="17.399999999999999" x14ac:dyDescent="0.45">
      <c r="A42" s="12"/>
      <c r="B42" s="12"/>
      <c r="C42" s="12"/>
      <c r="D42" s="12"/>
      <c r="E42" s="651" t="s">
        <v>31</v>
      </c>
      <c r="F42" s="652">
        <f>SUM(F11+F17+F23+F29+F35+F41)</f>
        <v>0</v>
      </c>
      <c r="G42" s="12"/>
      <c r="H42" s="651" t="s">
        <v>31</v>
      </c>
      <c r="I42" s="652">
        <f>SUM(I11+I17+I23+I29+I35+I41)</f>
        <v>0</v>
      </c>
      <c r="J42" s="12"/>
      <c r="K42" s="651" t="s">
        <v>31</v>
      </c>
      <c r="L42" s="652">
        <f>SUM(L11+L17+L23+L29+L35+L41)</f>
        <v>105782.03999999998</v>
      </c>
      <c r="M42" s="12"/>
      <c r="N42" s="651" t="s">
        <v>31</v>
      </c>
      <c r="O42" s="652">
        <f>SUM(O11+O17+O23+O29+O35+O41)</f>
        <v>98775.3</v>
      </c>
      <c r="P42" s="12"/>
      <c r="Q42" s="651" t="s">
        <v>31</v>
      </c>
      <c r="R42" s="652">
        <f>SUM(R11+R17+R23+R29+R35+R41)</f>
        <v>0</v>
      </c>
      <c r="S42" s="12"/>
      <c r="T42" s="651" t="s">
        <v>31</v>
      </c>
      <c r="U42" s="652">
        <f>SUM(U11+U17+U23+U29+U35+U41)</f>
        <v>0</v>
      </c>
      <c r="V42" s="12"/>
      <c r="W42" s="651" t="s">
        <v>31</v>
      </c>
      <c r="X42" s="652">
        <f>SUM(X11+X17+X23+X29+X35+X41)</f>
        <v>0</v>
      </c>
      <c r="Y42" s="12"/>
      <c r="Z42" s="651" t="s">
        <v>31</v>
      </c>
      <c r="AA42" s="652">
        <f>SUM(AA11+AA17+AA23+AA29+AA35+AA41)</f>
        <v>0</v>
      </c>
      <c r="AB42" s="12"/>
      <c r="AC42" s="651" t="s">
        <v>31</v>
      </c>
      <c r="AD42" s="652">
        <f>SUM(AD11+AD17+AD23+AD29+AD35+AD41)</f>
        <v>0</v>
      </c>
      <c r="AE42" s="12"/>
      <c r="AF42" s="651" t="s">
        <v>31</v>
      </c>
      <c r="AG42" s="652">
        <f>SUM(AG11+AG17+AG23+AG29+AG35+AG41)</f>
        <v>0</v>
      </c>
      <c r="AH42" s="12"/>
      <c r="AI42" s="651" t="s">
        <v>31</v>
      </c>
      <c r="AJ42" s="652">
        <f>SUM(AJ11+AJ17+AJ23+AJ29+AJ35+AJ41)</f>
        <v>0</v>
      </c>
      <c r="AK42" s="12"/>
      <c r="AL42" s="651" t="s">
        <v>31</v>
      </c>
      <c r="AM42" s="652">
        <f>SUM(AM11+AM17+AM23+AM29+AM35+AM41)</f>
        <v>0</v>
      </c>
    </row>
  </sheetData>
  <hyperlinks>
    <hyperlink ref="A2" location="Menu!A1" display="Menu" xr:uid="{00000000-0004-0000-1500-000000000000}"/>
  </hyperlinks>
  <pageMargins left="0.511811024" right="0.511811024" top="0.78740157499999996" bottom="0.78740157499999996" header="0.31496062000000002" footer="0.3149606200000000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Plan11"/>
  <dimension ref="A1:AM42"/>
  <sheetViews>
    <sheetView workbookViewId="0">
      <pane xSplit="1" topLeftCell="J1" activePane="topRight" state="frozen"/>
      <selection pane="topRight" activeCell="A2" sqref="A2"/>
    </sheetView>
  </sheetViews>
  <sheetFormatPr defaultColWidth="9.109375" defaultRowHeight="14.4" x14ac:dyDescent="0.3"/>
  <cols>
    <col min="1" max="1" width="27" style="1" bestFit="1" customWidth="1"/>
    <col min="2" max="2" width="18.88671875" style="1" bestFit="1" customWidth="1"/>
    <col min="3" max="3" width="16.6640625" style="1" bestFit="1" customWidth="1"/>
    <col min="4" max="4" width="14.109375" style="1" bestFit="1" customWidth="1"/>
    <col min="5" max="5" width="9.5546875" style="1" bestFit="1" customWidth="1"/>
    <col min="6" max="6" width="12.109375" style="1" bestFit="1" customWidth="1"/>
    <col min="7" max="7" width="14.109375" style="1" bestFit="1" customWidth="1"/>
    <col min="8" max="8" width="9.109375" style="1"/>
    <col min="9" max="9" width="10.88671875" style="1" bestFit="1" customWidth="1"/>
    <col min="10" max="10" width="14.109375" style="1" bestFit="1" customWidth="1"/>
    <col min="11" max="11" width="9.109375" style="1"/>
    <col min="12" max="12" width="12.109375" style="1" bestFit="1" customWidth="1"/>
    <col min="13" max="13" width="14.109375" style="1" bestFit="1" customWidth="1"/>
    <col min="14" max="14" width="9.109375" style="1"/>
    <col min="15" max="15" width="10.88671875" style="1" bestFit="1" customWidth="1"/>
    <col min="16" max="16" width="14.109375" style="1" bestFit="1" customWidth="1"/>
    <col min="17" max="17" width="9.109375" style="1"/>
    <col min="18" max="18" width="10.88671875" style="1" bestFit="1" customWidth="1"/>
    <col min="19" max="19" width="14.109375" style="1" bestFit="1" customWidth="1"/>
    <col min="20" max="20" width="9.109375" style="1"/>
    <col min="21" max="21" width="10.88671875" style="1" bestFit="1" customWidth="1"/>
    <col min="22" max="22" width="14.109375" style="1" bestFit="1" customWidth="1"/>
    <col min="23" max="23" width="9" style="1" bestFit="1" customWidth="1"/>
    <col min="24" max="24" width="10.88671875" style="1" bestFit="1" customWidth="1"/>
    <col min="25" max="25" width="14.109375" style="1" bestFit="1" customWidth="1"/>
    <col min="26" max="26" width="9" style="1" bestFit="1" customWidth="1"/>
    <col min="27" max="27" width="10.88671875" style="1" bestFit="1" customWidth="1"/>
    <col min="28" max="28" width="14.109375" style="1" bestFit="1" customWidth="1"/>
    <col min="29" max="29" width="9.109375" style="1"/>
    <col min="30" max="30" width="10.88671875" style="1" bestFit="1" customWidth="1"/>
    <col min="31" max="31" width="14.109375" style="1" bestFit="1" customWidth="1"/>
    <col min="32" max="32" width="9.109375" style="1"/>
    <col min="33" max="33" width="10.88671875" style="1" bestFit="1" customWidth="1"/>
    <col min="34" max="34" width="14.109375" style="1" bestFit="1" customWidth="1"/>
    <col min="35" max="35" width="9.5546875" style="1" bestFit="1" customWidth="1"/>
    <col min="36" max="36" width="10.88671875" style="1" bestFit="1" customWidth="1"/>
    <col min="37" max="37" width="14.109375" style="1" bestFit="1" customWidth="1"/>
    <col min="38" max="38" width="9.5546875" style="1" bestFit="1" customWidth="1"/>
    <col min="39" max="39" width="10.88671875" style="1" bestFit="1" customWidth="1"/>
    <col min="40" max="16384" width="9.109375" style="1"/>
  </cols>
  <sheetData>
    <row r="1" spans="1:39" ht="15" customHeight="1" thickBot="1" x14ac:dyDescent="0.35"/>
    <row r="2" spans="1:39" ht="29.4" thickBot="1" x14ac:dyDescent="0.35">
      <c r="A2" s="262" t="s">
        <v>110</v>
      </c>
    </row>
    <row r="3" spans="1:39" ht="28.8" x14ac:dyDescent="0.3">
      <c r="A3" s="275" t="s">
        <v>15</v>
      </c>
      <c r="B3" s="164"/>
      <c r="C3" s="164"/>
      <c r="D3" s="164"/>
      <c r="E3" s="164"/>
      <c r="F3" s="164"/>
    </row>
    <row r="4" spans="1:39" ht="15" customHeight="1" x14ac:dyDescent="0.3">
      <c r="A4" s="276"/>
      <c r="B4" s="164"/>
      <c r="C4" s="164"/>
      <c r="D4" s="164"/>
      <c r="E4" s="164"/>
      <c r="F4" s="164"/>
    </row>
    <row r="5" spans="1:39" ht="15" customHeight="1" x14ac:dyDescent="0.3">
      <c r="A5" s="7"/>
      <c r="B5" s="7"/>
      <c r="C5" s="7"/>
      <c r="D5" s="4">
        <v>45292</v>
      </c>
      <c r="E5" s="4">
        <v>45292</v>
      </c>
      <c r="F5" s="29">
        <v>45292</v>
      </c>
      <c r="G5" s="11">
        <v>45323</v>
      </c>
      <c r="H5" s="11">
        <v>45323</v>
      </c>
      <c r="I5" s="11">
        <v>45323</v>
      </c>
      <c r="J5" s="11">
        <v>45352</v>
      </c>
      <c r="K5" s="11">
        <v>45352</v>
      </c>
      <c r="L5" s="11">
        <v>45352</v>
      </c>
      <c r="M5" s="11">
        <v>45383</v>
      </c>
      <c r="N5" s="11">
        <v>45383</v>
      </c>
      <c r="O5" s="11">
        <v>45383</v>
      </c>
      <c r="P5" s="11">
        <v>45413</v>
      </c>
      <c r="Q5" s="11">
        <v>45413</v>
      </c>
      <c r="R5" s="11">
        <v>45413</v>
      </c>
      <c r="S5" s="11">
        <v>45444</v>
      </c>
      <c r="T5" s="11">
        <v>45444</v>
      </c>
      <c r="U5" s="11">
        <v>45444</v>
      </c>
      <c r="V5" s="11">
        <v>45474</v>
      </c>
      <c r="W5" s="11">
        <v>45474</v>
      </c>
      <c r="X5" s="11">
        <v>45474</v>
      </c>
      <c r="Y5" s="11">
        <v>45505</v>
      </c>
      <c r="Z5" s="11">
        <v>45505</v>
      </c>
      <c r="AA5" s="11">
        <v>45505</v>
      </c>
      <c r="AB5" s="11">
        <v>45536</v>
      </c>
      <c r="AC5" s="11">
        <v>45536</v>
      </c>
      <c r="AD5" s="11">
        <v>45536</v>
      </c>
      <c r="AE5" s="11">
        <v>45566</v>
      </c>
      <c r="AF5" s="11">
        <v>45566</v>
      </c>
      <c r="AG5" s="11">
        <v>45566</v>
      </c>
      <c r="AH5" s="11">
        <v>45597</v>
      </c>
      <c r="AI5" s="11">
        <v>45597</v>
      </c>
      <c r="AJ5" s="11">
        <v>45597</v>
      </c>
      <c r="AK5" s="11">
        <v>45627</v>
      </c>
      <c r="AL5" s="11">
        <v>45627</v>
      </c>
      <c r="AM5" s="11">
        <v>45627</v>
      </c>
    </row>
    <row r="6" spans="1:39" ht="15" customHeight="1" x14ac:dyDescent="0.3">
      <c r="A6" s="5" t="s">
        <v>1</v>
      </c>
      <c r="B6" s="5" t="s">
        <v>3</v>
      </c>
      <c r="C6" s="5" t="s">
        <v>9</v>
      </c>
      <c r="D6" s="5" t="s">
        <v>5</v>
      </c>
      <c r="E6" s="5" t="s">
        <v>6</v>
      </c>
      <c r="F6" s="23" t="s">
        <v>7</v>
      </c>
      <c r="G6" s="13" t="s">
        <v>5</v>
      </c>
      <c r="H6" s="13" t="s">
        <v>6</v>
      </c>
      <c r="I6" s="26" t="s">
        <v>7</v>
      </c>
      <c r="J6" s="13" t="s">
        <v>5</v>
      </c>
      <c r="K6" s="13" t="s">
        <v>6</v>
      </c>
      <c r="L6" s="26" t="s">
        <v>7</v>
      </c>
      <c r="M6" s="13" t="s">
        <v>5</v>
      </c>
      <c r="N6" s="13" t="s">
        <v>6</v>
      </c>
      <c r="O6" s="26" t="s">
        <v>7</v>
      </c>
      <c r="P6" s="13" t="s">
        <v>5</v>
      </c>
      <c r="Q6" s="13" t="s">
        <v>6</v>
      </c>
      <c r="R6" s="26" t="s">
        <v>7</v>
      </c>
      <c r="S6" s="13" t="s">
        <v>5</v>
      </c>
      <c r="T6" s="13" t="s">
        <v>6</v>
      </c>
      <c r="U6" s="26" t="s">
        <v>7</v>
      </c>
      <c r="V6" s="13" t="s">
        <v>5</v>
      </c>
      <c r="W6" s="13" t="s">
        <v>6</v>
      </c>
      <c r="X6" s="26" t="s">
        <v>7</v>
      </c>
      <c r="Y6" s="13" t="s">
        <v>5</v>
      </c>
      <c r="Z6" s="13" t="s">
        <v>6</v>
      </c>
      <c r="AA6" s="26" t="s">
        <v>7</v>
      </c>
      <c r="AB6" s="13" t="s">
        <v>5</v>
      </c>
      <c r="AC6" s="13" t="s">
        <v>6</v>
      </c>
      <c r="AD6" s="26" t="s">
        <v>7</v>
      </c>
      <c r="AE6" s="13" t="s">
        <v>5</v>
      </c>
      <c r="AF6" s="13" t="s">
        <v>6</v>
      </c>
      <c r="AG6" s="26" t="s">
        <v>7</v>
      </c>
      <c r="AH6" s="13" t="s">
        <v>5</v>
      </c>
      <c r="AI6" s="13" t="s">
        <v>6</v>
      </c>
      <c r="AJ6" s="26" t="s">
        <v>7</v>
      </c>
      <c r="AK6" s="13" t="s">
        <v>5</v>
      </c>
      <c r="AL6" s="13" t="s">
        <v>6</v>
      </c>
      <c r="AM6" s="26" t="s">
        <v>7</v>
      </c>
    </row>
    <row r="7" spans="1:39" x14ac:dyDescent="0.3">
      <c r="A7" s="5" t="s">
        <v>16</v>
      </c>
      <c r="B7" s="8">
        <v>0</v>
      </c>
      <c r="C7" s="5">
        <v>0</v>
      </c>
      <c r="D7" s="9">
        <v>0</v>
      </c>
      <c r="E7" s="223">
        <v>0</v>
      </c>
      <c r="F7" s="229">
        <f>E7*D7</f>
        <v>0</v>
      </c>
      <c r="G7" s="14">
        <v>0</v>
      </c>
      <c r="H7" s="231">
        <v>0</v>
      </c>
      <c r="I7" s="233">
        <f t="shared" ref="I7:I21" si="0">H7*G7</f>
        <v>0</v>
      </c>
      <c r="J7" s="9">
        <v>625</v>
      </c>
      <c r="K7" s="557">
        <v>5.8</v>
      </c>
      <c r="L7" s="233">
        <f t="shared" ref="L7:L21" si="1">K7*J7</f>
        <v>3625</v>
      </c>
      <c r="M7" s="14">
        <v>0</v>
      </c>
      <c r="N7" s="231">
        <v>0</v>
      </c>
      <c r="O7" s="236">
        <f t="shared" ref="O7:O21" si="2">N7*M7</f>
        <v>0</v>
      </c>
      <c r="P7" s="14">
        <v>0</v>
      </c>
      <c r="Q7" s="231">
        <v>0</v>
      </c>
      <c r="R7" s="236">
        <f t="shared" ref="R7:R21" si="3">Q7*P7</f>
        <v>0</v>
      </c>
      <c r="S7" s="14">
        <v>0</v>
      </c>
      <c r="T7" s="231">
        <v>5</v>
      </c>
      <c r="U7" s="236">
        <f t="shared" ref="U7:U21" si="4">T7*S7</f>
        <v>0</v>
      </c>
      <c r="V7" s="14">
        <v>0</v>
      </c>
      <c r="W7" s="231">
        <v>6</v>
      </c>
      <c r="X7" s="236">
        <f t="shared" ref="X7:X21" si="5">W7*V7</f>
        <v>0</v>
      </c>
      <c r="Y7" s="14">
        <v>0</v>
      </c>
      <c r="Z7" s="231">
        <v>7</v>
      </c>
      <c r="AA7" s="236">
        <f t="shared" ref="AA7:AA21" si="6">Z7*Y7</f>
        <v>0</v>
      </c>
      <c r="AB7" s="14">
        <v>0</v>
      </c>
      <c r="AC7" s="231">
        <v>0</v>
      </c>
      <c r="AD7" s="236">
        <f t="shared" ref="AD7:AD21" si="7">AC7*AB7</f>
        <v>0</v>
      </c>
      <c r="AE7" s="14">
        <v>0</v>
      </c>
      <c r="AF7" s="231">
        <v>9</v>
      </c>
      <c r="AG7" s="236">
        <f t="shared" ref="AG7:AG21" si="8">AF7*AE7</f>
        <v>0</v>
      </c>
      <c r="AH7" s="14">
        <v>0</v>
      </c>
      <c r="AI7" s="231">
        <v>0</v>
      </c>
      <c r="AJ7" s="236">
        <f t="shared" ref="AJ7:AJ21" si="9">AI7*AH7</f>
        <v>0</v>
      </c>
      <c r="AK7" s="14">
        <v>0</v>
      </c>
      <c r="AL7" s="231">
        <v>0</v>
      </c>
      <c r="AM7" s="236">
        <f t="shared" ref="AM7:AM21" si="10">AL7*AK7</f>
        <v>0</v>
      </c>
    </row>
    <row r="8" spans="1:39" x14ac:dyDescent="0.3">
      <c r="A8" s="5" t="s">
        <v>17</v>
      </c>
      <c r="B8" s="8">
        <v>0</v>
      </c>
      <c r="C8" s="5">
        <v>0</v>
      </c>
      <c r="D8" s="9">
        <v>0</v>
      </c>
      <c r="E8" s="223">
        <v>0</v>
      </c>
      <c r="F8" s="229">
        <f t="shared" ref="F8:F21" si="11">E8*D8</f>
        <v>0</v>
      </c>
      <c r="G8" s="14">
        <v>0</v>
      </c>
      <c r="H8" s="231">
        <v>0</v>
      </c>
      <c r="I8" s="233">
        <f t="shared" si="0"/>
        <v>0</v>
      </c>
      <c r="J8" s="9">
        <v>2.5</v>
      </c>
      <c r="K8" s="557">
        <v>5.4</v>
      </c>
      <c r="L8" s="233">
        <f t="shared" si="1"/>
        <v>13.5</v>
      </c>
      <c r="M8" s="14">
        <v>0</v>
      </c>
      <c r="N8" s="231">
        <v>0</v>
      </c>
      <c r="O8" s="236">
        <f t="shared" si="2"/>
        <v>0</v>
      </c>
      <c r="P8" s="14">
        <v>0</v>
      </c>
      <c r="Q8" s="231">
        <v>0</v>
      </c>
      <c r="R8" s="236">
        <f t="shared" si="3"/>
        <v>0</v>
      </c>
      <c r="S8" s="14">
        <v>0</v>
      </c>
      <c r="T8" s="231">
        <v>0</v>
      </c>
      <c r="U8" s="236">
        <f t="shared" si="4"/>
        <v>0</v>
      </c>
      <c r="V8" s="14">
        <v>0</v>
      </c>
      <c r="W8" s="231">
        <v>0</v>
      </c>
      <c r="X8" s="236">
        <f t="shared" si="5"/>
        <v>0</v>
      </c>
      <c r="Y8" s="14">
        <v>0</v>
      </c>
      <c r="Z8" s="231">
        <v>0</v>
      </c>
      <c r="AA8" s="236">
        <f t="shared" si="6"/>
        <v>0</v>
      </c>
      <c r="AB8" s="14">
        <v>0</v>
      </c>
      <c r="AC8" s="231">
        <v>0</v>
      </c>
      <c r="AD8" s="236">
        <f t="shared" si="7"/>
        <v>0</v>
      </c>
      <c r="AE8" s="14">
        <v>0</v>
      </c>
      <c r="AF8" s="231">
        <v>0</v>
      </c>
      <c r="AG8" s="236">
        <f t="shared" si="8"/>
        <v>0</v>
      </c>
      <c r="AH8" s="14">
        <v>0</v>
      </c>
      <c r="AI8" s="231">
        <v>0</v>
      </c>
      <c r="AJ8" s="236">
        <f t="shared" si="9"/>
        <v>0</v>
      </c>
      <c r="AK8" s="14">
        <v>0</v>
      </c>
      <c r="AL8" s="231">
        <v>0</v>
      </c>
      <c r="AM8" s="236">
        <f t="shared" si="10"/>
        <v>0</v>
      </c>
    </row>
    <row r="9" spans="1:39" x14ac:dyDescent="0.3">
      <c r="A9" s="22"/>
      <c r="B9" s="8">
        <v>0</v>
      </c>
      <c r="C9" s="5">
        <v>0</v>
      </c>
      <c r="D9" s="9">
        <v>0</v>
      </c>
      <c r="E9" s="223">
        <v>0</v>
      </c>
      <c r="F9" s="229">
        <f t="shared" si="11"/>
        <v>0</v>
      </c>
      <c r="G9" s="14">
        <v>0</v>
      </c>
      <c r="H9" s="231">
        <v>0</v>
      </c>
      <c r="I9" s="233">
        <f t="shared" si="0"/>
        <v>0</v>
      </c>
      <c r="J9" s="14">
        <v>0</v>
      </c>
      <c r="K9" s="231">
        <v>0</v>
      </c>
      <c r="L9" s="233">
        <f t="shared" si="1"/>
        <v>0</v>
      </c>
      <c r="M9" s="14">
        <v>0</v>
      </c>
      <c r="N9" s="231">
        <v>0</v>
      </c>
      <c r="O9" s="236">
        <f t="shared" si="2"/>
        <v>0</v>
      </c>
      <c r="P9" s="14">
        <v>0</v>
      </c>
      <c r="Q9" s="231">
        <v>0</v>
      </c>
      <c r="R9" s="236">
        <f t="shared" si="3"/>
        <v>0</v>
      </c>
      <c r="S9" s="14">
        <v>0</v>
      </c>
      <c r="T9" s="231">
        <v>0</v>
      </c>
      <c r="U9" s="236">
        <f t="shared" si="4"/>
        <v>0</v>
      </c>
      <c r="V9" s="14">
        <v>0</v>
      </c>
      <c r="W9" s="231">
        <v>0</v>
      </c>
      <c r="X9" s="236">
        <f t="shared" si="5"/>
        <v>0</v>
      </c>
      <c r="Y9" s="14">
        <v>0</v>
      </c>
      <c r="Z9" s="231">
        <v>0</v>
      </c>
      <c r="AA9" s="236">
        <f t="shared" si="6"/>
        <v>0</v>
      </c>
      <c r="AB9" s="14">
        <v>0</v>
      </c>
      <c r="AC9" s="231">
        <v>0</v>
      </c>
      <c r="AD9" s="236">
        <f t="shared" si="7"/>
        <v>0</v>
      </c>
      <c r="AE9" s="14">
        <v>0</v>
      </c>
      <c r="AF9" s="231">
        <v>0</v>
      </c>
      <c r="AG9" s="236">
        <f t="shared" si="8"/>
        <v>0</v>
      </c>
      <c r="AH9" s="14">
        <v>0</v>
      </c>
      <c r="AI9" s="231">
        <v>0</v>
      </c>
      <c r="AJ9" s="236">
        <f t="shared" si="9"/>
        <v>0</v>
      </c>
      <c r="AK9" s="14">
        <v>0</v>
      </c>
      <c r="AL9" s="231">
        <v>0</v>
      </c>
      <c r="AM9" s="236">
        <f t="shared" si="10"/>
        <v>0</v>
      </c>
    </row>
    <row r="10" spans="1:39" x14ac:dyDescent="0.3">
      <c r="A10" s="22"/>
      <c r="B10" s="8">
        <v>0</v>
      </c>
      <c r="C10" s="5">
        <v>0</v>
      </c>
      <c r="D10" s="9">
        <v>0</v>
      </c>
      <c r="E10" s="223">
        <v>0</v>
      </c>
      <c r="F10" s="229">
        <f t="shared" si="11"/>
        <v>0</v>
      </c>
      <c r="G10" s="14">
        <v>0</v>
      </c>
      <c r="H10" s="231">
        <v>0</v>
      </c>
      <c r="I10" s="233">
        <f t="shared" si="0"/>
        <v>0</v>
      </c>
      <c r="J10" s="14">
        <v>0</v>
      </c>
      <c r="K10" s="231">
        <v>0</v>
      </c>
      <c r="L10" s="233">
        <f t="shared" si="1"/>
        <v>0</v>
      </c>
      <c r="M10" s="14">
        <v>0</v>
      </c>
      <c r="N10" s="231">
        <v>0</v>
      </c>
      <c r="O10" s="236">
        <f t="shared" si="2"/>
        <v>0</v>
      </c>
      <c r="P10" s="14">
        <v>0</v>
      </c>
      <c r="Q10" s="231">
        <v>0</v>
      </c>
      <c r="R10" s="236">
        <f t="shared" si="3"/>
        <v>0</v>
      </c>
      <c r="S10" s="14">
        <v>0</v>
      </c>
      <c r="T10" s="231">
        <v>0</v>
      </c>
      <c r="U10" s="236">
        <f t="shared" si="4"/>
        <v>0</v>
      </c>
      <c r="V10" s="14">
        <v>0</v>
      </c>
      <c r="W10" s="231">
        <v>0</v>
      </c>
      <c r="X10" s="236">
        <f t="shared" si="5"/>
        <v>0</v>
      </c>
      <c r="Y10" s="14">
        <v>0</v>
      </c>
      <c r="Z10" s="231">
        <v>0</v>
      </c>
      <c r="AA10" s="236">
        <f t="shared" si="6"/>
        <v>0</v>
      </c>
      <c r="AB10" s="14">
        <v>0</v>
      </c>
      <c r="AC10" s="231">
        <v>0</v>
      </c>
      <c r="AD10" s="236">
        <f t="shared" si="7"/>
        <v>0</v>
      </c>
      <c r="AE10" s="14">
        <v>0</v>
      </c>
      <c r="AF10" s="231">
        <v>0</v>
      </c>
      <c r="AG10" s="236">
        <f t="shared" si="8"/>
        <v>0</v>
      </c>
      <c r="AH10" s="14">
        <v>0</v>
      </c>
      <c r="AI10" s="231">
        <v>0</v>
      </c>
      <c r="AJ10" s="236">
        <f t="shared" si="9"/>
        <v>0</v>
      </c>
      <c r="AK10" s="14">
        <v>0</v>
      </c>
      <c r="AL10" s="231">
        <v>0</v>
      </c>
      <c r="AM10" s="236">
        <f t="shared" si="10"/>
        <v>0</v>
      </c>
    </row>
    <row r="11" spans="1:39" x14ac:dyDescent="0.3">
      <c r="A11" s="22"/>
      <c r="B11" s="8">
        <v>0</v>
      </c>
      <c r="C11" s="5">
        <v>0</v>
      </c>
      <c r="D11" s="9">
        <v>0</v>
      </c>
      <c r="E11" s="223">
        <v>0</v>
      </c>
      <c r="F11" s="229">
        <f t="shared" si="11"/>
        <v>0</v>
      </c>
      <c r="G11" s="14">
        <v>0</v>
      </c>
      <c r="H11" s="231">
        <v>0</v>
      </c>
      <c r="I11" s="236">
        <f t="shared" si="0"/>
        <v>0</v>
      </c>
      <c r="J11" s="14">
        <v>0</v>
      </c>
      <c r="K11" s="231">
        <v>0</v>
      </c>
      <c r="L11" s="236">
        <f t="shared" si="1"/>
        <v>0</v>
      </c>
      <c r="M11" s="14">
        <v>0</v>
      </c>
      <c r="N11" s="231">
        <v>0</v>
      </c>
      <c r="O11" s="236">
        <f t="shared" si="2"/>
        <v>0</v>
      </c>
      <c r="P11" s="14">
        <v>0</v>
      </c>
      <c r="Q11" s="231">
        <v>0</v>
      </c>
      <c r="R11" s="236">
        <f t="shared" si="3"/>
        <v>0</v>
      </c>
      <c r="S11" s="14">
        <v>0</v>
      </c>
      <c r="T11" s="231">
        <v>0</v>
      </c>
      <c r="U11" s="236">
        <f t="shared" si="4"/>
        <v>0</v>
      </c>
      <c r="V11" s="14">
        <v>0</v>
      </c>
      <c r="W11" s="231">
        <v>0</v>
      </c>
      <c r="X11" s="236">
        <f t="shared" si="5"/>
        <v>0</v>
      </c>
      <c r="Y11" s="14">
        <v>0</v>
      </c>
      <c r="Z11" s="231">
        <v>0</v>
      </c>
      <c r="AA11" s="236">
        <f t="shared" si="6"/>
        <v>0</v>
      </c>
      <c r="AB11" s="14">
        <v>0</v>
      </c>
      <c r="AC11" s="231">
        <v>0</v>
      </c>
      <c r="AD11" s="236">
        <f t="shared" si="7"/>
        <v>0</v>
      </c>
      <c r="AE11" s="14">
        <v>0</v>
      </c>
      <c r="AF11" s="231">
        <v>0</v>
      </c>
      <c r="AG11" s="236">
        <f t="shared" si="8"/>
        <v>0</v>
      </c>
      <c r="AH11" s="14">
        <v>0</v>
      </c>
      <c r="AI11" s="231">
        <v>0</v>
      </c>
      <c r="AJ11" s="236">
        <f t="shared" si="9"/>
        <v>0</v>
      </c>
      <c r="AK11" s="14">
        <v>0</v>
      </c>
      <c r="AL11" s="231">
        <v>0</v>
      </c>
      <c r="AM11" s="236">
        <f t="shared" si="10"/>
        <v>0</v>
      </c>
    </row>
    <row r="12" spans="1:39" x14ac:dyDescent="0.3">
      <c r="A12" s="22"/>
      <c r="B12" s="8">
        <v>0</v>
      </c>
      <c r="C12" s="5">
        <v>0</v>
      </c>
      <c r="D12" s="5">
        <v>0</v>
      </c>
      <c r="E12" s="223">
        <v>0</v>
      </c>
      <c r="F12" s="229">
        <f t="shared" si="11"/>
        <v>0</v>
      </c>
      <c r="G12" s="13">
        <v>0</v>
      </c>
      <c r="H12" s="231">
        <v>0</v>
      </c>
      <c r="I12" s="235">
        <f t="shared" si="0"/>
        <v>0</v>
      </c>
      <c r="J12" s="13">
        <v>0</v>
      </c>
      <c r="K12" s="231">
        <v>0</v>
      </c>
      <c r="L12" s="235">
        <f t="shared" si="1"/>
        <v>0</v>
      </c>
      <c r="M12" s="13">
        <v>0</v>
      </c>
      <c r="N12" s="231">
        <v>0</v>
      </c>
      <c r="O12" s="268">
        <f t="shared" si="2"/>
        <v>0</v>
      </c>
      <c r="P12" s="13">
        <v>0</v>
      </c>
      <c r="Q12" s="231">
        <v>0</v>
      </c>
      <c r="R12" s="268">
        <f t="shared" si="3"/>
        <v>0</v>
      </c>
      <c r="S12" s="13">
        <v>0</v>
      </c>
      <c r="T12" s="231">
        <v>0</v>
      </c>
      <c r="U12" s="268">
        <f t="shared" si="4"/>
        <v>0</v>
      </c>
      <c r="V12" s="13">
        <v>0</v>
      </c>
      <c r="W12" s="231">
        <v>0</v>
      </c>
      <c r="X12" s="268">
        <f t="shared" si="5"/>
        <v>0</v>
      </c>
      <c r="Y12" s="13">
        <v>0</v>
      </c>
      <c r="Z12" s="231">
        <v>0</v>
      </c>
      <c r="AA12" s="268">
        <f t="shared" si="6"/>
        <v>0</v>
      </c>
      <c r="AB12" s="13">
        <v>0</v>
      </c>
      <c r="AC12" s="231">
        <v>0</v>
      </c>
      <c r="AD12" s="268">
        <f t="shared" si="7"/>
        <v>0</v>
      </c>
      <c r="AE12" s="13">
        <v>0</v>
      </c>
      <c r="AF12" s="231">
        <v>0</v>
      </c>
      <c r="AG12" s="268">
        <f t="shared" si="8"/>
        <v>0</v>
      </c>
      <c r="AH12" s="13">
        <v>0</v>
      </c>
      <c r="AI12" s="231">
        <v>0</v>
      </c>
      <c r="AJ12" s="268">
        <f t="shared" si="9"/>
        <v>0</v>
      </c>
      <c r="AK12" s="13">
        <v>0</v>
      </c>
      <c r="AL12" s="231">
        <v>0</v>
      </c>
      <c r="AM12" s="268">
        <f t="shared" si="10"/>
        <v>0</v>
      </c>
    </row>
    <row r="13" spans="1:39" x14ac:dyDescent="0.3">
      <c r="A13" s="22"/>
      <c r="B13" s="8">
        <v>0</v>
      </c>
      <c r="C13" s="5">
        <v>0</v>
      </c>
      <c r="D13" s="5">
        <v>0</v>
      </c>
      <c r="E13" s="223">
        <v>0</v>
      </c>
      <c r="F13" s="229">
        <f t="shared" si="11"/>
        <v>0</v>
      </c>
      <c r="G13" s="13">
        <v>0</v>
      </c>
      <c r="H13" s="231">
        <v>0</v>
      </c>
      <c r="I13" s="235">
        <f t="shared" si="0"/>
        <v>0</v>
      </c>
      <c r="J13" s="13">
        <v>0</v>
      </c>
      <c r="K13" s="231">
        <v>0</v>
      </c>
      <c r="L13" s="235">
        <f t="shared" si="1"/>
        <v>0</v>
      </c>
      <c r="M13" s="13">
        <v>0</v>
      </c>
      <c r="N13" s="231">
        <v>0</v>
      </c>
      <c r="O13" s="268">
        <f t="shared" si="2"/>
        <v>0</v>
      </c>
      <c r="P13" s="13">
        <v>0</v>
      </c>
      <c r="Q13" s="231">
        <v>0</v>
      </c>
      <c r="R13" s="268">
        <f t="shared" si="3"/>
        <v>0</v>
      </c>
      <c r="S13" s="13">
        <v>0</v>
      </c>
      <c r="T13" s="231">
        <v>0</v>
      </c>
      <c r="U13" s="268">
        <f t="shared" si="4"/>
        <v>0</v>
      </c>
      <c r="V13" s="13">
        <v>0</v>
      </c>
      <c r="W13" s="231">
        <v>0</v>
      </c>
      <c r="X13" s="268">
        <f t="shared" si="5"/>
        <v>0</v>
      </c>
      <c r="Y13" s="13">
        <v>0</v>
      </c>
      <c r="Z13" s="231">
        <v>0</v>
      </c>
      <c r="AA13" s="268">
        <f t="shared" si="6"/>
        <v>0</v>
      </c>
      <c r="AB13" s="13">
        <v>0</v>
      </c>
      <c r="AC13" s="231">
        <v>0</v>
      </c>
      <c r="AD13" s="268">
        <f t="shared" si="7"/>
        <v>0</v>
      </c>
      <c r="AE13" s="13">
        <v>0</v>
      </c>
      <c r="AF13" s="231">
        <v>0</v>
      </c>
      <c r="AG13" s="268">
        <f t="shared" si="8"/>
        <v>0</v>
      </c>
      <c r="AH13" s="13">
        <v>0</v>
      </c>
      <c r="AI13" s="231">
        <v>0</v>
      </c>
      <c r="AJ13" s="268">
        <f t="shared" si="9"/>
        <v>0</v>
      </c>
      <c r="AK13" s="13">
        <v>0</v>
      </c>
      <c r="AL13" s="231">
        <v>0</v>
      </c>
      <c r="AM13" s="268">
        <f t="shared" si="10"/>
        <v>0</v>
      </c>
    </row>
    <row r="14" spans="1:39" x14ac:dyDescent="0.3">
      <c r="A14" s="22"/>
      <c r="B14" s="8">
        <v>0</v>
      </c>
      <c r="C14" s="5">
        <v>0</v>
      </c>
      <c r="D14" s="5">
        <v>0</v>
      </c>
      <c r="E14" s="223">
        <v>0</v>
      </c>
      <c r="F14" s="229">
        <f t="shared" si="11"/>
        <v>0</v>
      </c>
      <c r="G14" s="13">
        <v>0</v>
      </c>
      <c r="H14" s="231">
        <v>0</v>
      </c>
      <c r="I14" s="235">
        <f t="shared" si="0"/>
        <v>0</v>
      </c>
      <c r="J14" s="13">
        <v>0</v>
      </c>
      <c r="K14" s="231">
        <v>0</v>
      </c>
      <c r="L14" s="235">
        <f t="shared" si="1"/>
        <v>0</v>
      </c>
      <c r="M14" s="13">
        <v>0</v>
      </c>
      <c r="N14" s="231">
        <v>0</v>
      </c>
      <c r="O14" s="268">
        <f t="shared" si="2"/>
        <v>0</v>
      </c>
      <c r="P14" s="13">
        <v>0</v>
      </c>
      <c r="Q14" s="231">
        <v>0</v>
      </c>
      <c r="R14" s="268">
        <f t="shared" si="3"/>
        <v>0</v>
      </c>
      <c r="S14" s="13">
        <v>0</v>
      </c>
      <c r="T14" s="231">
        <v>0</v>
      </c>
      <c r="U14" s="268">
        <f t="shared" si="4"/>
        <v>0</v>
      </c>
      <c r="V14" s="13">
        <v>0</v>
      </c>
      <c r="W14" s="231">
        <v>0</v>
      </c>
      <c r="X14" s="268">
        <f t="shared" si="5"/>
        <v>0</v>
      </c>
      <c r="Y14" s="13">
        <v>0</v>
      </c>
      <c r="Z14" s="231">
        <v>0</v>
      </c>
      <c r="AA14" s="268">
        <f t="shared" si="6"/>
        <v>0</v>
      </c>
      <c r="AB14" s="13">
        <v>0</v>
      </c>
      <c r="AC14" s="231">
        <v>0</v>
      </c>
      <c r="AD14" s="268">
        <f t="shared" si="7"/>
        <v>0</v>
      </c>
      <c r="AE14" s="13">
        <v>0</v>
      </c>
      <c r="AF14" s="231">
        <v>0</v>
      </c>
      <c r="AG14" s="268">
        <f t="shared" si="8"/>
        <v>0</v>
      </c>
      <c r="AH14" s="13">
        <v>0</v>
      </c>
      <c r="AI14" s="231">
        <v>0</v>
      </c>
      <c r="AJ14" s="268">
        <f t="shared" si="9"/>
        <v>0</v>
      </c>
      <c r="AK14" s="13">
        <v>0</v>
      </c>
      <c r="AL14" s="231">
        <v>0</v>
      </c>
      <c r="AM14" s="268">
        <f t="shared" si="10"/>
        <v>0</v>
      </c>
    </row>
    <row r="15" spans="1:39" x14ac:dyDescent="0.3">
      <c r="A15" s="22"/>
      <c r="B15" s="8">
        <v>0</v>
      </c>
      <c r="C15" s="5">
        <v>0</v>
      </c>
      <c r="D15" s="5">
        <v>0</v>
      </c>
      <c r="E15" s="223">
        <v>0</v>
      </c>
      <c r="F15" s="229">
        <f t="shared" si="11"/>
        <v>0</v>
      </c>
      <c r="G15" s="13">
        <v>0</v>
      </c>
      <c r="H15" s="231">
        <v>0</v>
      </c>
      <c r="I15" s="235">
        <f t="shared" si="0"/>
        <v>0</v>
      </c>
      <c r="J15" s="13">
        <v>0</v>
      </c>
      <c r="K15" s="231">
        <v>0</v>
      </c>
      <c r="L15" s="235">
        <f t="shared" si="1"/>
        <v>0</v>
      </c>
      <c r="M15" s="13">
        <v>0</v>
      </c>
      <c r="N15" s="231">
        <v>0</v>
      </c>
      <c r="O15" s="268">
        <f t="shared" si="2"/>
        <v>0</v>
      </c>
      <c r="P15" s="13">
        <v>0</v>
      </c>
      <c r="Q15" s="231">
        <v>0</v>
      </c>
      <c r="R15" s="268">
        <f t="shared" si="3"/>
        <v>0</v>
      </c>
      <c r="S15" s="13">
        <v>0</v>
      </c>
      <c r="T15" s="231">
        <v>0</v>
      </c>
      <c r="U15" s="268">
        <f t="shared" si="4"/>
        <v>0</v>
      </c>
      <c r="V15" s="13">
        <v>0</v>
      </c>
      <c r="W15" s="231">
        <v>0</v>
      </c>
      <c r="X15" s="268">
        <f t="shared" si="5"/>
        <v>0</v>
      </c>
      <c r="Y15" s="13">
        <v>0</v>
      </c>
      <c r="Z15" s="231">
        <v>0</v>
      </c>
      <c r="AA15" s="268">
        <f t="shared" si="6"/>
        <v>0</v>
      </c>
      <c r="AB15" s="13">
        <v>0</v>
      </c>
      <c r="AC15" s="231">
        <v>0</v>
      </c>
      <c r="AD15" s="268">
        <f t="shared" si="7"/>
        <v>0</v>
      </c>
      <c r="AE15" s="13">
        <v>0</v>
      </c>
      <c r="AF15" s="231">
        <v>0</v>
      </c>
      <c r="AG15" s="268">
        <f t="shared" si="8"/>
        <v>0</v>
      </c>
      <c r="AH15" s="13">
        <v>0</v>
      </c>
      <c r="AI15" s="231">
        <v>0</v>
      </c>
      <c r="AJ15" s="268">
        <f t="shared" si="9"/>
        <v>0</v>
      </c>
      <c r="AK15" s="13">
        <v>0</v>
      </c>
      <c r="AL15" s="231">
        <v>0</v>
      </c>
      <c r="AM15" s="268">
        <f t="shared" si="10"/>
        <v>0</v>
      </c>
    </row>
    <row r="16" spans="1:39" x14ac:dyDescent="0.3">
      <c r="A16" s="22"/>
      <c r="B16" s="8">
        <v>0</v>
      </c>
      <c r="C16" s="5">
        <v>0</v>
      </c>
      <c r="D16" s="5">
        <v>0</v>
      </c>
      <c r="E16" s="223">
        <v>0</v>
      </c>
      <c r="F16" s="229">
        <f t="shared" si="11"/>
        <v>0</v>
      </c>
      <c r="G16" s="13">
        <v>0</v>
      </c>
      <c r="H16" s="231">
        <v>0</v>
      </c>
      <c r="I16" s="235">
        <f t="shared" si="0"/>
        <v>0</v>
      </c>
      <c r="J16" s="13">
        <v>0</v>
      </c>
      <c r="K16" s="231">
        <v>0</v>
      </c>
      <c r="L16" s="235">
        <f t="shared" si="1"/>
        <v>0</v>
      </c>
      <c r="M16" s="13">
        <v>0</v>
      </c>
      <c r="N16" s="231">
        <v>0</v>
      </c>
      <c r="O16" s="268">
        <f t="shared" si="2"/>
        <v>0</v>
      </c>
      <c r="P16" s="13">
        <v>0</v>
      </c>
      <c r="Q16" s="231">
        <v>0</v>
      </c>
      <c r="R16" s="268">
        <f t="shared" si="3"/>
        <v>0</v>
      </c>
      <c r="S16" s="13">
        <v>0</v>
      </c>
      <c r="T16" s="231">
        <v>0</v>
      </c>
      <c r="U16" s="268">
        <f t="shared" si="4"/>
        <v>0</v>
      </c>
      <c r="V16" s="13">
        <v>0</v>
      </c>
      <c r="W16" s="231">
        <v>0</v>
      </c>
      <c r="X16" s="268">
        <f t="shared" si="5"/>
        <v>0</v>
      </c>
      <c r="Y16" s="13">
        <v>0</v>
      </c>
      <c r="Z16" s="231">
        <v>0</v>
      </c>
      <c r="AA16" s="268">
        <f t="shared" si="6"/>
        <v>0</v>
      </c>
      <c r="AB16" s="13">
        <v>0</v>
      </c>
      <c r="AC16" s="231">
        <v>0</v>
      </c>
      <c r="AD16" s="268">
        <f t="shared" si="7"/>
        <v>0</v>
      </c>
      <c r="AE16" s="13">
        <v>0</v>
      </c>
      <c r="AF16" s="231">
        <v>0</v>
      </c>
      <c r="AG16" s="268">
        <f t="shared" si="8"/>
        <v>0</v>
      </c>
      <c r="AH16" s="13">
        <v>0</v>
      </c>
      <c r="AI16" s="231">
        <v>0</v>
      </c>
      <c r="AJ16" s="268">
        <f t="shared" si="9"/>
        <v>0</v>
      </c>
      <c r="AK16" s="13">
        <v>0</v>
      </c>
      <c r="AL16" s="231">
        <v>0</v>
      </c>
      <c r="AM16" s="268">
        <f t="shared" si="10"/>
        <v>0</v>
      </c>
    </row>
    <row r="17" spans="1:39" x14ac:dyDescent="0.3">
      <c r="A17" s="22"/>
      <c r="B17" s="8">
        <v>0</v>
      </c>
      <c r="C17" s="5">
        <v>0</v>
      </c>
      <c r="D17" s="5">
        <v>0</v>
      </c>
      <c r="E17" s="223">
        <v>0</v>
      </c>
      <c r="F17" s="229">
        <f t="shared" si="11"/>
        <v>0</v>
      </c>
      <c r="G17" s="13">
        <v>0</v>
      </c>
      <c r="H17" s="231">
        <v>0</v>
      </c>
      <c r="I17" s="235">
        <f t="shared" si="0"/>
        <v>0</v>
      </c>
      <c r="J17" s="13">
        <v>0</v>
      </c>
      <c r="K17" s="231">
        <v>0</v>
      </c>
      <c r="L17" s="235">
        <f t="shared" si="1"/>
        <v>0</v>
      </c>
      <c r="M17" s="13">
        <v>0</v>
      </c>
      <c r="N17" s="231">
        <v>0</v>
      </c>
      <c r="O17" s="268">
        <f t="shared" si="2"/>
        <v>0</v>
      </c>
      <c r="P17" s="13">
        <v>0</v>
      </c>
      <c r="Q17" s="231">
        <v>0</v>
      </c>
      <c r="R17" s="268">
        <f t="shared" si="3"/>
        <v>0</v>
      </c>
      <c r="S17" s="13">
        <v>0</v>
      </c>
      <c r="T17" s="231">
        <v>0</v>
      </c>
      <c r="U17" s="268">
        <f t="shared" si="4"/>
        <v>0</v>
      </c>
      <c r="V17" s="13">
        <v>0</v>
      </c>
      <c r="W17" s="231">
        <v>0</v>
      </c>
      <c r="X17" s="268">
        <f t="shared" si="5"/>
        <v>0</v>
      </c>
      <c r="Y17" s="13">
        <v>0</v>
      </c>
      <c r="Z17" s="231">
        <v>0</v>
      </c>
      <c r="AA17" s="268">
        <f t="shared" si="6"/>
        <v>0</v>
      </c>
      <c r="AB17" s="13">
        <v>0</v>
      </c>
      <c r="AC17" s="231">
        <v>0</v>
      </c>
      <c r="AD17" s="268">
        <f t="shared" si="7"/>
        <v>0</v>
      </c>
      <c r="AE17" s="13">
        <v>0</v>
      </c>
      <c r="AF17" s="231">
        <v>0</v>
      </c>
      <c r="AG17" s="268">
        <f t="shared" si="8"/>
        <v>0</v>
      </c>
      <c r="AH17" s="13">
        <v>0</v>
      </c>
      <c r="AI17" s="231">
        <v>0</v>
      </c>
      <c r="AJ17" s="268">
        <f t="shared" si="9"/>
        <v>0</v>
      </c>
      <c r="AK17" s="13">
        <v>0</v>
      </c>
      <c r="AL17" s="231">
        <v>0</v>
      </c>
      <c r="AM17" s="268">
        <f t="shared" si="10"/>
        <v>0</v>
      </c>
    </row>
    <row r="18" spans="1:39" x14ac:dyDescent="0.3">
      <c r="A18" s="22"/>
      <c r="B18" s="8">
        <v>0</v>
      </c>
      <c r="C18" s="5">
        <v>0</v>
      </c>
      <c r="D18" s="5">
        <v>0</v>
      </c>
      <c r="E18" s="223">
        <v>0</v>
      </c>
      <c r="F18" s="229">
        <f t="shared" si="11"/>
        <v>0</v>
      </c>
      <c r="G18" s="13">
        <v>0</v>
      </c>
      <c r="H18" s="231">
        <v>0</v>
      </c>
      <c r="I18" s="235">
        <f t="shared" si="0"/>
        <v>0</v>
      </c>
      <c r="J18" s="13">
        <v>0</v>
      </c>
      <c r="K18" s="231">
        <v>0</v>
      </c>
      <c r="L18" s="235">
        <f t="shared" si="1"/>
        <v>0</v>
      </c>
      <c r="M18" s="13">
        <v>0</v>
      </c>
      <c r="N18" s="231">
        <v>0</v>
      </c>
      <c r="O18" s="268">
        <f t="shared" si="2"/>
        <v>0</v>
      </c>
      <c r="P18" s="13">
        <v>0</v>
      </c>
      <c r="Q18" s="231">
        <v>0</v>
      </c>
      <c r="R18" s="268">
        <f t="shared" si="3"/>
        <v>0</v>
      </c>
      <c r="S18" s="13">
        <v>0</v>
      </c>
      <c r="T18" s="231">
        <v>0</v>
      </c>
      <c r="U18" s="268">
        <f t="shared" si="4"/>
        <v>0</v>
      </c>
      <c r="V18" s="13">
        <v>0</v>
      </c>
      <c r="W18" s="231">
        <v>0</v>
      </c>
      <c r="X18" s="268">
        <f t="shared" si="5"/>
        <v>0</v>
      </c>
      <c r="Y18" s="13">
        <v>0</v>
      </c>
      <c r="Z18" s="231">
        <v>0</v>
      </c>
      <c r="AA18" s="268">
        <f t="shared" si="6"/>
        <v>0</v>
      </c>
      <c r="AB18" s="13">
        <v>0</v>
      </c>
      <c r="AC18" s="231">
        <v>0</v>
      </c>
      <c r="AD18" s="268">
        <f t="shared" si="7"/>
        <v>0</v>
      </c>
      <c r="AE18" s="13">
        <v>0</v>
      </c>
      <c r="AF18" s="231">
        <v>0</v>
      </c>
      <c r="AG18" s="268">
        <f t="shared" si="8"/>
        <v>0</v>
      </c>
      <c r="AH18" s="13">
        <v>0</v>
      </c>
      <c r="AI18" s="231">
        <v>0</v>
      </c>
      <c r="AJ18" s="268">
        <f t="shared" si="9"/>
        <v>0</v>
      </c>
      <c r="AK18" s="13">
        <v>0</v>
      </c>
      <c r="AL18" s="231">
        <v>0</v>
      </c>
      <c r="AM18" s="268">
        <f t="shared" si="10"/>
        <v>0</v>
      </c>
    </row>
    <row r="19" spans="1:39" x14ac:dyDescent="0.3">
      <c r="A19" s="22"/>
      <c r="B19" s="8">
        <v>0</v>
      </c>
      <c r="C19" s="5">
        <v>0</v>
      </c>
      <c r="D19" s="5">
        <v>0</v>
      </c>
      <c r="E19" s="223">
        <v>0</v>
      </c>
      <c r="F19" s="229">
        <f t="shared" si="11"/>
        <v>0</v>
      </c>
      <c r="G19" s="13">
        <v>0</v>
      </c>
      <c r="H19" s="231">
        <v>0</v>
      </c>
      <c r="I19" s="235">
        <f t="shared" si="0"/>
        <v>0</v>
      </c>
      <c r="J19" s="13">
        <v>0</v>
      </c>
      <c r="K19" s="231">
        <v>0</v>
      </c>
      <c r="L19" s="235">
        <f t="shared" si="1"/>
        <v>0</v>
      </c>
      <c r="M19" s="13">
        <v>0</v>
      </c>
      <c r="N19" s="231">
        <v>0</v>
      </c>
      <c r="O19" s="268">
        <f t="shared" si="2"/>
        <v>0</v>
      </c>
      <c r="P19" s="13">
        <v>0</v>
      </c>
      <c r="Q19" s="231">
        <v>0</v>
      </c>
      <c r="R19" s="268">
        <f t="shared" si="3"/>
        <v>0</v>
      </c>
      <c r="S19" s="13">
        <v>0</v>
      </c>
      <c r="T19" s="231">
        <v>0</v>
      </c>
      <c r="U19" s="268">
        <f t="shared" si="4"/>
        <v>0</v>
      </c>
      <c r="V19" s="13">
        <v>0</v>
      </c>
      <c r="W19" s="231">
        <v>0</v>
      </c>
      <c r="X19" s="268">
        <f t="shared" si="5"/>
        <v>0</v>
      </c>
      <c r="Y19" s="13">
        <v>0</v>
      </c>
      <c r="Z19" s="231">
        <v>0</v>
      </c>
      <c r="AA19" s="268">
        <f t="shared" si="6"/>
        <v>0</v>
      </c>
      <c r="AB19" s="13">
        <v>0</v>
      </c>
      <c r="AC19" s="231">
        <v>0</v>
      </c>
      <c r="AD19" s="268">
        <f t="shared" si="7"/>
        <v>0</v>
      </c>
      <c r="AE19" s="13">
        <v>0</v>
      </c>
      <c r="AF19" s="231">
        <v>0</v>
      </c>
      <c r="AG19" s="268">
        <f t="shared" si="8"/>
        <v>0</v>
      </c>
      <c r="AH19" s="13">
        <v>0</v>
      </c>
      <c r="AI19" s="231">
        <v>0</v>
      </c>
      <c r="AJ19" s="268">
        <f t="shared" si="9"/>
        <v>0</v>
      </c>
      <c r="AK19" s="13">
        <v>0</v>
      </c>
      <c r="AL19" s="231">
        <v>0</v>
      </c>
      <c r="AM19" s="268">
        <f t="shared" si="10"/>
        <v>0</v>
      </c>
    </row>
    <row r="20" spans="1:39" x14ac:dyDescent="0.3">
      <c r="A20" s="22"/>
      <c r="B20" s="8">
        <v>0</v>
      </c>
      <c r="C20" s="5">
        <v>0</v>
      </c>
      <c r="D20" s="5">
        <v>0</v>
      </c>
      <c r="E20" s="223">
        <v>0</v>
      </c>
      <c r="F20" s="229">
        <f t="shared" si="11"/>
        <v>0</v>
      </c>
      <c r="G20" s="13">
        <v>0</v>
      </c>
      <c r="H20" s="231">
        <v>0</v>
      </c>
      <c r="I20" s="235">
        <f t="shared" si="0"/>
        <v>0</v>
      </c>
      <c r="J20" s="13">
        <v>0</v>
      </c>
      <c r="K20" s="231">
        <v>0</v>
      </c>
      <c r="L20" s="235">
        <f t="shared" si="1"/>
        <v>0</v>
      </c>
      <c r="M20" s="13">
        <v>0</v>
      </c>
      <c r="N20" s="231">
        <v>0</v>
      </c>
      <c r="O20" s="268">
        <f t="shared" si="2"/>
        <v>0</v>
      </c>
      <c r="P20" s="13">
        <v>0</v>
      </c>
      <c r="Q20" s="231">
        <v>0</v>
      </c>
      <c r="R20" s="268">
        <f t="shared" si="3"/>
        <v>0</v>
      </c>
      <c r="S20" s="13">
        <v>0</v>
      </c>
      <c r="T20" s="231">
        <v>0</v>
      </c>
      <c r="U20" s="268">
        <f t="shared" si="4"/>
        <v>0</v>
      </c>
      <c r="V20" s="13">
        <v>0</v>
      </c>
      <c r="W20" s="231">
        <v>0</v>
      </c>
      <c r="X20" s="268">
        <f t="shared" si="5"/>
        <v>0</v>
      </c>
      <c r="Y20" s="13">
        <v>0</v>
      </c>
      <c r="Z20" s="231">
        <v>0</v>
      </c>
      <c r="AA20" s="268">
        <f t="shared" si="6"/>
        <v>0</v>
      </c>
      <c r="AB20" s="13">
        <v>0</v>
      </c>
      <c r="AC20" s="231">
        <v>0</v>
      </c>
      <c r="AD20" s="268">
        <f t="shared" si="7"/>
        <v>0</v>
      </c>
      <c r="AE20" s="13">
        <v>0</v>
      </c>
      <c r="AF20" s="231">
        <v>0</v>
      </c>
      <c r="AG20" s="268">
        <f t="shared" si="8"/>
        <v>0</v>
      </c>
      <c r="AH20" s="13">
        <v>0</v>
      </c>
      <c r="AI20" s="231">
        <v>0</v>
      </c>
      <c r="AJ20" s="268">
        <f t="shared" si="9"/>
        <v>0</v>
      </c>
      <c r="AK20" s="13">
        <v>0</v>
      </c>
      <c r="AL20" s="231">
        <v>0</v>
      </c>
      <c r="AM20" s="268">
        <f t="shared" si="10"/>
        <v>0</v>
      </c>
    </row>
    <row r="21" spans="1:39" x14ac:dyDescent="0.3">
      <c r="A21" s="22"/>
      <c r="B21" s="8">
        <v>0</v>
      </c>
      <c r="C21" s="5">
        <v>0</v>
      </c>
      <c r="D21" s="5">
        <v>0</v>
      </c>
      <c r="E21" s="223">
        <v>0</v>
      </c>
      <c r="F21" s="229">
        <f t="shared" si="11"/>
        <v>0</v>
      </c>
      <c r="G21" s="13">
        <v>0</v>
      </c>
      <c r="H21" s="232">
        <v>0</v>
      </c>
      <c r="I21" s="235">
        <f t="shared" si="0"/>
        <v>0</v>
      </c>
      <c r="J21" s="13">
        <v>0</v>
      </c>
      <c r="K21" s="232">
        <v>0</v>
      </c>
      <c r="L21" s="235">
        <f t="shared" si="1"/>
        <v>0</v>
      </c>
      <c r="M21" s="13">
        <v>0</v>
      </c>
      <c r="N21" s="232">
        <v>0</v>
      </c>
      <c r="O21" s="236">
        <f t="shared" si="2"/>
        <v>0</v>
      </c>
      <c r="P21" s="13">
        <v>0</v>
      </c>
      <c r="Q21" s="232">
        <v>0</v>
      </c>
      <c r="R21" s="236">
        <f t="shared" si="3"/>
        <v>0</v>
      </c>
      <c r="S21" s="13">
        <v>0</v>
      </c>
      <c r="T21" s="232">
        <v>0</v>
      </c>
      <c r="U21" s="236">
        <f t="shared" si="4"/>
        <v>0</v>
      </c>
      <c r="V21" s="13">
        <v>0</v>
      </c>
      <c r="W21" s="232">
        <v>0</v>
      </c>
      <c r="X21" s="236">
        <f t="shared" si="5"/>
        <v>0</v>
      </c>
      <c r="Y21" s="13">
        <v>0</v>
      </c>
      <c r="Z21" s="232">
        <v>0</v>
      </c>
      <c r="AA21" s="236">
        <f t="shared" si="6"/>
        <v>0</v>
      </c>
      <c r="AB21" s="13">
        <v>0</v>
      </c>
      <c r="AC21" s="232">
        <v>0</v>
      </c>
      <c r="AD21" s="236">
        <f t="shared" si="7"/>
        <v>0</v>
      </c>
      <c r="AE21" s="13">
        <v>0</v>
      </c>
      <c r="AF21" s="232">
        <v>0</v>
      </c>
      <c r="AG21" s="236">
        <f t="shared" si="8"/>
        <v>0</v>
      </c>
      <c r="AH21" s="13">
        <v>0</v>
      </c>
      <c r="AI21" s="232">
        <v>0</v>
      </c>
      <c r="AJ21" s="236">
        <f t="shared" si="9"/>
        <v>0</v>
      </c>
      <c r="AK21" s="13">
        <v>0</v>
      </c>
      <c r="AL21" s="232">
        <v>0</v>
      </c>
      <c r="AM21" s="236">
        <f t="shared" si="10"/>
        <v>0</v>
      </c>
    </row>
    <row r="22" spans="1:39" ht="16.2" x14ac:dyDescent="0.45">
      <c r="A22" s="22"/>
      <c r="B22" s="8"/>
      <c r="C22" s="5"/>
      <c r="D22" s="5"/>
      <c r="E22" s="277" t="s">
        <v>8</v>
      </c>
      <c r="F22" s="278">
        <f>SUM(F7:F21)</f>
        <v>0</v>
      </c>
      <c r="G22" s="12"/>
      <c r="H22" s="136" t="s">
        <v>8</v>
      </c>
      <c r="I22" s="279">
        <f>SUM(I7:I21)</f>
        <v>0</v>
      </c>
      <c r="J22" s="12"/>
      <c r="K22" s="136" t="s">
        <v>8</v>
      </c>
      <c r="L22" s="279">
        <f>SUM(L7:L21)</f>
        <v>3638.5</v>
      </c>
      <c r="M22" s="12"/>
      <c r="N22" s="191" t="s">
        <v>8</v>
      </c>
      <c r="O22" s="269">
        <f>SUM(O7:O21)</f>
        <v>0</v>
      </c>
      <c r="P22" s="12"/>
      <c r="Q22" s="191" t="s">
        <v>8</v>
      </c>
      <c r="R22" s="269">
        <f>SUM(R7:R21)</f>
        <v>0</v>
      </c>
      <c r="S22" s="12"/>
      <c r="T22" s="191" t="s">
        <v>8</v>
      </c>
      <c r="U22" s="269">
        <f>SUM(U7:U21)</f>
        <v>0</v>
      </c>
      <c r="V22" s="12"/>
      <c r="W22" s="191" t="s">
        <v>8</v>
      </c>
      <c r="X22" s="269">
        <f>SUM(X7:X21)</f>
        <v>0</v>
      </c>
      <c r="Y22" s="12"/>
      <c r="Z22" s="191" t="s">
        <v>8</v>
      </c>
      <c r="AA22" s="269">
        <f>SUM(AA7:AA21)</f>
        <v>0</v>
      </c>
      <c r="AB22" s="12"/>
      <c r="AC22" s="191" t="s">
        <v>8</v>
      </c>
      <c r="AD22" s="269">
        <f>SUM(AD7:AD21)</f>
        <v>0</v>
      </c>
      <c r="AE22" s="12"/>
      <c r="AF22" s="191" t="s">
        <v>8</v>
      </c>
      <c r="AG22" s="269">
        <f>SUM(AG7:AG21)</f>
        <v>0</v>
      </c>
      <c r="AH22" s="12"/>
      <c r="AI22" s="191" t="s">
        <v>8</v>
      </c>
      <c r="AJ22" s="269">
        <f>SUM(AJ7:AJ21)</f>
        <v>0</v>
      </c>
      <c r="AK22" s="12"/>
      <c r="AL22" s="194" t="s">
        <v>8</v>
      </c>
      <c r="AM22" s="238">
        <f>SUM(AM7:AM21)</f>
        <v>0</v>
      </c>
    </row>
    <row r="26" spans="1:39" x14ac:dyDescent="0.3">
      <c r="A26" s="92"/>
      <c r="B26" s="92"/>
      <c r="C26" s="92"/>
      <c r="D26" s="92"/>
      <c r="E26" s="92"/>
      <c r="F26" s="92"/>
      <c r="G26" s="92"/>
      <c r="H26" s="92"/>
      <c r="I26" s="92"/>
      <c r="J26" s="92"/>
      <c r="K26" s="92"/>
      <c r="L26" s="92"/>
      <c r="M26" s="92"/>
      <c r="N26" s="92"/>
      <c r="O26" s="92"/>
      <c r="P26" s="92"/>
      <c r="Q26" s="92"/>
      <c r="R26" s="92"/>
      <c r="S26" s="92"/>
      <c r="T26" s="92"/>
      <c r="U26" s="92"/>
      <c r="V26" s="92"/>
      <c r="W26" s="92"/>
      <c r="X26" s="92"/>
      <c r="Y26" s="92"/>
      <c r="Z26" s="92"/>
      <c r="AA26" s="92"/>
      <c r="AB26" s="92"/>
      <c r="AC26" s="92"/>
      <c r="AD26" s="92"/>
      <c r="AE26" s="92"/>
      <c r="AF26" s="92"/>
      <c r="AG26" s="92"/>
    </row>
    <row r="27" spans="1:39" x14ac:dyDescent="0.3">
      <c r="A27" s="19"/>
      <c r="B27" s="19"/>
      <c r="C27" s="93"/>
      <c r="D27" s="19"/>
      <c r="E27" s="19"/>
      <c r="F27" s="93"/>
      <c r="G27" s="19"/>
      <c r="H27" s="19"/>
      <c r="I27" s="93"/>
      <c r="J27" s="19"/>
      <c r="K27" s="19"/>
      <c r="L27" s="93"/>
      <c r="M27" s="19"/>
      <c r="N27" s="19"/>
      <c r="O27" s="93"/>
      <c r="P27" s="19"/>
      <c r="Q27" s="19"/>
      <c r="R27" s="93"/>
      <c r="S27" s="19"/>
      <c r="T27" s="19"/>
      <c r="U27" s="93"/>
      <c r="V27" s="19"/>
      <c r="W27" s="19"/>
      <c r="X27" s="93"/>
      <c r="Y27" s="19"/>
      <c r="Z27" s="19"/>
      <c r="AA27" s="93"/>
      <c r="AB27" s="19"/>
      <c r="AC27" s="19"/>
      <c r="AD27" s="93"/>
      <c r="AE27" s="19"/>
      <c r="AF27" s="19"/>
      <c r="AG27" s="93"/>
    </row>
    <row r="28" spans="1:39" x14ac:dyDescent="0.3">
      <c r="A28" s="94"/>
      <c r="B28" s="89"/>
      <c r="C28" s="95"/>
      <c r="D28" s="94"/>
      <c r="E28" s="89"/>
      <c r="F28" s="95"/>
      <c r="G28" s="94"/>
      <c r="H28" s="89"/>
      <c r="I28" s="95"/>
      <c r="J28" s="94"/>
      <c r="K28" s="89"/>
      <c r="L28" s="95"/>
      <c r="M28" s="94"/>
      <c r="N28" s="89"/>
      <c r="O28" s="95"/>
      <c r="P28" s="94"/>
      <c r="Q28" s="89"/>
      <c r="R28" s="95"/>
      <c r="S28" s="94"/>
      <c r="T28" s="89"/>
      <c r="U28" s="95"/>
      <c r="V28" s="94"/>
      <c r="W28" s="89"/>
      <c r="X28" s="95"/>
      <c r="Y28" s="94"/>
      <c r="Z28" s="89"/>
      <c r="AA28" s="95"/>
      <c r="AB28" s="94"/>
      <c r="AC28" s="89"/>
      <c r="AD28" s="95"/>
      <c r="AE28" s="94"/>
      <c r="AF28" s="89"/>
      <c r="AG28" s="95"/>
    </row>
    <row r="29" spans="1:39" x14ac:dyDescent="0.3">
      <c r="A29" s="94"/>
      <c r="B29" s="89"/>
      <c r="C29" s="95"/>
      <c r="D29" s="94"/>
      <c r="E29" s="89"/>
      <c r="F29" s="95"/>
      <c r="G29" s="94"/>
      <c r="H29" s="89"/>
      <c r="I29" s="95"/>
      <c r="J29" s="94"/>
      <c r="K29" s="89"/>
      <c r="L29" s="95"/>
      <c r="M29" s="94"/>
      <c r="N29" s="89"/>
      <c r="O29" s="95"/>
      <c r="P29" s="94"/>
      <c r="Q29" s="89"/>
      <c r="R29" s="95"/>
      <c r="S29" s="94"/>
      <c r="T29" s="89"/>
      <c r="U29" s="95"/>
      <c r="V29" s="94"/>
      <c r="W29" s="89"/>
      <c r="X29" s="95"/>
      <c r="Y29" s="94"/>
      <c r="Z29" s="89"/>
      <c r="AA29" s="95"/>
      <c r="AB29" s="94"/>
      <c r="AC29" s="89"/>
      <c r="AD29" s="95"/>
      <c r="AE29" s="94"/>
      <c r="AF29" s="89"/>
      <c r="AG29" s="95"/>
    </row>
    <row r="30" spans="1:39" x14ac:dyDescent="0.3">
      <c r="A30" s="94"/>
      <c r="B30" s="89"/>
      <c r="C30" s="95"/>
      <c r="D30" s="94"/>
      <c r="E30" s="89"/>
      <c r="F30" s="95"/>
      <c r="G30" s="94"/>
      <c r="H30" s="89"/>
      <c r="I30" s="95"/>
      <c r="J30" s="94"/>
      <c r="K30" s="89"/>
      <c r="L30" s="95"/>
      <c r="M30" s="94"/>
      <c r="N30" s="89"/>
      <c r="O30" s="95"/>
      <c r="P30" s="94"/>
      <c r="Q30" s="89"/>
      <c r="R30" s="95"/>
      <c r="S30" s="94"/>
      <c r="T30" s="89"/>
      <c r="U30" s="95"/>
      <c r="V30" s="94"/>
      <c r="W30" s="89"/>
      <c r="X30" s="95"/>
      <c r="Y30" s="94"/>
      <c r="Z30" s="89"/>
      <c r="AA30" s="95"/>
      <c r="AB30" s="94"/>
      <c r="AC30" s="89"/>
      <c r="AD30" s="95"/>
      <c r="AE30" s="94"/>
      <c r="AF30" s="89"/>
      <c r="AG30" s="95"/>
    </row>
    <row r="31" spans="1:39" x14ac:dyDescent="0.3">
      <c r="A31" s="94"/>
      <c r="B31" s="89"/>
      <c r="C31" s="95"/>
      <c r="D31" s="94"/>
      <c r="E31" s="89"/>
      <c r="F31" s="95"/>
      <c r="G31" s="94"/>
      <c r="H31" s="89"/>
      <c r="I31" s="95"/>
      <c r="J31" s="94"/>
      <c r="K31" s="89"/>
      <c r="L31" s="95"/>
      <c r="M31" s="94"/>
      <c r="N31" s="89"/>
      <c r="O31" s="95"/>
      <c r="P31" s="94"/>
      <c r="Q31" s="89"/>
      <c r="R31" s="95"/>
      <c r="S31" s="94"/>
      <c r="T31" s="89"/>
      <c r="U31" s="95"/>
      <c r="V31" s="94"/>
      <c r="W31" s="89"/>
      <c r="X31" s="95"/>
      <c r="Y31" s="94"/>
      <c r="Z31" s="89"/>
      <c r="AA31" s="95"/>
      <c r="AB31" s="94"/>
      <c r="AC31" s="89"/>
      <c r="AD31" s="95"/>
      <c r="AE31" s="94"/>
      <c r="AF31" s="89"/>
      <c r="AG31" s="95"/>
    </row>
    <row r="32" spans="1:39" x14ac:dyDescent="0.3">
      <c r="A32" s="94"/>
      <c r="B32" s="89"/>
      <c r="C32" s="96"/>
      <c r="D32" s="94"/>
      <c r="E32" s="89"/>
      <c r="F32" s="96"/>
      <c r="G32" s="94"/>
      <c r="H32" s="89"/>
      <c r="I32" s="96"/>
      <c r="J32" s="94"/>
      <c r="K32" s="89"/>
      <c r="L32" s="96"/>
      <c r="M32" s="94"/>
      <c r="N32" s="89"/>
      <c r="O32" s="96"/>
      <c r="P32" s="94"/>
      <c r="Q32" s="89"/>
      <c r="R32" s="96"/>
      <c r="S32" s="94"/>
      <c r="T32" s="89"/>
      <c r="U32" s="96"/>
      <c r="V32" s="94"/>
      <c r="W32" s="89"/>
      <c r="X32" s="96"/>
      <c r="Y32" s="94"/>
      <c r="Z32" s="89"/>
      <c r="AA32" s="96"/>
      <c r="AB32" s="94"/>
      <c r="AC32" s="89"/>
      <c r="AD32" s="96"/>
      <c r="AE32" s="94"/>
      <c r="AF32" s="89"/>
      <c r="AG32" s="96"/>
    </row>
    <row r="33" spans="1:33" x14ac:dyDescent="0.3">
      <c r="A33" s="19"/>
      <c r="B33" s="89"/>
      <c r="C33" s="97"/>
      <c r="D33" s="19"/>
      <c r="E33" s="89"/>
      <c r="F33" s="97"/>
      <c r="G33" s="19"/>
      <c r="H33" s="89"/>
      <c r="I33" s="97"/>
      <c r="J33" s="19"/>
      <c r="K33" s="89"/>
      <c r="L33" s="97"/>
      <c r="M33" s="19"/>
      <c r="N33" s="89"/>
      <c r="O33" s="97"/>
      <c r="P33" s="19"/>
      <c r="Q33" s="89"/>
      <c r="R33" s="97"/>
      <c r="S33" s="19"/>
      <c r="T33" s="89"/>
      <c r="U33" s="97"/>
      <c r="V33" s="19"/>
      <c r="W33" s="89"/>
      <c r="X33" s="97"/>
      <c r="Y33" s="19"/>
      <c r="Z33" s="89"/>
      <c r="AA33" s="97"/>
      <c r="AB33" s="19"/>
      <c r="AC33" s="89"/>
      <c r="AD33" s="97"/>
      <c r="AE33" s="19"/>
      <c r="AF33" s="89"/>
      <c r="AG33" s="97"/>
    </row>
    <row r="34" spans="1:33" x14ac:dyDescent="0.3">
      <c r="A34" s="19"/>
      <c r="B34" s="89"/>
      <c r="C34" s="97"/>
      <c r="D34" s="19"/>
      <c r="E34" s="89"/>
      <c r="F34" s="97"/>
      <c r="G34" s="19"/>
      <c r="H34" s="89"/>
      <c r="I34" s="97"/>
      <c r="J34" s="19"/>
      <c r="K34" s="89"/>
      <c r="L34" s="97"/>
      <c r="M34" s="19"/>
      <c r="N34" s="89"/>
      <c r="O34" s="97"/>
      <c r="P34" s="19"/>
      <c r="Q34" s="89"/>
      <c r="R34" s="97"/>
      <c r="S34" s="19"/>
      <c r="T34" s="89"/>
      <c r="U34" s="97"/>
      <c r="V34" s="19"/>
      <c r="W34" s="89"/>
      <c r="X34" s="97"/>
      <c r="Y34" s="19"/>
      <c r="Z34" s="89"/>
      <c r="AA34" s="97"/>
      <c r="AB34" s="19"/>
      <c r="AC34" s="89"/>
      <c r="AD34" s="97"/>
      <c r="AE34" s="19"/>
      <c r="AF34" s="89"/>
      <c r="AG34" s="97"/>
    </row>
    <row r="35" spans="1:33" x14ac:dyDescent="0.3">
      <c r="A35" s="19"/>
      <c r="B35" s="89"/>
      <c r="C35" s="97"/>
      <c r="D35" s="19"/>
      <c r="E35" s="89"/>
      <c r="F35" s="97"/>
      <c r="G35" s="19"/>
      <c r="H35" s="89"/>
      <c r="I35" s="97"/>
      <c r="J35" s="19"/>
      <c r="K35" s="89"/>
      <c r="L35" s="97"/>
      <c r="M35" s="19"/>
      <c r="N35" s="89"/>
      <c r="O35" s="97"/>
      <c r="P35" s="19"/>
      <c r="Q35" s="89"/>
      <c r="R35" s="97"/>
      <c r="S35" s="19"/>
      <c r="T35" s="89"/>
      <c r="U35" s="97"/>
      <c r="V35" s="19"/>
      <c r="W35" s="89"/>
      <c r="X35" s="97"/>
      <c r="Y35" s="19"/>
      <c r="Z35" s="89"/>
      <c r="AA35" s="97"/>
      <c r="AB35" s="19"/>
      <c r="AC35" s="89"/>
      <c r="AD35" s="97"/>
      <c r="AE35" s="19"/>
      <c r="AF35" s="89"/>
      <c r="AG35" s="97"/>
    </row>
    <row r="36" spans="1:33" x14ac:dyDescent="0.3">
      <c r="A36" s="19"/>
      <c r="B36" s="89"/>
      <c r="C36" s="97"/>
      <c r="D36" s="19"/>
      <c r="E36" s="89"/>
      <c r="F36" s="97"/>
      <c r="G36" s="19"/>
      <c r="H36" s="89"/>
      <c r="I36" s="97"/>
      <c r="J36" s="19"/>
      <c r="K36" s="89"/>
      <c r="L36" s="97"/>
      <c r="M36" s="19"/>
      <c r="N36" s="89"/>
      <c r="O36" s="97"/>
      <c r="P36" s="19"/>
      <c r="Q36" s="89"/>
      <c r="R36" s="97"/>
      <c r="S36" s="19"/>
      <c r="T36" s="89"/>
      <c r="U36" s="97"/>
      <c r="V36" s="19"/>
      <c r="W36" s="89"/>
      <c r="X36" s="97"/>
      <c r="Y36" s="19"/>
      <c r="Z36" s="89"/>
      <c r="AA36" s="97"/>
      <c r="AB36" s="19"/>
      <c r="AC36" s="89"/>
      <c r="AD36" s="97"/>
      <c r="AE36" s="19"/>
      <c r="AF36" s="89"/>
      <c r="AG36" s="97"/>
    </row>
    <row r="37" spans="1:33" x14ac:dyDescent="0.3">
      <c r="A37" s="19"/>
      <c r="B37" s="89"/>
      <c r="C37" s="97"/>
      <c r="D37" s="19"/>
      <c r="E37" s="89"/>
      <c r="F37" s="97"/>
      <c r="G37" s="19"/>
      <c r="H37" s="89"/>
      <c r="I37" s="97"/>
      <c r="J37" s="19"/>
      <c r="K37" s="89"/>
      <c r="L37" s="97"/>
      <c r="M37" s="19"/>
      <c r="N37" s="89"/>
      <c r="O37" s="97"/>
      <c r="P37" s="19"/>
      <c r="Q37" s="89"/>
      <c r="R37" s="97"/>
      <c r="S37" s="19"/>
      <c r="T37" s="89"/>
      <c r="U37" s="97"/>
      <c r="V37" s="19"/>
      <c r="W37" s="89"/>
      <c r="X37" s="97"/>
      <c r="Y37" s="19"/>
      <c r="Z37" s="89"/>
      <c r="AA37" s="97"/>
      <c r="AB37" s="19"/>
      <c r="AC37" s="89"/>
      <c r="AD37" s="97"/>
      <c r="AE37" s="19"/>
      <c r="AF37" s="89"/>
      <c r="AG37" s="97"/>
    </row>
    <row r="38" spans="1:33" x14ac:dyDescent="0.3">
      <c r="A38" s="19"/>
      <c r="B38" s="89"/>
      <c r="C38" s="97"/>
      <c r="D38" s="19"/>
      <c r="E38" s="89"/>
      <c r="F38" s="97"/>
      <c r="G38" s="19"/>
      <c r="H38" s="89"/>
      <c r="I38" s="97"/>
      <c r="J38" s="19"/>
      <c r="K38" s="89"/>
      <c r="L38" s="97"/>
      <c r="M38" s="19"/>
      <c r="N38" s="89"/>
      <c r="O38" s="97"/>
      <c r="P38" s="19"/>
      <c r="Q38" s="89"/>
      <c r="R38" s="97"/>
      <c r="S38" s="19"/>
      <c r="T38" s="89"/>
      <c r="U38" s="97"/>
      <c r="V38" s="19"/>
      <c r="W38" s="89"/>
      <c r="X38" s="97"/>
      <c r="Y38" s="19"/>
      <c r="Z38" s="89"/>
      <c r="AA38" s="97"/>
      <c r="AB38" s="19"/>
      <c r="AC38" s="89"/>
      <c r="AD38" s="97"/>
      <c r="AE38" s="19"/>
      <c r="AF38" s="89"/>
      <c r="AG38" s="97"/>
    </row>
    <row r="39" spans="1:33" x14ac:dyDescent="0.3">
      <c r="A39" s="19"/>
      <c r="B39" s="89"/>
      <c r="C39" s="97"/>
      <c r="D39" s="19"/>
      <c r="E39" s="89"/>
      <c r="F39" s="97"/>
      <c r="G39" s="19"/>
      <c r="H39" s="89"/>
      <c r="I39" s="97"/>
      <c r="J39" s="19"/>
      <c r="K39" s="89"/>
      <c r="L39" s="97"/>
      <c r="M39" s="19"/>
      <c r="N39" s="89"/>
      <c r="O39" s="97"/>
      <c r="P39" s="19"/>
      <c r="Q39" s="89"/>
      <c r="R39" s="97"/>
      <c r="S39" s="19"/>
      <c r="T39" s="89"/>
      <c r="U39" s="97"/>
      <c r="V39" s="19"/>
      <c r="W39" s="89"/>
      <c r="X39" s="97"/>
      <c r="Y39" s="19"/>
      <c r="Z39" s="89"/>
      <c r="AA39" s="97"/>
      <c r="AB39" s="19"/>
      <c r="AC39" s="89"/>
      <c r="AD39" s="97"/>
      <c r="AE39" s="19"/>
      <c r="AF39" s="89"/>
      <c r="AG39" s="97"/>
    </row>
    <row r="40" spans="1:33" x14ac:dyDescent="0.3">
      <c r="A40" s="19"/>
      <c r="B40" s="89"/>
      <c r="C40" s="97"/>
      <c r="D40" s="19"/>
      <c r="E40" s="89"/>
      <c r="F40" s="97"/>
      <c r="G40" s="19"/>
      <c r="H40" s="89"/>
      <c r="I40" s="97"/>
      <c r="J40" s="19"/>
      <c r="K40" s="89"/>
      <c r="L40" s="97"/>
      <c r="M40" s="19"/>
      <c r="N40" s="89"/>
      <c r="O40" s="97"/>
      <c r="P40" s="19"/>
      <c r="Q40" s="89"/>
      <c r="R40" s="97"/>
      <c r="S40" s="19"/>
      <c r="T40" s="89"/>
      <c r="U40" s="97"/>
      <c r="V40" s="19"/>
      <c r="W40" s="89"/>
      <c r="X40" s="97"/>
      <c r="Y40" s="19"/>
      <c r="Z40" s="89"/>
      <c r="AA40" s="97"/>
      <c r="AB40" s="19"/>
      <c r="AC40" s="89"/>
      <c r="AD40" s="97"/>
      <c r="AE40" s="19"/>
      <c r="AF40" s="89"/>
      <c r="AG40" s="97"/>
    </row>
    <row r="41" spans="1:33" x14ac:dyDescent="0.3">
      <c r="B41" s="19"/>
      <c r="C41" s="95"/>
      <c r="E41" s="19"/>
      <c r="F41" s="95"/>
      <c r="H41" s="19"/>
      <c r="I41" s="95"/>
      <c r="K41" s="19"/>
      <c r="L41" s="95"/>
      <c r="N41" s="19"/>
      <c r="O41" s="95"/>
      <c r="Q41" s="19"/>
      <c r="R41" s="95"/>
      <c r="T41" s="19"/>
      <c r="U41" s="95"/>
      <c r="W41" s="19"/>
      <c r="X41" s="95"/>
      <c r="Z41" s="19"/>
      <c r="AA41" s="95"/>
      <c r="AC41" s="19"/>
      <c r="AD41" s="95"/>
      <c r="AF41" s="19"/>
      <c r="AG41" s="95"/>
    </row>
    <row r="42" spans="1:33" x14ac:dyDescent="0.3">
      <c r="B42" s="19"/>
      <c r="C42" s="95"/>
      <c r="E42" s="19"/>
      <c r="F42" s="95"/>
      <c r="H42" s="19"/>
      <c r="I42" s="95"/>
      <c r="K42" s="19"/>
      <c r="L42" s="95"/>
      <c r="N42" s="19"/>
      <c r="O42" s="95"/>
      <c r="Q42" s="19"/>
      <c r="R42" s="95"/>
      <c r="T42" s="19"/>
      <c r="U42" s="95"/>
      <c r="W42" s="19"/>
      <c r="X42" s="95"/>
      <c r="Z42" s="19"/>
      <c r="AA42" s="95"/>
      <c r="AC42" s="19"/>
      <c r="AD42" s="95"/>
      <c r="AF42" s="19"/>
      <c r="AG42" s="95"/>
    </row>
  </sheetData>
  <hyperlinks>
    <hyperlink ref="A2" location="Menu!A1" display="Menu" xr:uid="{00000000-0004-0000-1600-000000000000}"/>
  </hyperlinks>
  <pageMargins left="0.511811024" right="0.511811024" top="0.78740157499999996" bottom="0.78740157499999996" header="0.31496062000000002" footer="0.3149606200000000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AN14"/>
  <sheetViews>
    <sheetView workbookViewId="0">
      <pane xSplit="1" topLeftCell="K1" activePane="topRight" state="frozen"/>
      <selection pane="topRight" activeCell="A2" sqref="A2"/>
    </sheetView>
  </sheetViews>
  <sheetFormatPr defaultColWidth="9.109375" defaultRowHeight="14.4" x14ac:dyDescent="0.3"/>
  <cols>
    <col min="1" max="1" width="48" style="1" bestFit="1" customWidth="1"/>
    <col min="2" max="2" width="9.109375" style="1"/>
    <col min="3" max="3" width="18.88671875" style="1" bestFit="1" customWidth="1"/>
    <col min="4" max="4" width="16.6640625" style="1" bestFit="1" customWidth="1"/>
    <col min="5" max="5" width="14.109375" style="1" bestFit="1" customWidth="1"/>
    <col min="6" max="6" width="9.109375" style="1"/>
    <col min="7" max="7" width="12.109375" style="1" bestFit="1" customWidth="1"/>
    <col min="8" max="8" width="14.109375" style="1" bestFit="1" customWidth="1"/>
    <col min="9" max="9" width="9.109375" style="1"/>
    <col min="10" max="10" width="10.88671875" style="1" bestFit="1" customWidth="1"/>
    <col min="11" max="11" width="14.109375" style="1" bestFit="1" customWidth="1"/>
    <col min="12" max="12" width="10.6640625" style="1" bestFit="1" customWidth="1"/>
    <col min="13" max="13" width="10.88671875" style="1" bestFit="1" customWidth="1"/>
    <col min="14" max="14" width="14.109375" style="1" bestFit="1" customWidth="1"/>
    <col min="15" max="15" width="9.109375" style="1"/>
    <col min="16" max="16" width="10.88671875" style="1" bestFit="1" customWidth="1"/>
    <col min="17" max="17" width="14.109375" style="1" bestFit="1" customWidth="1"/>
    <col min="18" max="18" width="9" style="1" bestFit="1" customWidth="1"/>
    <col min="19" max="19" width="10.88671875" style="1" bestFit="1" customWidth="1"/>
    <col min="20" max="20" width="14.109375" style="1" bestFit="1" customWidth="1"/>
    <col min="21" max="21" width="9.109375" style="1"/>
    <col min="22" max="22" width="10.88671875" style="1" bestFit="1" customWidth="1"/>
    <col min="23" max="23" width="14.109375" style="1" bestFit="1" customWidth="1"/>
    <col min="24" max="24" width="9.109375" style="1"/>
    <col min="25" max="25" width="10.88671875" style="1" bestFit="1" customWidth="1"/>
    <col min="26" max="26" width="14.109375" style="1" bestFit="1" customWidth="1"/>
    <col min="27" max="27" width="9.109375" style="1"/>
    <col min="28" max="28" width="10.88671875" style="1" bestFit="1" customWidth="1"/>
    <col min="29" max="29" width="14.109375" style="1" bestFit="1" customWidth="1"/>
    <col min="30" max="30" width="9.109375" style="1"/>
    <col min="31" max="31" width="10.88671875" style="1" bestFit="1" customWidth="1"/>
    <col min="32" max="32" width="14.109375" style="1" bestFit="1" customWidth="1"/>
    <col min="33" max="33" width="9.5546875" style="1" bestFit="1" customWidth="1"/>
    <col min="34" max="34" width="10.88671875" style="1" bestFit="1" customWidth="1"/>
    <col min="35" max="35" width="14.109375" style="1" bestFit="1" customWidth="1"/>
    <col min="36" max="36" width="9.5546875" style="1" bestFit="1" customWidth="1"/>
    <col min="37" max="37" width="10.88671875" style="1" bestFit="1" customWidth="1"/>
    <col min="38" max="38" width="14.109375" style="1" bestFit="1" customWidth="1"/>
    <col min="39" max="39" width="9.5546875" style="1" bestFit="1" customWidth="1"/>
    <col min="40" max="40" width="10.88671875" style="1" bestFit="1" customWidth="1"/>
    <col min="41" max="16384" width="9.109375" style="1"/>
  </cols>
  <sheetData>
    <row r="1" spans="1:40" ht="15" thickBot="1" x14ac:dyDescent="0.35"/>
    <row r="2" spans="1:40" ht="28.5" customHeight="1" thickBot="1" x14ac:dyDescent="0.6">
      <c r="A2" s="262" t="s">
        <v>110</v>
      </c>
      <c r="B2" s="164"/>
      <c r="C2" s="164"/>
      <c r="D2" s="736"/>
      <c r="E2" s="6"/>
      <c r="F2" s="6"/>
      <c r="G2" s="6"/>
    </row>
    <row r="3" spans="1:40" ht="28.8" x14ac:dyDescent="0.55000000000000004">
      <c r="A3" s="265" t="s">
        <v>161</v>
      </c>
      <c r="B3" s="165"/>
      <c r="C3" s="165"/>
      <c r="D3" s="736"/>
      <c r="E3" s="6"/>
      <c r="F3" s="6"/>
      <c r="G3" s="6"/>
    </row>
    <row r="4" spans="1:40" x14ac:dyDescent="0.3">
      <c r="A4" s="7"/>
      <c r="B4" s="7"/>
      <c r="C4" s="7"/>
      <c r="D4" s="7"/>
      <c r="E4" s="4">
        <v>44562</v>
      </c>
      <c r="F4" s="4">
        <v>44562</v>
      </c>
      <c r="G4" s="29">
        <v>44562</v>
      </c>
      <c r="H4" s="11">
        <v>45323</v>
      </c>
      <c r="I4" s="11">
        <v>45323</v>
      </c>
      <c r="J4" s="11">
        <v>45323</v>
      </c>
      <c r="K4" s="11">
        <v>45352</v>
      </c>
      <c r="L4" s="11">
        <v>45352</v>
      </c>
      <c r="M4" s="11">
        <v>45352</v>
      </c>
      <c r="N4" s="11">
        <v>45383</v>
      </c>
      <c r="O4" s="11">
        <v>45383</v>
      </c>
      <c r="P4" s="11">
        <v>45383</v>
      </c>
      <c r="Q4" s="11">
        <v>45413</v>
      </c>
      <c r="R4" s="11">
        <v>45413</v>
      </c>
      <c r="S4" s="11">
        <v>45413</v>
      </c>
      <c r="T4" s="11">
        <v>45444</v>
      </c>
      <c r="U4" s="11">
        <v>45444</v>
      </c>
      <c r="V4" s="11">
        <v>45444</v>
      </c>
      <c r="W4" s="11">
        <v>45474</v>
      </c>
      <c r="X4" s="11">
        <v>45474</v>
      </c>
      <c r="Y4" s="11">
        <v>45474</v>
      </c>
      <c r="Z4" s="11">
        <v>45505</v>
      </c>
      <c r="AA4" s="11">
        <v>45505</v>
      </c>
      <c r="AB4" s="11">
        <v>45505</v>
      </c>
      <c r="AC4" s="11">
        <v>45536</v>
      </c>
      <c r="AD4" s="11">
        <v>45536</v>
      </c>
      <c r="AE4" s="11">
        <v>45536</v>
      </c>
      <c r="AF4" s="11">
        <v>45566</v>
      </c>
      <c r="AG4" s="11">
        <v>45566</v>
      </c>
      <c r="AH4" s="11">
        <v>45566</v>
      </c>
      <c r="AI4" s="11">
        <v>45597</v>
      </c>
      <c r="AJ4" s="11">
        <v>45597</v>
      </c>
      <c r="AK4" s="11">
        <v>45597</v>
      </c>
      <c r="AL4" s="11">
        <v>45627</v>
      </c>
      <c r="AM4" s="11">
        <v>45627</v>
      </c>
      <c r="AN4" s="11">
        <v>45627</v>
      </c>
    </row>
    <row r="5" spans="1:40" x14ac:dyDescent="0.3">
      <c r="A5" s="5" t="s">
        <v>1</v>
      </c>
      <c r="B5" s="5" t="s">
        <v>2</v>
      </c>
      <c r="C5" s="5" t="s">
        <v>3</v>
      </c>
      <c r="D5" s="5" t="s">
        <v>9</v>
      </c>
      <c r="E5" s="5" t="s">
        <v>5</v>
      </c>
      <c r="F5" s="5" t="s">
        <v>6</v>
      </c>
      <c r="G5" s="23" t="s">
        <v>7</v>
      </c>
      <c r="H5" s="13" t="s">
        <v>5</v>
      </c>
      <c r="I5" s="13" t="s">
        <v>6</v>
      </c>
      <c r="J5" s="26" t="s">
        <v>7</v>
      </c>
      <c r="K5" s="13" t="s">
        <v>5</v>
      </c>
      <c r="L5" s="13" t="s">
        <v>116</v>
      </c>
      <c r="M5" s="26" t="s">
        <v>7</v>
      </c>
      <c r="N5" s="13" t="s">
        <v>5</v>
      </c>
      <c r="O5" s="13" t="s">
        <v>6</v>
      </c>
      <c r="P5" s="26" t="s">
        <v>7</v>
      </c>
      <c r="Q5" s="13" t="s">
        <v>5</v>
      </c>
      <c r="R5" s="13" t="s">
        <v>6</v>
      </c>
      <c r="S5" s="26" t="s">
        <v>7</v>
      </c>
      <c r="T5" s="13" t="s">
        <v>5</v>
      </c>
      <c r="U5" s="13" t="s">
        <v>6</v>
      </c>
      <c r="V5" s="26" t="s">
        <v>7</v>
      </c>
      <c r="W5" s="13" t="s">
        <v>5</v>
      </c>
      <c r="X5" s="13" t="s">
        <v>6</v>
      </c>
      <c r="Y5" s="26" t="s">
        <v>7</v>
      </c>
      <c r="Z5" s="13" t="s">
        <v>5</v>
      </c>
      <c r="AA5" s="13" t="s">
        <v>6</v>
      </c>
      <c r="AB5" s="26" t="s">
        <v>7</v>
      </c>
      <c r="AC5" s="13" t="s">
        <v>5</v>
      </c>
      <c r="AD5" s="13" t="s">
        <v>6</v>
      </c>
      <c r="AE5" s="26" t="s">
        <v>7</v>
      </c>
      <c r="AF5" s="13" t="s">
        <v>5</v>
      </c>
      <c r="AG5" s="13" t="s">
        <v>6</v>
      </c>
      <c r="AH5" s="26" t="s">
        <v>7</v>
      </c>
      <c r="AI5" s="13" t="s">
        <v>5</v>
      </c>
      <c r="AJ5" s="13" t="s">
        <v>6</v>
      </c>
      <c r="AK5" s="26" t="s">
        <v>7</v>
      </c>
      <c r="AL5" s="13" t="s">
        <v>5</v>
      </c>
      <c r="AM5" s="13" t="s">
        <v>6</v>
      </c>
      <c r="AN5" s="26" t="s">
        <v>7</v>
      </c>
    </row>
    <row r="6" spans="1:40" x14ac:dyDescent="0.3">
      <c r="A6" s="25" t="s">
        <v>255</v>
      </c>
      <c r="B6" s="5">
        <v>0</v>
      </c>
      <c r="C6" s="5">
        <v>0</v>
      </c>
      <c r="D6" s="5">
        <v>0</v>
      </c>
      <c r="E6" s="9">
        <v>0</v>
      </c>
      <c r="F6" s="223">
        <v>0</v>
      </c>
      <c r="G6" s="252">
        <f>E6*F6</f>
        <v>0</v>
      </c>
      <c r="H6" s="14">
        <v>0</v>
      </c>
      <c r="I6" s="231">
        <v>0</v>
      </c>
      <c r="J6" s="236">
        <f t="shared" ref="J6:J13" si="0">I6*H6</f>
        <v>0</v>
      </c>
      <c r="K6" s="171">
        <v>100</v>
      </c>
      <c r="L6" s="223">
        <v>9.2200000000000006</v>
      </c>
      <c r="M6" s="236">
        <f t="shared" ref="M6:M13" si="1">L6*K6</f>
        <v>922.00000000000011</v>
      </c>
      <c r="N6" s="14">
        <v>100</v>
      </c>
      <c r="O6" s="231">
        <v>9.2200000000000006</v>
      </c>
      <c r="P6" s="236">
        <f t="shared" ref="P6:P13" si="2">O6*N6</f>
        <v>922.00000000000011</v>
      </c>
      <c r="Q6" s="14">
        <v>0</v>
      </c>
      <c r="R6" s="231">
        <v>0</v>
      </c>
      <c r="S6" s="236">
        <f t="shared" ref="S6:S13" si="3">R6*Q6</f>
        <v>0</v>
      </c>
      <c r="T6" s="14">
        <v>100</v>
      </c>
      <c r="U6" s="231">
        <v>0</v>
      </c>
      <c r="V6" s="236">
        <f t="shared" ref="V6:V13" si="4">U6*T6</f>
        <v>0</v>
      </c>
      <c r="W6" s="14">
        <v>0</v>
      </c>
      <c r="X6" s="231">
        <v>0</v>
      </c>
      <c r="Y6" s="236">
        <f t="shared" ref="Y6:Y13" si="5">X6*W6</f>
        <v>0</v>
      </c>
      <c r="Z6" s="14">
        <v>0</v>
      </c>
      <c r="AA6" s="231">
        <v>0</v>
      </c>
      <c r="AB6" s="236">
        <f t="shared" ref="AB6:AB13" si="6">AA6*Z6</f>
        <v>0</v>
      </c>
      <c r="AC6" s="14">
        <v>0</v>
      </c>
      <c r="AD6" s="231">
        <v>0</v>
      </c>
      <c r="AE6" s="236">
        <f t="shared" ref="AE6:AE13" si="7">AD6*AC6</f>
        <v>0</v>
      </c>
      <c r="AF6" s="14">
        <v>0</v>
      </c>
      <c r="AG6" s="231">
        <v>0</v>
      </c>
      <c r="AH6" s="236">
        <f t="shared" ref="AH6:AH13" si="8">AG6*AF6</f>
        <v>0</v>
      </c>
      <c r="AI6" s="14">
        <v>0</v>
      </c>
      <c r="AJ6" s="231">
        <v>0</v>
      </c>
      <c r="AK6" s="236">
        <f t="shared" ref="AK6:AK13" si="9">AJ6*AI6</f>
        <v>0</v>
      </c>
      <c r="AL6" s="14">
        <v>0</v>
      </c>
      <c r="AM6" s="231">
        <v>0</v>
      </c>
      <c r="AN6" s="236">
        <f t="shared" ref="AN6:AN13" si="10">AM6*AL6</f>
        <v>0</v>
      </c>
    </row>
    <row r="7" spans="1:40" x14ac:dyDescent="0.3">
      <c r="A7" s="25" t="s">
        <v>256</v>
      </c>
      <c r="B7" s="5">
        <v>0</v>
      </c>
      <c r="C7" s="5">
        <v>0</v>
      </c>
      <c r="D7" s="5">
        <v>0</v>
      </c>
      <c r="E7" s="9">
        <v>0</v>
      </c>
      <c r="F7" s="223">
        <v>0</v>
      </c>
      <c r="G7" s="252">
        <f t="shared" ref="G7:G13" si="11">E7*F7</f>
        <v>0</v>
      </c>
      <c r="H7" s="14">
        <v>0</v>
      </c>
      <c r="I7" s="231">
        <v>0</v>
      </c>
      <c r="J7" s="236">
        <f t="shared" si="0"/>
        <v>0</v>
      </c>
      <c r="K7" s="171">
        <v>25</v>
      </c>
      <c r="L7" s="223">
        <v>32.64</v>
      </c>
      <c r="M7" s="236">
        <f t="shared" si="1"/>
        <v>816</v>
      </c>
      <c r="N7" s="14">
        <v>25</v>
      </c>
      <c r="O7" s="231">
        <v>32.64</v>
      </c>
      <c r="P7" s="236">
        <f t="shared" si="2"/>
        <v>816</v>
      </c>
      <c r="Q7" s="14">
        <v>0</v>
      </c>
      <c r="R7" s="231">
        <v>0</v>
      </c>
      <c r="S7" s="236">
        <f t="shared" si="3"/>
        <v>0</v>
      </c>
      <c r="T7" s="14">
        <v>25</v>
      </c>
      <c r="U7" s="231">
        <v>0</v>
      </c>
      <c r="V7" s="236">
        <f t="shared" si="4"/>
        <v>0</v>
      </c>
      <c r="W7" s="14">
        <v>0</v>
      </c>
      <c r="X7" s="231">
        <v>0</v>
      </c>
      <c r="Y7" s="236">
        <f t="shared" si="5"/>
        <v>0</v>
      </c>
      <c r="Z7" s="14">
        <v>0</v>
      </c>
      <c r="AA7" s="231">
        <v>0</v>
      </c>
      <c r="AB7" s="236">
        <f t="shared" si="6"/>
        <v>0</v>
      </c>
      <c r="AC7" s="14">
        <v>0</v>
      </c>
      <c r="AD7" s="231">
        <v>0</v>
      </c>
      <c r="AE7" s="236">
        <f t="shared" si="7"/>
        <v>0</v>
      </c>
      <c r="AF7" s="14">
        <v>0</v>
      </c>
      <c r="AG7" s="231">
        <v>0</v>
      </c>
      <c r="AH7" s="236">
        <f t="shared" si="8"/>
        <v>0</v>
      </c>
      <c r="AI7" s="14">
        <v>0</v>
      </c>
      <c r="AJ7" s="231">
        <v>0</v>
      </c>
      <c r="AK7" s="236">
        <f t="shared" si="9"/>
        <v>0</v>
      </c>
      <c r="AL7" s="14">
        <v>0</v>
      </c>
      <c r="AM7" s="231">
        <v>0</v>
      </c>
      <c r="AN7" s="236">
        <f t="shared" si="10"/>
        <v>0</v>
      </c>
    </row>
    <row r="8" spans="1:40" x14ac:dyDescent="0.3">
      <c r="A8" s="25" t="s">
        <v>257</v>
      </c>
      <c r="B8" s="5">
        <v>0</v>
      </c>
      <c r="C8" s="5">
        <v>0</v>
      </c>
      <c r="D8" s="5">
        <v>0</v>
      </c>
      <c r="E8" s="9">
        <v>0</v>
      </c>
      <c r="F8" s="223">
        <v>0</v>
      </c>
      <c r="G8" s="252">
        <f t="shared" si="11"/>
        <v>0</v>
      </c>
      <c r="H8" s="14">
        <v>0</v>
      </c>
      <c r="I8" s="231">
        <v>0</v>
      </c>
      <c r="J8" s="236">
        <f t="shared" si="0"/>
        <v>0</v>
      </c>
      <c r="K8" s="171">
        <v>100</v>
      </c>
      <c r="L8" s="223">
        <v>38.65</v>
      </c>
      <c r="M8" s="236">
        <f t="shared" si="1"/>
        <v>3865</v>
      </c>
      <c r="N8" s="14">
        <v>100</v>
      </c>
      <c r="O8" s="231">
        <v>38.65</v>
      </c>
      <c r="P8" s="236">
        <f t="shared" si="2"/>
        <v>3865</v>
      </c>
      <c r="Q8" s="14">
        <v>25</v>
      </c>
      <c r="R8" s="231">
        <v>0</v>
      </c>
      <c r="S8" s="236">
        <f t="shared" si="3"/>
        <v>0</v>
      </c>
      <c r="T8" s="14">
        <v>50</v>
      </c>
      <c r="U8" s="231">
        <v>0</v>
      </c>
      <c r="V8" s="236">
        <f t="shared" si="4"/>
        <v>0</v>
      </c>
      <c r="W8" s="14">
        <v>0</v>
      </c>
      <c r="X8" s="231">
        <v>0</v>
      </c>
      <c r="Y8" s="236">
        <f t="shared" si="5"/>
        <v>0</v>
      </c>
      <c r="Z8" s="14">
        <v>0</v>
      </c>
      <c r="AA8" s="231">
        <v>0</v>
      </c>
      <c r="AB8" s="236">
        <f t="shared" si="6"/>
        <v>0</v>
      </c>
      <c r="AC8" s="14">
        <v>0</v>
      </c>
      <c r="AD8" s="231">
        <v>0</v>
      </c>
      <c r="AE8" s="236">
        <f t="shared" si="7"/>
        <v>0</v>
      </c>
      <c r="AF8" s="14">
        <v>0</v>
      </c>
      <c r="AG8" s="231">
        <v>0</v>
      </c>
      <c r="AH8" s="236">
        <f t="shared" si="8"/>
        <v>0</v>
      </c>
      <c r="AI8" s="14">
        <v>0</v>
      </c>
      <c r="AJ8" s="231">
        <v>0</v>
      </c>
      <c r="AK8" s="236">
        <f t="shared" si="9"/>
        <v>0</v>
      </c>
      <c r="AL8" s="14">
        <v>0</v>
      </c>
      <c r="AM8" s="231">
        <v>0</v>
      </c>
      <c r="AN8" s="236">
        <f t="shared" si="10"/>
        <v>0</v>
      </c>
    </row>
    <row r="9" spans="1:40" x14ac:dyDescent="0.3">
      <c r="A9" s="25" t="s">
        <v>258</v>
      </c>
      <c r="B9" s="5">
        <v>0</v>
      </c>
      <c r="C9" s="5">
        <v>0</v>
      </c>
      <c r="D9" s="5">
        <v>0</v>
      </c>
      <c r="E9" s="9">
        <v>0</v>
      </c>
      <c r="F9" s="223">
        <v>0</v>
      </c>
      <c r="G9" s="252">
        <f t="shared" si="11"/>
        <v>0</v>
      </c>
      <c r="H9" s="14">
        <v>0</v>
      </c>
      <c r="I9" s="231">
        <v>0</v>
      </c>
      <c r="J9" s="236">
        <f t="shared" si="0"/>
        <v>0</v>
      </c>
      <c r="K9" s="25">
        <v>100</v>
      </c>
      <c r="L9" s="223">
        <v>28.5</v>
      </c>
      <c r="M9" s="236">
        <f t="shared" si="1"/>
        <v>2850</v>
      </c>
      <c r="N9" s="14">
        <v>100</v>
      </c>
      <c r="O9" s="231">
        <v>28.5</v>
      </c>
      <c r="P9" s="236">
        <f t="shared" si="2"/>
        <v>2850</v>
      </c>
      <c r="Q9" s="14">
        <v>0</v>
      </c>
      <c r="R9" s="231">
        <v>0</v>
      </c>
      <c r="S9" s="236">
        <f t="shared" si="3"/>
        <v>0</v>
      </c>
      <c r="T9" s="14">
        <v>50</v>
      </c>
      <c r="U9" s="231">
        <v>0</v>
      </c>
      <c r="V9" s="236">
        <f t="shared" si="4"/>
        <v>0</v>
      </c>
      <c r="W9" s="14">
        <v>0</v>
      </c>
      <c r="X9" s="231">
        <v>0</v>
      </c>
      <c r="Y9" s="236">
        <f t="shared" si="5"/>
        <v>0</v>
      </c>
      <c r="Z9" s="14">
        <v>0</v>
      </c>
      <c r="AA9" s="231">
        <v>0</v>
      </c>
      <c r="AB9" s="236">
        <f t="shared" si="6"/>
        <v>0</v>
      </c>
      <c r="AC9" s="14">
        <v>0</v>
      </c>
      <c r="AD9" s="231">
        <v>0</v>
      </c>
      <c r="AE9" s="236">
        <f t="shared" si="7"/>
        <v>0</v>
      </c>
      <c r="AF9" s="14">
        <v>0</v>
      </c>
      <c r="AG9" s="231">
        <v>0</v>
      </c>
      <c r="AH9" s="236">
        <f t="shared" si="8"/>
        <v>0</v>
      </c>
      <c r="AI9" s="14">
        <v>0</v>
      </c>
      <c r="AJ9" s="231">
        <v>0</v>
      </c>
      <c r="AK9" s="236">
        <f t="shared" si="9"/>
        <v>0</v>
      </c>
      <c r="AL9" s="14">
        <v>0</v>
      </c>
      <c r="AM9" s="231">
        <v>0</v>
      </c>
      <c r="AN9" s="236">
        <f t="shared" si="10"/>
        <v>0</v>
      </c>
    </row>
    <row r="10" spans="1:40" x14ac:dyDescent="0.3">
      <c r="A10" s="25"/>
      <c r="B10" s="5">
        <v>0</v>
      </c>
      <c r="C10" s="5">
        <v>0</v>
      </c>
      <c r="D10" s="5">
        <v>0</v>
      </c>
      <c r="E10" s="9">
        <v>0</v>
      </c>
      <c r="F10" s="223">
        <v>0</v>
      </c>
      <c r="G10" s="252">
        <f t="shared" si="11"/>
        <v>0</v>
      </c>
      <c r="H10" s="14">
        <v>0</v>
      </c>
      <c r="I10" s="231">
        <v>0</v>
      </c>
      <c r="J10" s="236">
        <f t="shared" si="0"/>
        <v>0</v>
      </c>
      <c r="K10" s="171">
        <v>0</v>
      </c>
      <c r="L10" s="231">
        <v>0</v>
      </c>
      <c r="M10" s="236">
        <f t="shared" si="1"/>
        <v>0</v>
      </c>
      <c r="N10" s="14">
        <v>0</v>
      </c>
      <c r="O10" s="231">
        <v>0</v>
      </c>
      <c r="P10" s="236">
        <f t="shared" si="2"/>
        <v>0</v>
      </c>
      <c r="Q10" s="14">
        <v>0</v>
      </c>
      <c r="R10" s="231">
        <v>0</v>
      </c>
      <c r="S10" s="236">
        <f t="shared" si="3"/>
        <v>0</v>
      </c>
      <c r="T10" s="14">
        <v>0</v>
      </c>
      <c r="U10" s="231">
        <v>0</v>
      </c>
      <c r="V10" s="236">
        <f t="shared" si="4"/>
        <v>0</v>
      </c>
      <c r="W10" s="14">
        <v>0</v>
      </c>
      <c r="X10" s="231">
        <v>0</v>
      </c>
      <c r="Y10" s="236">
        <f t="shared" si="5"/>
        <v>0</v>
      </c>
      <c r="Z10" s="14">
        <v>0</v>
      </c>
      <c r="AA10" s="231">
        <v>0</v>
      </c>
      <c r="AB10" s="236">
        <f t="shared" si="6"/>
        <v>0</v>
      </c>
      <c r="AC10" s="14">
        <v>0</v>
      </c>
      <c r="AD10" s="231">
        <v>0</v>
      </c>
      <c r="AE10" s="236">
        <f t="shared" si="7"/>
        <v>0</v>
      </c>
      <c r="AF10" s="14">
        <v>0</v>
      </c>
      <c r="AG10" s="231">
        <v>0</v>
      </c>
      <c r="AH10" s="236">
        <f t="shared" si="8"/>
        <v>0</v>
      </c>
      <c r="AI10" s="14">
        <v>0</v>
      </c>
      <c r="AJ10" s="231">
        <v>0</v>
      </c>
      <c r="AK10" s="236">
        <f t="shared" si="9"/>
        <v>0</v>
      </c>
      <c r="AL10" s="14">
        <v>0</v>
      </c>
      <c r="AM10" s="231">
        <v>0</v>
      </c>
      <c r="AN10" s="236">
        <f t="shared" si="10"/>
        <v>0</v>
      </c>
    </row>
    <row r="11" spans="1:40" x14ac:dyDescent="0.3">
      <c r="A11" s="25"/>
      <c r="B11" s="5">
        <v>0</v>
      </c>
      <c r="C11" s="5">
        <v>0</v>
      </c>
      <c r="D11" s="5">
        <v>0</v>
      </c>
      <c r="E11" s="5">
        <v>0</v>
      </c>
      <c r="F11" s="223">
        <v>0</v>
      </c>
      <c r="G11" s="280">
        <f t="shared" si="11"/>
        <v>0</v>
      </c>
      <c r="H11" s="13">
        <v>0</v>
      </c>
      <c r="I11" s="231">
        <v>0</v>
      </c>
      <c r="J11" s="268">
        <f t="shared" si="0"/>
        <v>0</v>
      </c>
      <c r="K11" s="25">
        <v>0</v>
      </c>
      <c r="L11" s="231">
        <v>0</v>
      </c>
      <c r="M11" s="268">
        <f t="shared" si="1"/>
        <v>0</v>
      </c>
      <c r="N11" s="13">
        <v>0</v>
      </c>
      <c r="O11" s="231">
        <v>0</v>
      </c>
      <c r="P11" s="268">
        <f t="shared" si="2"/>
        <v>0</v>
      </c>
      <c r="Q11" s="13">
        <v>0</v>
      </c>
      <c r="R11" s="231">
        <v>0</v>
      </c>
      <c r="S11" s="268">
        <f t="shared" si="3"/>
        <v>0</v>
      </c>
      <c r="T11" s="13">
        <v>0</v>
      </c>
      <c r="U11" s="231">
        <v>0</v>
      </c>
      <c r="V11" s="268">
        <f t="shared" si="4"/>
        <v>0</v>
      </c>
      <c r="W11" s="13">
        <v>0</v>
      </c>
      <c r="X11" s="231">
        <v>0</v>
      </c>
      <c r="Y11" s="268">
        <f t="shared" si="5"/>
        <v>0</v>
      </c>
      <c r="Z11" s="13">
        <v>0</v>
      </c>
      <c r="AA11" s="231">
        <v>0</v>
      </c>
      <c r="AB11" s="268">
        <f t="shared" si="6"/>
        <v>0</v>
      </c>
      <c r="AC11" s="13">
        <v>0</v>
      </c>
      <c r="AD11" s="231">
        <v>0</v>
      </c>
      <c r="AE11" s="268">
        <f t="shared" si="7"/>
        <v>0</v>
      </c>
      <c r="AF11" s="13">
        <v>0</v>
      </c>
      <c r="AG11" s="231">
        <v>0</v>
      </c>
      <c r="AH11" s="268">
        <f t="shared" si="8"/>
        <v>0</v>
      </c>
      <c r="AI11" s="13">
        <v>0</v>
      </c>
      <c r="AJ11" s="231">
        <v>0</v>
      </c>
      <c r="AK11" s="268">
        <f t="shared" si="9"/>
        <v>0</v>
      </c>
      <c r="AL11" s="13">
        <v>0</v>
      </c>
      <c r="AM11" s="231">
        <v>0</v>
      </c>
      <c r="AN11" s="268">
        <f t="shared" si="10"/>
        <v>0</v>
      </c>
    </row>
    <row r="12" spans="1:40" x14ac:dyDescent="0.3">
      <c r="A12" s="5"/>
      <c r="B12" s="5">
        <v>0</v>
      </c>
      <c r="C12" s="5">
        <v>0</v>
      </c>
      <c r="D12" s="5">
        <v>0</v>
      </c>
      <c r="E12" s="5">
        <v>0</v>
      </c>
      <c r="F12" s="223">
        <v>0</v>
      </c>
      <c r="G12" s="280">
        <f t="shared" si="11"/>
        <v>0</v>
      </c>
      <c r="H12" s="13">
        <v>0</v>
      </c>
      <c r="I12" s="231">
        <v>0</v>
      </c>
      <c r="J12" s="268">
        <f t="shared" si="0"/>
        <v>0</v>
      </c>
      <c r="K12" s="13">
        <v>0</v>
      </c>
      <c r="L12" s="231">
        <v>0</v>
      </c>
      <c r="M12" s="268">
        <f t="shared" si="1"/>
        <v>0</v>
      </c>
      <c r="N12" s="13">
        <v>0</v>
      </c>
      <c r="O12" s="231">
        <v>0</v>
      </c>
      <c r="P12" s="268">
        <f t="shared" si="2"/>
        <v>0</v>
      </c>
      <c r="Q12" s="13">
        <v>0</v>
      </c>
      <c r="R12" s="231">
        <v>0</v>
      </c>
      <c r="S12" s="268">
        <f t="shared" si="3"/>
        <v>0</v>
      </c>
      <c r="T12" s="13">
        <v>0</v>
      </c>
      <c r="U12" s="231">
        <v>0</v>
      </c>
      <c r="V12" s="268">
        <f t="shared" si="4"/>
        <v>0</v>
      </c>
      <c r="W12" s="13">
        <v>0</v>
      </c>
      <c r="X12" s="231">
        <v>0</v>
      </c>
      <c r="Y12" s="268">
        <f t="shared" si="5"/>
        <v>0</v>
      </c>
      <c r="Z12" s="13">
        <v>0</v>
      </c>
      <c r="AA12" s="231">
        <v>0</v>
      </c>
      <c r="AB12" s="268">
        <f t="shared" si="6"/>
        <v>0</v>
      </c>
      <c r="AC12" s="13">
        <v>0</v>
      </c>
      <c r="AD12" s="231">
        <v>0</v>
      </c>
      <c r="AE12" s="268">
        <f t="shared" si="7"/>
        <v>0</v>
      </c>
      <c r="AF12" s="13">
        <v>0</v>
      </c>
      <c r="AG12" s="231">
        <v>0</v>
      </c>
      <c r="AH12" s="268">
        <f t="shared" si="8"/>
        <v>0</v>
      </c>
      <c r="AI12" s="13">
        <v>0</v>
      </c>
      <c r="AJ12" s="231">
        <v>0</v>
      </c>
      <c r="AK12" s="268">
        <f t="shared" si="9"/>
        <v>0</v>
      </c>
      <c r="AL12" s="13">
        <v>0</v>
      </c>
      <c r="AM12" s="231">
        <v>0</v>
      </c>
      <c r="AN12" s="268">
        <f t="shared" si="10"/>
        <v>0</v>
      </c>
    </row>
    <row r="13" spans="1:40" x14ac:dyDescent="0.3">
      <c r="A13" s="5"/>
      <c r="B13" s="5">
        <v>0</v>
      </c>
      <c r="C13" s="5">
        <v>0</v>
      </c>
      <c r="D13" s="5">
        <v>0</v>
      </c>
      <c r="E13" s="5">
        <v>0</v>
      </c>
      <c r="F13" s="223">
        <v>0</v>
      </c>
      <c r="G13" s="280">
        <f t="shared" si="11"/>
        <v>0</v>
      </c>
      <c r="H13" s="13">
        <v>0</v>
      </c>
      <c r="I13" s="232">
        <v>0</v>
      </c>
      <c r="J13" s="236">
        <f t="shared" si="0"/>
        <v>0</v>
      </c>
      <c r="K13" s="13">
        <v>0</v>
      </c>
      <c r="L13" s="232">
        <v>0</v>
      </c>
      <c r="M13" s="236">
        <f t="shared" si="1"/>
        <v>0</v>
      </c>
      <c r="N13" s="13">
        <v>0</v>
      </c>
      <c r="O13" s="232">
        <v>0</v>
      </c>
      <c r="P13" s="236">
        <f t="shared" si="2"/>
        <v>0</v>
      </c>
      <c r="Q13" s="13">
        <v>0</v>
      </c>
      <c r="R13" s="232">
        <v>0</v>
      </c>
      <c r="S13" s="236">
        <f t="shared" si="3"/>
        <v>0</v>
      </c>
      <c r="T13" s="13">
        <v>0</v>
      </c>
      <c r="U13" s="232">
        <v>0</v>
      </c>
      <c r="V13" s="236">
        <f t="shared" si="4"/>
        <v>0</v>
      </c>
      <c r="W13" s="13">
        <v>0</v>
      </c>
      <c r="X13" s="232">
        <v>0</v>
      </c>
      <c r="Y13" s="236">
        <f t="shared" si="5"/>
        <v>0</v>
      </c>
      <c r="Z13" s="13">
        <v>0</v>
      </c>
      <c r="AA13" s="232">
        <v>0</v>
      </c>
      <c r="AB13" s="236">
        <f t="shared" si="6"/>
        <v>0</v>
      </c>
      <c r="AC13" s="13">
        <v>0</v>
      </c>
      <c r="AD13" s="232">
        <v>0</v>
      </c>
      <c r="AE13" s="236">
        <f t="shared" si="7"/>
        <v>0</v>
      </c>
      <c r="AF13" s="13">
        <v>0</v>
      </c>
      <c r="AG13" s="232">
        <v>0</v>
      </c>
      <c r="AH13" s="236">
        <f t="shared" si="8"/>
        <v>0</v>
      </c>
      <c r="AI13" s="13">
        <v>0</v>
      </c>
      <c r="AJ13" s="232">
        <v>0</v>
      </c>
      <c r="AK13" s="236">
        <f t="shared" si="9"/>
        <v>0</v>
      </c>
      <c r="AL13" s="13">
        <v>0</v>
      </c>
      <c r="AM13" s="232">
        <v>0</v>
      </c>
      <c r="AN13" s="236">
        <f t="shared" si="10"/>
        <v>0</v>
      </c>
    </row>
    <row r="14" spans="1:40" ht="16.2" x14ac:dyDescent="0.45">
      <c r="A14" s="91"/>
      <c r="B14" s="91"/>
      <c r="C14" s="91"/>
      <c r="D14" s="91"/>
      <c r="E14" s="91"/>
      <c r="F14" s="195" t="s">
        <v>8</v>
      </c>
      <c r="G14" s="281">
        <f>SUM(G6:G13)</f>
        <v>0</v>
      </c>
      <c r="H14" s="12"/>
      <c r="I14" s="191" t="s">
        <v>8</v>
      </c>
      <c r="J14" s="269">
        <f>SUM(J6:J13)</f>
        <v>0</v>
      </c>
      <c r="K14" s="12"/>
      <c r="L14" s="191" t="s">
        <v>8</v>
      </c>
      <c r="M14" s="269">
        <f>SUM(M6:M13)</f>
        <v>8453</v>
      </c>
      <c r="N14" s="12"/>
      <c r="O14" s="191" t="s">
        <v>8</v>
      </c>
      <c r="P14" s="269">
        <f>SUM(P6:P13)</f>
        <v>8453</v>
      </c>
      <c r="Q14" s="12"/>
      <c r="R14" s="191" t="s">
        <v>8</v>
      </c>
      <c r="S14" s="269">
        <f>SUM(S6:S13)</f>
        <v>0</v>
      </c>
      <c r="T14" s="12"/>
      <c r="U14" s="191" t="s">
        <v>8</v>
      </c>
      <c r="V14" s="269">
        <f>SUM(V6:V13)</f>
        <v>0</v>
      </c>
      <c r="W14" s="12"/>
      <c r="X14" s="191" t="s">
        <v>8</v>
      </c>
      <c r="Y14" s="269">
        <f>SUM(Y6:Y13)</f>
        <v>0</v>
      </c>
      <c r="Z14" s="12"/>
      <c r="AA14" s="191" t="s">
        <v>8</v>
      </c>
      <c r="AB14" s="269">
        <f>SUM(AB6:AB13)</f>
        <v>0</v>
      </c>
      <c r="AC14" s="12"/>
      <c r="AD14" s="191" t="s">
        <v>8</v>
      </c>
      <c r="AE14" s="269">
        <f>SUM(AE6:AE13)</f>
        <v>0</v>
      </c>
      <c r="AF14" s="12"/>
      <c r="AG14" s="191" t="s">
        <v>8</v>
      </c>
      <c r="AH14" s="269">
        <f>SUM(AH6:AH13)</f>
        <v>0</v>
      </c>
      <c r="AI14" s="12"/>
      <c r="AJ14" s="191" t="s">
        <v>8</v>
      </c>
      <c r="AK14" s="269">
        <f>SUM(AK6:AK13)</f>
        <v>0</v>
      </c>
      <c r="AL14" s="12"/>
      <c r="AM14" s="191" t="s">
        <v>8</v>
      </c>
      <c r="AN14" s="269">
        <f>SUM(AN6:AN13)</f>
        <v>0</v>
      </c>
    </row>
  </sheetData>
  <mergeCells count="1">
    <mergeCell ref="D2:D3"/>
  </mergeCells>
  <hyperlinks>
    <hyperlink ref="A2" location="Menu!A1" display="Menu" xr:uid="{00000000-0004-0000-1700-000000000000}"/>
  </hyperlinks>
  <pageMargins left="0.511811024" right="0.511811024" top="0.78740157499999996" bottom="0.78740157499999996" header="0.31496062000000002" footer="0.3149606200000000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Plan12"/>
  <dimension ref="A1:AN14"/>
  <sheetViews>
    <sheetView workbookViewId="0">
      <pane xSplit="1" topLeftCell="K1" activePane="topRight" state="frozen"/>
      <selection pane="topRight" activeCell="A2" sqref="A2"/>
    </sheetView>
  </sheetViews>
  <sheetFormatPr defaultColWidth="9.109375" defaultRowHeight="14.4" x14ac:dyDescent="0.3"/>
  <cols>
    <col min="1" max="1" width="22.44140625" style="1" bestFit="1" customWidth="1"/>
    <col min="2" max="2" width="9.109375" style="1"/>
    <col min="3" max="3" width="18.88671875" style="1" bestFit="1" customWidth="1"/>
    <col min="4" max="4" width="16.6640625" style="1" bestFit="1" customWidth="1"/>
    <col min="5" max="5" width="14.109375" style="1" bestFit="1" customWidth="1"/>
    <col min="6" max="6" width="9.109375" style="1"/>
    <col min="7" max="7" width="12.109375" style="1" bestFit="1" customWidth="1"/>
    <col min="8" max="8" width="14.109375" style="1" bestFit="1" customWidth="1"/>
    <col min="9" max="9" width="9.109375" style="1"/>
    <col min="10" max="10" width="10.88671875" style="1" bestFit="1" customWidth="1"/>
    <col min="11" max="11" width="14.109375" style="1" bestFit="1" customWidth="1"/>
    <col min="12" max="12" width="10.6640625" style="1" bestFit="1" customWidth="1"/>
    <col min="13" max="13" width="10.88671875" style="1" bestFit="1" customWidth="1"/>
    <col min="14" max="14" width="14.109375" style="1" bestFit="1" customWidth="1"/>
    <col min="15" max="15" width="9.109375" style="1"/>
    <col min="16" max="16" width="10.88671875" style="1" bestFit="1" customWidth="1"/>
    <col min="17" max="17" width="14.109375" style="1" bestFit="1" customWidth="1"/>
    <col min="18" max="18" width="9" style="1" bestFit="1" customWidth="1"/>
    <col min="19" max="19" width="10.88671875" style="1" bestFit="1" customWidth="1"/>
    <col min="20" max="20" width="14.109375" style="1" bestFit="1" customWidth="1"/>
    <col min="21" max="21" width="9.109375" style="1"/>
    <col min="22" max="22" width="10.88671875" style="1" bestFit="1" customWidth="1"/>
    <col min="23" max="23" width="14.109375" style="1" bestFit="1" customWidth="1"/>
    <col min="24" max="24" width="9.109375" style="1"/>
    <col min="25" max="25" width="10.88671875" style="1" bestFit="1" customWidth="1"/>
    <col min="26" max="26" width="14.109375" style="1" bestFit="1" customWidth="1"/>
    <col min="27" max="27" width="9.109375" style="1"/>
    <col min="28" max="28" width="10.88671875" style="1" bestFit="1" customWidth="1"/>
    <col min="29" max="29" width="14.109375" style="1" bestFit="1" customWidth="1"/>
    <col min="30" max="30" width="9.109375" style="1"/>
    <col min="31" max="31" width="10.88671875" style="1" bestFit="1" customWidth="1"/>
    <col min="32" max="32" width="14.109375" style="1" bestFit="1" customWidth="1"/>
    <col min="33" max="33" width="9.5546875" style="1" bestFit="1" customWidth="1"/>
    <col min="34" max="34" width="10.88671875" style="1" bestFit="1" customWidth="1"/>
    <col min="35" max="35" width="14.109375" style="1" bestFit="1" customWidth="1"/>
    <col min="36" max="36" width="9.5546875" style="1" bestFit="1" customWidth="1"/>
    <col min="37" max="37" width="10.88671875" style="1" bestFit="1" customWidth="1"/>
    <col min="38" max="38" width="14.109375" style="1" bestFit="1" customWidth="1"/>
    <col min="39" max="39" width="9.5546875" style="1" bestFit="1" customWidth="1"/>
    <col min="40" max="40" width="10.88671875" style="1" bestFit="1" customWidth="1"/>
    <col min="41" max="16384" width="9.109375" style="1"/>
  </cols>
  <sheetData>
    <row r="1" spans="1:40" ht="15" thickBot="1" x14ac:dyDescent="0.35"/>
    <row r="2" spans="1:40" ht="28.5" customHeight="1" thickBot="1" x14ac:dyDescent="0.6">
      <c r="A2" s="262" t="s">
        <v>110</v>
      </c>
      <c r="B2" s="164"/>
      <c r="C2" s="164"/>
      <c r="D2" s="736"/>
      <c r="E2" s="6"/>
      <c r="F2" s="6"/>
      <c r="G2" s="6"/>
    </row>
    <row r="3" spans="1:40" ht="28.8" x14ac:dyDescent="0.55000000000000004">
      <c r="A3" s="265" t="s">
        <v>53</v>
      </c>
      <c r="B3" s="165"/>
      <c r="C3" s="165"/>
      <c r="D3" s="736"/>
      <c r="E3" s="6"/>
      <c r="F3" s="6"/>
      <c r="G3" s="6"/>
    </row>
    <row r="4" spans="1:40" x14ac:dyDescent="0.3">
      <c r="A4" s="7"/>
      <c r="B4" s="7"/>
      <c r="C4" s="7"/>
      <c r="D4" s="7"/>
      <c r="E4" s="4">
        <v>44562</v>
      </c>
      <c r="F4" s="4">
        <v>44562</v>
      </c>
      <c r="G4" s="29">
        <v>44562</v>
      </c>
      <c r="H4" s="11">
        <v>45323</v>
      </c>
      <c r="I4" s="11">
        <v>45323</v>
      </c>
      <c r="J4" s="11">
        <v>45323</v>
      </c>
      <c r="K4" s="11">
        <v>45352</v>
      </c>
      <c r="L4" s="11">
        <v>45352</v>
      </c>
      <c r="M4" s="11">
        <v>45352</v>
      </c>
      <c r="N4" s="11">
        <v>45383</v>
      </c>
      <c r="O4" s="11">
        <v>45383</v>
      </c>
      <c r="P4" s="11">
        <v>45383</v>
      </c>
      <c r="Q4" s="11">
        <v>45413</v>
      </c>
      <c r="R4" s="11">
        <v>45413</v>
      </c>
      <c r="S4" s="11">
        <v>45413</v>
      </c>
      <c r="T4" s="11">
        <v>45444</v>
      </c>
      <c r="U4" s="11">
        <v>45444</v>
      </c>
      <c r="V4" s="11">
        <v>45444</v>
      </c>
      <c r="W4" s="11">
        <v>45474</v>
      </c>
      <c r="X4" s="11">
        <v>45474</v>
      </c>
      <c r="Y4" s="11">
        <v>45474</v>
      </c>
      <c r="Z4" s="11">
        <v>45505</v>
      </c>
      <c r="AA4" s="11">
        <v>45505</v>
      </c>
      <c r="AB4" s="11">
        <v>45505</v>
      </c>
      <c r="AC4" s="11">
        <v>45536</v>
      </c>
      <c r="AD4" s="11">
        <v>45536</v>
      </c>
      <c r="AE4" s="11">
        <v>45536</v>
      </c>
      <c r="AF4" s="11">
        <v>45566</v>
      </c>
      <c r="AG4" s="11">
        <v>45566</v>
      </c>
      <c r="AH4" s="11">
        <v>45566</v>
      </c>
      <c r="AI4" s="11">
        <v>45597</v>
      </c>
      <c r="AJ4" s="11">
        <v>45597</v>
      </c>
      <c r="AK4" s="11">
        <v>45597</v>
      </c>
      <c r="AL4" s="11">
        <v>45627</v>
      </c>
      <c r="AM4" s="11">
        <v>45627</v>
      </c>
      <c r="AN4" s="11">
        <v>45627</v>
      </c>
    </row>
    <row r="5" spans="1:40" x14ac:dyDescent="0.3">
      <c r="A5" s="5" t="s">
        <v>1</v>
      </c>
      <c r="B5" s="5" t="s">
        <v>2</v>
      </c>
      <c r="C5" s="5" t="s">
        <v>3</v>
      </c>
      <c r="D5" s="5" t="s">
        <v>9</v>
      </c>
      <c r="E5" s="5" t="s">
        <v>5</v>
      </c>
      <c r="F5" s="5" t="s">
        <v>6</v>
      </c>
      <c r="G5" s="23" t="s">
        <v>7</v>
      </c>
      <c r="H5" s="13" t="s">
        <v>5</v>
      </c>
      <c r="I5" s="13" t="s">
        <v>6</v>
      </c>
      <c r="J5" s="26" t="s">
        <v>7</v>
      </c>
      <c r="K5" s="13" t="s">
        <v>5</v>
      </c>
      <c r="L5" s="13" t="s">
        <v>116</v>
      </c>
      <c r="M5" s="26" t="s">
        <v>7</v>
      </c>
      <c r="N5" s="13" t="s">
        <v>5</v>
      </c>
      <c r="O5" s="13" t="s">
        <v>6</v>
      </c>
      <c r="P5" s="26" t="s">
        <v>7</v>
      </c>
      <c r="Q5" s="13" t="s">
        <v>5</v>
      </c>
      <c r="R5" s="13" t="s">
        <v>6</v>
      </c>
      <c r="S5" s="26" t="s">
        <v>7</v>
      </c>
      <c r="T5" s="13" t="s">
        <v>5</v>
      </c>
      <c r="U5" s="13" t="s">
        <v>6</v>
      </c>
      <c r="V5" s="26" t="s">
        <v>7</v>
      </c>
      <c r="W5" s="13" t="s">
        <v>5</v>
      </c>
      <c r="X5" s="13" t="s">
        <v>6</v>
      </c>
      <c r="Y5" s="26" t="s">
        <v>7</v>
      </c>
      <c r="Z5" s="13" t="s">
        <v>5</v>
      </c>
      <c r="AA5" s="13" t="s">
        <v>6</v>
      </c>
      <c r="AB5" s="26" t="s">
        <v>7</v>
      </c>
      <c r="AC5" s="13" t="s">
        <v>5</v>
      </c>
      <c r="AD5" s="13" t="s">
        <v>6</v>
      </c>
      <c r="AE5" s="26" t="s">
        <v>7</v>
      </c>
      <c r="AF5" s="13" t="s">
        <v>5</v>
      </c>
      <c r="AG5" s="13" t="s">
        <v>6</v>
      </c>
      <c r="AH5" s="26" t="s">
        <v>7</v>
      </c>
      <c r="AI5" s="13" t="s">
        <v>5</v>
      </c>
      <c r="AJ5" s="13" t="s">
        <v>6</v>
      </c>
      <c r="AK5" s="26" t="s">
        <v>7</v>
      </c>
      <c r="AL5" s="13" t="s">
        <v>5</v>
      </c>
      <c r="AM5" s="13" t="s">
        <v>6</v>
      </c>
      <c r="AN5" s="26" t="s">
        <v>7</v>
      </c>
    </row>
    <row r="6" spans="1:40" x14ac:dyDescent="0.3">
      <c r="A6" s="25" t="s">
        <v>261</v>
      </c>
      <c r="B6" s="5">
        <v>56127</v>
      </c>
      <c r="C6" s="5">
        <v>0</v>
      </c>
      <c r="D6" s="5">
        <v>0</v>
      </c>
      <c r="E6" s="9">
        <v>0</v>
      </c>
      <c r="F6" s="223">
        <v>0</v>
      </c>
      <c r="G6" s="252">
        <f>E6*F6</f>
        <v>0</v>
      </c>
      <c r="H6" s="14">
        <v>0</v>
      </c>
      <c r="I6" s="231">
        <v>0</v>
      </c>
      <c r="J6" s="236">
        <f t="shared" ref="J6:J13" si="0">I6*H6</f>
        <v>0</v>
      </c>
      <c r="K6" s="171">
        <v>1</v>
      </c>
      <c r="L6" s="255">
        <v>3</v>
      </c>
      <c r="M6" s="236">
        <f t="shared" ref="M6:M13" si="1">L6*K6</f>
        <v>3</v>
      </c>
      <c r="N6" s="14">
        <v>0</v>
      </c>
      <c r="O6" s="231">
        <v>0</v>
      </c>
      <c r="P6" s="236">
        <f t="shared" ref="P6:P13" si="2">O6*N6</f>
        <v>0</v>
      </c>
      <c r="Q6" s="14">
        <v>0</v>
      </c>
      <c r="R6" s="231">
        <v>0</v>
      </c>
      <c r="S6" s="236">
        <f t="shared" ref="S6:S13" si="3">R6*Q6</f>
        <v>0</v>
      </c>
      <c r="T6" s="14">
        <v>0</v>
      </c>
      <c r="U6" s="231">
        <v>0</v>
      </c>
      <c r="V6" s="236">
        <f t="shared" ref="V6:V13" si="4">U6*T6</f>
        <v>0</v>
      </c>
      <c r="W6" s="14">
        <v>0</v>
      </c>
      <c r="X6" s="231">
        <v>0</v>
      </c>
      <c r="Y6" s="236">
        <f t="shared" ref="Y6:Y13" si="5">X6*W6</f>
        <v>0</v>
      </c>
      <c r="Z6" s="14">
        <v>0</v>
      </c>
      <c r="AA6" s="231">
        <v>0</v>
      </c>
      <c r="AB6" s="236">
        <f t="shared" ref="AB6:AB13" si="6">AA6*Z6</f>
        <v>0</v>
      </c>
      <c r="AC6" s="14">
        <v>0</v>
      </c>
      <c r="AD6" s="231">
        <v>0</v>
      </c>
      <c r="AE6" s="236">
        <f t="shared" ref="AE6:AE13" si="7">AD6*AC6</f>
        <v>0</v>
      </c>
      <c r="AF6" s="14">
        <v>0</v>
      </c>
      <c r="AG6" s="231">
        <v>0</v>
      </c>
      <c r="AH6" s="236">
        <f t="shared" ref="AH6:AH13" si="8">AG6*AF6</f>
        <v>0</v>
      </c>
      <c r="AI6" s="14">
        <v>0</v>
      </c>
      <c r="AJ6" s="231">
        <v>0</v>
      </c>
      <c r="AK6" s="236">
        <f t="shared" ref="AK6:AK13" si="9">AJ6*AI6</f>
        <v>0</v>
      </c>
      <c r="AL6" s="14">
        <v>0</v>
      </c>
      <c r="AM6" s="231">
        <v>0</v>
      </c>
      <c r="AN6" s="236">
        <f t="shared" ref="AN6:AN13" si="10">AM6*AL6</f>
        <v>0</v>
      </c>
    </row>
    <row r="7" spans="1:40" x14ac:dyDescent="0.3">
      <c r="A7" s="25" t="s">
        <v>262</v>
      </c>
      <c r="B7" s="5">
        <v>56124</v>
      </c>
      <c r="C7" s="5">
        <v>0</v>
      </c>
      <c r="D7" s="5">
        <v>0</v>
      </c>
      <c r="E7" s="9">
        <v>0</v>
      </c>
      <c r="F7" s="223">
        <v>0</v>
      </c>
      <c r="G7" s="252">
        <f t="shared" ref="G7:G13" si="11">E7*F7</f>
        <v>0</v>
      </c>
      <c r="H7" s="14">
        <v>0</v>
      </c>
      <c r="I7" s="231">
        <v>0</v>
      </c>
      <c r="J7" s="236">
        <f t="shared" si="0"/>
        <v>0</v>
      </c>
      <c r="K7" s="171">
        <v>0</v>
      </c>
      <c r="L7" s="231">
        <v>0</v>
      </c>
      <c r="M7" s="236">
        <f t="shared" si="1"/>
        <v>0</v>
      </c>
      <c r="N7" s="14">
        <v>0</v>
      </c>
      <c r="O7" s="231">
        <v>0</v>
      </c>
      <c r="P7" s="236">
        <f t="shared" si="2"/>
        <v>0</v>
      </c>
      <c r="Q7" s="14">
        <v>0</v>
      </c>
      <c r="R7" s="231">
        <v>0</v>
      </c>
      <c r="S7" s="236">
        <f t="shared" si="3"/>
        <v>0</v>
      </c>
      <c r="T7" s="14">
        <v>0</v>
      </c>
      <c r="U7" s="231">
        <v>0</v>
      </c>
      <c r="V7" s="236">
        <f t="shared" si="4"/>
        <v>0</v>
      </c>
      <c r="W7" s="14">
        <v>0</v>
      </c>
      <c r="X7" s="231">
        <v>0</v>
      </c>
      <c r="Y7" s="236">
        <f t="shared" si="5"/>
        <v>0</v>
      </c>
      <c r="Z7" s="14">
        <v>0</v>
      </c>
      <c r="AA7" s="231">
        <v>0</v>
      </c>
      <c r="AB7" s="236">
        <f t="shared" si="6"/>
        <v>0</v>
      </c>
      <c r="AC7" s="14">
        <v>0</v>
      </c>
      <c r="AD7" s="231">
        <v>0</v>
      </c>
      <c r="AE7" s="236">
        <f t="shared" si="7"/>
        <v>0</v>
      </c>
      <c r="AF7" s="14">
        <v>0</v>
      </c>
      <c r="AG7" s="231">
        <v>0</v>
      </c>
      <c r="AH7" s="236">
        <f t="shared" si="8"/>
        <v>0</v>
      </c>
      <c r="AI7" s="14">
        <v>0</v>
      </c>
      <c r="AJ7" s="231">
        <v>0</v>
      </c>
      <c r="AK7" s="236">
        <f t="shared" si="9"/>
        <v>0</v>
      </c>
      <c r="AL7" s="14">
        <v>0</v>
      </c>
      <c r="AM7" s="231">
        <v>0</v>
      </c>
      <c r="AN7" s="236">
        <f t="shared" si="10"/>
        <v>0</v>
      </c>
    </row>
    <row r="8" spans="1:40" x14ac:dyDescent="0.3">
      <c r="A8" s="25" t="s">
        <v>263</v>
      </c>
      <c r="B8" s="5">
        <v>0</v>
      </c>
      <c r="C8" s="5">
        <v>0</v>
      </c>
      <c r="D8" s="5">
        <v>0</v>
      </c>
      <c r="E8" s="9">
        <v>0</v>
      </c>
      <c r="F8" s="223">
        <v>0</v>
      </c>
      <c r="G8" s="252">
        <f t="shared" si="11"/>
        <v>0</v>
      </c>
      <c r="H8" s="14">
        <v>0</v>
      </c>
      <c r="I8" s="231">
        <v>0</v>
      </c>
      <c r="J8" s="236">
        <f t="shared" si="0"/>
        <v>0</v>
      </c>
      <c r="K8" s="171">
        <v>0</v>
      </c>
      <c r="L8" s="231">
        <v>0</v>
      </c>
      <c r="M8" s="236">
        <f t="shared" si="1"/>
        <v>0</v>
      </c>
      <c r="N8" s="14">
        <v>0</v>
      </c>
      <c r="O8" s="231">
        <v>0</v>
      </c>
      <c r="P8" s="236">
        <f t="shared" si="2"/>
        <v>0</v>
      </c>
      <c r="Q8" s="14">
        <v>0</v>
      </c>
      <c r="R8" s="231">
        <v>0</v>
      </c>
      <c r="S8" s="236">
        <f t="shared" si="3"/>
        <v>0</v>
      </c>
      <c r="T8" s="14">
        <v>0</v>
      </c>
      <c r="U8" s="231">
        <v>0</v>
      </c>
      <c r="V8" s="236">
        <f t="shared" si="4"/>
        <v>0</v>
      </c>
      <c r="W8" s="14">
        <v>0</v>
      </c>
      <c r="X8" s="231">
        <v>0</v>
      </c>
      <c r="Y8" s="236">
        <f t="shared" si="5"/>
        <v>0</v>
      </c>
      <c r="Z8" s="14">
        <v>0</v>
      </c>
      <c r="AA8" s="231">
        <v>0</v>
      </c>
      <c r="AB8" s="236">
        <f t="shared" si="6"/>
        <v>0</v>
      </c>
      <c r="AC8" s="14">
        <v>0</v>
      </c>
      <c r="AD8" s="231">
        <v>0</v>
      </c>
      <c r="AE8" s="236">
        <f t="shared" si="7"/>
        <v>0</v>
      </c>
      <c r="AF8" s="14">
        <v>0</v>
      </c>
      <c r="AG8" s="231">
        <v>0</v>
      </c>
      <c r="AH8" s="236">
        <f t="shared" si="8"/>
        <v>0</v>
      </c>
      <c r="AI8" s="14">
        <v>0</v>
      </c>
      <c r="AJ8" s="231">
        <v>0</v>
      </c>
      <c r="AK8" s="236">
        <f t="shared" si="9"/>
        <v>0</v>
      </c>
      <c r="AL8" s="14">
        <v>0</v>
      </c>
      <c r="AM8" s="231">
        <v>0</v>
      </c>
      <c r="AN8" s="236">
        <f t="shared" si="10"/>
        <v>0</v>
      </c>
    </row>
    <row r="9" spans="1:40" x14ac:dyDescent="0.3">
      <c r="A9" s="25" t="s">
        <v>264</v>
      </c>
      <c r="B9" s="5">
        <v>0</v>
      </c>
      <c r="C9" s="5">
        <v>0</v>
      </c>
      <c r="D9" s="5">
        <v>0</v>
      </c>
      <c r="E9" s="9">
        <v>0</v>
      </c>
      <c r="F9" s="223">
        <v>0</v>
      </c>
      <c r="G9" s="252">
        <f t="shared" si="11"/>
        <v>0</v>
      </c>
      <c r="H9" s="14">
        <v>0</v>
      </c>
      <c r="I9" s="231">
        <v>0</v>
      </c>
      <c r="J9" s="236">
        <f t="shared" si="0"/>
        <v>0</v>
      </c>
      <c r="K9" s="171">
        <v>0</v>
      </c>
      <c r="L9" s="231">
        <v>0</v>
      </c>
      <c r="M9" s="236">
        <f t="shared" si="1"/>
        <v>0</v>
      </c>
      <c r="N9" s="14">
        <v>0</v>
      </c>
      <c r="O9" s="231">
        <v>0</v>
      </c>
      <c r="P9" s="236">
        <f t="shared" si="2"/>
        <v>0</v>
      </c>
      <c r="Q9" s="14">
        <v>0</v>
      </c>
      <c r="R9" s="231">
        <v>0</v>
      </c>
      <c r="S9" s="236">
        <f t="shared" si="3"/>
        <v>0</v>
      </c>
      <c r="T9" s="14">
        <v>0</v>
      </c>
      <c r="U9" s="231">
        <v>0</v>
      </c>
      <c r="V9" s="236">
        <f t="shared" si="4"/>
        <v>0</v>
      </c>
      <c r="W9" s="14">
        <v>0</v>
      </c>
      <c r="X9" s="231">
        <v>0</v>
      </c>
      <c r="Y9" s="236">
        <f t="shared" si="5"/>
        <v>0</v>
      </c>
      <c r="Z9" s="14">
        <v>0</v>
      </c>
      <c r="AA9" s="231">
        <v>0</v>
      </c>
      <c r="AB9" s="236">
        <f t="shared" si="6"/>
        <v>0</v>
      </c>
      <c r="AC9" s="14">
        <v>0</v>
      </c>
      <c r="AD9" s="231">
        <v>0</v>
      </c>
      <c r="AE9" s="236">
        <f t="shared" si="7"/>
        <v>0</v>
      </c>
      <c r="AF9" s="14">
        <v>0</v>
      </c>
      <c r="AG9" s="231">
        <v>0</v>
      </c>
      <c r="AH9" s="236">
        <f t="shared" si="8"/>
        <v>0</v>
      </c>
      <c r="AI9" s="14">
        <v>0</v>
      </c>
      <c r="AJ9" s="231">
        <v>0</v>
      </c>
      <c r="AK9" s="236">
        <f t="shared" si="9"/>
        <v>0</v>
      </c>
      <c r="AL9" s="14">
        <v>0</v>
      </c>
      <c r="AM9" s="231">
        <v>0</v>
      </c>
      <c r="AN9" s="236">
        <f t="shared" si="10"/>
        <v>0</v>
      </c>
    </row>
    <row r="10" spans="1:40" x14ac:dyDescent="0.3">
      <c r="A10" s="25" t="s">
        <v>265</v>
      </c>
      <c r="B10" s="5">
        <v>0</v>
      </c>
      <c r="C10" s="5">
        <v>0</v>
      </c>
      <c r="D10" s="5">
        <v>0</v>
      </c>
      <c r="E10" s="9">
        <v>0</v>
      </c>
      <c r="F10" s="223">
        <v>0</v>
      </c>
      <c r="G10" s="252">
        <f t="shared" si="11"/>
        <v>0</v>
      </c>
      <c r="H10" s="14">
        <v>0</v>
      </c>
      <c r="I10" s="231">
        <v>0</v>
      </c>
      <c r="J10" s="236">
        <f t="shared" si="0"/>
        <v>0</v>
      </c>
      <c r="K10" s="171">
        <v>0</v>
      </c>
      <c r="L10" s="231">
        <v>0</v>
      </c>
      <c r="M10" s="236">
        <f t="shared" si="1"/>
        <v>0</v>
      </c>
      <c r="N10" s="14">
        <v>0</v>
      </c>
      <c r="O10" s="231">
        <v>0</v>
      </c>
      <c r="P10" s="236">
        <f t="shared" si="2"/>
        <v>0</v>
      </c>
      <c r="Q10" s="14">
        <v>0</v>
      </c>
      <c r="R10" s="231">
        <v>0</v>
      </c>
      <c r="S10" s="236">
        <f t="shared" si="3"/>
        <v>0</v>
      </c>
      <c r="T10" s="14">
        <v>0</v>
      </c>
      <c r="U10" s="231">
        <v>0</v>
      </c>
      <c r="V10" s="236">
        <f t="shared" si="4"/>
        <v>0</v>
      </c>
      <c r="W10" s="14">
        <v>0</v>
      </c>
      <c r="X10" s="231">
        <v>0</v>
      </c>
      <c r="Y10" s="236">
        <f t="shared" si="5"/>
        <v>0</v>
      </c>
      <c r="Z10" s="14">
        <v>0</v>
      </c>
      <c r="AA10" s="231">
        <v>0</v>
      </c>
      <c r="AB10" s="236">
        <f t="shared" si="6"/>
        <v>0</v>
      </c>
      <c r="AC10" s="14">
        <v>0</v>
      </c>
      <c r="AD10" s="231">
        <v>0</v>
      </c>
      <c r="AE10" s="236">
        <f t="shared" si="7"/>
        <v>0</v>
      </c>
      <c r="AF10" s="14">
        <v>0</v>
      </c>
      <c r="AG10" s="231">
        <v>0</v>
      </c>
      <c r="AH10" s="236">
        <f t="shared" si="8"/>
        <v>0</v>
      </c>
      <c r="AI10" s="14">
        <v>0</v>
      </c>
      <c r="AJ10" s="231">
        <v>0</v>
      </c>
      <c r="AK10" s="236">
        <f t="shared" si="9"/>
        <v>0</v>
      </c>
      <c r="AL10" s="14">
        <v>0</v>
      </c>
      <c r="AM10" s="231">
        <v>0</v>
      </c>
      <c r="AN10" s="236">
        <f t="shared" si="10"/>
        <v>0</v>
      </c>
    </row>
    <row r="11" spans="1:40" x14ac:dyDescent="0.3">
      <c r="A11" s="25" t="s">
        <v>266</v>
      </c>
      <c r="B11" s="5">
        <v>0</v>
      </c>
      <c r="C11" s="5">
        <v>0</v>
      </c>
      <c r="D11" s="5">
        <v>0</v>
      </c>
      <c r="E11" s="5">
        <v>0</v>
      </c>
      <c r="F11" s="223">
        <v>0</v>
      </c>
      <c r="G11" s="280">
        <f t="shared" si="11"/>
        <v>0</v>
      </c>
      <c r="H11" s="13">
        <v>0</v>
      </c>
      <c r="I11" s="231">
        <v>0</v>
      </c>
      <c r="J11" s="268">
        <f t="shared" si="0"/>
        <v>0</v>
      </c>
      <c r="K11" s="25">
        <v>0</v>
      </c>
      <c r="L11" s="231">
        <v>0</v>
      </c>
      <c r="M11" s="268">
        <f t="shared" si="1"/>
        <v>0</v>
      </c>
      <c r="N11" s="13">
        <v>0</v>
      </c>
      <c r="O11" s="231">
        <v>0</v>
      </c>
      <c r="P11" s="268">
        <f t="shared" si="2"/>
        <v>0</v>
      </c>
      <c r="Q11" s="13">
        <v>0</v>
      </c>
      <c r="R11" s="231">
        <v>0</v>
      </c>
      <c r="S11" s="268">
        <f t="shared" si="3"/>
        <v>0</v>
      </c>
      <c r="T11" s="13">
        <v>0</v>
      </c>
      <c r="U11" s="231">
        <v>0</v>
      </c>
      <c r="V11" s="268">
        <f t="shared" si="4"/>
        <v>0</v>
      </c>
      <c r="W11" s="13">
        <v>0</v>
      </c>
      <c r="X11" s="231">
        <v>0</v>
      </c>
      <c r="Y11" s="268">
        <f t="shared" si="5"/>
        <v>0</v>
      </c>
      <c r="Z11" s="13">
        <v>0</v>
      </c>
      <c r="AA11" s="231">
        <v>0</v>
      </c>
      <c r="AB11" s="268">
        <f t="shared" si="6"/>
        <v>0</v>
      </c>
      <c r="AC11" s="13">
        <v>0</v>
      </c>
      <c r="AD11" s="231">
        <v>0</v>
      </c>
      <c r="AE11" s="268">
        <f t="shared" si="7"/>
        <v>0</v>
      </c>
      <c r="AF11" s="13">
        <v>0</v>
      </c>
      <c r="AG11" s="231">
        <v>0</v>
      </c>
      <c r="AH11" s="268">
        <f t="shared" si="8"/>
        <v>0</v>
      </c>
      <c r="AI11" s="13">
        <v>0</v>
      </c>
      <c r="AJ11" s="231">
        <v>0</v>
      </c>
      <c r="AK11" s="268">
        <f t="shared" si="9"/>
        <v>0</v>
      </c>
      <c r="AL11" s="13">
        <v>0</v>
      </c>
      <c r="AM11" s="231">
        <v>0</v>
      </c>
      <c r="AN11" s="268">
        <f t="shared" si="10"/>
        <v>0</v>
      </c>
    </row>
    <row r="12" spans="1:40" x14ac:dyDescent="0.3">
      <c r="A12" s="5"/>
      <c r="B12" s="5">
        <v>0</v>
      </c>
      <c r="C12" s="5">
        <v>0</v>
      </c>
      <c r="D12" s="5">
        <v>0</v>
      </c>
      <c r="E12" s="5">
        <v>0</v>
      </c>
      <c r="F12" s="223">
        <v>0</v>
      </c>
      <c r="G12" s="280">
        <f t="shared" si="11"/>
        <v>0</v>
      </c>
      <c r="H12" s="13">
        <v>0</v>
      </c>
      <c r="I12" s="231">
        <v>0</v>
      </c>
      <c r="J12" s="268">
        <f t="shared" si="0"/>
        <v>0</v>
      </c>
      <c r="K12" s="13">
        <v>0</v>
      </c>
      <c r="L12" s="231">
        <v>0</v>
      </c>
      <c r="M12" s="268">
        <f t="shared" si="1"/>
        <v>0</v>
      </c>
      <c r="N12" s="13">
        <v>0</v>
      </c>
      <c r="O12" s="231">
        <v>0</v>
      </c>
      <c r="P12" s="268">
        <f t="shared" si="2"/>
        <v>0</v>
      </c>
      <c r="Q12" s="13">
        <v>0</v>
      </c>
      <c r="R12" s="231">
        <v>0</v>
      </c>
      <c r="S12" s="268">
        <f t="shared" si="3"/>
        <v>0</v>
      </c>
      <c r="T12" s="13">
        <v>0</v>
      </c>
      <c r="U12" s="231">
        <v>0</v>
      </c>
      <c r="V12" s="268">
        <f t="shared" si="4"/>
        <v>0</v>
      </c>
      <c r="W12" s="13">
        <v>0</v>
      </c>
      <c r="X12" s="231">
        <v>0</v>
      </c>
      <c r="Y12" s="268">
        <f t="shared" si="5"/>
        <v>0</v>
      </c>
      <c r="Z12" s="13">
        <v>0</v>
      </c>
      <c r="AA12" s="231">
        <v>0</v>
      </c>
      <c r="AB12" s="268">
        <f t="shared" si="6"/>
        <v>0</v>
      </c>
      <c r="AC12" s="13">
        <v>0</v>
      </c>
      <c r="AD12" s="231">
        <v>0</v>
      </c>
      <c r="AE12" s="268">
        <f t="shared" si="7"/>
        <v>0</v>
      </c>
      <c r="AF12" s="13">
        <v>0</v>
      </c>
      <c r="AG12" s="231">
        <v>0</v>
      </c>
      <c r="AH12" s="268">
        <f t="shared" si="8"/>
        <v>0</v>
      </c>
      <c r="AI12" s="13">
        <v>0</v>
      </c>
      <c r="AJ12" s="231">
        <v>0</v>
      </c>
      <c r="AK12" s="268">
        <f t="shared" si="9"/>
        <v>0</v>
      </c>
      <c r="AL12" s="13">
        <v>0</v>
      </c>
      <c r="AM12" s="231">
        <v>0</v>
      </c>
      <c r="AN12" s="268">
        <f t="shared" si="10"/>
        <v>0</v>
      </c>
    </row>
    <row r="13" spans="1:40" x14ac:dyDescent="0.3">
      <c r="A13" s="5"/>
      <c r="B13" s="5">
        <v>0</v>
      </c>
      <c r="C13" s="5">
        <v>0</v>
      </c>
      <c r="D13" s="5">
        <v>0</v>
      </c>
      <c r="E13" s="5">
        <v>0</v>
      </c>
      <c r="F13" s="223">
        <v>0</v>
      </c>
      <c r="G13" s="280">
        <f t="shared" si="11"/>
        <v>0</v>
      </c>
      <c r="H13" s="13">
        <v>0</v>
      </c>
      <c r="I13" s="232">
        <v>0</v>
      </c>
      <c r="J13" s="236">
        <f t="shared" si="0"/>
        <v>0</v>
      </c>
      <c r="K13" s="13">
        <v>0</v>
      </c>
      <c r="L13" s="232">
        <v>0</v>
      </c>
      <c r="M13" s="236">
        <f t="shared" si="1"/>
        <v>0</v>
      </c>
      <c r="N13" s="13">
        <v>0</v>
      </c>
      <c r="O13" s="232">
        <v>0</v>
      </c>
      <c r="P13" s="236">
        <f t="shared" si="2"/>
        <v>0</v>
      </c>
      <c r="Q13" s="13">
        <v>0</v>
      </c>
      <c r="R13" s="232">
        <v>0</v>
      </c>
      <c r="S13" s="236">
        <f t="shared" si="3"/>
        <v>0</v>
      </c>
      <c r="T13" s="13">
        <v>0</v>
      </c>
      <c r="U13" s="232">
        <v>0</v>
      </c>
      <c r="V13" s="236">
        <f t="shared" si="4"/>
        <v>0</v>
      </c>
      <c r="W13" s="13">
        <v>0</v>
      </c>
      <c r="X13" s="232">
        <v>0</v>
      </c>
      <c r="Y13" s="236">
        <f t="shared" si="5"/>
        <v>0</v>
      </c>
      <c r="Z13" s="13">
        <v>0</v>
      </c>
      <c r="AA13" s="232">
        <v>0</v>
      </c>
      <c r="AB13" s="236">
        <f t="shared" si="6"/>
        <v>0</v>
      </c>
      <c r="AC13" s="13">
        <v>0</v>
      </c>
      <c r="AD13" s="232">
        <v>0</v>
      </c>
      <c r="AE13" s="236">
        <f t="shared" si="7"/>
        <v>0</v>
      </c>
      <c r="AF13" s="13">
        <v>0</v>
      </c>
      <c r="AG13" s="232">
        <v>0</v>
      </c>
      <c r="AH13" s="236">
        <f t="shared" si="8"/>
        <v>0</v>
      </c>
      <c r="AI13" s="13">
        <v>0</v>
      </c>
      <c r="AJ13" s="232">
        <v>0</v>
      </c>
      <c r="AK13" s="236">
        <f t="shared" si="9"/>
        <v>0</v>
      </c>
      <c r="AL13" s="13">
        <v>0</v>
      </c>
      <c r="AM13" s="232">
        <v>0</v>
      </c>
      <c r="AN13" s="236">
        <f t="shared" si="10"/>
        <v>0</v>
      </c>
    </row>
    <row r="14" spans="1:40" ht="16.2" x14ac:dyDescent="0.45">
      <c r="A14" s="91"/>
      <c r="B14" s="91"/>
      <c r="C14" s="91"/>
      <c r="D14" s="91"/>
      <c r="E14" s="91"/>
      <c r="F14" s="195" t="s">
        <v>8</v>
      </c>
      <c r="G14" s="281">
        <f>SUM(G6:G13)</f>
        <v>0</v>
      </c>
      <c r="H14" s="12"/>
      <c r="I14" s="191" t="s">
        <v>8</v>
      </c>
      <c r="J14" s="269">
        <f>SUM(J6:J13)</f>
        <v>0</v>
      </c>
      <c r="K14" s="12"/>
      <c r="L14" s="191" t="s">
        <v>8</v>
      </c>
      <c r="M14" s="269">
        <f>SUM(M6:M13)</f>
        <v>3</v>
      </c>
      <c r="N14" s="12"/>
      <c r="O14" s="191" t="s">
        <v>8</v>
      </c>
      <c r="P14" s="269">
        <f>SUM(P6:P13)</f>
        <v>0</v>
      </c>
      <c r="Q14" s="12"/>
      <c r="R14" s="191" t="s">
        <v>8</v>
      </c>
      <c r="S14" s="269">
        <f>SUM(S6:S13)</f>
        <v>0</v>
      </c>
      <c r="T14" s="12"/>
      <c r="U14" s="191" t="s">
        <v>8</v>
      </c>
      <c r="V14" s="269">
        <f>SUM(V6:V13)</f>
        <v>0</v>
      </c>
      <c r="W14" s="12"/>
      <c r="X14" s="191" t="s">
        <v>8</v>
      </c>
      <c r="Y14" s="269">
        <f>SUM(Y6:Y13)</f>
        <v>0</v>
      </c>
      <c r="Z14" s="12"/>
      <c r="AA14" s="191" t="s">
        <v>8</v>
      </c>
      <c r="AB14" s="269">
        <f>SUM(AB6:AB13)</f>
        <v>0</v>
      </c>
      <c r="AC14" s="12"/>
      <c r="AD14" s="191" t="s">
        <v>8</v>
      </c>
      <c r="AE14" s="269">
        <f>SUM(AE6:AE13)</f>
        <v>0</v>
      </c>
      <c r="AF14" s="12"/>
      <c r="AG14" s="191" t="s">
        <v>8</v>
      </c>
      <c r="AH14" s="269">
        <f>SUM(AH6:AH13)</f>
        <v>0</v>
      </c>
      <c r="AI14" s="12"/>
      <c r="AJ14" s="191" t="s">
        <v>8</v>
      </c>
      <c r="AK14" s="269">
        <f>SUM(AK6:AK13)</f>
        <v>0</v>
      </c>
      <c r="AL14" s="12"/>
      <c r="AM14" s="191" t="s">
        <v>8</v>
      </c>
      <c r="AN14" s="269">
        <f>SUM(AN6:AN13)</f>
        <v>0</v>
      </c>
    </row>
  </sheetData>
  <mergeCells count="1">
    <mergeCell ref="D2:D3"/>
  </mergeCells>
  <hyperlinks>
    <hyperlink ref="A2" location="Menu!A1" display="Menu" xr:uid="{00000000-0004-0000-1800-000000000000}"/>
  </hyperlinks>
  <pageMargins left="0.511811024" right="0.511811024" top="0.78740157499999996" bottom="0.78740157499999996" header="0.31496062000000002" footer="0.3149606200000000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Plan14"/>
  <dimension ref="A1:N20"/>
  <sheetViews>
    <sheetView workbookViewId="0">
      <selection activeCell="A2" sqref="A2"/>
    </sheetView>
  </sheetViews>
  <sheetFormatPr defaultColWidth="9.109375" defaultRowHeight="14.4" x14ac:dyDescent="0.3"/>
  <cols>
    <col min="1" max="1" width="22.44140625" style="37" bestFit="1" customWidth="1"/>
    <col min="2" max="2" width="13.44140625" style="37" bestFit="1" customWidth="1"/>
    <col min="3" max="14" width="12.6640625" style="37" customWidth="1"/>
    <col min="15" max="16384" width="9.109375" style="37"/>
  </cols>
  <sheetData>
    <row r="1" spans="1:14" ht="15" thickBot="1" x14ac:dyDescent="0.35"/>
    <row r="2" spans="1:14" ht="29.4" thickBot="1" x14ac:dyDescent="0.6">
      <c r="A2" s="645" t="s">
        <v>110</v>
      </c>
    </row>
    <row r="3" spans="1:14" ht="28.8" x14ac:dyDescent="0.3">
      <c r="A3" s="524" t="s">
        <v>48</v>
      </c>
      <c r="B3" s="525"/>
    </row>
    <row r="4" spans="1:14" ht="21" x14ac:dyDescent="0.3">
      <c r="A4" s="526"/>
      <c r="B4" s="527"/>
      <c r="C4" s="737" t="s">
        <v>54</v>
      </c>
      <c r="D4" s="737" t="s">
        <v>55</v>
      </c>
      <c r="E4" s="737" t="s">
        <v>56</v>
      </c>
      <c r="F4" s="737" t="s">
        <v>57</v>
      </c>
      <c r="G4" s="737" t="s">
        <v>58</v>
      </c>
      <c r="H4" s="737" t="s">
        <v>59</v>
      </c>
      <c r="I4" s="737" t="s">
        <v>60</v>
      </c>
      <c r="J4" s="737" t="s">
        <v>61</v>
      </c>
      <c r="K4" s="737" t="s">
        <v>62</v>
      </c>
      <c r="L4" s="737" t="s">
        <v>63</v>
      </c>
      <c r="M4" s="737" t="s">
        <v>64</v>
      </c>
      <c r="N4" s="737" t="s">
        <v>65</v>
      </c>
    </row>
    <row r="5" spans="1:14" x14ac:dyDescent="0.3">
      <c r="A5" s="528" t="s">
        <v>1</v>
      </c>
      <c r="B5" s="528" t="s">
        <v>19</v>
      </c>
      <c r="C5" s="737"/>
      <c r="D5" s="737"/>
      <c r="E5" s="737"/>
      <c r="F5" s="737"/>
      <c r="G5" s="737"/>
      <c r="H5" s="737"/>
      <c r="I5" s="737"/>
      <c r="J5" s="737"/>
      <c r="K5" s="737"/>
      <c r="L5" s="737"/>
      <c r="M5" s="737"/>
      <c r="N5" s="737"/>
    </row>
    <row r="6" spans="1:14" x14ac:dyDescent="0.3">
      <c r="A6" s="528"/>
      <c r="B6" s="529"/>
      <c r="C6" s="530">
        <v>0</v>
      </c>
      <c r="D6" s="530">
        <v>0</v>
      </c>
      <c r="E6" s="530">
        <v>0</v>
      </c>
      <c r="F6" s="530">
        <v>0</v>
      </c>
      <c r="G6" s="530">
        <v>0</v>
      </c>
      <c r="H6" s="530">
        <v>0</v>
      </c>
      <c r="I6" s="530">
        <v>0</v>
      </c>
      <c r="J6" s="530">
        <v>0</v>
      </c>
      <c r="K6" s="530">
        <v>0</v>
      </c>
      <c r="L6" s="530">
        <v>0</v>
      </c>
      <c r="M6" s="530">
        <v>0</v>
      </c>
      <c r="N6" s="530">
        <v>0</v>
      </c>
    </row>
    <row r="7" spans="1:14" x14ac:dyDescent="0.3">
      <c r="A7" s="528"/>
      <c r="B7" s="528"/>
      <c r="C7" s="530">
        <v>0</v>
      </c>
      <c r="D7" s="530">
        <v>0</v>
      </c>
      <c r="E7" s="530">
        <v>0</v>
      </c>
      <c r="F7" s="530">
        <v>0</v>
      </c>
      <c r="G7" s="530">
        <v>0</v>
      </c>
      <c r="H7" s="530">
        <v>0</v>
      </c>
      <c r="I7" s="530">
        <v>0</v>
      </c>
      <c r="J7" s="530">
        <v>0</v>
      </c>
      <c r="K7" s="530">
        <v>0</v>
      </c>
      <c r="L7" s="530">
        <v>0</v>
      </c>
      <c r="M7" s="530">
        <v>0</v>
      </c>
      <c r="N7" s="530">
        <v>0</v>
      </c>
    </row>
    <row r="8" spans="1:14" x14ac:dyDescent="0.3">
      <c r="A8" s="528"/>
      <c r="B8" s="531"/>
      <c r="C8" s="530">
        <v>0</v>
      </c>
      <c r="D8" s="530">
        <v>0</v>
      </c>
      <c r="E8" s="530">
        <v>0</v>
      </c>
      <c r="F8" s="530">
        <v>0</v>
      </c>
      <c r="G8" s="530">
        <v>0</v>
      </c>
      <c r="H8" s="530">
        <v>0</v>
      </c>
      <c r="I8" s="530">
        <v>0</v>
      </c>
      <c r="J8" s="530">
        <v>0</v>
      </c>
      <c r="K8" s="530">
        <v>0</v>
      </c>
      <c r="L8" s="530">
        <v>0</v>
      </c>
      <c r="M8" s="530">
        <v>0</v>
      </c>
      <c r="N8" s="530">
        <v>0</v>
      </c>
    </row>
    <row r="9" spans="1:14" x14ac:dyDescent="0.3">
      <c r="A9" s="528"/>
      <c r="B9" s="531"/>
      <c r="C9" s="530">
        <v>0</v>
      </c>
      <c r="D9" s="530">
        <v>0</v>
      </c>
      <c r="E9" s="530">
        <v>0</v>
      </c>
      <c r="F9" s="530">
        <v>0</v>
      </c>
      <c r="G9" s="530">
        <v>0</v>
      </c>
      <c r="H9" s="530">
        <v>0</v>
      </c>
      <c r="I9" s="530">
        <v>0</v>
      </c>
      <c r="J9" s="530">
        <v>0</v>
      </c>
      <c r="K9" s="530">
        <v>0</v>
      </c>
      <c r="L9" s="530">
        <v>0</v>
      </c>
      <c r="M9" s="530">
        <v>0</v>
      </c>
      <c r="N9" s="530">
        <v>0</v>
      </c>
    </row>
    <row r="10" spans="1:14" x14ac:dyDescent="0.3">
      <c r="A10" s="528"/>
      <c r="B10" s="531"/>
      <c r="C10" s="530">
        <v>0</v>
      </c>
      <c r="D10" s="530">
        <v>0</v>
      </c>
      <c r="E10" s="530">
        <v>0</v>
      </c>
      <c r="F10" s="530">
        <v>0</v>
      </c>
      <c r="G10" s="530">
        <v>0</v>
      </c>
      <c r="H10" s="530">
        <v>0</v>
      </c>
      <c r="I10" s="530">
        <v>0</v>
      </c>
      <c r="J10" s="530">
        <v>0</v>
      </c>
      <c r="K10" s="530">
        <v>0</v>
      </c>
      <c r="L10" s="530">
        <v>0</v>
      </c>
      <c r="M10" s="530">
        <v>0</v>
      </c>
      <c r="N10" s="530">
        <v>0</v>
      </c>
    </row>
    <row r="11" spans="1:14" x14ac:dyDescent="0.3">
      <c r="A11" s="532"/>
      <c r="B11" s="531"/>
      <c r="C11" s="530">
        <v>0</v>
      </c>
      <c r="D11" s="530">
        <v>0</v>
      </c>
      <c r="E11" s="530">
        <v>0</v>
      </c>
      <c r="F11" s="530">
        <v>0</v>
      </c>
      <c r="G11" s="530">
        <v>0</v>
      </c>
      <c r="H11" s="530">
        <v>0</v>
      </c>
      <c r="I11" s="530">
        <v>0</v>
      </c>
      <c r="J11" s="530">
        <v>0</v>
      </c>
      <c r="K11" s="530">
        <v>0</v>
      </c>
      <c r="L11" s="530">
        <v>0</v>
      </c>
      <c r="M11" s="530">
        <v>0</v>
      </c>
      <c r="N11" s="530">
        <v>0</v>
      </c>
    </row>
    <row r="12" spans="1:14" x14ac:dyDescent="0.3">
      <c r="A12" s="531"/>
      <c r="B12" s="531"/>
      <c r="C12" s="530">
        <v>0</v>
      </c>
      <c r="D12" s="530">
        <v>0</v>
      </c>
      <c r="E12" s="530">
        <v>0</v>
      </c>
      <c r="F12" s="530">
        <v>0</v>
      </c>
      <c r="G12" s="530">
        <v>0</v>
      </c>
      <c r="H12" s="530">
        <v>0</v>
      </c>
      <c r="I12" s="530">
        <v>0</v>
      </c>
      <c r="J12" s="530">
        <v>0</v>
      </c>
      <c r="K12" s="530">
        <v>0</v>
      </c>
      <c r="L12" s="530">
        <v>0</v>
      </c>
      <c r="M12" s="530">
        <v>0</v>
      </c>
      <c r="N12" s="530">
        <v>0</v>
      </c>
    </row>
    <row r="13" spans="1:14" x14ac:dyDescent="0.3">
      <c r="A13" s="532"/>
      <c r="B13" s="531"/>
      <c r="C13" s="530">
        <v>0</v>
      </c>
      <c r="D13" s="530">
        <v>0</v>
      </c>
      <c r="E13" s="530">
        <v>0</v>
      </c>
      <c r="F13" s="530">
        <v>0</v>
      </c>
      <c r="G13" s="530">
        <v>0</v>
      </c>
      <c r="H13" s="530">
        <v>0</v>
      </c>
      <c r="I13" s="530">
        <v>0</v>
      </c>
      <c r="J13" s="530">
        <v>0</v>
      </c>
      <c r="K13" s="530">
        <v>0</v>
      </c>
      <c r="L13" s="530">
        <v>0</v>
      </c>
      <c r="M13" s="530">
        <v>0</v>
      </c>
      <c r="N13" s="530">
        <v>0</v>
      </c>
    </row>
    <row r="14" spans="1:14" x14ac:dyDescent="0.3">
      <c r="A14" s="531"/>
      <c r="B14" s="531"/>
      <c r="C14" s="530">
        <v>0</v>
      </c>
      <c r="D14" s="530">
        <v>0</v>
      </c>
      <c r="E14" s="530">
        <v>0</v>
      </c>
      <c r="F14" s="530">
        <v>0</v>
      </c>
      <c r="G14" s="530">
        <v>0</v>
      </c>
      <c r="H14" s="530">
        <v>0</v>
      </c>
      <c r="I14" s="530">
        <v>0</v>
      </c>
      <c r="J14" s="530">
        <v>0</v>
      </c>
      <c r="K14" s="530">
        <v>0</v>
      </c>
      <c r="L14" s="530">
        <v>0</v>
      </c>
      <c r="M14" s="530">
        <v>0</v>
      </c>
      <c r="N14" s="530">
        <v>0</v>
      </c>
    </row>
    <row r="15" spans="1:14" x14ac:dyDescent="0.3">
      <c r="A15" s="531"/>
      <c r="B15" s="531"/>
      <c r="C15" s="530">
        <v>0</v>
      </c>
      <c r="D15" s="530">
        <v>0</v>
      </c>
      <c r="E15" s="530">
        <v>0</v>
      </c>
      <c r="F15" s="530">
        <v>0</v>
      </c>
      <c r="G15" s="530">
        <v>0</v>
      </c>
      <c r="H15" s="530">
        <v>0</v>
      </c>
      <c r="I15" s="530">
        <v>0</v>
      </c>
      <c r="J15" s="530">
        <v>0</v>
      </c>
      <c r="K15" s="530">
        <v>0</v>
      </c>
      <c r="L15" s="530">
        <v>0</v>
      </c>
      <c r="M15" s="530">
        <v>0</v>
      </c>
      <c r="N15" s="530">
        <v>0</v>
      </c>
    </row>
    <row r="16" spans="1:14" x14ac:dyDescent="0.3">
      <c r="A16" s="531"/>
      <c r="B16" s="531"/>
      <c r="C16" s="530">
        <v>0</v>
      </c>
      <c r="D16" s="530">
        <v>0</v>
      </c>
      <c r="E16" s="530">
        <v>0</v>
      </c>
      <c r="F16" s="530">
        <v>0</v>
      </c>
      <c r="G16" s="530">
        <v>0</v>
      </c>
      <c r="H16" s="530">
        <v>0</v>
      </c>
      <c r="I16" s="530">
        <v>0</v>
      </c>
      <c r="J16" s="530">
        <v>0</v>
      </c>
      <c r="K16" s="530">
        <v>0</v>
      </c>
      <c r="L16" s="530">
        <v>0</v>
      </c>
      <c r="M16" s="530">
        <v>0</v>
      </c>
      <c r="N16" s="530">
        <v>0</v>
      </c>
    </row>
    <row r="17" spans="1:14" x14ac:dyDescent="0.3">
      <c r="A17" s="531"/>
      <c r="B17" s="531"/>
      <c r="C17" s="530">
        <v>0</v>
      </c>
      <c r="D17" s="530">
        <v>0</v>
      </c>
      <c r="E17" s="530">
        <v>0</v>
      </c>
      <c r="F17" s="530">
        <v>0</v>
      </c>
      <c r="G17" s="530">
        <v>0</v>
      </c>
      <c r="H17" s="530">
        <v>0</v>
      </c>
      <c r="I17" s="530">
        <v>0</v>
      </c>
      <c r="J17" s="530">
        <v>0</v>
      </c>
      <c r="K17" s="530">
        <v>0</v>
      </c>
      <c r="L17" s="530">
        <v>0</v>
      </c>
      <c r="M17" s="530">
        <v>0</v>
      </c>
      <c r="N17" s="530">
        <v>0</v>
      </c>
    </row>
    <row r="18" spans="1:14" x14ac:dyDescent="0.3">
      <c r="A18" s="531"/>
      <c r="B18" s="531"/>
      <c r="C18" s="530">
        <v>0</v>
      </c>
      <c r="D18" s="530">
        <v>0</v>
      </c>
      <c r="E18" s="530">
        <v>0</v>
      </c>
      <c r="F18" s="530">
        <v>0</v>
      </c>
      <c r="G18" s="530">
        <v>0</v>
      </c>
      <c r="H18" s="530">
        <v>0</v>
      </c>
      <c r="I18" s="530">
        <v>0</v>
      </c>
      <c r="J18" s="530">
        <v>0</v>
      </c>
      <c r="K18" s="530">
        <v>0</v>
      </c>
      <c r="L18" s="530">
        <v>0</v>
      </c>
      <c r="M18" s="530">
        <v>0</v>
      </c>
      <c r="N18" s="530">
        <v>0</v>
      </c>
    </row>
    <row r="19" spans="1:14" x14ac:dyDescent="0.3">
      <c r="A19" s="84"/>
      <c r="B19" s="533"/>
      <c r="C19" s="530">
        <v>0</v>
      </c>
      <c r="D19" s="530">
        <f t="shared" ref="D19" si="0">SUM(D6:D18)</f>
        <v>0</v>
      </c>
      <c r="E19" s="530">
        <v>0</v>
      </c>
      <c r="F19" s="530">
        <v>0</v>
      </c>
      <c r="G19" s="530">
        <v>0</v>
      </c>
      <c r="H19" s="530">
        <v>0</v>
      </c>
      <c r="I19" s="530">
        <v>0</v>
      </c>
      <c r="J19" s="530">
        <v>0</v>
      </c>
      <c r="K19" s="530">
        <v>0</v>
      </c>
      <c r="L19" s="530">
        <v>0</v>
      </c>
      <c r="M19" s="530">
        <v>0</v>
      </c>
      <c r="N19" s="530">
        <v>0</v>
      </c>
    </row>
    <row r="20" spans="1:14" x14ac:dyDescent="0.3">
      <c r="A20" s="738" t="s">
        <v>8</v>
      </c>
      <c r="B20" s="738"/>
      <c r="C20" s="534">
        <f>SUM(C6:C19)</f>
        <v>0</v>
      </c>
      <c r="D20" s="535">
        <f>SUM(D19)</f>
        <v>0</v>
      </c>
      <c r="E20" s="536">
        <f t="shared" ref="E20:N20" si="1">SUM(E6:E19)</f>
        <v>0</v>
      </c>
      <c r="F20" s="534">
        <f t="shared" si="1"/>
        <v>0</v>
      </c>
      <c r="G20" s="536">
        <f t="shared" si="1"/>
        <v>0</v>
      </c>
      <c r="H20" s="536">
        <f t="shared" si="1"/>
        <v>0</v>
      </c>
      <c r="I20" s="534">
        <f t="shared" si="1"/>
        <v>0</v>
      </c>
      <c r="J20" s="536">
        <f t="shared" si="1"/>
        <v>0</v>
      </c>
      <c r="K20" s="536">
        <f t="shared" si="1"/>
        <v>0</v>
      </c>
      <c r="L20" s="534">
        <f t="shared" si="1"/>
        <v>0</v>
      </c>
      <c r="M20" s="536">
        <f t="shared" si="1"/>
        <v>0</v>
      </c>
      <c r="N20" s="536">
        <f t="shared" si="1"/>
        <v>0</v>
      </c>
    </row>
  </sheetData>
  <protectedRanges>
    <protectedRange sqref="A6:N19" name="Intervalo1"/>
  </protectedRanges>
  <mergeCells count="13">
    <mergeCell ref="M4:M5"/>
    <mergeCell ref="N4:N5"/>
    <mergeCell ref="A20:B20"/>
    <mergeCell ref="G4:G5"/>
    <mergeCell ref="H4:H5"/>
    <mergeCell ref="I4:I5"/>
    <mergeCell ref="J4:J5"/>
    <mergeCell ref="K4:K5"/>
    <mergeCell ref="L4:L5"/>
    <mergeCell ref="D4:D5"/>
    <mergeCell ref="C4:C5"/>
    <mergeCell ref="E4:E5"/>
    <mergeCell ref="F4:F5"/>
  </mergeCells>
  <hyperlinks>
    <hyperlink ref="A2" location="Menu!A1" display="Menu" xr:uid="{00000000-0004-0000-1900-000000000000}"/>
  </hyperlinks>
  <pageMargins left="0.511811024" right="0.511811024" top="0.78740157499999996" bottom="0.78740157499999996" header="0.31496062000000002" footer="0.3149606200000000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S21"/>
  <sheetViews>
    <sheetView workbookViewId="0">
      <pane xSplit="1" topLeftCell="B1" activePane="topRight" state="frozen"/>
      <selection pane="topRight" activeCell="A2" sqref="A2"/>
    </sheetView>
  </sheetViews>
  <sheetFormatPr defaultColWidth="9.109375" defaultRowHeight="14.4" x14ac:dyDescent="0.3"/>
  <cols>
    <col min="1" max="1" width="24" style="103" bestFit="1" customWidth="1"/>
    <col min="2" max="2" width="5" style="103" bestFit="1" customWidth="1"/>
    <col min="3" max="3" width="11.33203125" style="103" customWidth="1"/>
    <col min="4" max="4" width="12" style="103" customWidth="1"/>
    <col min="5" max="5" width="12.88671875" style="103" customWidth="1"/>
    <col min="6" max="6" width="11.6640625" style="103" customWidth="1"/>
    <col min="7" max="7" width="12.6640625" style="103" customWidth="1"/>
    <col min="8" max="8" width="11.6640625" style="103" bestFit="1" customWidth="1"/>
    <col min="9" max="9" width="11.44140625" style="103" customWidth="1"/>
    <col min="10" max="10" width="11" style="103" customWidth="1"/>
    <col min="11" max="11" width="12.44140625" style="103" customWidth="1"/>
    <col min="12" max="12" width="11.109375" style="103" customWidth="1"/>
    <col min="13" max="14" width="11.88671875" style="103" customWidth="1"/>
    <col min="15" max="15" width="9.109375" style="103"/>
    <col min="16" max="17" width="10.6640625" style="103" bestFit="1" customWidth="1"/>
    <col min="18" max="16384" width="9.109375" style="103"/>
  </cols>
  <sheetData>
    <row r="1" spans="1:19" ht="15" thickBot="1" x14ac:dyDescent="0.35"/>
    <row r="2" spans="1:19" ht="29.4" thickBot="1" x14ac:dyDescent="0.6">
      <c r="A2" s="646" t="s">
        <v>110</v>
      </c>
      <c r="B2" s="282"/>
      <c r="C2" s="403">
        <v>13</v>
      </c>
      <c r="P2" s="142"/>
      <c r="Q2" s="142"/>
      <c r="S2" s="37"/>
    </row>
    <row r="3" spans="1:19" ht="29.4" thickBot="1" x14ac:dyDescent="0.6">
      <c r="A3" s="297" t="s">
        <v>174</v>
      </c>
      <c r="B3" s="282"/>
      <c r="C3" s="37"/>
    </row>
    <row r="4" spans="1:19" ht="15" thickBot="1" x14ac:dyDescent="0.35"/>
    <row r="5" spans="1:19" ht="15" thickBot="1" x14ac:dyDescent="0.35">
      <c r="A5" s="292" t="s">
        <v>1</v>
      </c>
      <c r="B5" s="291" t="s">
        <v>19</v>
      </c>
      <c r="C5" s="739" t="s">
        <v>54</v>
      </c>
      <c r="D5" s="739" t="s">
        <v>55</v>
      </c>
      <c r="E5" s="739" t="s">
        <v>56</v>
      </c>
      <c r="F5" s="739" t="s">
        <v>57</v>
      </c>
      <c r="G5" s="739" t="s">
        <v>58</v>
      </c>
      <c r="H5" s="739" t="s">
        <v>59</v>
      </c>
      <c r="I5" s="739" t="s">
        <v>60</v>
      </c>
      <c r="J5" s="739" t="s">
        <v>61</v>
      </c>
      <c r="K5" s="739" t="s">
        <v>62</v>
      </c>
      <c r="L5" s="739" t="s">
        <v>63</v>
      </c>
      <c r="M5" s="739" t="s">
        <v>64</v>
      </c>
      <c r="N5" s="739" t="s">
        <v>65</v>
      </c>
    </row>
    <row r="6" spans="1:19" x14ac:dyDescent="0.3">
      <c r="A6" s="134"/>
      <c r="B6" s="293"/>
      <c r="C6" s="739"/>
      <c r="D6" s="739"/>
      <c r="E6" s="739"/>
      <c r="F6" s="739"/>
      <c r="G6" s="739"/>
      <c r="H6" s="739"/>
      <c r="I6" s="739"/>
      <c r="J6" s="739"/>
      <c r="K6" s="739"/>
      <c r="L6" s="739"/>
      <c r="M6" s="739"/>
      <c r="N6" s="739"/>
    </row>
    <row r="7" spans="1:19" x14ac:dyDescent="0.3">
      <c r="A7" s="134" t="s">
        <v>304</v>
      </c>
      <c r="B7" s="293"/>
      <c r="C7" s="73">
        <v>0</v>
      </c>
      <c r="D7" s="73">
        <v>0</v>
      </c>
      <c r="E7" s="73">
        <v>0</v>
      </c>
      <c r="F7" s="73">
        <v>0</v>
      </c>
      <c r="G7" s="73">
        <v>0</v>
      </c>
      <c r="H7" s="73">
        <v>14150</v>
      </c>
      <c r="I7" s="73">
        <v>13900</v>
      </c>
      <c r="J7" s="73">
        <v>0</v>
      </c>
      <c r="K7" s="73">
        <v>0</v>
      </c>
      <c r="L7" s="73">
        <v>0</v>
      </c>
      <c r="M7" s="73">
        <v>0</v>
      </c>
      <c r="N7" s="73">
        <v>0</v>
      </c>
    </row>
    <row r="8" spans="1:19" x14ac:dyDescent="0.3">
      <c r="A8" s="134" t="s">
        <v>305</v>
      </c>
      <c r="B8" s="293"/>
      <c r="C8" s="73">
        <v>0</v>
      </c>
      <c r="D8" s="73">
        <v>0</v>
      </c>
      <c r="E8" s="73">
        <v>0</v>
      </c>
      <c r="F8" s="73">
        <v>0</v>
      </c>
      <c r="G8" s="73">
        <v>0</v>
      </c>
      <c r="H8" s="73">
        <v>3750</v>
      </c>
      <c r="I8" s="73">
        <v>10500</v>
      </c>
      <c r="J8" s="73">
        <v>0</v>
      </c>
      <c r="K8" s="73">
        <v>0</v>
      </c>
      <c r="L8" s="73">
        <v>0</v>
      </c>
      <c r="M8" s="73">
        <v>0</v>
      </c>
      <c r="N8" s="73">
        <v>0</v>
      </c>
    </row>
    <row r="9" spans="1:19" x14ac:dyDescent="0.3">
      <c r="A9" s="134" t="s">
        <v>303</v>
      </c>
      <c r="B9" s="293"/>
      <c r="C9" s="73">
        <v>0</v>
      </c>
      <c r="D9" s="73">
        <v>0</v>
      </c>
      <c r="E9" s="73">
        <v>0</v>
      </c>
      <c r="F9" s="73">
        <v>0</v>
      </c>
      <c r="G9" s="73">
        <v>0</v>
      </c>
      <c r="H9" s="73">
        <v>0</v>
      </c>
      <c r="I9" s="73">
        <v>0</v>
      </c>
      <c r="J9" s="73">
        <v>0</v>
      </c>
      <c r="K9" s="73">
        <v>0</v>
      </c>
      <c r="L9" s="73">
        <v>0</v>
      </c>
      <c r="M9" s="73">
        <v>0</v>
      </c>
      <c r="N9" s="73">
        <v>0</v>
      </c>
    </row>
    <row r="10" spans="1:19" x14ac:dyDescent="0.3">
      <c r="A10" s="134" t="s">
        <v>306</v>
      </c>
      <c r="B10" s="293"/>
      <c r="C10" s="73">
        <v>0</v>
      </c>
      <c r="D10" s="73">
        <v>0</v>
      </c>
      <c r="E10" s="73">
        <v>0</v>
      </c>
      <c r="F10" s="73">
        <v>0</v>
      </c>
      <c r="G10" s="73">
        <v>0</v>
      </c>
      <c r="H10" s="73">
        <v>12900</v>
      </c>
      <c r="I10" s="73">
        <v>11500</v>
      </c>
      <c r="J10" s="73">
        <v>0</v>
      </c>
      <c r="K10" s="73">
        <v>0</v>
      </c>
      <c r="L10" s="73">
        <v>0</v>
      </c>
      <c r="M10" s="73">
        <v>0</v>
      </c>
      <c r="N10" s="73">
        <v>0</v>
      </c>
    </row>
    <row r="11" spans="1:19" x14ac:dyDescent="0.3">
      <c r="A11" s="288" t="s">
        <v>307</v>
      </c>
      <c r="B11" s="293"/>
      <c r="C11" s="73">
        <v>0</v>
      </c>
      <c r="D11" s="73">
        <v>0</v>
      </c>
      <c r="E11" s="73">
        <v>0</v>
      </c>
      <c r="F11" s="73">
        <v>0</v>
      </c>
      <c r="G11" s="73">
        <v>0</v>
      </c>
      <c r="H11" s="73">
        <v>9000</v>
      </c>
      <c r="I11" s="73">
        <v>3500</v>
      </c>
      <c r="J11" s="73">
        <v>0</v>
      </c>
      <c r="K11" s="73">
        <v>0</v>
      </c>
      <c r="L11" s="73">
        <v>0</v>
      </c>
      <c r="M11" s="73">
        <v>0</v>
      </c>
      <c r="N11" s="73">
        <v>0</v>
      </c>
    </row>
    <row r="12" spans="1:19" ht="15.6" x14ac:dyDescent="0.3">
      <c r="A12" s="289"/>
      <c r="B12" s="294"/>
      <c r="C12" s="73">
        <v>0</v>
      </c>
      <c r="D12" s="73">
        <v>0</v>
      </c>
      <c r="E12" s="73">
        <v>0</v>
      </c>
      <c r="F12" s="73">
        <v>0</v>
      </c>
      <c r="G12" s="73">
        <v>0</v>
      </c>
      <c r="H12" s="73">
        <v>0</v>
      </c>
      <c r="I12" s="73">
        <v>0</v>
      </c>
      <c r="J12" s="73">
        <v>0</v>
      </c>
      <c r="K12" s="73">
        <v>0</v>
      </c>
      <c r="L12" s="73">
        <v>0</v>
      </c>
      <c r="M12" s="73">
        <v>0</v>
      </c>
      <c r="N12" s="73">
        <v>0</v>
      </c>
    </row>
    <row r="13" spans="1:19" ht="15.6" x14ac:dyDescent="0.3">
      <c r="A13" s="283"/>
      <c r="B13" s="294"/>
      <c r="C13" s="73">
        <v>0</v>
      </c>
      <c r="D13" s="73">
        <v>0</v>
      </c>
      <c r="E13" s="73">
        <v>0</v>
      </c>
      <c r="F13" s="73">
        <v>0</v>
      </c>
      <c r="G13" s="73">
        <v>0</v>
      </c>
      <c r="H13" s="73">
        <v>0</v>
      </c>
      <c r="I13" s="73">
        <v>0</v>
      </c>
      <c r="J13" s="73">
        <v>0</v>
      </c>
      <c r="K13" s="73">
        <v>0</v>
      </c>
      <c r="L13" s="73">
        <v>0</v>
      </c>
      <c r="M13" s="73">
        <v>0</v>
      </c>
      <c r="N13" s="73">
        <v>0</v>
      </c>
    </row>
    <row r="14" spans="1:19" ht="15.6" x14ac:dyDescent="0.3">
      <c r="A14" s="289"/>
      <c r="B14" s="294"/>
      <c r="C14" s="73">
        <v>0</v>
      </c>
      <c r="D14" s="73">
        <v>0</v>
      </c>
      <c r="E14" s="73">
        <v>0</v>
      </c>
      <c r="F14" s="73">
        <v>0</v>
      </c>
      <c r="G14" s="73">
        <v>0</v>
      </c>
      <c r="H14" s="73">
        <v>0</v>
      </c>
      <c r="I14" s="73">
        <v>0</v>
      </c>
      <c r="J14" s="73">
        <v>0</v>
      </c>
      <c r="K14" s="73">
        <v>0</v>
      </c>
      <c r="L14" s="73">
        <v>0</v>
      </c>
      <c r="M14" s="73">
        <v>0</v>
      </c>
      <c r="N14" s="73">
        <v>0</v>
      </c>
    </row>
    <row r="15" spans="1:19" ht="15.6" x14ac:dyDescent="0.3">
      <c r="A15" s="289"/>
      <c r="B15" s="294"/>
      <c r="C15" s="73">
        <v>0</v>
      </c>
      <c r="D15" s="73">
        <v>0</v>
      </c>
      <c r="E15" s="73">
        <v>0</v>
      </c>
      <c r="F15" s="73">
        <v>0</v>
      </c>
      <c r="G15" s="73">
        <v>0</v>
      </c>
      <c r="H15" s="73">
        <v>0</v>
      </c>
      <c r="I15" s="73">
        <v>0</v>
      </c>
      <c r="J15" s="73">
        <v>0</v>
      </c>
      <c r="K15" s="73">
        <v>0</v>
      </c>
      <c r="L15" s="73">
        <v>0</v>
      </c>
      <c r="M15" s="73">
        <v>0</v>
      </c>
      <c r="N15" s="73">
        <v>0</v>
      </c>
    </row>
    <row r="16" spans="1:19" ht="15.6" x14ac:dyDescent="0.3">
      <c r="A16" s="289"/>
      <c r="B16" s="294"/>
      <c r="C16" s="73">
        <v>0</v>
      </c>
      <c r="D16" s="73">
        <v>0</v>
      </c>
      <c r="E16" s="73">
        <v>0</v>
      </c>
      <c r="F16" s="73">
        <v>0</v>
      </c>
      <c r="G16" s="73">
        <v>0</v>
      </c>
      <c r="H16" s="73">
        <v>0</v>
      </c>
      <c r="I16" s="73">
        <v>0</v>
      </c>
      <c r="J16" s="73">
        <v>0</v>
      </c>
      <c r="K16" s="73">
        <v>0</v>
      </c>
      <c r="L16" s="73">
        <v>0</v>
      </c>
      <c r="M16" s="73">
        <v>0</v>
      </c>
      <c r="N16" s="73">
        <v>0</v>
      </c>
    </row>
    <row r="17" spans="1:14" ht="15.6" x14ac:dyDescent="0.3">
      <c r="A17" s="289"/>
      <c r="B17" s="294"/>
      <c r="C17" s="73">
        <v>0</v>
      </c>
      <c r="D17" s="73">
        <v>0</v>
      </c>
      <c r="E17" s="73">
        <v>0</v>
      </c>
      <c r="F17" s="73">
        <v>0</v>
      </c>
      <c r="G17" s="73">
        <v>0</v>
      </c>
      <c r="H17" s="73">
        <v>0</v>
      </c>
      <c r="I17" s="73">
        <v>0</v>
      </c>
      <c r="J17" s="73">
        <v>0</v>
      </c>
      <c r="K17" s="73">
        <v>0</v>
      </c>
      <c r="L17" s="73">
        <v>0</v>
      </c>
      <c r="M17" s="73">
        <v>0</v>
      </c>
      <c r="N17" s="73">
        <v>0</v>
      </c>
    </row>
    <row r="18" spans="1:14" ht="15.6" x14ac:dyDescent="0.3">
      <c r="A18" s="289"/>
      <c r="B18" s="294"/>
      <c r="C18" s="286">
        <v>0</v>
      </c>
      <c r="D18" s="73">
        <v>0</v>
      </c>
      <c r="E18" s="73">
        <v>0</v>
      </c>
      <c r="F18" s="73">
        <v>0</v>
      </c>
      <c r="G18" s="73">
        <v>0</v>
      </c>
      <c r="H18" s="73">
        <v>0</v>
      </c>
      <c r="I18" s="73">
        <v>0</v>
      </c>
      <c r="J18" s="73">
        <v>0</v>
      </c>
      <c r="K18" s="73">
        <v>0</v>
      </c>
      <c r="L18" s="73">
        <v>0</v>
      </c>
      <c r="M18" s="73">
        <v>0</v>
      </c>
      <c r="N18" s="73">
        <v>0</v>
      </c>
    </row>
    <row r="19" spans="1:14" x14ac:dyDescent="0.3">
      <c r="A19" s="290"/>
      <c r="B19" s="295"/>
      <c r="C19" s="286">
        <v>0</v>
      </c>
      <c r="D19" s="73">
        <v>0</v>
      </c>
      <c r="E19" s="73">
        <v>0</v>
      </c>
      <c r="F19" s="73">
        <v>0</v>
      </c>
      <c r="G19" s="73">
        <v>0</v>
      </c>
      <c r="H19" s="73">
        <v>0</v>
      </c>
      <c r="I19" s="73">
        <v>0</v>
      </c>
      <c r="J19" s="73">
        <v>0</v>
      </c>
      <c r="K19" s="73">
        <v>0</v>
      </c>
      <c r="L19" s="73">
        <v>0</v>
      </c>
      <c r="M19" s="73">
        <v>0</v>
      </c>
      <c r="N19" s="73">
        <v>0</v>
      </c>
    </row>
    <row r="20" spans="1:14" ht="15.6" x14ac:dyDescent="0.3">
      <c r="A20" s="289"/>
      <c r="B20" s="294"/>
      <c r="C20" s="286">
        <v>0</v>
      </c>
      <c r="D20" s="73">
        <v>0</v>
      </c>
      <c r="E20" s="73">
        <v>0</v>
      </c>
      <c r="F20" s="73">
        <v>0</v>
      </c>
      <c r="G20" s="73">
        <v>0</v>
      </c>
      <c r="H20" s="73">
        <v>0</v>
      </c>
      <c r="I20" s="73">
        <v>0</v>
      </c>
      <c r="J20" s="73">
        <v>0</v>
      </c>
      <c r="K20" s="73">
        <v>0</v>
      </c>
      <c r="L20" s="73">
        <v>0</v>
      </c>
      <c r="M20" s="73">
        <v>0</v>
      </c>
      <c r="N20" s="73">
        <v>0</v>
      </c>
    </row>
    <row r="21" spans="1:14" x14ac:dyDescent="0.3">
      <c r="A21" s="290"/>
      <c r="B21" s="295"/>
      <c r="C21" s="298">
        <f>SUM(C6:C20)/C2</f>
        <v>0</v>
      </c>
      <c r="D21" s="298">
        <f>SUM(D6:D20)/C2</f>
        <v>0</v>
      </c>
      <c r="E21" s="298">
        <f>SUM(E6:E20)/C2</f>
        <v>0</v>
      </c>
      <c r="F21" s="298">
        <f>SUM(F6:F20)/C2</f>
        <v>0</v>
      </c>
      <c r="G21" s="298">
        <f>SUM(G6:G20)/C2</f>
        <v>0</v>
      </c>
      <c r="H21" s="298">
        <f>SUM(H6:H20)/C2</f>
        <v>3061.5384615384614</v>
      </c>
      <c r="I21" s="298">
        <f>SUM(I6:I20)/C2</f>
        <v>3030.7692307692309</v>
      </c>
      <c r="J21" s="298">
        <f>SUM(J6:J20)/C2</f>
        <v>0</v>
      </c>
      <c r="K21" s="298">
        <f>SUM(K6:K20)/C2</f>
        <v>0</v>
      </c>
      <c r="L21" s="298">
        <f>SUM(L6:L20)/C2</f>
        <v>0</v>
      </c>
      <c r="M21" s="298">
        <f>SUM(M6:M20)/C2</f>
        <v>0</v>
      </c>
      <c r="N21" s="298">
        <f>SUM(N6:N20)/C2</f>
        <v>0</v>
      </c>
    </row>
  </sheetData>
  <sheetProtection password="CAA7" sheet="1" objects="1" scenarios="1"/>
  <protectedRanges>
    <protectedRange sqref="C7:N20" name="Intervalo2"/>
    <protectedRange sqref="A6:B20" name="Intervalo1"/>
  </protectedRanges>
  <mergeCells count="12">
    <mergeCell ref="N5:N6"/>
    <mergeCell ref="C5:C6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</mergeCells>
  <hyperlinks>
    <hyperlink ref="A2" location="Menu!A1" display="Menu" xr:uid="{00000000-0004-0000-1A00-000000000000}"/>
  </hyperlinks>
  <pageMargins left="0.511811024" right="0.511811024" top="0.78740157499999996" bottom="0.78740157499999996" header="0.31496062000000002" footer="0.3149606200000000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2:R31"/>
  <sheetViews>
    <sheetView workbookViewId="0">
      <pane xSplit="1" topLeftCell="B1" activePane="topRight" state="frozen"/>
      <selection pane="topRight" activeCell="A2" sqref="A2"/>
    </sheetView>
  </sheetViews>
  <sheetFormatPr defaultColWidth="9.109375" defaultRowHeight="14.4" x14ac:dyDescent="0.3"/>
  <cols>
    <col min="1" max="1" width="35" style="103" bestFit="1" customWidth="1"/>
    <col min="2" max="2" width="5" style="103" bestFit="1" customWidth="1"/>
    <col min="3" max="3" width="7.44140625" style="103" bestFit="1" customWidth="1"/>
    <col min="4" max="4" width="9.5546875" style="103" bestFit="1" customWidth="1"/>
    <col min="5" max="10" width="7.109375" style="103" bestFit="1" customWidth="1"/>
    <col min="11" max="11" width="9.6640625" style="103" bestFit="1" customWidth="1"/>
    <col min="12" max="12" width="8.44140625" style="103" bestFit="1" customWidth="1"/>
    <col min="13" max="13" width="10.44140625" style="103" bestFit="1" customWidth="1"/>
    <col min="14" max="14" width="9.88671875" style="103" customWidth="1"/>
    <col min="15" max="16" width="10.6640625" style="103" bestFit="1" customWidth="1"/>
    <col min="17" max="16384" width="9.109375" style="103"/>
  </cols>
  <sheetData>
    <row r="2" spans="1:18" ht="28.8" x14ac:dyDescent="0.55000000000000004">
      <c r="A2" s="402" t="s">
        <v>110</v>
      </c>
      <c r="B2" s="403">
        <v>13</v>
      </c>
      <c r="O2" s="142"/>
      <c r="P2" s="142"/>
      <c r="R2" s="37"/>
    </row>
    <row r="3" spans="1:18" ht="28.8" x14ac:dyDescent="0.55000000000000004">
      <c r="A3" s="562" t="s">
        <v>102</v>
      </c>
      <c r="B3" s="37"/>
    </row>
    <row r="4" spans="1:18" ht="15" thickBot="1" x14ac:dyDescent="0.35"/>
    <row r="5" spans="1:18" ht="15" thickBot="1" x14ac:dyDescent="0.35">
      <c r="A5" s="104" t="s">
        <v>1</v>
      </c>
      <c r="B5" s="291" t="s">
        <v>68</v>
      </c>
      <c r="C5" s="105" t="s">
        <v>20</v>
      </c>
      <c r="D5" s="285" t="s">
        <v>32</v>
      </c>
      <c r="E5" s="285" t="s">
        <v>33</v>
      </c>
      <c r="F5" s="285" t="s">
        <v>34</v>
      </c>
      <c r="G5" s="285" t="s">
        <v>35</v>
      </c>
      <c r="H5" s="285" t="s">
        <v>36</v>
      </c>
      <c r="I5" s="285" t="s">
        <v>73</v>
      </c>
      <c r="J5" s="285" t="s">
        <v>38</v>
      </c>
      <c r="K5" s="285" t="s">
        <v>39</v>
      </c>
      <c r="L5" s="285" t="s">
        <v>40</v>
      </c>
      <c r="M5" s="285" t="s">
        <v>41</v>
      </c>
      <c r="N5" s="285" t="s">
        <v>42</v>
      </c>
    </row>
    <row r="6" spans="1:18" x14ac:dyDescent="0.3">
      <c r="A6" s="13" t="s">
        <v>175</v>
      </c>
      <c r="B6" s="293"/>
      <c r="C6" s="296">
        <v>0</v>
      </c>
      <c r="D6" s="287">
        <v>0</v>
      </c>
      <c r="E6" s="287">
        <v>0</v>
      </c>
      <c r="F6" s="287">
        <v>0</v>
      </c>
      <c r="G6" s="287">
        <v>0</v>
      </c>
      <c r="H6" s="287">
        <v>0</v>
      </c>
      <c r="I6" s="287">
        <v>0</v>
      </c>
      <c r="J6" s="287">
        <v>0</v>
      </c>
      <c r="K6" s="287">
        <v>0</v>
      </c>
      <c r="L6" s="287">
        <v>0</v>
      </c>
      <c r="M6" s="287">
        <v>0</v>
      </c>
      <c r="N6" s="287">
        <v>0</v>
      </c>
    </row>
    <row r="7" spans="1:18" x14ac:dyDescent="0.3">
      <c r="A7" s="13" t="s">
        <v>176</v>
      </c>
      <c r="B7" s="293"/>
      <c r="C7" s="73">
        <v>0</v>
      </c>
      <c r="D7" s="73">
        <v>0</v>
      </c>
      <c r="E7" s="73">
        <v>0</v>
      </c>
      <c r="F7" s="73">
        <v>0</v>
      </c>
      <c r="G7" s="73">
        <v>0</v>
      </c>
      <c r="H7" s="73">
        <v>0</v>
      </c>
      <c r="I7" s="73">
        <v>0</v>
      </c>
      <c r="J7" s="73">
        <v>0</v>
      </c>
      <c r="K7" s="73">
        <v>0</v>
      </c>
      <c r="L7" s="73">
        <v>0</v>
      </c>
      <c r="M7" s="73">
        <v>0</v>
      </c>
      <c r="N7" s="73">
        <v>0</v>
      </c>
    </row>
    <row r="8" spans="1:18" x14ac:dyDescent="0.3">
      <c r="A8" s="13" t="s">
        <v>177</v>
      </c>
      <c r="B8" s="293"/>
      <c r="C8" s="73">
        <v>0</v>
      </c>
      <c r="D8" s="73">
        <v>0</v>
      </c>
      <c r="E8" s="73">
        <v>0</v>
      </c>
      <c r="F8" s="73">
        <v>0</v>
      </c>
      <c r="G8" s="73">
        <v>0</v>
      </c>
      <c r="H8" s="73">
        <v>0</v>
      </c>
      <c r="I8" s="73">
        <v>0</v>
      </c>
      <c r="J8" s="73">
        <v>0</v>
      </c>
      <c r="K8" s="73">
        <v>0</v>
      </c>
      <c r="L8" s="73">
        <v>0</v>
      </c>
      <c r="M8" s="73">
        <v>0</v>
      </c>
      <c r="N8" s="73">
        <v>0</v>
      </c>
    </row>
    <row r="9" spans="1:18" x14ac:dyDescent="0.3">
      <c r="A9" s="13" t="s">
        <v>178</v>
      </c>
      <c r="B9" s="293"/>
      <c r="C9" s="73">
        <v>0</v>
      </c>
      <c r="D9" s="73">
        <v>0</v>
      </c>
      <c r="E9" s="73">
        <v>0</v>
      </c>
      <c r="F9" s="73">
        <v>0</v>
      </c>
      <c r="G9" s="73">
        <v>0</v>
      </c>
      <c r="H9" s="73">
        <v>0</v>
      </c>
      <c r="I9" s="73">
        <v>0</v>
      </c>
      <c r="J9" s="73">
        <v>0</v>
      </c>
      <c r="K9" s="73">
        <v>0</v>
      </c>
      <c r="L9" s="73">
        <v>0</v>
      </c>
      <c r="M9" s="73">
        <v>0</v>
      </c>
      <c r="N9" s="73">
        <v>0</v>
      </c>
    </row>
    <row r="10" spans="1:18" x14ac:dyDescent="0.3">
      <c r="A10" s="13" t="s">
        <v>179</v>
      </c>
      <c r="B10" s="293"/>
      <c r="C10" s="73">
        <v>0</v>
      </c>
      <c r="D10" s="73">
        <v>0</v>
      </c>
      <c r="E10" s="73">
        <v>0</v>
      </c>
      <c r="F10" s="73">
        <v>0</v>
      </c>
      <c r="G10" s="73">
        <v>0</v>
      </c>
      <c r="H10" s="73">
        <v>0</v>
      </c>
      <c r="I10" s="73">
        <v>0</v>
      </c>
      <c r="J10" s="73">
        <v>0</v>
      </c>
      <c r="K10" s="73">
        <v>0</v>
      </c>
      <c r="L10" s="73">
        <v>0</v>
      </c>
      <c r="M10" s="73">
        <v>0</v>
      </c>
      <c r="N10" s="73">
        <v>0</v>
      </c>
    </row>
    <row r="11" spans="1:18" x14ac:dyDescent="0.3">
      <c r="A11" s="18" t="s">
        <v>180</v>
      </c>
      <c r="B11" s="293"/>
      <c r="C11" s="73">
        <v>0</v>
      </c>
      <c r="D11" s="73">
        <v>0</v>
      </c>
      <c r="E11" s="73">
        <v>0</v>
      </c>
      <c r="F11" s="73">
        <v>0</v>
      </c>
      <c r="G11" s="73">
        <v>0</v>
      </c>
      <c r="H11" s="73">
        <v>0</v>
      </c>
      <c r="I11" s="73">
        <v>0</v>
      </c>
      <c r="J11" s="73">
        <v>0</v>
      </c>
      <c r="K11" s="73">
        <v>0</v>
      </c>
      <c r="L11" s="73">
        <v>0</v>
      </c>
      <c r="M11" s="73">
        <v>0</v>
      </c>
      <c r="N11" s="73">
        <v>0</v>
      </c>
    </row>
    <row r="12" spans="1:18" ht="15.6" x14ac:dyDescent="0.3">
      <c r="A12" s="283"/>
      <c r="B12" s="294"/>
      <c r="C12" s="73">
        <v>0</v>
      </c>
      <c r="D12" s="73">
        <v>0</v>
      </c>
      <c r="E12" s="73">
        <v>0</v>
      </c>
      <c r="F12" s="73">
        <v>0</v>
      </c>
      <c r="G12" s="73">
        <v>0</v>
      </c>
      <c r="H12" s="73">
        <v>0</v>
      </c>
      <c r="I12" s="73">
        <v>0</v>
      </c>
      <c r="J12" s="73">
        <v>0</v>
      </c>
      <c r="K12" s="73">
        <v>0</v>
      </c>
      <c r="L12" s="73">
        <v>0</v>
      </c>
      <c r="M12" s="73">
        <v>0</v>
      </c>
      <c r="N12" s="73">
        <v>0</v>
      </c>
    </row>
    <row r="13" spans="1:18" ht="15.6" x14ac:dyDescent="0.3">
      <c r="A13" s="283"/>
      <c r="B13" s="294"/>
      <c r="C13" s="73">
        <v>0</v>
      </c>
      <c r="D13" s="73">
        <v>0</v>
      </c>
      <c r="E13" s="73">
        <v>0</v>
      </c>
      <c r="F13" s="73">
        <v>0</v>
      </c>
      <c r="G13" s="73">
        <v>0</v>
      </c>
      <c r="H13" s="73">
        <v>0</v>
      </c>
      <c r="I13" s="73">
        <v>0</v>
      </c>
      <c r="J13" s="73">
        <v>0</v>
      </c>
      <c r="K13" s="73">
        <v>0</v>
      </c>
      <c r="L13" s="73">
        <v>0</v>
      </c>
      <c r="M13" s="73">
        <v>0</v>
      </c>
      <c r="N13" s="73">
        <v>0</v>
      </c>
    </row>
    <row r="14" spans="1:18" ht="15.6" x14ac:dyDescent="0.3">
      <c r="A14" s="283"/>
      <c r="B14" s="294"/>
      <c r="C14" s="73">
        <v>0</v>
      </c>
      <c r="D14" s="73">
        <v>0</v>
      </c>
      <c r="E14" s="73">
        <v>0</v>
      </c>
      <c r="F14" s="73">
        <v>0</v>
      </c>
      <c r="G14" s="73">
        <v>0</v>
      </c>
      <c r="H14" s="73">
        <v>0</v>
      </c>
      <c r="I14" s="73">
        <v>0</v>
      </c>
      <c r="J14" s="73">
        <v>0</v>
      </c>
      <c r="K14" s="73">
        <v>0</v>
      </c>
      <c r="L14" s="73">
        <v>0</v>
      </c>
      <c r="M14" s="73">
        <v>0</v>
      </c>
      <c r="N14" s="73">
        <v>0</v>
      </c>
    </row>
    <row r="15" spans="1:18" ht="15.6" x14ac:dyDescent="0.3">
      <c r="A15" s="283"/>
      <c r="B15" s="294"/>
      <c r="C15" s="73">
        <v>0</v>
      </c>
      <c r="D15" s="73">
        <v>0</v>
      </c>
      <c r="E15" s="73">
        <v>0</v>
      </c>
      <c r="F15" s="73">
        <v>0</v>
      </c>
      <c r="G15" s="73">
        <v>0</v>
      </c>
      <c r="H15" s="73">
        <v>0</v>
      </c>
      <c r="I15" s="73">
        <v>0</v>
      </c>
      <c r="J15" s="73">
        <v>0</v>
      </c>
      <c r="K15" s="73">
        <v>0</v>
      </c>
      <c r="L15" s="73">
        <v>0</v>
      </c>
      <c r="M15" s="73">
        <v>0</v>
      </c>
      <c r="N15" s="73">
        <v>0</v>
      </c>
    </row>
    <row r="16" spans="1:18" ht="15.6" x14ac:dyDescent="0.3">
      <c r="A16" s="283"/>
      <c r="B16" s="294"/>
      <c r="C16" s="73">
        <v>0</v>
      </c>
      <c r="D16" s="73">
        <v>0</v>
      </c>
      <c r="E16" s="73">
        <v>0</v>
      </c>
      <c r="F16" s="73">
        <v>0</v>
      </c>
      <c r="G16" s="73">
        <v>0</v>
      </c>
      <c r="H16" s="73">
        <v>0</v>
      </c>
      <c r="I16" s="73">
        <v>0</v>
      </c>
      <c r="J16" s="73">
        <v>0</v>
      </c>
      <c r="K16" s="73">
        <v>0</v>
      </c>
      <c r="L16" s="73">
        <v>0</v>
      </c>
      <c r="M16" s="73">
        <v>0</v>
      </c>
      <c r="N16" s="73">
        <v>0</v>
      </c>
    </row>
    <row r="17" spans="1:14" ht="15.6" x14ac:dyDescent="0.3">
      <c r="A17" s="283"/>
      <c r="B17" s="294"/>
      <c r="C17" s="73">
        <v>0</v>
      </c>
      <c r="D17" s="73">
        <v>0</v>
      </c>
      <c r="E17" s="73">
        <v>0</v>
      </c>
      <c r="F17" s="73">
        <v>0</v>
      </c>
      <c r="G17" s="73">
        <v>0</v>
      </c>
      <c r="H17" s="73">
        <v>0</v>
      </c>
      <c r="I17" s="73">
        <v>0</v>
      </c>
      <c r="J17" s="73">
        <v>0</v>
      </c>
      <c r="K17" s="73">
        <v>0</v>
      </c>
      <c r="L17" s="73">
        <v>0</v>
      </c>
      <c r="M17" s="73">
        <v>0</v>
      </c>
      <c r="N17" s="73">
        <v>0</v>
      </c>
    </row>
    <row r="18" spans="1:14" ht="15.6" x14ac:dyDescent="0.3">
      <c r="A18" s="283"/>
      <c r="B18" s="294"/>
      <c r="C18" s="73">
        <v>0</v>
      </c>
      <c r="D18" s="73">
        <v>0</v>
      </c>
      <c r="E18" s="73">
        <v>0</v>
      </c>
      <c r="F18" s="73">
        <v>0</v>
      </c>
      <c r="G18" s="73">
        <v>0</v>
      </c>
      <c r="H18" s="73">
        <v>0</v>
      </c>
      <c r="I18" s="73">
        <v>0</v>
      </c>
      <c r="J18" s="73">
        <v>0</v>
      </c>
      <c r="K18" s="73">
        <v>0</v>
      </c>
      <c r="L18" s="73">
        <v>0</v>
      </c>
      <c r="M18" s="73">
        <v>0</v>
      </c>
      <c r="N18" s="73">
        <v>0</v>
      </c>
    </row>
    <row r="19" spans="1:14" ht="15.6" x14ac:dyDescent="0.3">
      <c r="A19" s="283"/>
      <c r="B19" s="294"/>
      <c r="C19" s="73">
        <v>0</v>
      </c>
      <c r="D19" s="73">
        <v>0</v>
      </c>
      <c r="E19" s="73">
        <v>0</v>
      </c>
      <c r="F19" s="73">
        <v>0</v>
      </c>
      <c r="G19" s="73">
        <v>0</v>
      </c>
      <c r="H19" s="73">
        <v>0</v>
      </c>
      <c r="I19" s="73">
        <v>0</v>
      </c>
      <c r="J19" s="73">
        <v>0</v>
      </c>
      <c r="K19" s="73">
        <v>0</v>
      </c>
      <c r="L19" s="73">
        <v>0</v>
      </c>
      <c r="M19" s="73">
        <v>0</v>
      </c>
      <c r="N19" s="73">
        <v>0</v>
      </c>
    </row>
    <row r="20" spans="1:14" ht="15.6" x14ac:dyDescent="0.3">
      <c r="A20" s="283"/>
      <c r="B20" s="294"/>
      <c r="C20" s="73">
        <v>0</v>
      </c>
      <c r="D20" s="73">
        <v>0</v>
      </c>
      <c r="E20" s="73">
        <v>0</v>
      </c>
      <c r="F20" s="73">
        <v>0</v>
      </c>
      <c r="G20" s="73">
        <v>0</v>
      </c>
      <c r="H20" s="73">
        <v>0</v>
      </c>
      <c r="I20" s="73">
        <v>0</v>
      </c>
      <c r="J20" s="73">
        <v>0</v>
      </c>
      <c r="K20" s="73">
        <v>0</v>
      </c>
      <c r="L20" s="73">
        <v>0</v>
      </c>
      <c r="M20" s="73">
        <v>0</v>
      </c>
      <c r="N20" s="73">
        <v>0</v>
      </c>
    </row>
    <row r="21" spans="1:14" ht="15.6" x14ac:dyDescent="0.3">
      <c r="A21" s="283"/>
      <c r="B21" s="294"/>
      <c r="C21" s="73">
        <v>0</v>
      </c>
      <c r="D21" s="73">
        <v>0</v>
      </c>
      <c r="E21" s="73">
        <v>0</v>
      </c>
      <c r="F21" s="73">
        <v>0</v>
      </c>
      <c r="G21" s="73">
        <v>0</v>
      </c>
      <c r="H21" s="73">
        <v>0</v>
      </c>
      <c r="I21" s="73">
        <v>0</v>
      </c>
      <c r="J21" s="73">
        <v>0</v>
      </c>
      <c r="K21" s="73">
        <v>0</v>
      </c>
      <c r="L21" s="73">
        <v>0</v>
      </c>
      <c r="M21" s="73">
        <v>0</v>
      </c>
      <c r="N21" s="73">
        <v>0</v>
      </c>
    </row>
    <row r="22" spans="1:14" ht="15.6" x14ac:dyDescent="0.3">
      <c r="A22" s="283"/>
      <c r="B22" s="294"/>
      <c r="C22" s="73">
        <v>0</v>
      </c>
      <c r="D22" s="73">
        <v>0</v>
      </c>
      <c r="E22" s="73">
        <v>0</v>
      </c>
      <c r="F22" s="73">
        <v>0</v>
      </c>
      <c r="G22" s="73">
        <v>0</v>
      </c>
      <c r="H22" s="73">
        <v>0</v>
      </c>
      <c r="I22" s="73">
        <v>0</v>
      </c>
      <c r="J22" s="73">
        <v>0</v>
      </c>
      <c r="K22" s="73">
        <v>0</v>
      </c>
      <c r="L22" s="73">
        <v>0</v>
      </c>
      <c r="M22" s="73">
        <v>0</v>
      </c>
      <c r="N22" s="73">
        <v>0</v>
      </c>
    </row>
    <row r="23" spans="1:14" ht="15.6" x14ac:dyDescent="0.3">
      <c r="A23" s="283"/>
      <c r="B23" s="294"/>
      <c r="C23" s="73">
        <v>0</v>
      </c>
      <c r="D23" s="73">
        <v>0</v>
      </c>
      <c r="E23" s="73">
        <v>0</v>
      </c>
      <c r="F23" s="73">
        <v>0</v>
      </c>
      <c r="G23" s="73">
        <v>0</v>
      </c>
      <c r="H23" s="73">
        <v>0</v>
      </c>
      <c r="I23" s="73">
        <v>0</v>
      </c>
      <c r="J23" s="73">
        <v>0</v>
      </c>
      <c r="K23" s="73">
        <v>0</v>
      </c>
      <c r="L23" s="73">
        <v>0</v>
      </c>
      <c r="M23" s="73">
        <v>0</v>
      </c>
      <c r="N23" s="73">
        <v>0</v>
      </c>
    </row>
    <row r="24" spans="1:14" ht="15.6" x14ac:dyDescent="0.3">
      <c r="A24" s="283"/>
      <c r="B24" s="294"/>
      <c r="C24" s="73">
        <v>0</v>
      </c>
      <c r="D24" s="73">
        <v>0</v>
      </c>
      <c r="E24" s="73">
        <v>0</v>
      </c>
      <c r="F24" s="73">
        <v>0</v>
      </c>
      <c r="G24" s="73">
        <v>0</v>
      </c>
      <c r="H24" s="73">
        <v>0</v>
      </c>
      <c r="I24" s="73">
        <v>0</v>
      </c>
      <c r="J24" s="73">
        <v>0</v>
      </c>
      <c r="K24" s="73">
        <v>0</v>
      </c>
      <c r="L24" s="73">
        <v>0</v>
      </c>
      <c r="M24" s="73">
        <v>0</v>
      </c>
      <c r="N24" s="73">
        <v>0</v>
      </c>
    </row>
    <row r="25" spans="1:14" ht="15.6" x14ac:dyDescent="0.3">
      <c r="A25" s="283"/>
      <c r="B25" s="294"/>
      <c r="C25" s="73">
        <v>0</v>
      </c>
      <c r="D25" s="73">
        <v>0</v>
      </c>
      <c r="E25" s="73">
        <v>0</v>
      </c>
      <c r="F25" s="73">
        <v>0</v>
      </c>
      <c r="G25" s="73">
        <v>0</v>
      </c>
      <c r="H25" s="73">
        <v>0</v>
      </c>
      <c r="I25" s="73">
        <v>0</v>
      </c>
      <c r="J25" s="73">
        <v>0</v>
      </c>
      <c r="K25" s="73">
        <v>0</v>
      </c>
      <c r="L25" s="73">
        <v>0</v>
      </c>
      <c r="M25" s="73">
        <v>0</v>
      </c>
      <c r="N25" s="73">
        <v>0</v>
      </c>
    </row>
    <row r="26" spans="1:14" ht="15.6" x14ac:dyDescent="0.3">
      <c r="A26" s="283"/>
      <c r="B26" s="294"/>
      <c r="C26" s="73">
        <v>0</v>
      </c>
      <c r="D26" s="73">
        <v>0</v>
      </c>
      <c r="E26" s="73">
        <v>0</v>
      </c>
      <c r="F26" s="73">
        <v>0</v>
      </c>
      <c r="G26" s="73">
        <v>0</v>
      </c>
      <c r="H26" s="73">
        <v>0</v>
      </c>
      <c r="I26" s="73">
        <v>0</v>
      </c>
      <c r="J26" s="73">
        <v>0</v>
      </c>
      <c r="K26" s="73">
        <v>0</v>
      </c>
      <c r="L26" s="73">
        <v>0</v>
      </c>
      <c r="M26" s="73">
        <v>0</v>
      </c>
      <c r="N26" s="73">
        <v>0</v>
      </c>
    </row>
    <row r="27" spans="1:14" ht="15.6" x14ac:dyDescent="0.3">
      <c r="A27" s="283"/>
      <c r="B27" s="294"/>
      <c r="C27" s="73">
        <v>0</v>
      </c>
      <c r="D27" s="73">
        <v>0</v>
      </c>
      <c r="E27" s="73">
        <v>0</v>
      </c>
      <c r="F27" s="73">
        <v>0</v>
      </c>
      <c r="G27" s="73">
        <v>0</v>
      </c>
      <c r="H27" s="73">
        <v>0</v>
      </c>
      <c r="I27" s="73">
        <v>0</v>
      </c>
      <c r="J27" s="73">
        <v>0</v>
      </c>
      <c r="K27" s="73">
        <v>0</v>
      </c>
      <c r="L27" s="73">
        <v>0</v>
      </c>
      <c r="M27" s="73">
        <v>0</v>
      </c>
      <c r="N27" s="73">
        <v>0</v>
      </c>
    </row>
    <row r="28" spans="1:14" ht="15.6" x14ac:dyDescent="0.3">
      <c r="A28" s="283"/>
      <c r="B28" s="294"/>
      <c r="C28" s="286">
        <v>0</v>
      </c>
      <c r="D28" s="73">
        <v>0</v>
      </c>
      <c r="E28" s="73">
        <v>0</v>
      </c>
      <c r="F28" s="73">
        <v>0</v>
      </c>
      <c r="G28" s="73">
        <v>0</v>
      </c>
      <c r="H28" s="73">
        <v>0</v>
      </c>
      <c r="I28" s="73">
        <v>0</v>
      </c>
      <c r="J28" s="73">
        <v>0</v>
      </c>
      <c r="K28" s="73">
        <v>0</v>
      </c>
      <c r="L28" s="73">
        <v>0</v>
      </c>
      <c r="M28" s="73">
        <v>0</v>
      </c>
      <c r="N28" s="73">
        <v>0</v>
      </c>
    </row>
    <row r="29" spans="1:14" x14ac:dyDescent="0.3">
      <c r="A29" s="284"/>
      <c r="B29" s="295"/>
      <c r="C29" s="286">
        <v>0</v>
      </c>
      <c r="D29" s="73">
        <v>0</v>
      </c>
      <c r="E29" s="73">
        <v>0</v>
      </c>
      <c r="F29" s="73">
        <v>0</v>
      </c>
      <c r="G29" s="73">
        <v>0</v>
      </c>
      <c r="H29" s="73">
        <v>0</v>
      </c>
      <c r="I29" s="73">
        <v>0</v>
      </c>
      <c r="J29" s="73">
        <v>0</v>
      </c>
      <c r="K29" s="73">
        <v>0</v>
      </c>
      <c r="L29" s="73">
        <v>0</v>
      </c>
      <c r="M29" s="73">
        <v>0</v>
      </c>
      <c r="N29" s="73">
        <v>0</v>
      </c>
    </row>
    <row r="30" spans="1:14" ht="15.6" x14ac:dyDescent="0.3">
      <c r="A30" s="283"/>
      <c r="B30" s="294"/>
      <c r="C30" s="286">
        <v>0</v>
      </c>
      <c r="D30" s="73">
        <v>0</v>
      </c>
      <c r="E30" s="73">
        <v>0</v>
      </c>
      <c r="F30" s="73">
        <v>0</v>
      </c>
      <c r="G30" s="73">
        <v>0</v>
      </c>
      <c r="H30" s="73">
        <v>0</v>
      </c>
      <c r="I30" s="73">
        <v>0</v>
      </c>
      <c r="J30" s="73">
        <v>0</v>
      </c>
      <c r="K30" s="73">
        <v>0</v>
      </c>
      <c r="L30" s="73">
        <v>0</v>
      </c>
      <c r="M30" s="73">
        <v>0</v>
      </c>
      <c r="N30" s="73">
        <v>0</v>
      </c>
    </row>
    <row r="31" spans="1:14" ht="18" x14ac:dyDescent="0.35">
      <c r="A31" s="740" t="s">
        <v>188</v>
      </c>
      <c r="B31" s="741"/>
      <c r="C31" s="298">
        <f>SUM(C6:C30)/B2</f>
        <v>0</v>
      </c>
      <c r="D31" s="298">
        <f>SUM(D6:D30)/B2</f>
        <v>0</v>
      </c>
      <c r="E31" s="298">
        <f>SUM(E6:E30)/B2</f>
        <v>0</v>
      </c>
      <c r="F31" s="298">
        <f>SUM(F6:F30)/B2</f>
        <v>0</v>
      </c>
      <c r="G31" s="298">
        <f>SUM(G6:G30)/B2</f>
        <v>0</v>
      </c>
      <c r="H31" s="298">
        <f>SUM(H6:H30)/B2</f>
        <v>0</v>
      </c>
      <c r="I31" s="298">
        <f>SUM(I6:I30)/B2</f>
        <v>0</v>
      </c>
      <c r="J31" s="298">
        <f>SUM(J6:J30)/B2</f>
        <v>0</v>
      </c>
      <c r="K31" s="298">
        <f>SUM(K6:K30)/B2</f>
        <v>0</v>
      </c>
      <c r="L31" s="298">
        <f>SUM(L6:L30)/B2</f>
        <v>0</v>
      </c>
      <c r="M31" s="298">
        <f>SUM(M6:M30)/B2</f>
        <v>0</v>
      </c>
      <c r="N31" s="298">
        <f>SUM(N6:N30)/B2</f>
        <v>0</v>
      </c>
    </row>
  </sheetData>
  <sheetProtection password="EE34" sheet="1" objects="1" scenarios="1"/>
  <protectedRanges>
    <protectedRange sqref="C6:N30" name="Intervalo2"/>
    <protectedRange sqref="A6:B30" name="Intervalo1"/>
  </protectedRanges>
  <mergeCells count="1">
    <mergeCell ref="A31:B31"/>
  </mergeCells>
  <hyperlinks>
    <hyperlink ref="A2" location="Menu!A1" display="Menu" xr:uid="{00000000-0004-0000-1B00-000000000000}"/>
  </hyperlinks>
  <pageMargins left="0.511811024" right="0.511811024" top="0.78740157499999996" bottom="0.78740157499999996" header="0.31496062000000002" footer="0.3149606200000000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Plan15"/>
  <dimension ref="A1:IW261"/>
  <sheetViews>
    <sheetView zoomScaleNormal="100" workbookViewId="0">
      <pane ySplit="1" topLeftCell="A2" activePane="bottomLeft" state="frozen"/>
      <selection pane="bottomLeft"/>
    </sheetView>
  </sheetViews>
  <sheetFormatPr defaultRowHeight="14.4" x14ac:dyDescent="0.3"/>
  <cols>
    <col min="1" max="1" width="10.6640625" style="67" bestFit="1" customWidth="1"/>
    <col min="2" max="2" width="31.6640625" style="39" bestFit="1" customWidth="1"/>
    <col min="3" max="4" width="10.6640625" style="39" bestFit="1" customWidth="1"/>
    <col min="5" max="8" width="9.109375" style="39"/>
    <col min="9" max="9" width="9.109375" style="39" bestFit="1" customWidth="1"/>
    <col min="10" max="10" width="10.6640625" style="39" bestFit="1" customWidth="1"/>
    <col min="11" max="12" width="9.109375" style="39" customWidth="1"/>
    <col min="13" max="13" width="10.6640625" style="39" bestFit="1" customWidth="1"/>
    <col min="14" max="15" width="9.109375" style="39"/>
    <col min="16" max="16" width="10.6640625" style="39" bestFit="1" customWidth="1"/>
    <col min="17" max="17" width="9.109375" style="39"/>
    <col min="18" max="18" width="13.33203125" style="39" bestFit="1" customWidth="1"/>
    <col min="19" max="19" width="12" style="37" customWidth="1"/>
    <col min="20" max="20" width="31.6640625" style="39" bestFit="1" customWidth="1"/>
    <col min="21" max="23" width="10.6640625" style="39" bestFit="1" customWidth="1"/>
    <col min="24" max="27" width="9.109375" style="39"/>
    <col min="28" max="28" width="10.6640625" style="39" bestFit="1" customWidth="1"/>
    <col min="29" max="33" width="9.109375" style="39"/>
    <col min="34" max="34" width="10.6640625" style="39" bestFit="1" customWidth="1"/>
    <col min="35" max="35" width="9.109375" style="39"/>
    <col min="36" max="36" width="13.33203125" style="39" bestFit="1" customWidth="1"/>
    <col min="37" max="37" width="12" style="39" customWidth="1"/>
    <col min="38" max="38" width="31.6640625" style="39" bestFit="1" customWidth="1"/>
    <col min="39" max="39" width="9.109375" style="39"/>
    <col min="40" max="40" width="10.6640625" style="39" bestFit="1" customWidth="1"/>
    <col min="41" max="45" width="9.109375" style="39"/>
    <col min="46" max="46" width="10.6640625" style="39" bestFit="1" customWidth="1"/>
    <col min="47" max="51" width="9.109375" style="39"/>
    <col min="52" max="52" width="10.6640625" style="39" bestFit="1" customWidth="1"/>
    <col min="53" max="53" width="9.109375" style="39"/>
    <col min="54" max="54" width="13.33203125" style="39" bestFit="1" customWidth="1"/>
    <col min="55" max="55" width="12" style="39" customWidth="1"/>
    <col min="56" max="56" width="31.6640625" style="39" bestFit="1" customWidth="1"/>
    <col min="57" max="57" width="9.109375" style="39"/>
    <col min="58" max="58" width="10.6640625" style="39" bestFit="1" customWidth="1"/>
    <col min="59" max="63" width="9.109375" style="39"/>
    <col min="64" max="64" width="10.6640625" style="39" bestFit="1" customWidth="1"/>
    <col min="65" max="69" width="9.109375" style="39"/>
    <col min="70" max="70" width="10.6640625" style="39" bestFit="1" customWidth="1"/>
    <col min="71" max="71" width="9.109375" style="39"/>
    <col min="72" max="72" width="13.33203125" style="39" bestFit="1" customWidth="1"/>
    <col min="73" max="73" width="12" style="39" customWidth="1"/>
    <col min="74" max="74" width="31.6640625" style="39" bestFit="1" customWidth="1"/>
    <col min="75" max="75" width="9.109375" style="39"/>
    <col min="76" max="76" width="10.6640625" style="39" bestFit="1" customWidth="1"/>
    <col min="77" max="81" width="9.109375" style="39"/>
    <col min="82" max="82" width="10.6640625" style="39" bestFit="1" customWidth="1"/>
    <col min="83" max="84" width="9.109375" style="39"/>
    <col min="85" max="85" width="10.6640625" style="39" bestFit="1" customWidth="1"/>
    <col min="86" max="87" width="9.109375" style="39"/>
    <col min="88" max="88" width="10.6640625" style="39" bestFit="1" customWidth="1"/>
    <col min="89" max="89" width="9.109375" style="39"/>
    <col min="90" max="90" width="15" style="39" bestFit="1" customWidth="1"/>
    <col min="91" max="91" width="12" style="39" customWidth="1"/>
    <col min="92" max="92" width="31.6640625" style="39" bestFit="1" customWidth="1"/>
    <col min="93" max="93" width="9.109375" style="39"/>
    <col min="94" max="94" width="10.6640625" style="39" bestFit="1" customWidth="1"/>
    <col min="95" max="99" width="9.109375" style="39"/>
    <col min="100" max="100" width="10.6640625" style="39" bestFit="1" customWidth="1"/>
    <col min="101" max="105" width="9.109375" style="39"/>
    <col min="106" max="106" width="10.6640625" style="39" bestFit="1" customWidth="1"/>
    <col min="107" max="107" width="9.109375" style="39"/>
    <col min="108" max="108" width="13.33203125" style="39" bestFit="1" customWidth="1"/>
    <col min="109" max="109" width="12" style="58" customWidth="1"/>
    <col min="110" max="110" width="31.6640625" style="39" bestFit="1" customWidth="1"/>
    <col min="111" max="112" width="10.6640625" style="39" bestFit="1" customWidth="1"/>
    <col min="113" max="117" width="9.109375" style="39"/>
    <col min="118" max="118" width="10.6640625" style="39" bestFit="1" customWidth="1"/>
    <col min="119" max="123" width="9.109375" style="39"/>
    <col min="124" max="124" width="10.6640625" style="39" bestFit="1" customWidth="1"/>
    <col min="125" max="125" width="9.109375" style="39"/>
    <col min="126" max="126" width="13.33203125" style="39" bestFit="1" customWidth="1"/>
    <col min="127" max="127" width="12" style="58" customWidth="1"/>
    <col min="128" max="128" width="31.6640625" style="39" bestFit="1" customWidth="1"/>
    <col min="129" max="129" width="9.109375" style="39"/>
    <col min="130" max="130" width="10.6640625" style="39" bestFit="1" customWidth="1"/>
    <col min="131" max="135" width="9.109375" style="39"/>
    <col min="136" max="136" width="10.6640625" style="39" bestFit="1" customWidth="1"/>
    <col min="137" max="141" width="9.109375" style="39"/>
    <col min="142" max="142" width="10.6640625" style="39" bestFit="1" customWidth="1"/>
    <col min="143" max="143" width="9.109375" style="39"/>
    <col min="144" max="144" width="13.33203125" style="39" bestFit="1" customWidth="1"/>
    <col min="145" max="145" width="12" style="58" customWidth="1"/>
    <col min="146" max="146" width="31.6640625" style="39" bestFit="1" customWidth="1"/>
    <col min="147" max="147" width="9.109375" style="39"/>
    <col min="148" max="148" width="10.6640625" style="39" bestFit="1" customWidth="1"/>
    <col min="149" max="153" width="9.109375" style="39"/>
    <col min="154" max="154" width="10.6640625" style="39" bestFit="1" customWidth="1"/>
    <col min="155" max="159" width="9.109375" style="39"/>
    <col min="160" max="160" width="10.6640625" style="39" bestFit="1" customWidth="1"/>
    <col min="161" max="161" width="9.109375" style="39"/>
    <col min="162" max="162" width="13.33203125" style="39" bestFit="1" customWidth="1"/>
    <col min="163" max="163" width="12" style="58" customWidth="1"/>
    <col min="164" max="164" width="31.6640625" style="39" bestFit="1" customWidth="1"/>
    <col min="165" max="165" width="9.109375" style="39"/>
    <col min="166" max="166" width="10.6640625" style="39" bestFit="1" customWidth="1"/>
    <col min="167" max="171" width="9.109375" style="39"/>
    <col min="172" max="172" width="10.6640625" style="39" bestFit="1" customWidth="1"/>
    <col min="173" max="177" width="9.109375" style="39"/>
    <col min="178" max="178" width="10.6640625" style="39" bestFit="1" customWidth="1"/>
    <col min="179" max="179" width="9.109375" style="39"/>
    <col min="180" max="180" width="13.33203125" style="39" bestFit="1" customWidth="1"/>
    <col min="181" max="181" width="12" style="58" customWidth="1"/>
    <col min="182" max="182" width="31.6640625" style="39" bestFit="1" customWidth="1"/>
    <col min="183" max="183" width="9.109375" style="39"/>
    <col min="184" max="184" width="10.6640625" style="39" bestFit="1" customWidth="1"/>
    <col min="185" max="189" width="9.109375" style="39"/>
    <col min="190" max="190" width="10.6640625" style="39" bestFit="1" customWidth="1"/>
    <col min="191" max="195" width="9.109375" style="39"/>
    <col min="196" max="196" width="10.6640625" style="39" bestFit="1" customWidth="1"/>
    <col min="197" max="197" width="9.109375" style="39"/>
    <col min="198" max="198" width="13.33203125" style="39" bestFit="1" customWidth="1"/>
    <col min="199" max="199" width="12" style="58" customWidth="1"/>
    <col min="200" max="200" width="31.6640625" style="39" bestFit="1" customWidth="1"/>
    <col min="201" max="201" width="9.109375" style="39"/>
    <col min="202" max="202" width="10.6640625" style="39" bestFit="1" customWidth="1"/>
    <col min="203" max="207" width="9.109375" style="39"/>
    <col min="208" max="208" width="10.6640625" style="39" bestFit="1" customWidth="1"/>
    <col min="209" max="213" width="9.109375" style="39"/>
    <col min="214" max="214" width="10.6640625" style="39" bestFit="1" customWidth="1"/>
    <col min="215" max="215" width="9.109375" style="39"/>
    <col min="216" max="216" width="13.33203125" style="39" bestFit="1" customWidth="1"/>
    <col min="217" max="217" width="9.109375" style="37"/>
    <col min="218" max="257" width="9.109375" style="39"/>
    <col min="258" max="258" width="12.33203125" style="39" bestFit="1" customWidth="1"/>
    <col min="259" max="259" width="10.109375" style="39" bestFit="1" customWidth="1"/>
    <col min="260" max="260" width="10.6640625" style="39" bestFit="1" customWidth="1"/>
    <col min="261" max="264" width="9.109375" style="39"/>
    <col min="265" max="265" width="9.109375" style="39" bestFit="1" customWidth="1"/>
    <col min="266" max="266" width="10.6640625" style="39" bestFit="1" customWidth="1"/>
    <col min="267" max="267" width="4.5546875" style="39" bestFit="1" customWidth="1"/>
    <col min="268" max="268" width="5.5546875" style="39" bestFit="1" customWidth="1"/>
    <col min="269" max="269" width="10.6640625" style="39" bestFit="1" customWidth="1"/>
    <col min="270" max="273" width="9.109375" style="39"/>
    <col min="274" max="274" width="12" style="39" bestFit="1" customWidth="1"/>
    <col min="275" max="275" width="32.6640625" style="39" customWidth="1"/>
    <col min="276" max="276" width="12.33203125" style="39" bestFit="1" customWidth="1"/>
    <col min="277" max="277" width="9.109375" style="39"/>
    <col min="278" max="278" width="10.6640625" style="39" bestFit="1" customWidth="1"/>
    <col min="279" max="283" width="9.109375" style="39"/>
    <col min="284" max="284" width="10.6640625" style="39" bestFit="1" customWidth="1"/>
    <col min="285" max="291" width="9.109375" style="39"/>
    <col min="292" max="292" width="12" style="39" bestFit="1" customWidth="1"/>
    <col min="293" max="293" width="32.6640625" style="39" customWidth="1"/>
    <col min="294" max="294" width="12.33203125" style="39" bestFit="1" customWidth="1"/>
    <col min="295" max="295" width="9.109375" style="39"/>
    <col min="296" max="296" width="10.6640625" style="39" bestFit="1" customWidth="1"/>
    <col min="297" max="301" width="9.109375" style="39"/>
    <col min="302" max="302" width="10.6640625" style="39" bestFit="1" customWidth="1"/>
    <col min="303" max="309" width="9.109375" style="39"/>
    <col min="310" max="310" width="12" style="39" bestFit="1" customWidth="1"/>
    <col min="311" max="311" width="32.6640625" style="39" customWidth="1"/>
    <col min="312" max="312" width="12.33203125" style="39" bestFit="1" customWidth="1"/>
    <col min="313" max="313" width="9.109375" style="39"/>
    <col min="314" max="314" width="10.6640625" style="39" bestFit="1" customWidth="1"/>
    <col min="315" max="319" width="9.109375" style="39"/>
    <col min="320" max="320" width="10.6640625" style="39" bestFit="1" customWidth="1"/>
    <col min="321" max="327" width="9.109375" style="39"/>
    <col min="328" max="328" width="12" style="39" bestFit="1" customWidth="1"/>
    <col min="329" max="329" width="32.6640625" style="39" customWidth="1"/>
    <col min="330" max="330" width="12.33203125" style="39" bestFit="1" customWidth="1"/>
    <col min="331" max="331" width="9.109375" style="39"/>
    <col min="332" max="332" width="10.6640625" style="39" bestFit="1" customWidth="1"/>
    <col min="333" max="337" width="9.109375" style="39"/>
    <col min="338" max="338" width="10.6640625" style="39" bestFit="1" customWidth="1"/>
    <col min="339" max="345" width="9.109375" style="39"/>
    <col min="346" max="346" width="12" style="39" bestFit="1" customWidth="1"/>
    <col min="347" max="347" width="32.6640625" style="39" customWidth="1"/>
    <col min="348" max="348" width="12.33203125" style="39" bestFit="1" customWidth="1"/>
    <col min="349" max="349" width="9.109375" style="39"/>
    <col min="350" max="350" width="10.6640625" style="39" bestFit="1" customWidth="1"/>
    <col min="351" max="355" width="9.109375" style="39"/>
    <col min="356" max="356" width="10.6640625" style="39" bestFit="1" customWidth="1"/>
    <col min="357" max="363" width="9.109375" style="39"/>
    <col min="364" max="364" width="12" style="39" bestFit="1" customWidth="1"/>
    <col min="365" max="365" width="32.6640625" style="39" customWidth="1"/>
    <col min="366" max="366" width="12.33203125" style="39" bestFit="1" customWidth="1"/>
    <col min="367" max="367" width="9.109375" style="39"/>
    <col min="368" max="368" width="10.6640625" style="39" bestFit="1" customWidth="1"/>
    <col min="369" max="373" width="9.109375" style="39"/>
    <col min="374" max="374" width="10.6640625" style="39" bestFit="1" customWidth="1"/>
    <col min="375" max="381" width="9.109375" style="39"/>
    <col min="382" max="382" width="12" style="39" bestFit="1" customWidth="1"/>
    <col min="383" max="383" width="32.6640625" style="39" customWidth="1"/>
    <col min="384" max="384" width="12.33203125" style="39" bestFit="1" customWidth="1"/>
    <col min="385" max="385" width="9.109375" style="39"/>
    <col min="386" max="386" width="10.6640625" style="39" bestFit="1" customWidth="1"/>
    <col min="387" max="391" width="9.109375" style="39"/>
    <col min="392" max="392" width="10.6640625" style="39" bestFit="1" customWidth="1"/>
    <col min="393" max="399" width="9.109375" style="39"/>
    <col min="400" max="400" width="12" style="39" bestFit="1" customWidth="1"/>
    <col min="401" max="401" width="32.6640625" style="39" customWidth="1"/>
    <col min="402" max="402" width="12.33203125" style="39" bestFit="1" customWidth="1"/>
    <col min="403" max="403" width="9.109375" style="39"/>
    <col min="404" max="404" width="10.6640625" style="39" bestFit="1" customWidth="1"/>
    <col min="405" max="409" width="9.109375" style="39"/>
    <col min="410" max="410" width="10.6640625" style="39" bestFit="1" customWidth="1"/>
    <col min="411" max="417" width="9.109375" style="39"/>
    <col min="418" max="418" width="12" style="39" bestFit="1" customWidth="1"/>
    <col min="419" max="419" width="32.6640625" style="39" customWidth="1"/>
    <col min="420" max="420" width="12.33203125" style="39" bestFit="1" customWidth="1"/>
    <col min="421" max="421" width="9.109375" style="39"/>
    <col min="422" max="422" width="10.6640625" style="39" bestFit="1" customWidth="1"/>
    <col min="423" max="427" width="9.109375" style="39"/>
    <col min="428" max="428" width="10.6640625" style="39" bestFit="1" customWidth="1"/>
    <col min="429" max="435" width="9.109375" style="39"/>
    <col min="436" max="436" width="12" style="39" bestFit="1" customWidth="1"/>
    <col min="437" max="437" width="32.6640625" style="39" customWidth="1"/>
    <col min="438" max="438" width="12.33203125" style="39" bestFit="1" customWidth="1"/>
    <col min="439" max="439" width="9.109375" style="39"/>
    <col min="440" max="440" width="10.6640625" style="39" bestFit="1" customWidth="1"/>
    <col min="441" max="445" width="9.109375" style="39"/>
    <col min="446" max="446" width="10.6640625" style="39" bestFit="1" customWidth="1"/>
    <col min="447" max="453" width="9.109375" style="39"/>
    <col min="454" max="454" width="13.33203125" style="39" bestFit="1" customWidth="1"/>
    <col min="455" max="455" width="32.6640625" style="39" customWidth="1"/>
    <col min="456" max="456" width="12.33203125" style="39" bestFit="1" customWidth="1"/>
    <col min="457" max="457" width="9.109375" style="39"/>
    <col min="458" max="458" width="10.6640625" style="39" bestFit="1" customWidth="1"/>
    <col min="459" max="463" width="9.109375" style="39"/>
    <col min="464" max="464" width="10.6640625" style="39" bestFit="1" customWidth="1"/>
    <col min="465" max="471" width="9.109375" style="39"/>
    <col min="472" max="472" width="12" style="39" bestFit="1" customWidth="1"/>
    <col min="473" max="513" width="9.109375" style="39"/>
    <col min="514" max="514" width="12.33203125" style="39" bestFit="1" customWidth="1"/>
    <col min="515" max="515" width="10.109375" style="39" bestFit="1" customWidth="1"/>
    <col min="516" max="516" width="10.6640625" style="39" bestFit="1" customWidth="1"/>
    <col min="517" max="520" width="9.109375" style="39"/>
    <col min="521" max="521" width="9.109375" style="39" bestFit="1" customWidth="1"/>
    <col min="522" max="522" width="10.6640625" style="39" bestFit="1" customWidth="1"/>
    <col min="523" max="523" width="4.5546875" style="39" bestFit="1" customWidth="1"/>
    <col min="524" max="524" width="5.5546875" style="39" bestFit="1" customWidth="1"/>
    <col min="525" max="525" width="10.6640625" style="39" bestFit="1" customWidth="1"/>
    <col min="526" max="529" width="9.109375" style="39"/>
    <col min="530" max="530" width="12" style="39" bestFit="1" customWidth="1"/>
    <col min="531" max="531" width="32.6640625" style="39" customWidth="1"/>
    <col min="532" max="532" width="12.33203125" style="39" bestFit="1" customWidth="1"/>
    <col min="533" max="533" width="9.109375" style="39"/>
    <col min="534" max="534" width="10.6640625" style="39" bestFit="1" customWidth="1"/>
    <col min="535" max="539" width="9.109375" style="39"/>
    <col min="540" max="540" width="10.6640625" style="39" bestFit="1" customWidth="1"/>
    <col min="541" max="547" width="9.109375" style="39"/>
    <col min="548" max="548" width="12" style="39" bestFit="1" customWidth="1"/>
    <col min="549" max="549" width="32.6640625" style="39" customWidth="1"/>
    <col min="550" max="550" width="12.33203125" style="39" bestFit="1" customWidth="1"/>
    <col min="551" max="551" width="9.109375" style="39"/>
    <col min="552" max="552" width="10.6640625" style="39" bestFit="1" customWidth="1"/>
    <col min="553" max="557" width="9.109375" style="39"/>
    <col min="558" max="558" width="10.6640625" style="39" bestFit="1" customWidth="1"/>
    <col min="559" max="565" width="9.109375" style="39"/>
    <col min="566" max="566" width="12" style="39" bestFit="1" customWidth="1"/>
    <col min="567" max="567" width="32.6640625" style="39" customWidth="1"/>
    <col min="568" max="568" width="12.33203125" style="39" bestFit="1" customWidth="1"/>
    <col min="569" max="569" width="9.109375" style="39"/>
    <col min="570" max="570" width="10.6640625" style="39" bestFit="1" customWidth="1"/>
    <col min="571" max="575" width="9.109375" style="39"/>
    <col min="576" max="576" width="10.6640625" style="39" bestFit="1" customWidth="1"/>
    <col min="577" max="583" width="9.109375" style="39"/>
    <col min="584" max="584" width="12" style="39" bestFit="1" customWidth="1"/>
    <col min="585" max="585" width="32.6640625" style="39" customWidth="1"/>
    <col min="586" max="586" width="12.33203125" style="39" bestFit="1" customWidth="1"/>
    <col min="587" max="587" width="9.109375" style="39"/>
    <col min="588" max="588" width="10.6640625" style="39" bestFit="1" customWidth="1"/>
    <col min="589" max="593" width="9.109375" style="39"/>
    <col min="594" max="594" width="10.6640625" style="39" bestFit="1" customWidth="1"/>
    <col min="595" max="601" width="9.109375" style="39"/>
    <col min="602" max="602" width="12" style="39" bestFit="1" customWidth="1"/>
    <col min="603" max="603" width="32.6640625" style="39" customWidth="1"/>
    <col min="604" max="604" width="12.33203125" style="39" bestFit="1" customWidth="1"/>
    <col min="605" max="605" width="9.109375" style="39"/>
    <col min="606" max="606" width="10.6640625" style="39" bestFit="1" customWidth="1"/>
    <col min="607" max="611" width="9.109375" style="39"/>
    <col min="612" max="612" width="10.6640625" style="39" bestFit="1" customWidth="1"/>
    <col min="613" max="619" width="9.109375" style="39"/>
    <col min="620" max="620" width="12" style="39" bestFit="1" customWidth="1"/>
    <col min="621" max="621" width="32.6640625" style="39" customWidth="1"/>
    <col min="622" max="622" width="12.33203125" style="39" bestFit="1" customWidth="1"/>
    <col min="623" max="623" width="9.109375" style="39"/>
    <col min="624" max="624" width="10.6640625" style="39" bestFit="1" customWidth="1"/>
    <col min="625" max="629" width="9.109375" style="39"/>
    <col min="630" max="630" width="10.6640625" style="39" bestFit="1" customWidth="1"/>
    <col min="631" max="637" width="9.109375" style="39"/>
    <col min="638" max="638" width="12" style="39" bestFit="1" customWidth="1"/>
    <col min="639" max="639" width="32.6640625" style="39" customWidth="1"/>
    <col min="640" max="640" width="12.33203125" style="39" bestFit="1" customWidth="1"/>
    <col min="641" max="641" width="9.109375" style="39"/>
    <col min="642" max="642" width="10.6640625" style="39" bestFit="1" customWidth="1"/>
    <col min="643" max="647" width="9.109375" style="39"/>
    <col min="648" max="648" width="10.6640625" style="39" bestFit="1" customWidth="1"/>
    <col min="649" max="655" width="9.109375" style="39"/>
    <col min="656" max="656" width="12" style="39" bestFit="1" customWidth="1"/>
    <col min="657" max="657" width="32.6640625" style="39" customWidth="1"/>
    <col min="658" max="658" width="12.33203125" style="39" bestFit="1" customWidth="1"/>
    <col min="659" max="659" width="9.109375" style="39"/>
    <col min="660" max="660" width="10.6640625" style="39" bestFit="1" customWidth="1"/>
    <col min="661" max="665" width="9.109375" style="39"/>
    <col min="666" max="666" width="10.6640625" style="39" bestFit="1" customWidth="1"/>
    <col min="667" max="673" width="9.109375" style="39"/>
    <col min="674" max="674" width="12" style="39" bestFit="1" customWidth="1"/>
    <col min="675" max="675" width="32.6640625" style="39" customWidth="1"/>
    <col min="676" max="676" width="12.33203125" style="39" bestFit="1" customWidth="1"/>
    <col min="677" max="677" width="9.109375" style="39"/>
    <col min="678" max="678" width="10.6640625" style="39" bestFit="1" customWidth="1"/>
    <col min="679" max="683" width="9.109375" style="39"/>
    <col min="684" max="684" width="10.6640625" style="39" bestFit="1" customWidth="1"/>
    <col min="685" max="691" width="9.109375" style="39"/>
    <col min="692" max="692" width="12" style="39" bestFit="1" customWidth="1"/>
    <col min="693" max="693" width="32.6640625" style="39" customWidth="1"/>
    <col min="694" max="694" width="12.33203125" style="39" bestFit="1" customWidth="1"/>
    <col min="695" max="695" width="9.109375" style="39"/>
    <col min="696" max="696" width="10.6640625" style="39" bestFit="1" customWidth="1"/>
    <col min="697" max="701" width="9.109375" style="39"/>
    <col min="702" max="702" width="10.6640625" style="39" bestFit="1" customWidth="1"/>
    <col min="703" max="709" width="9.109375" style="39"/>
    <col min="710" max="710" width="13.33203125" style="39" bestFit="1" customWidth="1"/>
    <col min="711" max="711" width="32.6640625" style="39" customWidth="1"/>
    <col min="712" max="712" width="12.33203125" style="39" bestFit="1" customWidth="1"/>
    <col min="713" max="713" width="9.109375" style="39"/>
    <col min="714" max="714" width="10.6640625" style="39" bestFit="1" customWidth="1"/>
    <col min="715" max="719" width="9.109375" style="39"/>
    <col min="720" max="720" width="10.6640625" style="39" bestFit="1" customWidth="1"/>
    <col min="721" max="727" width="9.109375" style="39"/>
    <col min="728" max="728" width="12" style="39" bestFit="1" customWidth="1"/>
    <col min="729" max="769" width="9.109375" style="39"/>
    <col min="770" max="770" width="12.33203125" style="39" bestFit="1" customWidth="1"/>
    <col min="771" max="771" width="10.109375" style="39" bestFit="1" customWidth="1"/>
    <col min="772" max="772" width="10.6640625" style="39" bestFit="1" customWidth="1"/>
    <col min="773" max="776" width="9.109375" style="39"/>
    <col min="777" max="777" width="9.109375" style="39" bestFit="1" customWidth="1"/>
    <col min="778" max="778" width="10.6640625" style="39" bestFit="1" customWidth="1"/>
    <col min="779" max="779" width="4.5546875" style="39" bestFit="1" customWidth="1"/>
    <col min="780" max="780" width="5.5546875" style="39" bestFit="1" customWidth="1"/>
    <col min="781" max="781" width="10.6640625" style="39" bestFit="1" customWidth="1"/>
    <col min="782" max="785" width="9.109375" style="39"/>
    <col min="786" max="786" width="12" style="39" bestFit="1" customWidth="1"/>
    <col min="787" max="787" width="32.6640625" style="39" customWidth="1"/>
    <col min="788" max="788" width="12.33203125" style="39" bestFit="1" customWidth="1"/>
    <col min="789" max="789" width="9.109375" style="39"/>
    <col min="790" max="790" width="10.6640625" style="39" bestFit="1" customWidth="1"/>
    <col min="791" max="795" width="9.109375" style="39"/>
    <col min="796" max="796" width="10.6640625" style="39" bestFit="1" customWidth="1"/>
    <col min="797" max="803" width="9.109375" style="39"/>
    <col min="804" max="804" width="12" style="39" bestFit="1" customWidth="1"/>
    <col min="805" max="805" width="32.6640625" style="39" customWidth="1"/>
    <col min="806" max="806" width="12.33203125" style="39" bestFit="1" customWidth="1"/>
    <col min="807" max="807" width="9.109375" style="39"/>
    <col min="808" max="808" width="10.6640625" style="39" bestFit="1" customWidth="1"/>
    <col min="809" max="813" width="9.109375" style="39"/>
    <col min="814" max="814" width="10.6640625" style="39" bestFit="1" customWidth="1"/>
    <col min="815" max="821" width="9.109375" style="39"/>
    <col min="822" max="822" width="12" style="39" bestFit="1" customWidth="1"/>
    <col min="823" max="823" width="32.6640625" style="39" customWidth="1"/>
    <col min="824" max="824" width="12.33203125" style="39" bestFit="1" customWidth="1"/>
    <col min="825" max="825" width="9.109375" style="39"/>
    <col min="826" max="826" width="10.6640625" style="39" bestFit="1" customWidth="1"/>
    <col min="827" max="831" width="9.109375" style="39"/>
    <col min="832" max="832" width="10.6640625" style="39" bestFit="1" customWidth="1"/>
    <col min="833" max="839" width="9.109375" style="39"/>
    <col min="840" max="840" width="12" style="39" bestFit="1" customWidth="1"/>
    <col min="841" max="841" width="32.6640625" style="39" customWidth="1"/>
    <col min="842" max="842" width="12.33203125" style="39" bestFit="1" customWidth="1"/>
    <col min="843" max="843" width="9.109375" style="39"/>
    <col min="844" max="844" width="10.6640625" style="39" bestFit="1" customWidth="1"/>
    <col min="845" max="849" width="9.109375" style="39"/>
    <col min="850" max="850" width="10.6640625" style="39" bestFit="1" customWidth="1"/>
    <col min="851" max="857" width="9.109375" style="39"/>
    <col min="858" max="858" width="12" style="39" bestFit="1" customWidth="1"/>
    <col min="859" max="859" width="32.6640625" style="39" customWidth="1"/>
    <col min="860" max="860" width="12.33203125" style="39" bestFit="1" customWidth="1"/>
    <col min="861" max="861" width="9.109375" style="39"/>
    <col min="862" max="862" width="10.6640625" style="39" bestFit="1" customWidth="1"/>
    <col min="863" max="867" width="9.109375" style="39"/>
    <col min="868" max="868" width="10.6640625" style="39" bestFit="1" customWidth="1"/>
    <col min="869" max="875" width="9.109375" style="39"/>
    <col min="876" max="876" width="12" style="39" bestFit="1" customWidth="1"/>
    <col min="877" max="877" width="32.6640625" style="39" customWidth="1"/>
    <col min="878" max="878" width="12.33203125" style="39" bestFit="1" customWidth="1"/>
    <col min="879" max="879" width="9.109375" style="39"/>
    <col min="880" max="880" width="10.6640625" style="39" bestFit="1" customWidth="1"/>
    <col min="881" max="885" width="9.109375" style="39"/>
    <col min="886" max="886" width="10.6640625" style="39" bestFit="1" customWidth="1"/>
    <col min="887" max="893" width="9.109375" style="39"/>
    <col min="894" max="894" width="12" style="39" bestFit="1" customWidth="1"/>
    <col min="895" max="895" width="32.6640625" style="39" customWidth="1"/>
    <col min="896" max="896" width="12.33203125" style="39" bestFit="1" customWidth="1"/>
    <col min="897" max="897" width="9.109375" style="39"/>
    <col min="898" max="898" width="10.6640625" style="39" bestFit="1" customWidth="1"/>
    <col min="899" max="903" width="9.109375" style="39"/>
    <col min="904" max="904" width="10.6640625" style="39" bestFit="1" customWidth="1"/>
    <col min="905" max="911" width="9.109375" style="39"/>
    <col min="912" max="912" width="12" style="39" bestFit="1" customWidth="1"/>
    <col min="913" max="913" width="32.6640625" style="39" customWidth="1"/>
    <col min="914" max="914" width="12.33203125" style="39" bestFit="1" customWidth="1"/>
    <col min="915" max="915" width="9.109375" style="39"/>
    <col min="916" max="916" width="10.6640625" style="39" bestFit="1" customWidth="1"/>
    <col min="917" max="921" width="9.109375" style="39"/>
    <col min="922" max="922" width="10.6640625" style="39" bestFit="1" customWidth="1"/>
    <col min="923" max="929" width="9.109375" style="39"/>
    <col min="930" max="930" width="12" style="39" bestFit="1" customWidth="1"/>
    <col min="931" max="931" width="32.6640625" style="39" customWidth="1"/>
    <col min="932" max="932" width="12.33203125" style="39" bestFit="1" customWidth="1"/>
    <col min="933" max="933" width="9.109375" style="39"/>
    <col min="934" max="934" width="10.6640625" style="39" bestFit="1" customWidth="1"/>
    <col min="935" max="939" width="9.109375" style="39"/>
    <col min="940" max="940" width="10.6640625" style="39" bestFit="1" customWidth="1"/>
    <col min="941" max="947" width="9.109375" style="39"/>
    <col min="948" max="948" width="12" style="39" bestFit="1" customWidth="1"/>
    <col min="949" max="949" width="32.6640625" style="39" customWidth="1"/>
    <col min="950" max="950" width="12.33203125" style="39" bestFit="1" customWidth="1"/>
    <col min="951" max="951" width="9.109375" style="39"/>
    <col min="952" max="952" width="10.6640625" style="39" bestFit="1" customWidth="1"/>
    <col min="953" max="957" width="9.109375" style="39"/>
    <col min="958" max="958" width="10.6640625" style="39" bestFit="1" customWidth="1"/>
    <col min="959" max="965" width="9.109375" style="39"/>
    <col min="966" max="966" width="13.33203125" style="39" bestFit="1" customWidth="1"/>
    <col min="967" max="967" width="32.6640625" style="39" customWidth="1"/>
    <col min="968" max="968" width="12.33203125" style="39" bestFit="1" customWidth="1"/>
    <col min="969" max="969" width="9.109375" style="39"/>
    <col min="970" max="970" width="10.6640625" style="39" bestFit="1" customWidth="1"/>
    <col min="971" max="975" width="9.109375" style="39"/>
    <col min="976" max="976" width="10.6640625" style="39" bestFit="1" customWidth="1"/>
    <col min="977" max="983" width="9.109375" style="39"/>
    <col min="984" max="984" width="12" style="39" bestFit="1" customWidth="1"/>
    <col min="985" max="1025" width="9.109375" style="39"/>
    <col min="1026" max="1026" width="12.33203125" style="39" bestFit="1" customWidth="1"/>
    <col min="1027" max="1027" width="10.109375" style="39" bestFit="1" customWidth="1"/>
    <col min="1028" max="1028" width="10.6640625" style="39" bestFit="1" customWidth="1"/>
    <col min="1029" max="1032" width="9.109375" style="39"/>
    <col min="1033" max="1033" width="9.109375" style="39" bestFit="1" customWidth="1"/>
    <col min="1034" max="1034" width="10.6640625" style="39" bestFit="1" customWidth="1"/>
    <col min="1035" max="1035" width="4.5546875" style="39" bestFit="1" customWidth="1"/>
    <col min="1036" max="1036" width="5.5546875" style="39" bestFit="1" customWidth="1"/>
    <col min="1037" max="1037" width="10.6640625" style="39" bestFit="1" customWidth="1"/>
    <col min="1038" max="1041" width="9.109375" style="39"/>
    <col min="1042" max="1042" width="12" style="39" bestFit="1" customWidth="1"/>
    <col min="1043" max="1043" width="32.6640625" style="39" customWidth="1"/>
    <col min="1044" max="1044" width="12.33203125" style="39" bestFit="1" customWidth="1"/>
    <col min="1045" max="1045" width="9.109375" style="39"/>
    <col min="1046" max="1046" width="10.6640625" style="39" bestFit="1" customWidth="1"/>
    <col min="1047" max="1051" width="9.109375" style="39"/>
    <col min="1052" max="1052" width="10.6640625" style="39" bestFit="1" customWidth="1"/>
    <col min="1053" max="1059" width="9.109375" style="39"/>
    <col min="1060" max="1060" width="12" style="39" bestFit="1" customWidth="1"/>
    <col min="1061" max="1061" width="32.6640625" style="39" customWidth="1"/>
    <col min="1062" max="1062" width="12.33203125" style="39" bestFit="1" customWidth="1"/>
    <col min="1063" max="1063" width="9.109375" style="39"/>
    <col min="1064" max="1064" width="10.6640625" style="39" bestFit="1" customWidth="1"/>
    <col min="1065" max="1069" width="9.109375" style="39"/>
    <col min="1070" max="1070" width="10.6640625" style="39" bestFit="1" customWidth="1"/>
    <col min="1071" max="1077" width="9.109375" style="39"/>
    <col min="1078" max="1078" width="12" style="39" bestFit="1" customWidth="1"/>
    <col min="1079" max="1079" width="32.6640625" style="39" customWidth="1"/>
    <col min="1080" max="1080" width="12.33203125" style="39" bestFit="1" customWidth="1"/>
    <col min="1081" max="1081" width="9.109375" style="39"/>
    <col min="1082" max="1082" width="10.6640625" style="39" bestFit="1" customWidth="1"/>
    <col min="1083" max="1087" width="9.109375" style="39"/>
    <col min="1088" max="1088" width="10.6640625" style="39" bestFit="1" customWidth="1"/>
    <col min="1089" max="1095" width="9.109375" style="39"/>
    <col min="1096" max="1096" width="12" style="39" bestFit="1" customWidth="1"/>
    <col min="1097" max="1097" width="32.6640625" style="39" customWidth="1"/>
    <col min="1098" max="1098" width="12.33203125" style="39" bestFit="1" customWidth="1"/>
    <col min="1099" max="1099" width="9.109375" style="39"/>
    <col min="1100" max="1100" width="10.6640625" style="39" bestFit="1" customWidth="1"/>
    <col min="1101" max="1105" width="9.109375" style="39"/>
    <col min="1106" max="1106" width="10.6640625" style="39" bestFit="1" customWidth="1"/>
    <col min="1107" max="1113" width="9.109375" style="39"/>
    <col min="1114" max="1114" width="12" style="39" bestFit="1" customWidth="1"/>
    <col min="1115" max="1115" width="32.6640625" style="39" customWidth="1"/>
    <col min="1116" max="1116" width="12.33203125" style="39" bestFit="1" customWidth="1"/>
    <col min="1117" max="1117" width="9.109375" style="39"/>
    <col min="1118" max="1118" width="10.6640625" style="39" bestFit="1" customWidth="1"/>
    <col min="1119" max="1123" width="9.109375" style="39"/>
    <col min="1124" max="1124" width="10.6640625" style="39" bestFit="1" customWidth="1"/>
    <col min="1125" max="1131" width="9.109375" style="39"/>
    <col min="1132" max="1132" width="12" style="39" bestFit="1" customWidth="1"/>
    <col min="1133" max="1133" width="32.6640625" style="39" customWidth="1"/>
    <col min="1134" max="1134" width="12.33203125" style="39" bestFit="1" customWidth="1"/>
    <col min="1135" max="1135" width="9.109375" style="39"/>
    <col min="1136" max="1136" width="10.6640625" style="39" bestFit="1" customWidth="1"/>
    <col min="1137" max="1141" width="9.109375" style="39"/>
    <col min="1142" max="1142" width="10.6640625" style="39" bestFit="1" customWidth="1"/>
    <col min="1143" max="1149" width="9.109375" style="39"/>
    <col min="1150" max="1150" width="12" style="39" bestFit="1" customWidth="1"/>
    <col min="1151" max="1151" width="32.6640625" style="39" customWidth="1"/>
    <col min="1152" max="1152" width="12.33203125" style="39" bestFit="1" customWidth="1"/>
    <col min="1153" max="1153" width="9.109375" style="39"/>
    <col min="1154" max="1154" width="10.6640625" style="39" bestFit="1" customWidth="1"/>
    <col min="1155" max="1159" width="9.109375" style="39"/>
    <col min="1160" max="1160" width="10.6640625" style="39" bestFit="1" customWidth="1"/>
    <col min="1161" max="1167" width="9.109375" style="39"/>
    <col min="1168" max="1168" width="12" style="39" bestFit="1" customWidth="1"/>
    <col min="1169" max="1169" width="32.6640625" style="39" customWidth="1"/>
    <col min="1170" max="1170" width="12.33203125" style="39" bestFit="1" customWidth="1"/>
    <col min="1171" max="1171" width="9.109375" style="39"/>
    <col min="1172" max="1172" width="10.6640625" style="39" bestFit="1" customWidth="1"/>
    <col min="1173" max="1177" width="9.109375" style="39"/>
    <col min="1178" max="1178" width="10.6640625" style="39" bestFit="1" customWidth="1"/>
    <col min="1179" max="1185" width="9.109375" style="39"/>
    <col min="1186" max="1186" width="12" style="39" bestFit="1" customWidth="1"/>
    <col min="1187" max="1187" width="32.6640625" style="39" customWidth="1"/>
    <col min="1188" max="1188" width="12.33203125" style="39" bestFit="1" customWidth="1"/>
    <col min="1189" max="1189" width="9.109375" style="39"/>
    <col min="1190" max="1190" width="10.6640625" style="39" bestFit="1" customWidth="1"/>
    <col min="1191" max="1195" width="9.109375" style="39"/>
    <col min="1196" max="1196" width="10.6640625" style="39" bestFit="1" customWidth="1"/>
    <col min="1197" max="1203" width="9.109375" style="39"/>
    <col min="1204" max="1204" width="12" style="39" bestFit="1" customWidth="1"/>
    <col min="1205" max="1205" width="32.6640625" style="39" customWidth="1"/>
    <col min="1206" max="1206" width="12.33203125" style="39" bestFit="1" customWidth="1"/>
    <col min="1207" max="1207" width="9.109375" style="39"/>
    <col min="1208" max="1208" width="10.6640625" style="39" bestFit="1" customWidth="1"/>
    <col min="1209" max="1213" width="9.109375" style="39"/>
    <col min="1214" max="1214" width="10.6640625" style="39" bestFit="1" customWidth="1"/>
    <col min="1215" max="1221" width="9.109375" style="39"/>
    <col min="1222" max="1222" width="13.33203125" style="39" bestFit="1" customWidth="1"/>
    <col min="1223" max="1223" width="32.6640625" style="39" customWidth="1"/>
    <col min="1224" max="1224" width="12.33203125" style="39" bestFit="1" customWidth="1"/>
    <col min="1225" max="1225" width="9.109375" style="39"/>
    <col min="1226" max="1226" width="10.6640625" style="39" bestFit="1" customWidth="1"/>
    <col min="1227" max="1231" width="9.109375" style="39"/>
    <col min="1232" max="1232" width="10.6640625" style="39" bestFit="1" customWidth="1"/>
    <col min="1233" max="1239" width="9.109375" style="39"/>
    <col min="1240" max="1240" width="12" style="39" bestFit="1" customWidth="1"/>
    <col min="1241" max="1281" width="9.109375" style="39"/>
    <col min="1282" max="1282" width="12.33203125" style="39" bestFit="1" customWidth="1"/>
    <col min="1283" max="1283" width="10.109375" style="39" bestFit="1" customWidth="1"/>
    <col min="1284" max="1284" width="10.6640625" style="39" bestFit="1" customWidth="1"/>
    <col min="1285" max="1288" width="9.109375" style="39"/>
    <col min="1289" max="1289" width="9.109375" style="39" bestFit="1" customWidth="1"/>
    <col min="1290" max="1290" width="10.6640625" style="39" bestFit="1" customWidth="1"/>
    <col min="1291" max="1291" width="4.5546875" style="39" bestFit="1" customWidth="1"/>
    <col min="1292" max="1292" width="5.5546875" style="39" bestFit="1" customWidth="1"/>
    <col min="1293" max="1293" width="10.6640625" style="39" bestFit="1" customWidth="1"/>
    <col min="1294" max="1297" width="9.109375" style="39"/>
    <col min="1298" max="1298" width="12" style="39" bestFit="1" customWidth="1"/>
    <col min="1299" max="1299" width="32.6640625" style="39" customWidth="1"/>
    <col min="1300" max="1300" width="12.33203125" style="39" bestFit="1" customWidth="1"/>
    <col min="1301" max="1301" width="9.109375" style="39"/>
    <col min="1302" max="1302" width="10.6640625" style="39" bestFit="1" customWidth="1"/>
    <col min="1303" max="1307" width="9.109375" style="39"/>
    <col min="1308" max="1308" width="10.6640625" style="39" bestFit="1" customWidth="1"/>
    <col min="1309" max="1315" width="9.109375" style="39"/>
    <col min="1316" max="1316" width="12" style="39" bestFit="1" customWidth="1"/>
    <col min="1317" max="1317" width="32.6640625" style="39" customWidth="1"/>
    <col min="1318" max="1318" width="12.33203125" style="39" bestFit="1" customWidth="1"/>
    <col min="1319" max="1319" width="9.109375" style="39"/>
    <col min="1320" max="1320" width="10.6640625" style="39" bestFit="1" customWidth="1"/>
    <col min="1321" max="1325" width="9.109375" style="39"/>
    <col min="1326" max="1326" width="10.6640625" style="39" bestFit="1" customWidth="1"/>
    <col min="1327" max="1333" width="9.109375" style="39"/>
    <col min="1334" max="1334" width="12" style="39" bestFit="1" customWidth="1"/>
    <col min="1335" max="1335" width="32.6640625" style="39" customWidth="1"/>
    <col min="1336" max="1336" width="12.33203125" style="39" bestFit="1" customWidth="1"/>
    <col min="1337" max="1337" width="9.109375" style="39"/>
    <col min="1338" max="1338" width="10.6640625" style="39" bestFit="1" customWidth="1"/>
    <col min="1339" max="1343" width="9.109375" style="39"/>
    <col min="1344" max="1344" width="10.6640625" style="39" bestFit="1" customWidth="1"/>
    <col min="1345" max="1351" width="9.109375" style="39"/>
    <col min="1352" max="1352" width="12" style="39" bestFit="1" customWidth="1"/>
    <col min="1353" max="1353" width="32.6640625" style="39" customWidth="1"/>
    <col min="1354" max="1354" width="12.33203125" style="39" bestFit="1" customWidth="1"/>
    <col min="1355" max="1355" width="9.109375" style="39"/>
    <col min="1356" max="1356" width="10.6640625" style="39" bestFit="1" customWidth="1"/>
    <col min="1357" max="1361" width="9.109375" style="39"/>
    <col min="1362" max="1362" width="10.6640625" style="39" bestFit="1" customWidth="1"/>
    <col min="1363" max="1369" width="9.109375" style="39"/>
    <col min="1370" max="1370" width="12" style="39" bestFit="1" customWidth="1"/>
    <col min="1371" max="1371" width="32.6640625" style="39" customWidth="1"/>
    <col min="1372" max="1372" width="12.33203125" style="39" bestFit="1" customWidth="1"/>
    <col min="1373" max="1373" width="9.109375" style="39"/>
    <col min="1374" max="1374" width="10.6640625" style="39" bestFit="1" customWidth="1"/>
    <col min="1375" max="1379" width="9.109375" style="39"/>
    <col min="1380" max="1380" width="10.6640625" style="39" bestFit="1" customWidth="1"/>
    <col min="1381" max="1387" width="9.109375" style="39"/>
    <col min="1388" max="1388" width="12" style="39" bestFit="1" customWidth="1"/>
    <col min="1389" max="1389" width="32.6640625" style="39" customWidth="1"/>
    <col min="1390" max="1390" width="12.33203125" style="39" bestFit="1" customWidth="1"/>
    <col min="1391" max="1391" width="9.109375" style="39"/>
    <col min="1392" max="1392" width="10.6640625" style="39" bestFit="1" customWidth="1"/>
    <col min="1393" max="1397" width="9.109375" style="39"/>
    <col min="1398" max="1398" width="10.6640625" style="39" bestFit="1" customWidth="1"/>
    <col min="1399" max="1405" width="9.109375" style="39"/>
    <col min="1406" max="1406" width="12" style="39" bestFit="1" customWidth="1"/>
    <col min="1407" max="1407" width="32.6640625" style="39" customWidth="1"/>
    <col min="1408" max="1408" width="12.33203125" style="39" bestFit="1" customWidth="1"/>
    <col min="1409" max="1409" width="9.109375" style="39"/>
    <col min="1410" max="1410" width="10.6640625" style="39" bestFit="1" customWidth="1"/>
    <col min="1411" max="1415" width="9.109375" style="39"/>
    <col min="1416" max="1416" width="10.6640625" style="39" bestFit="1" customWidth="1"/>
    <col min="1417" max="1423" width="9.109375" style="39"/>
    <col min="1424" max="1424" width="12" style="39" bestFit="1" customWidth="1"/>
    <col min="1425" max="1425" width="32.6640625" style="39" customWidth="1"/>
    <col min="1426" max="1426" width="12.33203125" style="39" bestFit="1" customWidth="1"/>
    <col min="1427" max="1427" width="9.109375" style="39"/>
    <col min="1428" max="1428" width="10.6640625" style="39" bestFit="1" customWidth="1"/>
    <col min="1429" max="1433" width="9.109375" style="39"/>
    <col min="1434" max="1434" width="10.6640625" style="39" bestFit="1" customWidth="1"/>
    <col min="1435" max="1441" width="9.109375" style="39"/>
    <col min="1442" max="1442" width="12" style="39" bestFit="1" customWidth="1"/>
    <col min="1443" max="1443" width="32.6640625" style="39" customWidth="1"/>
    <col min="1444" max="1444" width="12.33203125" style="39" bestFit="1" customWidth="1"/>
    <col min="1445" max="1445" width="9.109375" style="39"/>
    <col min="1446" max="1446" width="10.6640625" style="39" bestFit="1" customWidth="1"/>
    <col min="1447" max="1451" width="9.109375" style="39"/>
    <col min="1452" max="1452" width="10.6640625" style="39" bestFit="1" customWidth="1"/>
    <col min="1453" max="1459" width="9.109375" style="39"/>
    <col min="1460" max="1460" width="12" style="39" bestFit="1" customWidth="1"/>
    <col min="1461" max="1461" width="32.6640625" style="39" customWidth="1"/>
    <col min="1462" max="1462" width="12.33203125" style="39" bestFit="1" customWidth="1"/>
    <col min="1463" max="1463" width="9.109375" style="39"/>
    <col min="1464" max="1464" width="10.6640625" style="39" bestFit="1" customWidth="1"/>
    <col min="1465" max="1469" width="9.109375" style="39"/>
    <col min="1470" max="1470" width="10.6640625" style="39" bestFit="1" customWidth="1"/>
    <col min="1471" max="1477" width="9.109375" style="39"/>
    <col min="1478" max="1478" width="13.33203125" style="39" bestFit="1" customWidth="1"/>
    <col min="1479" max="1479" width="32.6640625" style="39" customWidth="1"/>
    <col min="1480" max="1480" width="12.33203125" style="39" bestFit="1" customWidth="1"/>
    <col min="1481" max="1481" width="9.109375" style="39"/>
    <col min="1482" max="1482" width="10.6640625" style="39" bestFit="1" customWidth="1"/>
    <col min="1483" max="1487" width="9.109375" style="39"/>
    <col min="1488" max="1488" width="10.6640625" style="39" bestFit="1" customWidth="1"/>
    <col min="1489" max="1495" width="9.109375" style="39"/>
    <col min="1496" max="1496" width="12" style="39" bestFit="1" customWidth="1"/>
    <col min="1497" max="1537" width="9.109375" style="39"/>
    <col min="1538" max="1538" width="12.33203125" style="39" bestFit="1" customWidth="1"/>
    <col min="1539" max="1539" width="10.109375" style="39" bestFit="1" customWidth="1"/>
    <col min="1540" max="1540" width="10.6640625" style="39" bestFit="1" customWidth="1"/>
    <col min="1541" max="1544" width="9.109375" style="39"/>
    <col min="1545" max="1545" width="9.109375" style="39" bestFit="1" customWidth="1"/>
    <col min="1546" max="1546" width="10.6640625" style="39" bestFit="1" customWidth="1"/>
    <col min="1547" max="1547" width="4.5546875" style="39" bestFit="1" customWidth="1"/>
    <col min="1548" max="1548" width="5.5546875" style="39" bestFit="1" customWidth="1"/>
    <col min="1549" max="1549" width="10.6640625" style="39" bestFit="1" customWidth="1"/>
    <col min="1550" max="1553" width="9.109375" style="39"/>
    <col min="1554" max="1554" width="12" style="39" bestFit="1" customWidth="1"/>
    <col min="1555" max="1555" width="32.6640625" style="39" customWidth="1"/>
    <col min="1556" max="1556" width="12.33203125" style="39" bestFit="1" customWidth="1"/>
    <col min="1557" max="1557" width="9.109375" style="39"/>
    <col min="1558" max="1558" width="10.6640625" style="39" bestFit="1" customWidth="1"/>
    <col min="1559" max="1563" width="9.109375" style="39"/>
    <col min="1564" max="1564" width="10.6640625" style="39" bestFit="1" customWidth="1"/>
    <col min="1565" max="1571" width="9.109375" style="39"/>
    <col min="1572" max="1572" width="12" style="39" bestFit="1" customWidth="1"/>
    <col min="1573" max="1573" width="32.6640625" style="39" customWidth="1"/>
    <col min="1574" max="1574" width="12.33203125" style="39" bestFit="1" customWidth="1"/>
    <col min="1575" max="1575" width="9.109375" style="39"/>
    <col min="1576" max="1576" width="10.6640625" style="39" bestFit="1" customWidth="1"/>
    <col min="1577" max="1581" width="9.109375" style="39"/>
    <col min="1582" max="1582" width="10.6640625" style="39" bestFit="1" customWidth="1"/>
    <col min="1583" max="1589" width="9.109375" style="39"/>
    <col min="1590" max="1590" width="12" style="39" bestFit="1" customWidth="1"/>
    <col min="1591" max="1591" width="32.6640625" style="39" customWidth="1"/>
    <col min="1592" max="1592" width="12.33203125" style="39" bestFit="1" customWidth="1"/>
    <col min="1593" max="1593" width="9.109375" style="39"/>
    <col min="1594" max="1594" width="10.6640625" style="39" bestFit="1" customWidth="1"/>
    <col min="1595" max="1599" width="9.109375" style="39"/>
    <col min="1600" max="1600" width="10.6640625" style="39" bestFit="1" customWidth="1"/>
    <col min="1601" max="1607" width="9.109375" style="39"/>
    <col min="1608" max="1608" width="12" style="39" bestFit="1" customWidth="1"/>
    <col min="1609" max="1609" width="32.6640625" style="39" customWidth="1"/>
    <col min="1610" max="1610" width="12.33203125" style="39" bestFit="1" customWidth="1"/>
    <col min="1611" max="1611" width="9.109375" style="39"/>
    <col min="1612" max="1612" width="10.6640625" style="39" bestFit="1" customWidth="1"/>
    <col min="1613" max="1617" width="9.109375" style="39"/>
    <col min="1618" max="1618" width="10.6640625" style="39" bestFit="1" customWidth="1"/>
    <col min="1619" max="1625" width="9.109375" style="39"/>
    <col min="1626" max="1626" width="12" style="39" bestFit="1" customWidth="1"/>
    <col min="1627" max="1627" width="32.6640625" style="39" customWidth="1"/>
    <col min="1628" max="1628" width="12.33203125" style="39" bestFit="1" customWidth="1"/>
    <col min="1629" max="1629" width="9.109375" style="39"/>
    <col min="1630" max="1630" width="10.6640625" style="39" bestFit="1" customWidth="1"/>
    <col min="1631" max="1635" width="9.109375" style="39"/>
    <col min="1636" max="1636" width="10.6640625" style="39" bestFit="1" customWidth="1"/>
    <col min="1637" max="1643" width="9.109375" style="39"/>
    <col min="1644" max="1644" width="12" style="39" bestFit="1" customWidth="1"/>
    <col min="1645" max="1645" width="32.6640625" style="39" customWidth="1"/>
    <col min="1646" max="1646" width="12.33203125" style="39" bestFit="1" customWidth="1"/>
    <col min="1647" max="1647" width="9.109375" style="39"/>
    <col min="1648" max="1648" width="10.6640625" style="39" bestFit="1" customWidth="1"/>
    <col min="1649" max="1653" width="9.109375" style="39"/>
    <col min="1654" max="1654" width="10.6640625" style="39" bestFit="1" customWidth="1"/>
    <col min="1655" max="1661" width="9.109375" style="39"/>
    <col min="1662" max="1662" width="12" style="39" bestFit="1" customWidth="1"/>
    <col min="1663" max="1663" width="32.6640625" style="39" customWidth="1"/>
    <col min="1664" max="1664" width="12.33203125" style="39" bestFit="1" customWidth="1"/>
    <col min="1665" max="1665" width="9.109375" style="39"/>
    <col min="1666" max="1666" width="10.6640625" style="39" bestFit="1" customWidth="1"/>
    <col min="1667" max="1671" width="9.109375" style="39"/>
    <col min="1672" max="1672" width="10.6640625" style="39" bestFit="1" customWidth="1"/>
    <col min="1673" max="1679" width="9.109375" style="39"/>
    <col min="1680" max="1680" width="12" style="39" bestFit="1" customWidth="1"/>
    <col min="1681" max="1681" width="32.6640625" style="39" customWidth="1"/>
    <col min="1682" max="1682" width="12.33203125" style="39" bestFit="1" customWidth="1"/>
    <col min="1683" max="1683" width="9.109375" style="39"/>
    <col min="1684" max="1684" width="10.6640625" style="39" bestFit="1" customWidth="1"/>
    <col min="1685" max="1689" width="9.109375" style="39"/>
    <col min="1690" max="1690" width="10.6640625" style="39" bestFit="1" customWidth="1"/>
    <col min="1691" max="1697" width="9.109375" style="39"/>
    <col min="1698" max="1698" width="12" style="39" bestFit="1" customWidth="1"/>
    <col min="1699" max="1699" width="32.6640625" style="39" customWidth="1"/>
    <col min="1700" max="1700" width="12.33203125" style="39" bestFit="1" customWidth="1"/>
    <col min="1701" max="1701" width="9.109375" style="39"/>
    <col min="1702" max="1702" width="10.6640625" style="39" bestFit="1" customWidth="1"/>
    <col min="1703" max="1707" width="9.109375" style="39"/>
    <col min="1708" max="1708" width="10.6640625" style="39" bestFit="1" customWidth="1"/>
    <col min="1709" max="1715" width="9.109375" style="39"/>
    <col min="1716" max="1716" width="12" style="39" bestFit="1" customWidth="1"/>
    <col min="1717" max="1717" width="32.6640625" style="39" customWidth="1"/>
    <col min="1718" max="1718" width="12.33203125" style="39" bestFit="1" customWidth="1"/>
    <col min="1719" max="1719" width="9.109375" style="39"/>
    <col min="1720" max="1720" width="10.6640625" style="39" bestFit="1" customWidth="1"/>
    <col min="1721" max="1725" width="9.109375" style="39"/>
    <col min="1726" max="1726" width="10.6640625" style="39" bestFit="1" customWidth="1"/>
    <col min="1727" max="1733" width="9.109375" style="39"/>
    <col min="1734" max="1734" width="13.33203125" style="39" bestFit="1" customWidth="1"/>
    <col min="1735" max="1735" width="32.6640625" style="39" customWidth="1"/>
    <col min="1736" max="1736" width="12.33203125" style="39" bestFit="1" customWidth="1"/>
    <col min="1737" max="1737" width="9.109375" style="39"/>
    <col min="1738" max="1738" width="10.6640625" style="39" bestFit="1" customWidth="1"/>
    <col min="1739" max="1743" width="9.109375" style="39"/>
    <col min="1744" max="1744" width="10.6640625" style="39" bestFit="1" customWidth="1"/>
    <col min="1745" max="1751" width="9.109375" style="39"/>
    <col min="1752" max="1752" width="12" style="39" bestFit="1" customWidth="1"/>
    <col min="1753" max="1793" width="9.109375" style="39"/>
    <col min="1794" max="1794" width="12.33203125" style="39" bestFit="1" customWidth="1"/>
    <col min="1795" max="1795" width="10.109375" style="39" bestFit="1" customWidth="1"/>
    <col min="1796" max="1796" width="10.6640625" style="39" bestFit="1" customWidth="1"/>
    <col min="1797" max="1800" width="9.109375" style="39"/>
    <col min="1801" max="1801" width="9.109375" style="39" bestFit="1" customWidth="1"/>
    <col min="1802" max="1802" width="10.6640625" style="39" bestFit="1" customWidth="1"/>
    <col min="1803" max="1803" width="4.5546875" style="39" bestFit="1" customWidth="1"/>
    <col min="1804" max="1804" width="5.5546875" style="39" bestFit="1" customWidth="1"/>
    <col min="1805" max="1805" width="10.6640625" style="39" bestFit="1" customWidth="1"/>
    <col min="1806" max="1809" width="9.109375" style="39"/>
    <col min="1810" max="1810" width="12" style="39" bestFit="1" customWidth="1"/>
    <col min="1811" max="1811" width="32.6640625" style="39" customWidth="1"/>
    <col min="1812" max="1812" width="12.33203125" style="39" bestFit="1" customWidth="1"/>
    <col min="1813" max="1813" width="9.109375" style="39"/>
    <col min="1814" max="1814" width="10.6640625" style="39" bestFit="1" customWidth="1"/>
    <col min="1815" max="1819" width="9.109375" style="39"/>
    <col min="1820" max="1820" width="10.6640625" style="39" bestFit="1" customWidth="1"/>
    <col min="1821" max="1827" width="9.109375" style="39"/>
    <col min="1828" max="1828" width="12" style="39" bestFit="1" customWidth="1"/>
    <col min="1829" max="1829" width="32.6640625" style="39" customWidth="1"/>
    <col min="1830" max="1830" width="12.33203125" style="39" bestFit="1" customWidth="1"/>
    <col min="1831" max="1831" width="9.109375" style="39"/>
    <col min="1832" max="1832" width="10.6640625" style="39" bestFit="1" customWidth="1"/>
    <col min="1833" max="1837" width="9.109375" style="39"/>
    <col min="1838" max="1838" width="10.6640625" style="39" bestFit="1" customWidth="1"/>
    <col min="1839" max="1845" width="9.109375" style="39"/>
    <col min="1846" max="1846" width="12" style="39" bestFit="1" customWidth="1"/>
    <col min="1847" max="1847" width="32.6640625" style="39" customWidth="1"/>
    <col min="1848" max="1848" width="12.33203125" style="39" bestFit="1" customWidth="1"/>
    <col min="1849" max="1849" width="9.109375" style="39"/>
    <col min="1850" max="1850" width="10.6640625" style="39" bestFit="1" customWidth="1"/>
    <col min="1851" max="1855" width="9.109375" style="39"/>
    <col min="1856" max="1856" width="10.6640625" style="39" bestFit="1" customWidth="1"/>
    <col min="1857" max="1863" width="9.109375" style="39"/>
    <col min="1864" max="1864" width="12" style="39" bestFit="1" customWidth="1"/>
    <col min="1865" max="1865" width="32.6640625" style="39" customWidth="1"/>
    <col min="1866" max="1866" width="12.33203125" style="39" bestFit="1" customWidth="1"/>
    <col min="1867" max="1867" width="9.109375" style="39"/>
    <col min="1868" max="1868" width="10.6640625" style="39" bestFit="1" customWidth="1"/>
    <col min="1869" max="1873" width="9.109375" style="39"/>
    <col min="1874" max="1874" width="10.6640625" style="39" bestFit="1" customWidth="1"/>
    <col min="1875" max="1881" width="9.109375" style="39"/>
    <col min="1882" max="1882" width="12" style="39" bestFit="1" customWidth="1"/>
    <col min="1883" max="1883" width="32.6640625" style="39" customWidth="1"/>
    <col min="1884" max="1884" width="12.33203125" style="39" bestFit="1" customWidth="1"/>
    <col min="1885" max="1885" width="9.109375" style="39"/>
    <col min="1886" max="1886" width="10.6640625" style="39" bestFit="1" customWidth="1"/>
    <col min="1887" max="1891" width="9.109375" style="39"/>
    <col min="1892" max="1892" width="10.6640625" style="39" bestFit="1" customWidth="1"/>
    <col min="1893" max="1899" width="9.109375" style="39"/>
    <col min="1900" max="1900" width="12" style="39" bestFit="1" customWidth="1"/>
    <col min="1901" max="1901" width="32.6640625" style="39" customWidth="1"/>
    <col min="1902" max="1902" width="12.33203125" style="39" bestFit="1" customWidth="1"/>
    <col min="1903" max="1903" width="9.109375" style="39"/>
    <col min="1904" max="1904" width="10.6640625" style="39" bestFit="1" customWidth="1"/>
    <col min="1905" max="1909" width="9.109375" style="39"/>
    <col min="1910" max="1910" width="10.6640625" style="39" bestFit="1" customWidth="1"/>
    <col min="1911" max="1917" width="9.109375" style="39"/>
    <col min="1918" max="1918" width="12" style="39" bestFit="1" customWidth="1"/>
    <col min="1919" max="1919" width="32.6640625" style="39" customWidth="1"/>
    <col min="1920" max="1920" width="12.33203125" style="39" bestFit="1" customWidth="1"/>
    <col min="1921" max="1921" width="9.109375" style="39"/>
    <col min="1922" max="1922" width="10.6640625" style="39" bestFit="1" customWidth="1"/>
    <col min="1923" max="1927" width="9.109375" style="39"/>
    <col min="1928" max="1928" width="10.6640625" style="39" bestFit="1" customWidth="1"/>
    <col min="1929" max="1935" width="9.109375" style="39"/>
    <col min="1936" max="1936" width="12" style="39" bestFit="1" customWidth="1"/>
    <col min="1937" max="1937" width="32.6640625" style="39" customWidth="1"/>
    <col min="1938" max="1938" width="12.33203125" style="39" bestFit="1" customWidth="1"/>
    <col min="1939" max="1939" width="9.109375" style="39"/>
    <col min="1940" max="1940" width="10.6640625" style="39" bestFit="1" customWidth="1"/>
    <col min="1941" max="1945" width="9.109375" style="39"/>
    <col min="1946" max="1946" width="10.6640625" style="39" bestFit="1" customWidth="1"/>
    <col min="1947" max="1953" width="9.109375" style="39"/>
    <col min="1954" max="1954" width="12" style="39" bestFit="1" customWidth="1"/>
    <col min="1955" max="1955" width="32.6640625" style="39" customWidth="1"/>
    <col min="1956" max="1956" width="12.33203125" style="39" bestFit="1" customWidth="1"/>
    <col min="1957" max="1957" width="9.109375" style="39"/>
    <col min="1958" max="1958" width="10.6640625" style="39" bestFit="1" customWidth="1"/>
    <col min="1959" max="1963" width="9.109375" style="39"/>
    <col min="1964" max="1964" width="10.6640625" style="39" bestFit="1" customWidth="1"/>
    <col min="1965" max="1971" width="9.109375" style="39"/>
    <col min="1972" max="1972" width="12" style="39" bestFit="1" customWidth="1"/>
    <col min="1973" max="1973" width="32.6640625" style="39" customWidth="1"/>
    <col min="1974" max="1974" width="12.33203125" style="39" bestFit="1" customWidth="1"/>
    <col min="1975" max="1975" width="9.109375" style="39"/>
    <col min="1976" max="1976" width="10.6640625" style="39" bestFit="1" customWidth="1"/>
    <col min="1977" max="1981" width="9.109375" style="39"/>
    <col min="1982" max="1982" width="10.6640625" style="39" bestFit="1" customWidth="1"/>
    <col min="1983" max="1989" width="9.109375" style="39"/>
    <col min="1990" max="1990" width="13.33203125" style="39" bestFit="1" customWidth="1"/>
    <col min="1991" max="1991" width="32.6640625" style="39" customWidth="1"/>
    <col min="1992" max="1992" width="12.33203125" style="39" bestFit="1" customWidth="1"/>
    <col min="1993" max="1993" width="9.109375" style="39"/>
    <col min="1994" max="1994" width="10.6640625" style="39" bestFit="1" customWidth="1"/>
    <col min="1995" max="1999" width="9.109375" style="39"/>
    <col min="2000" max="2000" width="10.6640625" style="39" bestFit="1" customWidth="1"/>
    <col min="2001" max="2007" width="9.109375" style="39"/>
    <col min="2008" max="2008" width="12" style="39" bestFit="1" customWidth="1"/>
    <col min="2009" max="2049" width="9.109375" style="39"/>
    <col min="2050" max="2050" width="12.33203125" style="39" bestFit="1" customWidth="1"/>
    <col min="2051" max="2051" width="10.109375" style="39" bestFit="1" customWidth="1"/>
    <col min="2052" max="2052" width="10.6640625" style="39" bestFit="1" customWidth="1"/>
    <col min="2053" max="2056" width="9.109375" style="39"/>
    <col min="2057" max="2057" width="9.109375" style="39" bestFit="1" customWidth="1"/>
    <col min="2058" max="2058" width="10.6640625" style="39" bestFit="1" customWidth="1"/>
    <col min="2059" max="2059" width="4.5546875" style="39" bestFit="1" customWidth="1"/>
    <col min="2060" max="2060" width="5.5546875" style="39" bestFit="1" customWidth="1"/>
    <col min="2061" max="2061" width="10.6640625" style="39" bestFit="1" customWidth="1"/>
    <col min="2062" max="2065" width="9.109375" style="39"/>
    <col min="2066" max="2066" width="12" style="39" bestFit="1" customWidth="1"/>
    <col min="2067" max="2067" width="32.6640625" style="39" customWidth="1"/>
    <col min="2068" max="2068" width="12.33203125" style="39" bestFit="1" customWidth="1"/>
    <col min="2069" max="2069" width="9.109375" style="39"/>
    <col min="2070" max="2070" width="10.6640625" style="39" bestFit="1" customWidth="1"/>
    <col min="2071" max="2075" width="9.109375" style="39"/>
    <col min="2076" max="2076" width="10.6640625" style="39" bestFit="1" customWidth="1"/>
    <col min="2077" max="2083" width="9.109375" style="39"/>
    <col min="2084" max="2084" width="12" style="39" bestFit="1" customWidth="1"/>
    <col min="2085" max="2085" width="32.6640625" style="39" customWidth="1"/>
    <col min="2086" max="2086" width="12.33203125" style="39" bestFit="1" customWidth="1"/>
    <col min="2087" max="2087" width="9.109375" style="39"/>
    <col min="2088" max="2088" width="10.6640625" style="39" bestFit="1" customWidth="1"/>
    <col min="2089" max="2093" width="9.109375" style="39"/>
    <col min="2094" max="2094" width="10.6640625" style="39" bestFit="1" customWidth="1"/>
    <col min="2095" max="2101" width="9.109375" style="39"/>
    <col min="2102" max="2102" width="12" style="39" bestFit="1" customWidth="1"/>
    <col min="2103" max="2103" width="32.6640625" style="39" customWidth="1"/>
    <col min="2104" max="2104" width="12.33203125" style="39" bestFit="1" customWidth="1"/>
    <col min="2105" max="2105" width="9.109375" style="39"/>
    <col min="2106" max="2106" width="10.6640625" style="39" bestFit="1" customWidth="1"/>
    <col min="2107" max="2111" width="9.109375" style="39"/>
    <col min="2112" max="2112" width="10.6640625" style="39" bestFit="1" customWidth="1"/>
    <col min="2113" max="2119" width="9.109375" style="39"/>
    <col min="2120" max="2120" width="12" style="39" bestFit="1" customWidth="1"/>
    <col min="2121" max="2121" width="32.6640625" style="39" customWidth="1"/>
    <col min="2122" max="2122" width="12.33203125" style="39" bestFit="1" customWidth="1"/>
    <col min="2123" max="2123" width="9.109375" style="39"/>
    <col min="2124" max="2124" width="10.6640625" style="39" bestFit="1" customWidth="1"/>
    <col min="2125" max="2129" width="9.109375" style="39"/>
    <col min="2130" max="2130" width="10.6640625" style="39" bestFit="1" customWidth="1"/>
    <col min="2131" max="2137" width="9.109375" style="39"/>
    <col min="2138" max="2138" width="12" style="39" bestFit="1" customWidth="1"/>
    <col min="2139" max="2139" width="32.6640625" style="39" customWidth="1"/>
    <col min="2140" max="2140" width="12.33203125" style="39" bestFit="1" customWidth="1"/>
    <col min="2141" max="2141" width="9.109375" style="39"/>
    <col min="2142" max="2142" width="10.6640625" style="39" bestFit="1" customWidth="1"/>
    <col min="2143" max="2147" width="9.109375" style="39"/>
    <col min="2148" max="2148" width="10.6640625" style="39" bestFit="1" customWidth="1"/>
    <col min="2149" max="2155" width="9.109375" style="39"/>
    <col min="2156" max="2156" width="12" style="39" bestFit="1" customWidth="1"/>
    <col min="2157" max="2157" width="32.6640625" style="39" customWidth="1"/>
    <col min="2158" max="2158" width="12.33203125" style="39" bestFit="1" customWidth="1"/>
    <col min="2159" max="2159" width="9.109375" style="39"/>
    <col min="2160" max="2160" width="10.6640625" style="39" bestFit="1" customWidth="1"/>
    <col min="2161" max="2165" width="9.109375" style="39"/>
    <col min="2166" max="2166" width="10.6640625" style="39" bestFit="1" customWidth="1"/>
    <col min="2167" max="2173" width="9.109375" style="39"/>
    <col min="2174" max="2174" width="12" style="39" bestFit="1" customWidth="1"/>
    <col min="2175" max="2175" width="32.6640625" style="39" customWidth="1"/>
    <col min="2176" max="2176" width="12.33203125" style="39" bestFit="1" customWidth="1"/>
    <col min="2177" max="2177" width="9.109375" style="39"/>
    <col min="2178" max="2178" width="10.6640625" style="39" bestFit="1" customWidth="1"/>
    <col min="2179" max="2183" width="9.109375" style="39"/>
    <col min="2184" max="2184" width="10.6640625" style="39" bestFit="1" customWidth="1"/>
    <col min="2185" max="2191" width="9.109375" style="39"/>
    <col min="2192" max="2192" width="12" style="39" bestFit="1" customWidth="1"/>
    <col min="2193" max="2193" width="32.6640625" style="39" customWidth="1"/>
    <col min="2194" max="2194" width="12.33203125" style="39" bestFit="1" customWidth="1"/>
    <col min="2195" max="2195" width="9.109375" style="39"/>
    <col min="2196" max="2196" width="10.6640625" style="39" bestFit="1" customWidth="1"/>
    <col min="2197" max="2201" width="9.109375" style="39"/>
    <col min="2202" max="2202" width="10.6640625" style="39" bestFit="1" customWidth="1"/>
    <col min="2203" max="2209" width="9.109375" style="39"/>
    <col min="2210" max="2210" width="12" style="39" bestFit="1" customWidth="1"/>
    <col min="2211" max="2211" width="32.6640625" style="39" customWidth="1"/>
    <col min="2212" max="2212" width="12.33203125" style="39" bestFit="1" customWidth="1"/>
    <col min="2213" max="2213" width="9.109375" style="39"/>
    <col min="2214" max="2214" width="10.6640625" style="39" bestFit="1" customWidth="1"/>
    <col min="2215" max="2219" width="9.109375" style="39"/>
    <col min="2220" max="2220" width="10.6640625" style="39" bestFit="1" customWidth="1"/>
    <col min="2221" max="2227" width="9.109375" style="39"/>
    <col min="2228" max="2228" width="12" style="39" bestFit="1" customWidth="1"/>
    <col min="2229" max="2229" width="32.6640625" style="39" customWidth="1"/>
    <col min="2230" max="2230" width="12.33203125" style="39" bestFit="1" customWidth="1"/>
    <col min="2231" max="2231" width="9.109375" style="39"/>
    <col min="2232" max="2232" width="10.6640625" style="39" bestFit="1" customWidth="1"/>
    <col min="2233" max="2237" width="9.109375" style="39"/>
    <col min="2238" max="2238" width="10.6640625" style="39" bestFit="1" customWidth="1"/>
    <col min="2239" max="2245" width="9.109375" style="39"/>
    <col min="2246" max="2246" width="13.33203125" style="39" bestFit="1" customWidth="1"/>
    <col min="2247" max="2247" width="32.6640625" style="39" customWidth="1"/>
    <col min="2248" max="2248" width="12.33203125" style="39" bestFit="1" customWidth="1"/>
    <col min="2249" max="2249" width="9.109375" style="39"/>
    <col min="2250" max="2250" width="10.6640625" style="39" bestFit="1" customWidth="1"/>
    <col min="2251" max="2255" width="9.109375" style="39"/>
    <col min="2256" max="2256" width="10.6640625" style="39" bestFit="1" customWidth="1"/>
    <col min="2257" max="2263" width="9.109375" style="39"/>
    <col min="2264" max="2264" width="12" style="39" bestFit="1" customWidth="1"/>
    <col min="2265" max="2305" width="9.109375" style="39"/>
    <col min="2306" max="2306" width="12.33203125" style="39" bestFit="1" customWidth="1"/>
    <col min="2307" max="2307" width="10.109375" style="39" bestFit="1" customWidth="1"/>
    <col min="2308" max="2308" width="10.6640625" style="39" bestFit="1" customWidth="1"/>
    <col min="2309" max="2312" width="9.109375" style="39"/>
    <col min="2313" max="2313" width="9.109375" style="39" bestFit="1" customWidth="1"/>
    <col min="2314" max="2314" width="10.6640625" style="39" bestFit="1" customWidth="1"/>
    <col min="2315" max="2315" width="4.5546875" style="39" bestFit="1" customWidth="1"/>
    <col min="2316" max="2316" width="5.5546875" style="39" bestFit="1" customWidth="1"/>
    <col min="2317" max="2317" width="10.6640625" style="39" bestFit="1" customWidth="1"/>
    <col min="2318" max="2321" width="9.109375" style="39"/>
    <col min="2322" max="2322" width="12" style="39" bestFit="1" customWidth="1"/>
    <col min="2323" max="2323" width="32.6640625" style="39" customWidth="1"/>
    <col min="2324" max="2324" width="12.33203125" style="39" bestFit="1" customWidth="1"/>
    <col min="2325" max="2325" width="9.109375" style="39"/>
    <col min="2326" max="2326" width="10.6640625" style="39" bestFit="1" customWidth="1"/>
    <col min="2327" max="2331" width="9.109375" style="39"/>
    <col min="2332" max="2332" width="10.6640625" style="39" bestFit="1" customWidth="1"/>
    <col min="2333" max="2339" width="9.109375" style="39"/>
    <col min="2340" max="2340" width="12" style="39" bestFit="1" customWidth="1"/>
    <col min="2341" max="2341" width="32.6640625" style="39" customWidth="1"/>
    <col min="2342" max="2342" width="12.33203125" style="39" bestFit="1" customWidth="1"/>
    <col min="2343" max="2343" width="9.109375" style="39"/>
    <col min="2344" max="2344" width="10.6640625" style="39" bestFit="1" customWidth="1"/>
    <col min="2345" max="2349" width="9.109375" style="39"/>
    <col min="2350" max="2350" width="10.6640625" style="39" bestFit="1" customWidth="1"/>
    <col min="2351" max="2357" width="9.109375" style="39"/>
    <col min="2358" max="2358" width="12" style="39" bestFit="1" customWidth="1"/>
    <col min="2359" max="2359" width="32.6640625" style="39" customWidth="1"/>
    <col min="2360" max="2360" width="12.33203125" style="39" bestFit="1" customWidth="1"/>
    <col min="2361" max="2361" width="9.109375" style="39"/>
    <col min="2362" max="2362" width="10.6640625" style="39" bestFit="1" customWidth="1"/>
    <col min="2363" max="2367" width="9.109375" style="39"/>
    <col min="2368" max="2368" width="10.6640625" style="39" bestFit="1" customWidth="1"/>
    <col min="2369" max="2375" width="9.109375" style="39"/>
    <col min="2376" max="2376" width="12" style="39" bestFit="1" customWidth="1"/>
    <col min="2377" max="2377" width="32.6640625" style="39" customWidth="1"/>
    <col min="2378" max="2378" width="12.33203125" style="39" bestFit="1" customWidth="1"/>
    <col min="2379" max="2379" width="9.109375" style="39"/>
    <col min="2380" max="2380" width="10.6640625" style="39" bestFit="1" customWidth="1"/>
    <col min="2381" max="2385" width="9.109375" style="39"/>
    <col min="2386" max="2386" width="10.6640625" style="39" bestFit="1" customWidth="1"/>
    <col min="2387" max="2393" width="9.109375" style="39"/>
    <col min="2394" max="2394" width="12" style="39" bestFit="1" customWidth="1"/>
    <col min="2395" max="2395" width="32.6640625" style="39" customWidth="1"/>
    <col min="2396" max="2396" width="12.33203125" style="39" bestFit="1" customWidth="1"/>
    <col min="2397" max="2397" width="9.109375" style="39"/>
    <col min="2398" max="2398" width="10.6640625" style="39" bestFit="1" customWidth="1"/>
    <col min="2399" max="2403" width="9.109375" style="39"/>
    <col min="2404" max="2404" width="10.6640625" style="39" bestFit="1" customWidth="1"/>
    <col min="2405" max="2411" width="9.109375" style="39"/>
    <col min="2412" max="2412" width="12" style="39" bestFit="1" customWidth="1"/>
    <col min="2413" max="2413" width="32.6640625" style="39" customWidth="1"/>
    <col min="2414" max="2414" width="12.33203125" style="39" bestFit="1" customWidth="1"/>
    <col min="2415" max="2415" width="9.109375" style="39"/>
    <col min="2416" max="2416" width="10.6640625" style="39" bestFit="1" customWidth="1"/>
    <col min="2417" max="2421" width="9.109375" style="39"/>
    <col min="2422" max="2422" width="10.6640625" style="39" bestFit="1" customWidth="1"/>
    <col min="2423" max="2429" width="9.109375" style="39"/>
    <col min="2430" max="2430" width="12" style="39" bestFit="1" customWidth="1"/>
    <col min="2431" max="2431" width="32.6640625" style="39" customWidth="1"/>
    <col min="2432" max="2432" width="12.33203125" style="39" bestFit="1" customWidth="1"/>
    <col min="2433" max="2433" width="9.109375" style="39"/>
    <col min="2434" max="2434" width="10.6640625" style="39" bestFit="1" customWidth="1"/>
    <col min="2435" max="2439" width="9.109375" style="39"/>
    <col min="2440" max="2440" width="10.6640625" style="39" bestFit="1" customWidth="1"/>
    <col min="2441" max="2447" width="9.109375" style="39"/>
    <col min="2448" max="2448" width="12" style="39" bestFit="1" customWidth="1"/>
    <col min="2449" max="2449" width="32.6640625" style="39" customWidth="1"/>
    <col min="2450" max="2450" width="12.33203125" style="39" bestFit="1" customWidth="1"/>
    <col min="2451" max="2451" width="9.109375" style="39"/>
    <col min="2452" max="2452" width="10.6640625" style="39" bestFit="1" customWidth="1"/>
    <col min="2453" max="2457" width="9.109375" style="39"/>
    <col min="2458" max="2458" width="10.6640625" style="39" bestFit="1" customWidth="1"/>
    <col min="2459" max="2465" width="9.109375" style="39"/>
    <col min="2466" max="2466" width="12" style="39" bestFit="1" customWidth="1"/>
    <col min="2467" max="2467" width="32.6640625" style="39" customWidth="1"/>
    <col min="2468" max="2468" width="12.33203125" style="39" bestFit="1" customWidth="1"/>
    <col min="2469" max="2469" width="9.109375" style="39"/>
    <col min="2470" max="2470" width="10.6640625" style="39" bestFit="1" customWidth="1"/>
    <col min="2471" max="2475" width="9.109375" style="39"/>
    <col min="2476" max="2476" width="10.6640625" style="39" bestFit="1" customWidth="1"/>
    <col min="2477" max="2483" width="9.109375" style="39"/>
    <col min="2484" max="2484" width="12" style="39" bestFit="1" customWidth="1"/>
    <col min="2485" max="2485" width="32.6640625" style="39" customWidth="1"/>
    <col min="2486" max="2486" width="12.33203125" style="39" bestFit="1" customWidth="1"/>
    <col min="2487" max="2487" width="9.109375" style="39"/>
    <col min="2488" max="2488" width="10.6640625" style="39" bestFit="1" customWidth="1"/>
    <col min="2489" max="2493" width="9.109375" style="39"/>
    <col min="2494" max="2494" width="10.6640625" style="39" bestFit="1" customWidth="1"/>
    <col min="2495" max="2501" width="9.109375" style="39"/>
    <col min="2502" max="2502" width="13.33203125" style="39" bestFit="1" customWidth="1"/>
    <col min="2503" max="2503" width="32.6640625" style="39" customWidth="1"/>
    <col min="2504" max="2504" width="12.33203125" style="39" bestFit="1" customWidth="1"/>
    <col min="2505" max="2505" width="9.109375" style="39"/>
    <col min="2506" max="2506" width="10.6640625" style="39" bestFit="1" customWidth="1"/>
    <col min="2507" max="2511" width="9.109375" style="39"/>
    <col min="2512" max="2512" width="10.6640625" style="39" bestFit="1" customWidth="1"/>
    <col min="2513" max="2519" width="9.109375" style="39"/>
    <col min="2520" max="2520" width="12" style="39" bestFit="1" customWidth="1"/>
    <col min="2521" max="2561" width="9.109375" style="39"/>
    <col min="2562" max="2562" width="12.33203125" style="39" bestFit="1" customWidth="1"/>
    <col min="2563" max="2563" width="10.109375" style="39" bestFit="1" customWidth="1"/>
    <col min="2564" max="2564" width="10.6640625" style="39" bestFit="1" customWidth="1"/>
    <col min="2565" max="2568" width="9.109375" style="39"/>
    <col min="2569" max="2569" width="9.109375" style="39" bestFit="1" customWidth="1"/>
    <col min="2570" max="2570" width="10.6640625" style="39" bestFit="1" customWidth="1"/>
    <col min="2571" max="2571" width="4.5546875" style="39" bestFit="1" customWidth="1"/>
    <col min="2572" max="2572" width="5.5546875" style="39" bestFit="1" customWidth="1"/>
    <col min="2573" max="2573" width="10.6640625" style="39" bestFit="1" customWidth="1"/>
    <col min="2574" max="2577" width="9.109375" style="39"/>
    <col min="2578" max="2578" width="12" style="39" bestFit="1" customWidth="1"/>
    <col min="2579" max="2579" width="32.6640625" style="39" customWidth="1"/>
    <col min="2580" max="2580" width="12.33203125" style="39" bestFit="1" customWidth="1"/>
    <col min="2581" max="2581" width="9.109375" style="39"/>
    <col min="2582" max="2582" width="10.6640625" style="39" bestFit="1" customWidth="1"/>
    <col min="2583" max="2587" width="9.109375" style="39"/>
    <col min="2588" max="2588" width="10.6640625" style="39" bestFit="1" customWidth="1"/>
    <col min="2589" max="2595" width="9.109375" style="39"/>
    <col min="2596" max="2596" width="12" style="39" bestFit="1" customWidth="1"/>
    <col min="2597" max="2597" width="32.6640625" style="39" customWidth="1"/>
    <col min="2598" max="2598" width="12.33203125" style="39" bestFit="1" customWidth="1"/>
    <col min="2599" max="2599" width="9.109375" style="39"/>
    <col min="2600" max="2600" width="10.6640625" style="39" bestFit="1" customWidth="1"/>
    <col min="2601" max="2605" width="9.109375" style="39"/>
    <col min="2606" max="2606" width="10.6640625" style="39" bestFit="1" customWidth="1"/>
    <col min="2607" max="2613" width="9.109375" style="39"/>
    <col min="2614" max="2614" width="12" style="39" bestFit="1" customWidth="1"/>
    <col min="2615" max="2615" width="32.6640625" style="39" customWidth="1"/>
    <col min="2616" max="2616" width="12.33203125" style="39" bestFit="1" customWidth="1"/>
    <col min="2617" max="2617" width="9.109375" style="39"/>
    <col min="2618" max="2618" width="10.6640625" style="39" bestFit="1" customWidth="1"/>
    <col min="2619" max="2623" width="9.109375" style="39"/>
    <col min="2624" max="2624" width="10.6640625" style="39" bestFit="1" customWidth="1"/>
    <col min="2625" max="2631" width="9.109375" style="39"/>
    <col min="2632" max="2632" width="12" style="39" bestFit="1" customWidth="1"/>
    <col min="2633" max="2633" width="32.6640625" style="39" customWidth="1"/>
    <col min="2634" max="2634" width="12.33203125" style="39" bestFit="1" customWidth="1"/>
    <col min="2635" max="2635" width="9.109375" style="39"/>
    <col min="2636" max="2636" width="10.6640625" style="39" bestFit="1" customWidth="1"/>
    <col min="2637" max="2641" width="9.109375" style="39"/>
    <col min="2642" max="2642" width="10.6640625" style="39" bestFit="1" customWidth="1"/>
    <col min="2643" max="2649" width="9.109375" style="39"/>
    <col min="2650" max="2650" width="12" style="39" bestFit="1" customWidth="1"/>
    <col min="2651" max="2651" width="32.6640625" style="39" customWidth="1"/>
    <col min="2652" max="2652" width="12.33203125" style="39" bestFit="1" customWidth="1"/>
    <col min="2653" max="2653" width="9.109375" style="39"/>
    <col min="2654" max="2654" width="10.6640625" style="39" bestFit="1" customWidth="1"/>
    <col min="2655" max="2659" width="9.109375" style="39"/>
    <col min="2660" max="2660" width="10.6640625" style="39" bestFit="1" customWidth="1"/>
    <col min="2661" max="2667" width="9.109375" style="39"/>
    <col min="2668" max="2668" width="12" style="39" bestFit="1" customWidth="1"/>
    <col min="2669" max="2669" width="32.6640625" style="39" customWidth="1"/>
    <col min="2670" max="2670" width="12.33203125" style="39" bestFit="1" customWidth="1"/>
    <col min="2671" max="2671" width="9.109375" style="39"/>
    <col min="2672" max="2672" width="10.6640625" style="39" bestFit="1" customWidth="1"/>
    <col min="2673" max="2677" width="9.109375" style="39"/>
    <col min="2678" max="2678" width="10.6640625" style="39" bestFit="1" customWidth="1"/>
    <col min="2679" max="2685" width="9.109375" style="39"/>
    <col min="2686" max="2686" width="12" style="39" bestFit="1" customWidth="1"/>
    <col min="2687" max="2687" width="32.6640625" style="39" customWidth="1"/>
    <col min="2688" max="2688" width="12.33203125" style="39" bestFit="1" customWidth="1"/>
    <col min="2689" max="2689" width="9.109375" style="39"/>
    <col min="2690" max="2690" width="10.6640625" style="39" bestFit="1" customWidth="1"/>
    <col min="2691" max="2695" width="9.109375" style="39"/>
    <col min="2696" max="2696" width="10.6640625" style="39" bestFit="1" customWidth="1"/>
    <col min="2697" max="2703" width="9.109375" style="39"/>
    <col min="2704" max="2704" width="12" style="39" bestFit="1" customWidth="1"/>
    <col min="2705" max="2705" width="32.6640625" style="39" customWidth="1"/>
    <col min="2706" max="2706" width="12.33203125" style="39" bestFit="1" customWidth="1"/>
    <col min="2707" max="2707" width="9.109375" style="39"/>
    <col min="2708" max="2708" width="10.6640625" style="39" bestFit="1" customWidth="1"/>
    <col min="2709" max="2713" width="9.109375" style="39"/>
    <col min="2714" max="2714" width="10.6640625" style="39" bestFit="1" customWidth="1"/>
    <col min="2715" max="2721" width="9.109375" style="39"/>
    <col min="2722" max="2722" width="12" style="39" bestFit="1" customWidth="1"/>
    <col min="2723" max="2723" width="32.6640625" style="39" customWidth="1"/>
    <col min="2724" max="2724" width="12.33203125" style="39" bestFit="1" customWidth="1"/>
    <col min="2725" max="2725" width="9.109375" style="39"/>
    <col min="2726" max="2726" width="10.6640625" style="39" bestFit="1" customWidth="1"/>
    <col min="2727" max="2731" width="9.109375" style="39"/>
    <col min="2732" max="2732" width="10.6640625" style="39" bestFit="1" customWidth="1"/>
    <col min="2733" max="2739" width="9.109375" style="39"/>
    <col min="2740" max="2740" width="12" style="39" bestFit="1" customWidth="1"/>
    <col min="2741" max="2741" width="32.6640625" style="39" customWidth="1"/>
    <col min="2742" max="2742" width="12.33203125" style="39" bestFit="1" customWidth="1"/>
    <col min="2743" max="2743" width="9.109375" style="39"/>
    <col min="2744" max="2744" width="10.6640625" style="39" bestFit="1" customWidth="1"/>
    <col min="2745" max="2749" width="9.109375" style="39"/>
    <col min="2750" max="2750" width="10.6640625" style="39" bestFit="1" customWidth="1"/>
    <col min="2751" max="2757" width="9.109375" style="39"/>
    <col min="2758" max="2758" width="13.33203125" style="39" bestFit="1" customWidth="1"/>
    <col min="2759" max="2759" width="32.6640625" style="39" customWidth="1"/>
    <col min="2760" max="2760" width="12.33203125" style="39" bestFit="1" customWidth="1"/>
    <col min="2761" max="2761" width="9.109375" style="39"/>
    <col min="2762" max="2762" width="10.6640625" style="39" bestFit="1" customWidth="1"/>
    <col min="2763" max="2767" width="9.109375" style="39"/>
    <col min="2768" max="2768" width="10.6640625" style="39" bestFit="1" customWidth="1"/>
    <col min="2769" max="2775" width="9.109375" style="39"/>
    <col min="2776" max="2776" width="12" style="39" bestFit="1" customWidth="1"/>
    <col min="2777" max="2817" width="9.109375" style="39"/>
    <col min="2818" max="2818" width="12.33203125" style="39" bestFit="1" customWidth="1"/>
    <col min="2819" max="2819" width="10.109375" style="39" bestFit="1" customWidth="1"/>
    <col min="2820" max="2820" width="10.6640625" style="39" bestFit="1" customWidth="1"/>
    <col min="2821" max="2824" width="9.109375" style="39"/>
    <col min="2825" max="2825" width="9.109375" style="39" bestFit="1" customWidth="1"/>
    <col min="2826" max="2826" width="10.6640625" style="39" bestFit="1" customWidth="1"/>
    <col min="2827" max="2827" width="4.5546875" style="39" bestFit="1" customWidth="1"/>
    <col min="2828" max="2828" width="5.5546875" style="39" bestFit="1" customWidth="1"/>
    <col min="2829" max="2829" width="10.6640625" style="39" bestFit="1" customWidth="1"/>
    <col min="2830" max="2833" width="9.109375" style="39"/>
    <col min="2834" max="2834" width="12" style="39" bestFit="1" customWidth="1"/>
    <col min="2835" max="2835" width="32.6640625" style="39" customWidth="1"/>
    <col min="2836" max="2836" width="12.33203125" style="39" bestFit="1" customWidth="1"/>
    <col min="2837" max="2837" width="9.109375" style="39"/>
    <col min="2838" max="2838" width="10.6640625" style="39" bestFit="1" customWidth="1"/>
    <col min="2839" max="2843" width="9.109375" style="39"/>
    <col min="2844" max="2844" width="10.6640625" style="39" bestFit="1" customWidth="1"/>
    <col min="2845" max="2851" width="9.109375" style="39"/>
    <col min="2852" max="2852" width="12" style="39" bestFit="1" customWidth="1"/>
    <col min="2853" max="2853" width="32.6640625" style="39" customWidth="1"/>
    <col min="2854" max="2854" width="12.33203125" style="39" bestFit="1" customWidth="1"/>
    <col min="2855" max="2855" width="9.109375" style="39"/>
    <col min="2856" max="2856" width="10.6640625" style="39" bestFit="1" customWidth="1"/>
    <col min="2857" max="2861" width="9.109375" style="39"/>
    <col min="2862" max="2862" width="10.6640625" style="39" bestFit="1" customWidth="1"/>
    <col min="2863" max="2869" width="9.109375" style="39"/>
    <col min="2870" max="2870" width="12" style="39" bestFit="1" customWidth="1"/>
    <col min="2871" max="2871" width="32.6640625" style="39" customWidth="1"/>
    <col min="2872" max="2872" width="12.33203125" style="39" bestFit="1" customWidth="1"/>
    <col min="2873" max="2873" width="9.109375" style="39"/>
    <col min="2874" max="2874" width="10.6640625" style="39" bestFit="1" customWidth="1"/>
    <col min="2875" max="2879" width="9.109375" style="39"/>
    <col min="2880" max="2880" width="10.6640625" style="39" bestFit="1" customWidth="1"/>
    <col min="2881" max="2887" width="9.109375" style="39"/>
    <col min="2888" max="2888" width="12" style="39" bestFit="1" customWidth="1"/>
    <col min="2889" max="2889" width="32.6640625" style="39" customWidth="1"/>
    <col min="2890" max="2890" width="12.33203125" style="39" bestFit="1" customWidth="1"/>
    <col min="2891" max="2891" width="9.109375" style="39"/>
    <col min="2892" max="2892" width="10.6640625" style="39" bestFit="1" customWidth="1"/>
    <col min="2893" max="2897" width="9.109375" style="39"/>
    <col min="2898" max="2898" width="10.6640625" style="39" bestFit="1" customWidth="1"/>
    <col min="2899" max="2905" width="9.109375" style="39"/>
    <col min="2906" max="2906" width="12" style="39" bestFit="1" customWidth="1"/>
    <col min="2907" max="2907" width="32.6640625" style="39" customWidth="1"/>
    <col min="2908" max="2908" width="12.33203125" style="39" bestFit="1" customWidth="1"/>
    <col min="2909" max="2909" width="9.109375" style="39"/>
    <col min="2910" max="2910" width="10.6640625" style="39" bestFit="1" customWidth="1"/>
    <col min="2911" max="2915" width="9.109375" style="39"/>
    <col min="2916" max="2916" width="10.6640625" style="39" bestFit="1" customWidth="1"/>
    <col min="2917" max="2923" width="9.109375" style="39"/>
    <col min="2924" max="2924" width="12" style="39" bestFit="1" customWidth="1"/>
    <col min="2925" max="2925" width="32.6640625" style="39" customWidth="1"/>
    <col min="2926" max="2926" width="12.33203125" style="39" bestFit="1" customWidth="1"/>
    <col min="2927" max="2927" width="9.109375" style="39"/>
    <col min="2928" max="2928" width="10.6640625" style="39" bestFit="1" customWidth="1"/>
    <col min="2929" max="2933" width="9.109375" style="39"/>
    <col min="2934" max="2934" width="10.6640625" style="39" bestFit="1" customWidth="1"/>
    <col min="2935" max="2941" width="9.109375" style="39"/>
    <col min="2942" max="2942" width="12" style="39" bestFit="1" customWidth="1"/>
    <col min="2943" max="2943" width="32.6640625" style="39" customWidth="1"/>
    <col min="2944" max="2944" width="12.33203125" style="39" bestFit="1" customWidth="1"/>
    <col min="2945" max="2945" width="9.109375" style="39"/>
    <col min="2946" max="2946" width="10.6640625" style="39" bestFit="1" customWidth="1"/>
    <col min="2947" max="2951" width="9.109375" style="39"/>
    <col min="2952" max="2952" width="10.6640625" style="39" bestFit="1" customWidth="1"/>
    <col min="2953" max="2959" width="9.109375" style="39"/>
    <col min="2960" max="2960" width="12" style="39" bestFit="1" customWidth="1"/>
    <col min="2961" max="2961" width="32.6640625" style="39" customWidth="1"/>
    <col min="2962" max="2962" width="12.33203125" style="39" bestFit="1" customWidth="1"/>
    <col min="2963" max="2963" width="9.109375" style="39"/>
    <col min="2964" max="2964" width="10.6640625" style="39" bestFit="1" customWidth="1"/>
    <col min="2965" max="2969" width="9.109375" style="39"/>
    <col min="2970" max="2970" width="10.6640625" style="39" bestFit="1" customWidth="1"/>
    <col min="2971" max="2977" width="9.109375" style="39"/>
    <col min="2978" max="2978" width="12" style="39" bestFit="1" customWidth="1"/>
    <col min="2979" max="2979" width="32.6640625" style="39" customWidth="1"/>
    <col min="2980" max="2980" width="12.33203125" style="39" bestFit="1" customWidth="1"/>
    <col min="2981" max="2981" width="9.109375" style="39"/>
    <col min="2982" max="2982" width="10.6640625" style="39" bestFit="1" customWidth="1"/>
    <col min="2983" max="2987" width="9.109375" style="39"/>
    <col min="2988" max="2988" width="10.6640625" style="39" bestFit="1" customWidth="1"/>
    <col min="2989" max="2995" width="9.109375" style="39"/>
    <col min="2996" max="2996" width="12" style="39" bestFit="1" customWidth="1"/>
    <col min="2997" max="2997" width="32.6640625" style="39" customWidth="1"/>
    <col min="2998" max="2998" width="12.33203125" style="39" bestFit="1" customWidth="1"/>
    <col min="2999" max="2999" width="9.109375" style="39"/>
    <col min="3000" max="3000" width="10.6640625" style="39" bestFit="1" customWidth="1"/>
    <col min="3001" max="3005" width="9.109375" style="39"/>
    <col min="3006" max="3006" width="10.6640625" style="39" bestFit="1" customWidth="1"/>
    <col min="3007" max="3013" width="9.109375" style="39"/>
    <col min="3014" max="3014" width="13.33203125" style="39" bestFit="1" customWidth="1"/>
    <col min="3015" max="3015" width="32.6640625" style="39" customWidth="1"/>
    <col min="3016" max="3016" width="12.33203125" style="39" bestFit="1" customWidth="1"/>
    <col min="3017" max="3017" width="9.109375" style="39"/>
    <col min="3018" max="3018" width="10.6640625" style="39" bestFit="1" customWidth="1"/>
    <col min="3019" max="3023" width="9.109375" style="39"/>
    <col min="3024" max="3024" width="10.6640625" style="39" bestFit="1" customWidth="1"/>
    <col min="3025" max="3031" width="9.109375" style="39"/>
    <col min="3032" max="3032" width="12" style="39" bestFit="1" customWidth="1"/>
    <col min="3033" max="3073" width="9.109375" style="39"/>
    <col min="3074" max="3074" width="12.33203125" style="39" bestFit="1" customWidth="1"/>
    <col min="3075" max="3075" width="10.109375" style="39" bestFit="1" customWidth="1"/>
    <col min="3076" max="3076" width="10.6640625" style="39" bestFit="1" customWidth="1"/>
    <col min="3077" max="3080" width="9.109375" style="39"/>
    <col min="3081" max="3081" width="9.109375" style="39" bestFit="1" customWidth="1"/>
    <col min="3082" max="3082" width="10.6640625" style="39" bestFit="1" customWidth="1"/>
    <col min="3083" max="3083" width="4.5546875" style="39" bestFit="1" customWidth="1"/>
    <col min="3084" max="3084" width="5.5546875" style="39" bestFit="1" customWidth="1"/>
    <col min="3085" max="3085" width="10.6640625" style="39" bestFit="1" customWidth="1"/>
    <col min="3086" max="3089" width="9.109375" style="39"/>
    <col min="3090" max="3090" width="12" style="39" bestFit="1" customWidth="1"/>
    <col min="3091" max="3091" width="32.6640625" style="39" customWidth="1"/>
    <col min="3092" max="3092" width="12.33203125" style="39" bestFit="1" customWidth="1"/>
    <col min="3093" max="3093" width="9.109375" style="39"/>
    <col min="3094" max="3094" width="10.6640625" style="39" bestFit="1" customWidth="1"/>
    <col min="3095" max="3099" width="9.109375" style="39"/>
    <col min="3100" max="3100" width="10.6640625" style="39" bestFit="1" customWidth="1"/>
    <col min="3101" max="3107" width="9.109375" style="39"/>
    <col min="3108" max="3108" width="12" style="39" bestFit="1" customWidth="1"/>
    <col min="3109" max="3109" width="32.6640625" style="39" customWidth="1"/>
    <col min="3110" max="3110" width="12.33203125" style="39" bestFit="1" customWidth="1"/>
    <col min="3111" max="3111" width="9.109375" style="39"/>
    <col min="3112" max="3112" width="10.6640625" style="39" bestFit="1" customWidth="1"/>
    <col min="3113" max="3117" width="9.109375" style="39"/>
    <col min="3118" max="3118" width="10.6640625" style="39" bestFit="1" customWidth="1"/>
    <col min="3119" max="3125" width="9.109375" style="39"/>
    <col min="3126" max="3126" width="12" style="39" bestFit="1" customWidth="1"/>
    <col min="3127" max="3127" width="32.6640625" style="39" customWidth="1"/>
    <col min="3128" max="3128" width="12.33203125" style="39" bestFit="1" customWidth="1"/>
    <col min="3129" max="3129" width="9.109375" style="39"/>
    <col min="3130" max="3130" width="10.6640625" style="39" bestFit="1" customWidth="1"/>
    <col min="3131" max="3135" width="9.109375" style="39"/>
    <col min="3136" max="3136" width="10.6640625" style="39" bestFit="1" customWidth="1"/>
    <col min="3137" max="3143" width="9.109375" style="39"/>
    <col min="3144" max="3144" width="12" style="39" bestFit="1" customWidth="1"/>
    <col min="3145" max="3145" width="32.6640625" style="39" customWidth="1"/>
    <col min="3146" max="3146" width="12.33203125" style="39" bestFit="1" customWidth="1"/>
    <col min="3147" max="3147" width="9.109375" style="39"/>
    <col min="3148" max="3148" width="10.6640625" style="39" bestFit="1" customWidth="1"/>
    <col min="3149" max="3153" width="9.109375" style="39"/>
    <col min="3154" max="3154" width="10.6640625" style="39" bestFit="1" customWidth="1"/>
    <col min="3155" max="3161" width="9.109375" style="39"/>
    <col min="3162" max="3162" width="12" style="39" bestFit="1" customWidth="1"/>
    <col min="3163" max="3163" width="32.6640625" style="39" customWidth="1"/>
    <col min="3164" max="3164" width="12.33203125" style="39" bestFit="1" customWidth="1"/>
    <col min="3165" max="3165" width="9.109375" style="39"/>
    <col min="3166" max="3166" width="10.6640625" style="39" bestFit="1" customWidth="1"/>
    <col min="3167" max="3171" width="9.109375" style="39"/>
    <col min="3172" max="3172" width="10.6640625" style="39" bestFit="1" customWidth="1"/>
    <col min="3173" max="3179" width="9.109375" style="39"/>
    <col min="3180" max="3180" width="12" style="39" bestFit="1" customWidth="1"/>
    <col min="3181" max="3181" width="32.6640625" style="39" customWidth="1"/>
    <col min="3182" max="3182" width="12.33203125" style="39" bestFit="1" customWidth="1"/>
    <col min="3183" max="3183" width="9.109375" style="39"/>
    <col min="3184" max="3184" width="10.6640625" style="39" bestFit="1" customWidth="1"/>
    <col min="3185" max="3189" width="9.109375" style="39"/>
    <col min="3190" max="3190" width="10.6640625" style="39" bestFit="1" customWidth="1"/>
    <col min="3191" max="3197" width="9.109375" style="39"/>
    <col min="3198" max="3198" width="12" style="39" bestFit="1" customWidth="1"/>
    <col min="3199" max="3199" width="32.6640625" style="39" customWidth="1"/>
    <col min="3200" max="3200" width="12.33203125" style="39" bestFit="1" customWidth="1"/>
    <col min="3201" max="3201" width="9.109375" style="39"/>
    <col min="3202" max="3202" width="10.6640625" style="39" bestFit="1" customWidth="1"/>
    <col min="3203" max="3207" width="9.109375" style="39"/>
    <col min="3208" max="3208" width="10.6640625" style="39" bestFit="1" customWidth="1"/>
    <col min="3209" max="3215" width="9.109375" style="39"/>
    <col min="3216" max="3216" width="12" style="39" bestFit="1" customWidth="1"/>
    <col min="3217" max="3217" width="32.6640625" style="39" customWidth="1"/>
    <col min="3218" max="3218" width="12.33203125" style="39" bestFit="1" customWidth="1"/>
    <col min="3219" max="3219" width="9.109375" style="39"/>
    <col min="3220" max="3220" width="10.6640625" style="39" bestFit="1" customWidth="1"/>
    <col min="3221" max="3225" width="9.109375" style="39"/>
    <col min="3226" max="3226" width="10.6640625" style="39" bestFit="1" customWidth="1"/>
    <col min="3227" max="3233" width="9.109375" style="39"/>
    <col min="3234" max="3234" width="12" style="39" bestFit="1" customWidth="1"/>
    <col min="3235" max="3235" width="32.6640625" style="39" customWidth="1"/>
    <col min="3236" max="3236" width="12.33203125" style="39" bestFit="1" customWidth="1"/>
    <col min="3237" max="3237" width="9.109375" style="39"/>
    <col min="3238" max="3238" width="10.6640625" style="39" bestFit="1" customWidth="1"/>
    <col min="3239" max="3243" width="9.109375" style="39"/>
    <col min="3244" max="3244" width="10.6640625" style="39" bestFit="1" customWidth="1"/>
    <col min="3245" max="3251" width="9.109375" style="39"/>
    <col min="3252" max="3252" width="12" style="39" bestFit="1" customWidth="1"/>
    <col min="3253" max="3253" width="32.6640625" style="39" customWidth="1"/>
    <col min="3254" max="3254" width="12.33203125" style="39" bestFit="1" customWidth="1"/>
    <col min="3255" max="3255" width="9.109375" style="39"/>
    <col min="3256" max="3256" width="10.6640625" style="39" bestFit="1" customWidth="1"/>
    <col min="3257" max="3261" width="9.109375" style="39"/>
    <col min="3262" max="3262" width="10.6640625" style="39" bestFit="1" customWidth="1"/>
    <col min="3263" max="3269" width="9.109375" style="39"/>
    <col min="3270" max="3270" width="13.33203125" style="39" bestFit="1" customWidth="1"/>
    <col min="3271" max="3271" width="32.6640625" style="39" customWidth="1"/>
    <col min="3272" max="3272" width="12.33203125" style="39" bestFit="1" customWidth="1"/>
    <col min="3273" max="3273" width="9.109375" style="39"/>
    <col min="3274" max="3274" width="10.6640625" style="39" bestFit="1" customWidth="1"/>
    <col min="3275" max="3279" width="9.109375" style="39"/>
    <col min="3280" max="3280" width="10.6640625" style="39" bestFit="1" customWidth="1"/>
    <col min="3281" max="3287" width="9.109375" style="39"/>
    <col min="3288" max="3288" width="12" style="39" bestFit="1" customWidth="1"/>
    <col min="3289" max="3329" width="9.109375" style="39"/>
    <col min="3330" max="3330" width="12.33203125" style="39" bestFit="1" customWidth="1"/>
    <col min="3331" max="3331" width="10.109375" style="39" bestFit="1" customWidth="1"/>
    <col min="3332" max="3332" width="10.6640625" style="39" bestFit="1" customWidth="1"/>
    <col min="3333" max="3336" width="9.109375" style="39"/>
    <col min="3337" max="3337" width="9.109375" style="39" bestFit="1" customWidth="1"/>
    <col min="3338" max="3338" width="10.6640625" style="39" bestFit="1" customWidth="1"/>
    <col min="3339" max="3339" width="4.5546875" style="39" bestFit="1" customWidth="1"/>
    <col min="3340" max="3340" width="5.5546875" style="39" bestFit="1" customWidth="1"/>
    <col min="3341" max="3341" width="10.6640625" style="39" bestFit="1" customWidth="1"/>
    <col min="3342" max="3345" width="9.109375" style="39"/>
    <col min="3346" max="3346" width="12" style="39" bestFit="1" customWidth="1"/>
    <col min="3347" max="3347" width="32.6640625" style="39" customWidth="1"/>
    <col min="3348" max="3348" width="12.33203125" style="39" bestFit="1" customWidth="1"/>
    <col min="3349" max="3349" width="9.109375" style="39"/>
    <col min="3350" max="3350" width="10.6640625" style="39" bestFit="1" customWidth="1"/>
    <col min="3351" max="3355" width="9.109375" style="39"/>
    <col min="3356" max="3356" width="10.6640625" style="39" bestFit="1" customWidth="1"/>
    <col min="3357" max="3363" width="9.109375" style="39"/>
    <col min="3364" max="3364" width="12" style="39" bestFit="1" customWidth="1"/>
    <col min="3365" max="3365" width="32.6640625" style="39" customWidth="1"/>
    <col min="3366" max="3366" width="12.33203125" style="39" bestFit="1" customWidth="1"/>
    <col min="3367" max="3367" width="9.109375" style="39"/>
    <col min="3368" max="3368" width="10.6640625" style="39" bestFit="1" customWidth="1"/>
    <col min="3369" max="3373" width="9.109375" style="39"/>
    <col min="3374" max="3374" width="10.6640625" style="39" bestFit="1" customWidth="1"/>
    <col min="3375" max="3381" width="9.109375" style="39"/>
    <col min="3382" max="3382" width="12" style="39" bestFit="1" customWidth="1"/>
    <col min="3383" max="3383" width="32.6640625" style="39" customWidth="1"/>
    <col min="3384" max="3384" width="12.33203125" style="39" bestFit="1" customWidth="1"/>
    <col min="3385" max="3385" width="9.109375" style="39"/>
    <col min="3386" max="3386" width="10.6640625" style="39" bestFit="1" customWidth="1"/>
    <col min="3387" max="3391" width="9.109375" style="39"/>
    <col min="3392" max="3392" width="10.6640625" style="39" bestFit="1" customWidth="1"/>
    <col min="3393" max="3399" width="9.109375" style="39"/>
    <col min="3400" max="3400" width="12" style="39" bestFit="1" customWidth="1"/>
    <col min="3401" max="3401" width="32.6640625" style="39" customWidth="1"/>
    <col min="3402" max="3402" width="12.33203125" style="39" bestFit="1" customWidth="1"/>
    <col min="3403" max="3403" width="9.109375" style="39"/>
    <col min="3404" max="3404" width="10.6640625" style="39" bestFit="1" customWidth="1"/>
    <col min="3405" max="3409" width="9.109375" style="39"/>
    <col min="3410" max="3410" width="10.6640625" style="39" bestFit="1" customWidth="1"/>
    <col min="3411" max="3417" width="9.109375" style="39"/>
    <col min="3418" max="3418" width="12" style="39" bestFit="1" customWidth="1"/>
    <col min="3419" max="3419" width="32.6640625" style="39" customWidth="1"/>
    <col min="3420" max="3420" width="12.33203125" style="39" bestFit="1" customWidth="1"/>
    <col min="3421" max="3421" width="9.109375" style="39"/>
    <col min="3422" max="3422" width="10.6640625" style="39" bestFit="1" customWidth="1"/>
    <col min="3423" max="3427" width="9.109375" style="39"/>
    <col min="3428" max="3428" width="10.6640625" style="39" bestFit="1" customWidth="1"/>
    <col min="3429" max="3435" width="9.109375" style="39"/>
    <col min="3436" max="3436" width="12" style="39" bestFit="1" customWidth="1"/>
    <col min="3437" max="3437" width="32.6640625" style="39" customWidth="1"/>
    <col min="3438" max="3438" width="12.33203125" style="39" bestFit="1" customWidth="1"/>
    <col min="3439" max="3439" width="9.109375" style="39"/>
    <col min="3440" max="3440" width="10.6640625" style="39" bestFit="1" customWidth="1"/>
    <col min="3441" max="3445" width="9.109375" style="39"/>
    <col min="3446" max="3446" width="10.6640625" style="39" bestFit="1" customWidth="1"/>
    <col min="3447" max="3453" width="9.109375" style="39"/>
    <col min="3454" max="3454" width="12" style="39" bestFit="1" customWidth="1"/>
    <col min="3455" max="3455" width="32.6640625" style="39" customWidth="1"/>
    <col min="3456" max="3456" width="12.33203125" style="39" bestFit="1" customWidth="1"/>
    <col min="3457" max="3457" width="9.109375" style="39"/>
    <col min="3458" max="3458" width="10.6640625" style="39" bestFit="1" customWidth="1"/>
    <col min="3459" max="3463" width="9.109375" style="39"/>
    <col min="3464" max="3464" width="10.6640625" style="39" bestFit="1" customWidth="1"/>
    <col min="3465" max="3471" width="9.109375" style="39"/>
    <col min="3472" max="3472" width="12" style="39" bestFit="1" customWidth="1"/>
    <col min="3473" max="3473" width="32.6640625" style="39" customWidth="1"/>
    <col min="3474" max="3474" width="12.33203125" style="39" bestFit="1" customWidth="1"/>
    <col min="3475" max="3475" width="9.109375" style="39"/>
    <col min="3476" max="3476" width="10.6640625" style="39" bestFit="1" customWidth="1"/>
    <col min="3477" max="3481" width="9.109375" style="39"/>
    <col min="3482" max="3482" width="10.6640625" style="39" bestFit="1" customWidth="1"/>
    <col min="3483" max="3489" width="9.109375" style="39"/>
    <col min="3490" max="3490" width="12" style="39" bestFit="1" customWidth="1"/>
    <col min="3491" max="3491" width="32.6640625" style="39" customWidth="1"/>
    <col min="3492" max="3492" width="12.33203125" style="39" bestFit="1" customWidth="1"/>
    <col min="3493" max="3493" width="9.109375" style="39"/>
    <col min="3494" max="3494" width="10.6640625" style="39" bestFit="1" customWidth="1"/>
    <col min="3495" max="3499" width="9.109375" style="39"/>
    <col min="3500" max="3500" width="10.6640625" style="39" bestFit="1" customWidth="1"/>
    <col min="3501" max="3507" width="9.109375" style="39"/>
    <col min="3508" max="3508" width="12" style="39" bestFit="1" customWidth="1"/>
    <col min="3509" max="3509" width="32.6640625" style="39" customWidth="1"/>
    <col min="3510" max="3510" width="12.33203125" style="39" bestFit="1" customWidth="1"/>
    <col min="3511" max="3511" width="9.109375" style="39"/>
    <col min="3512" max="3512" width="10.6640625" style="39" bestFit="1" customWidth="1"/>
    <col min="3513" max="3517" width="9.109375" style="39"/>
    <col min="3518" max="3518" width="10.6640625" style="39" bestFit="1" customWidth="1"/>
    <col min="3519" max="3525" width="9.109375" style="39"/>
    <col min="3526" max="3526" width="13.33203125" style="39" bestFit="1" customWidth="1"/>
    <col min="3527" max="3527" width="32.6640625" style="39" customWidth="1"/>
    <col min="3528" max="3528" width="12.33203125" style="39" bestFit="1" customWidth="1"/>
    <col min="3529" max="3529" width="9.109375" style="39"/>
    <col min="3530" max="3530" width="10.6640625" style="39" bestFit="1" customWidth="1"/>
    <col min="3531" max="3535" width="9.109375" style="39"/>
    <col min="3536" max="3536" width="10.6640625" style="39" bestFit="1" customWidth="1"/>
    <col min="3537" max="3543" width="9.109375" style="39"/>
    <col min="3544" max="3544" width="12" style="39" bestFit="1" customWidth="1"/>
    <col min="3545" max="3585" width="9.109375" style="39"/>
    <col min="3586" max="3586" width="12.33203125" style="39" bestFit="1" customWidth="1"/>
    <col min="3587" max="3587" width="10.109375" style="39" bestFit="1" customWidth="1"/>
    <col min="3588" max="3588" width="10.6640625" style="39" bestFit="1" customWidth="1"/>
    <col min="3589" max="3592" width="9.109375" style="39"/>
    <col min="3593" max="3593" width="9.109375" style="39" bestFit="1" customWidth="1"/>
    <col min="3594" max="3594" width="10.6640625" style="39" bestFit="1" customWidth="1"/>
    <col min="3595" max="3595" width="4.5546875" style="39" bestFit="1" customWidth="1"/>
    <col min="3596" max="3596" width="5.5546875" style="39" bestFit="1" customWidth="1"/>
    <col min="3597" max="3597" width="10.6640625" style="39" bestFit="1" customWidth="1"/>
    <col min="3598" max="3601" width="9.109375" style="39"/>
    <col min="3602" max="3602" width="12" style="39" bestFit="1" customWidth="1"/>
    <col min="3603" max="3603" width="32.6640625" style="39" customWidth="1"/>
    <col min="3604" max="3604" width="12.33203125" style="39" bestFit="1" customWidth="1"/>
    <col min="3605" max="3605" width="9.109375" style="39"/>
    <col min="3606" max="3606" width="10.6640625" style="39" bestFit="1" customWidth="1"/>
    <col min="3607" max="3611" width="9.109375" style="39"/>
    <col min="3612" max="3612" width="10.6640625" style="39" bestFit="1" customWidth="1"/>
    <col min="3613" max="3619" width="9.109375" style="39"/>
    <col min="3620" max="3620" width="12" style="39" bestFit="1" customWidth="1"/>
    <col min="3621" max="3621" width="32.6640625" style="39" customWidth="1"/>
    <col min="3622" max="3622" width="12.33203125" style="39" bestFit="1" customWidth="1"/>
    <col min="3623" max="3623" width="9.109375" style="39"/>
    <col min="3624" max="3624" width="10.6640625" style="39" bestFit="1" customWidth="1"/>
    <col min="3625" max="3629" width="9.109375" style="39"/>
    <col min="3630" max="3630" width="10.6640625" style="39" bestFit="1" customWidth="1"/>
    <col min="3631" max="3637" width="9.109375" style="39"/>
    <col min="3638" max="3638" width="12" style="39" bestFit="1" customWidth="1"/>
    <col min="3639" max="3639" width="32.6640625" style="39" customWidth="1"/>
    <col min="3640" max="3640" width="12.33203125" style="39" bestFit="1" customWidth="1"/>
    <col min="3641" max="3641" width="9.109375" style="39"/>
    <col min="3642" max="3642" width="10.6640625" style="39" bestFit="1" customWidth="1"/>
    <col min="3643" max="3647" width="9.109375" style="39"/>
    <col min="3648" max="3648" width="10.6640625" style="39" bestFit="1" customWidth="1"/>
    <col min="3649" max="3655" width="9.109375" style="39"/>
    <col min="3656" max="3656" width="12" style="39" bestFit="1" customWidth="1"/>
    <col min="3657" max="3657" width="32.6640625" style="39" customWidth="1"/>
    <col min="3658" max="3658" width="12.33203125" style="39" bestFit="1" customWidth="1"/>
    <col min="3659" max="3659" width="9.109375" style="39"/>
    <col min="3660" max="3660" width="10.6640625" style="39" bestFit="1" customWidth="1"/>
    <col min="3661" max="3665" width="9.109375" style="39"/>
    <col min="3666" max="3666" width="10.6640625" style="39" bestFit="1" customWidth="1"/>
    <col min="3667" max="3673" width="9.109375" style="39"/>
    <col min="3674" max="3674" width="12" style="39" bestFit="1" customWidth="1"/>
    <col min="3675" max="3675" width="32.6640625" style="39" customWidth="1"/>
    <col min="3676" max="3676" width="12.33203125" style="39" bestFit="1" customWidth="1"/>
    <col min="3677" max="3677" width="9.109375" style="39"/>
    <col min="3678" max="3678" width="10.6640625" style="39" bestFit="1" customWidth="1"/>
    <col min="3679" max="3683" width="9.109375" style="39"/>
    <col min="3684" max="3684" width="10.6640625" style="39" bestFit="1" customWidth="1"/>
    <col min="3685" max="3691" width="9.109375" style="39"/>
    <col min="3692" max="3692" width="12" style="39" bestFit="1" customWidth="1"/>
    <col min="3693" max="3693" width="32.6640625" style="39" customWidth="1"/>
    <col min="3694" max="3694" width="12.33203125" style="39" bestFit="1" customWidth="1"/>
    <col min="3695" max="3695" width="9.109375" style="39"/>
    <col min="3696" max="3696" width="10.6640625" style="39" bestFit="1" customWidth="1"/>
    <col min="3697" max="3701" width="9.109375" style="39"/>
    <col min="3702" max="3702" width="10.6640625" style="39" bestFit="1" customWidth="1"/>
    <col min="3703" max="3709" width="9.109375" style="39"/>
    <col min="3710" max="3710" width="12" style="39" bestFit="1" customWidth="1"/>
    <col min="3711" max="3711" width="32.6640625" style="39" customWidth="1"/>
    <col min="3712" max="3712" width="12.33203125" style="39" bestFit="1" customWidth="1"/>
    <col min="3713" max="3713" width="9.109375" style="39"/>
    <col min="3714" max="3714" width="10.6640625" style="39" bestFit="1" customWidth="1"/>
    <col min="3715" max="3719" width="9.109375" style="39"/>
    <col min="3720" max="3720" width="10.6640625" style="39" bestFit="1" customWidth="1"/>
    <col min="3721" max="3727" width="9.109375" style="39"/>
    <col min="3728" max="3728" width="12" style="39" bestFit="1" customWidth="1"/>
    <col min="3729" max="3729" width="32.6640625" style="39" customWidth="1"/>
    <col min="3730" max="3730" width="12.33203125" style="39" bestFit="1" customWidth="1"/>
    <col min="3731" max="3731" width="9.109375" style="39"/>
    <col min="3732" max="3732" width="10.6640625" style="39" bestFit="1" customWidth="1"/>
    <col min="3733" max="3737" width="9.109375" style="39"/>
    <col min="3738" max="3738" width="10.6640625" style="39" bestFit="1" customWidth="1"/>
    <col min="3739" max="3745" width="9.109375" style="39"/>
    <col min="3746" max="3746" width="12" style="39" bestFit="1" customWidth="1"/>
    <col min="3747" max="3747" width="32.6640625" style="39" customWidth="1"/>
    <col min="3748" max="3748" width="12.33203125" style="39" bestFit="1" customWidth="1"/>
    <col min="3749" max="3749" width="9.109375" style="39"/>
    <col min="3750" max="3750" width="10.6640625" style="39" bestFit="1" customWidth="1"/>
    <col min="3751" max="3755" width="9.109375" style="39"/>
    <col min="3756" max="3756" width="10.6640625" style="39" bestFit="1" customWidth="1"/>
    <col min="3757" max="3763" width="9.109375" style="39"/>
    <col min="3764" max="3764" width="12" style="39" bestFit="1" customWidth="1"/>
    <col min="3765" max="3765" width="32.6640625" style="39" customWidth="1"/>
    <col min="3766" max="3766" width="12.33203125" style="39" bestFit="1" customWidth="1"/>
    <col min="3767" max="3767" width="9.109375" style="39"/>
    <col min="3768" max="3768" width="10.6640625" style="39" bestFit="1" customWidth="1"/>
    <col min="3769" max="3773" width="9.109375" style="39"/>
    <col min="3774" max="3774" width="10.6640625" style="39" bestFit="1" customWidth="1"/>
    <col min="3775" max="3781" width="9.109375" style="39"/>
    <col min="3782" max="3782" width="13.33203125" style="39" bestFit="1" customWidth="1"/>
    <col min="3783" max="3783" width="32.6640625" style="39" customWidth="1"/>
    <col min="3784" max="3784" width="12.33203125" style="39" bestFit="1" customWidth="1"/>
    <col min="3785" max="3785" width="9.109375" style="39"/>
    <col min="3786" max="3786" width="10.6640625" style="39" bestFit="1" customWidth="1"/>
    <col min="3787" max="3791" width="9.109375" style="39"/>
    <col min="3792" max="3792" width="10.6640625" style="39" bestFit="1" customWidth="1"/>
    <col min="3793" max="3799" width="9.109375" style="39"/>
    <col min="3800" max="3800" width="12" style="39" bestFit="1" customWidth="1"/>
    <col min="3801" max="3841" width="9.109375" style="39"/>
    <col min="3842" max="3842" width="12.33203125" style="39" bestFit="1" customWidth="1"/>
    <col min="3843" max="3843" width="10.109375" style="39" bestFit="1" customWidth="1"/>
    <col min="3844" max="3844" width="10.6640625" style="39" bestFit="1" customWidth="1"/>
    <col min="3845" max="3848" width="9.109375" style="39"/>
    <col min="3849" max="3849" width="9.109375" style="39" bestFit="1" customWidth="1"/>
    <col min="3850" max="3850" width="10.6640625" style="39" bestFit="1" customWidth="1"/>
    <col min="3851" max="3851" width="4.5546875" style="39" bestFit="1" customWidth="1"/>
    <col min="3852" max="3852" width="5.5546875" style="39" bestFit="1" customWidth="1"/>
    <col min="3853" max="3853" width="10.6640625" style="39" bestFit="1" customWidth="1"/>
    <col min="3854" max="3857" width="9.109375" style="39"/>
    <col min="3858" max="3858" width="12" style="39" bestFit="1" customWidth="1"/>
    <col min="3859" max="3859" width="32.6640625" style="39" customWidth="1"/>
    <col min="3860" max="3860" width="12.33203125" style="39" bestFit="1" customWidth="1"/>
    <col min="3861" max="3861" width="9.109375" style="39"/>
    <col min="3862" max="3862" width="10.6640625" style="39" bestFit="1" customWidth="1"/>
    <col min="3863" max="3867" width="9.109375" style="39"/>
    <col min="3868" max="3868" width="10.6640625" style="39" bestFit="1" customWidth="1"/>
    <col min="3869" max="3875" width="9.109375" style="39"/>
    <col min="3876" max="3876" width="12" style="39" bestFit="1" customWidth="1"/>
    <col min="3877" max="3877" width="32.6640625" style="39" customWidth="1"/>
    <col min="3878" max="3878" width="12.33203125" style="39" bestFit="1" customWidth="1"/>
    <col min="3879" max="3879" width="9.109375" style="39"/>
    <col min="3880" max="3880" width="10.6640625" style="39" bestFit="1" customWidth="1"/>
    <col min="3881" max="3885" width="9.109375" style="39"/>
    <col min="3886" max="3886" width="10.6640625" style="39" bestFit="1" customWidth="1"/>
    <col min="3887" max="3893" width="9.109375" style="39"/>
    <col min="3894" max="3894" width="12" style="39" bestFit="1" customWidth="1"/>
    <col min="3895" max="3895" width="32.6640625" style="39" customWidth="1"/>
    <col min="3896" max="3896" width="12.33203125" style="39" bestFit="1" customWidth="1"/>
    <col min="3897" max="3897" width="9.109375" style="39"/>
    <col min="3898" max="3898" width="10.6640625" style="39" bestFit="1" customWidth="1"/>
    <col min="3899" max="3903" width="9.109375" style="39"/>
    <col min="3904" max="3904" width="10.6640625" style="39" bestFit="1" customWidth="1"/>
    <col min="3905" max="3911" width="9.109375" style="39"/>
    <col min="3912" max="3912" width="12" style="39" bestFit="1" customWidth="1"/>
    <col min="3913" max="3913" width="32.6640625" style="39" customWidth="1"/>
    <col min="3914" max="3914" width="12.33203125" style="39" bestFit="1" customWidth="1"/>
    <col min="3915" max="3915" width="9.109375" style="39"/>
    <col min="3916" max="3916" width="10.6640625" style="39" bestFit="1" customWidth="1"/>
    <col min="3917" max="3921" width="9.109375" style="39"/>
    <col min="3922" max="3922" width="10.6640625" style="39" bestFit="1" customWidth="1"/>
    <col min="3923" max="3929" width="9.109375" style="39"/>
    <col min="3930" max="3930" width="12" style="39" bestFit="1" customWidth="1"/>
    <col min="3931" max="3931" width="32.6640625" style="39" customWidth="1"/>
    <col min="3932" max="3932" width="12.33203125" style="39" bestFit="1" customWidth="1"/>
    <col min="3933" max="3933" width="9.109375" style="39"/>
    <col min="3934" max="3934" width="10.6640625" style="39" bestFit="1" customWidth="1"/>
    <col min="3935" max="3939" width="9.109375" style="39"/>
    <col min="3940" max="3940" width="10.6640625" style="39" bestFit="1" customWidth="1"/>
    <col min="3941" max="3947" width="9.109375" style="39"/>
    <col min="3948" max="3948" width="12" style="39" bestFit="1" customWidth="1"/>
    <col min="3949" max="3949" width="32.6640625" style="39" customWidth="1"/>
    <col min="3950" max="3950" width="12.33203125" style="39" bestFit="1" customWidth="1"/>
    <col min="3951" max="3951" width="9.109375" style="39"/>
    <col min="3952" max="3952" width="10.6640625" style="39" bestFit="1" customWidth="1"/>
    <col min="3953" max="3957" width="9.109375" style="39"/>
    <col min="3958" max="3958" width="10.6640625" style="39" bestFit="1" customWidth="1"/>
    <col min="3959" max="3965" width="9.109375" style="39"/>
    <col min="3966" max="3966" width="12" style="39" bestFit="1" customWidth="1"/>
    <col min="3967" max="3967" width="32.6640625" style="39" customWidth="1"/>
    <col min="3968" max="3968" width="12.33203125" style="39" bestFit="1" customWidth="1"/>
    <col min="3969" max="3969" width="9.109375" style="39"/>
    <col min="3970" max="3970" width="10.6640625" style="39" bestFit="1" customWidth="1"/>
    <col min="3971" max="3975" width="9.109375" style="39"/>
    <col min="3976" max="3976" width="10.6640625" style="39" bestFit="1" customWidth="1"/>
    <col min="3977" max="3983" width="9.109375" style="39"/>
    <col min="3984" max="3984" width="12" style="39" bestFit="1" customWidth="1"/>
    <col min="3985" max="3985" width="32.6640625" style="39" customWidth="1"/>
    <col min="3986" max="3986" width="12.33203125" style="39" bestFit="1" customWidth="1"/>
    <col min="3987" max="3987" width="9.109375" style="39"/>
    <col min="3988" max="3988" width="10.6640625" style="39" bestFit="1" customWidth="1"/>
    <col min="3989" max="3993" width="9.109375" style="39"/>
    <col min="3994" max="3994" width="10.6640625" style="39" bestFit="1" customWidth="1"/>
    <col min="3995" max="4001" width="9.109375" style="39"/>
    <col min="4002" max="4002" width="12" style="39" bestFit="1" customWidth="1"/>
    <col min="4003" max="4003" width="32.6640625" style="39" customWidth="1"/>
    <col min="4004" max="4004" width="12.33203125" style="39" bestFit="1" customWidth="1"/>
    <col min="4005" max="4005" width="9.109375" style="39"/>
    <col min="4006" max="4006" width="10.6640625" style="39" bestFit="1" customWidth="1"/>
    <col min="4007" max="4011" width="9.109375" style="39"/>
    <col min="4012" max="4012" width="10.6640625" style="39" bestFit="1" customWidth="1"/>
    <col min="4013" max="4019" width="9.109375" style="39"/>
    <col min="4020" max="4020" width="12" style="39" bestFit="1" customWidth="1"/>
    <col min="4021" max="4021" width="32.6640625" style="39" customWidth="1"/>
    <col min="4022" max="4022" width="12.33203125" style="39" bestFit="1" customWidth="1"/>
    <col min="4023" max="4023" width="9.109375" style="39"/>
    <col min="4024" max="4024" width="10.6640625" style="39" bestFit="1" customWidth="1"/>
    <col min="4025" max="4029" width="9.109375" style="39"/>
    <col min="4030" max="4030" width="10.6640625" style="39" bestFit="1" customWidth="1"/>
    <col min="4031" max="4037" width="9.109375" style="39"/>
    <col min="4038" max="4038" width="13.33203125" style="39" bestFit="1" customWidth="1"/>
    <col min="4039" max="4039" width="32.6640625" style="39" customWidth="1"/>
    <col min="4040" max="4040" width="12.33203125" style="39" bestFit="1" customWidth="1"/>
    <col min="4041" max="4041" width="9.109375" style="39"/>
    <col min="4042" max="4042" width="10.6640625" style="39" bestFit="1" customWidth="1"/>
    <col min="4043" max="4047" width="9.109375" style="39"/>
    <col min="4048" max="4048" width="10.6640625" style="39" bestFit="1" customWidth="1"/>
    <col min="4049" max="4055" width="9.109375" style="39"/>
    <col min="4056" max="4056" width="12" style="39" bestFit="1" customWidth="1"/>
    <col min="4057" max="4097" width="9.109375" style="39"/>
    <col min="4098" max="4098" width="12.33203125" style="39" bestFit="1" customWidth="1"/>
    <col min="4099" max="4099" width="10.109375" style="39" bestFit="1" customWidth="1"/>
    <col min="4100" max="4100" width="10.6640625" style="39" bestFit="1" customWidth="1"/>
    <col min="4101" max="4104" width="9.109375" style="39"/>
    <col min="4105" max="4105" width="9.109375" style="39" bestFit="1" customWidth="1"/>
    <col min="4106" max="4106" width="10.6640625" style="39" bestFit="1" customWidth="1"/>
    <col min="4107" max="4107" width="4.5546875" style="39" bestFit="1" customWidth="1"/>
    <col min="4108" max="4108" width="5.5546875" style="39" bestFit="1" customWidth="1"/>
    <col min="4109" max="4109" width="10.6640625" style="39" bestFit="1" customWidth="1"/>
    <col min="4110" max="4113" width="9.109375" style="39"/>
    <col min="4114" max="4114" width="12" style="39" bestFit="1" customWidth="1"/>
    <col min="4115" max="4115" width="32.6640625" style="39" customWidth="1"/>
    <col min="4116" max="4116" width="12.33203125" style="39" bestFit="1" customWidth="1"/>
    <col min="4117" max="4117" width="9.109375" style="39"/>
    <col min="4118" max="4118" width="10.6640625" style="39" bestFit="1" customWidth="1"/>
    <col min="4119" max="4123" width="9.109375" style="39"/>
    <col min="4124" max="4124" width="10.6640625" style="39" bestFit="1" customWidth="1"/>
    <col min="4125" max="4131" width="9.109375" style="39"/>
    <col min="4132" max="4132" width="12" style="39" bestFit="1" customWidth="1"/>
    <col min="4133" max="4133" width="32.6640625" style="39" customWidth="1"/>
    <col min="4134" max="4134" width="12.33203125" style="39" bestFit="1" customWidth="1"/>
    <col min="4135" max="4135" width="9.109375" style="39"/>
    <col min="4136" max="4136" width="10.6640625" style="39" bestFit="1" customWidth="1"/>
    <col min="4137" max="4141" width="9.109375" style="39"/>
    <col min="4142" max="4142" width="10.6640625" style="39" bestFit="1" customWidth="1"/>
    <col min="4143" max="4149" width="9.109375" style="39"/>
    <col min="4150" max="4150" width="12" style="39" bestFit="1" customWidth="1"/>
    <col min="4151" max="4151" width="32.6640625" style="39" customWidth="1"/>
    <col min="4152" max="4152" width="12.33203125" style="39" bestFit="1" customWidth="1"/>
    <col min="4153" max="4153" width="9.109375" style="39"/>
    <col min="4154" max="4154" width="10.6640625" style="39" bestFit="1" customWidth="1"/>
    <col min="4155" max="4159" width="9.109375" style="39"/>
    <col min="4160" max="4160" width="10.6640625" style="39" bestFit="1" customWidth="1"/>
    <col min="4161" max="4167" width="9.109375" style="39"/>
    <col min="4168" max="4168" width="12" style="39" bestFit="1" customWidth="1"/>
    <col min="4169" max="4169" width="32.6640625" style="39" customWidth="1"/>
    <col min="4170" max="4170" width="12.33203125" style="39" bestFit="1" customWidth="1"/>
    <col min="4171" max="4171" width="9.109375" style="39"/>
    <col min="4172" max="4172" width="10.6640625" style="39" bestFit="1" customWidth="1"/>
    <col min="4173" max="4177" width="9.109375" style="39"/>
    <col min="4178" max="4178" width="10.6640625" style="39" bestFit="1" customWidth="1"/>
    <col min="4179" max="4185" width="9.109375" style="39"/>
    <col min="4186" max="4186" width="12" style="39" bestFit="1" customWidth="1"/>
    <col min="4187" max="4187" width="32.6640625" style="39" customWidth="1"/>
    <col min="4188" max="4188" width="12.33203125" style="39" bestFit="1" customWidth="1"/>
    <col min="4189" max="4189" width="9.109375" style="39"/>
    <col min="4190" max="4190" width="10.6640625" style="39" bestFit="1" customWidth="1"/>
    <col min="4191" max="4195" width="9.109375" style="39"/>
    <col min="4196" max="4196" width="10.6640625" style="39" bestFit="1" customWidth="1"/>
    <col min="4197" max="4203" width="9.109375" style="39"/>
    <col min="4204" max="4204" width="12" style="39" bestFit="1" customWidth="1"/>
    <col min="4205" max="4205" width="32.6640625" style="39" customWidth="1"/>
    <col min="4206" max="4206" width="12.33203125" style="39" bestFit="1" customWidth="1"/>
    <col min="4207" max="4207" width="9.109375" style="39"/>
    <col min="4208" max="4208" width="10.6640625" style="39" bestFit="1" customWidth="1"/>
    <col min="4209" max="4213" width="9.109375" style="39"/>
    <col min="4214" max="4214" width="10.6640625" style="39" bestFit="1" customWidth="1"/>
    <col min="4215" max="4221" width="9.109375" style="39"/>
    <col min="4222" max="4222" width="12" style="39" bestFit="1" customWidth="1"/>
    <col min="4223" max="4223" width="32.6640625" style="39" customWidth="1"/>
    <col min="4224" max="4224" width="12.33203125" style="39" bestFit="1" customWidth="1"/>
    <col min="4225" max="4225" width="9.109375" style="39"/>
    <col min="4226" max="4226" width="10.6640625" style="39" bestFit="1" customWidth="1"/>
    <col min="4227" max="4231" width="9.109375" style="39"/>
    <col min="4232" max="4232" width="10.6640625" style="39" bestFit="1" customWidth="1"/>
    <col min="4233" max="4239" width="9.109375" style="39"/>
    <col min="4240" max="4240" width="12" style="39" bestFit="1" customWidth="1"/>
    <col min="4241" max="4241" width="32.6640625" style="39" customWidth="1"/>
    <col min="4242" max="4242" width="12.33203125" style="39" bestFit="1" customWidth="1"/>
    <col min="4243" max="4243" width="9.109375" style="39"/>
    <col min="4244" max="4244" width="10.6640625" style="39" bestFit="1" customWidth="1"/>
    <col min="4245" max="4249" width="9.109375" style="39"/>
    <col min="4250" max="4250" width="10.6640625" style="39" bestFit="1" customWidth="1"/>
    <col min="4251" max="4257" width="9.109375" style="39"/>
    <col min="4258" max="4258" width="12" style="39" bestFit="1" customWidth="1"/>
    <col min="4259" max="4259" width="32.6640625" style="39" customWidth="1"/>
    <col min="4260" max="4260" width="12.33203125" style="39" bestFit="1" customWidth="1"/>
    <col min="4261" max="4261" width="9.109375" style="39"/>
    <col min="4262" max="4262" width="10.6640625" style="39" bestFit="1" customWidth="1"/>
    <col min="4263" max="4267" width="9.109375" style="39"/>
    <col min="4268" max="4268" width="10.6640625" style="39" bestFit="1" customWidth="1"/>
    <col min="4269" max="4275" width="9.109375" style="39"/>
    <col min="4276" max="4276" width="12" style="39" bestFit="1" customWidth="1"/>
    <col min="4277" max="4277" width="32.6640625" style="39" customWidth="1"/>
    <col min="4278" max="4278" width="12.33203125" style="39" bestFit="1" customWidth="1"/>
    <col min="4279" max="4279" width="9.109375" style="39"/>
    <col min="4280" max="4280" width="10.6640625" style="39" bestFit="1" customWidth="1"/>
    <col min="4281" max="4285" width="9.109375" style="39"/>
    <col min="4286" max="4286" width="10.6640625" style="39" bestFit="1" customWidth="1"/>
    <col min="4287" max="4293" width="9.109375" style="39"/>
    <col min="4294" max="4294" width="13.33203125" style="39" bestFit="1" customWidth="1"/>
    <col min="4295" max="4295" width="32.6640625" style="39" customWidth="1"/>
    <col min="4296" max="4296" width="12.33203125" style="39" bestFit="1" customWidth="1"/>
    <col min="4297" max="4297" width="9.109375" style="39"/>
    <col min="4298" max="4298" width="10.6640625" style="39" bestFit="1" customWidth="1"/>
    <col min="4299" max="4303" width="9.109375" style="39"/>
    <col min="4304" max="4304" width="10.6640625" style="39" bestFit="1" customWidth="1"/>
    <col min="4305" max="4311" width="9.109375" style="39"/>
    <col min="4312" max="4312" width="12" style="39" bestFit="1" customWidth="1"/>
    <col min="4313" max="4353" width="9.109375" style="39"/>
    <col min="4354" max="4354" width="12.33203125" style="39" bestFit="1" customWidth="1"/>
    <col min="4355" max="4355" width="10.109375" style="39" bestFit="1" customWidth="1"/>
    <col min="4356" max="4356" width="10.6640625" style="39" bestFit="1" customWidth="1"/>
    <col min="4357" max="4360" width="9.109375" style="39"/>
    <col min="4361" max="4361" width="9.109375" style="39" bestFit="1" customWidth="1"/>
    <col min="4362" max="4362" width="10.6640625" style="39" bestFit="1" customWidth="1"/>
    <col min="4363" max="4363" width="4.5546875" style="39" bestFit="1" customWidth="1"/>
    <col min="4364" max="4364" width="5.5546875" style="39" bestFit="1" customWidth="1"/>
    <col min="4365" max="4365" width="10.6640625" style="39" bestFit="1" customWidth="1"/>
    <col min="4366" max="4369" width="9.109375" style="39"/>
    <col min="4370" max="4370" width="12" style="39" bestFit="1" customWidth="1"/>
    <col min="4371" max="4371" width="32.6640625" style="39" customWidth="1"/>
    <col min="4372" max="4372" width="12.33203125" style="39" bestFit="1" customWidth="1"/>
    <col min="4373" max="4373" width="9.109375" style="39"/>
    <col min="4374" max="4374" width="10.6640625" style="39" bestFit="1" customWidth="1"/>
    <col min="4375" max="4379" width="9.109375" style="39"/>
    <col min="4380" max="4380" width="10.6640625" style="39" bestFit="1" customWidth="1"/>
    <col min="4381" max="4387" width="9.109375" style="39"/>
    <col min="4388" max="4388" width="12" style="39" bestFit="1" customWidth="1"/>
    <col min="4389" max="4389" width="32.6640625" style="39" customWidth="1"/>
    <col min="4390" max="4390" width="12.33203125" style="39" bestFit="1" customWidth="1"/>
    <col min="4391" max="4391" width="9.109375" style="39"/>
    <col min="4392" max="4392" width="10.6640625" style="39" bestFit="1" customWidth="1"/>
    <col min="4393" max="4397" width="9.109375" style="39"/>
    <col min="4398" max="4398" width="10.6640625" style="39" bestFit="1" customWidth="1"/>
    <col min="4399" max="4405" width="9.109375" style="39"/>
    <col min="4406" max="4406" width="12" style="39" bestFit="1" customWidth="1"/>
    <col min="4407" max="4407" width="32.6640625" style="39" customWidth="1"/>
    <col min="4408" max="4408" width="12.33203125" style="39" bestFit="1" customWidth="1"/>
    <col min="4409" max="4409" width="9.109375" style="39"/>
    <col min="4410" max="4410" width="10.6640625" style="39" bestFit="1" customWidth="1"/>
    <col min="4411" max="4415" width="9.109375" style="39"/>
    <col min="4416" max="4416" width="10.6640625" style="39" bestFit="1" customWidth="1"/>
    <col min="4417" max="4423" width="9.109375" style="39"/>
    <col min="4424" max="4424" width="12" style="39" bestFit="1" customWidth="1"/>
    <col min="4425" max="4425" width="32.6640625" style="39" customWidth="1"/>
    <col min="4426" max="4426" width="12.33203125" style="39" bestFit="1" customWidth="1"/>
    <col min="4427" max="4427" width="9.109375" style="39"/>
    <col min="4428" max="4428" width="10.6640625" style="39" bestFit="1" customWidth="1"/>
    <col min="4429" max="4433" width="9.109375" style="39"/>
    <col min="4434" max="4434" width="10.6640625" style="39" bestFit="1" customWidth="1"/>
    <col min="4435" max="4441" width="9.109375" style="39"/>
    <col min="4442" max="4442" width="12" style="39" bestFit="1" customWidth="1"/>
    <col min="4443" max="4443" width="32.6640625" style="39" customWidth="1"/>
    <col min="4444" max="4444" width="12.33203125" style="39" bestFit="1" customWidth="1"/>
    <col min="4445" max="4445" width="9.109375" style="39"/>
    <col min="4446" max="4446" width="10.6640625" style="39" bestFit="1" customWidth="1"/>
    <col min="4447" max="4451" width="9.109375" style="39"/>
    <col min="4452" max="4452" width="10.6640625" style="39" bestFit="1" customWidth="1"/>
    <col min="4453" max="4459" width="9.109375" style="39"/>
    <col min="4460" max="4460" width="12" style="39" bestFit="1" customWidth="1"/>
    <col min="4461" max="4461" width="32.6640625" style="39" customWidth="1"/>
    <col min="4462" max="4462" width="12.33203125" style="39" bestFit="1" customWidth="1"/>
    <col min="4463" max="4463" width="9.109375" style="39"/>
    <col min="4464" max="4464" width="10.6640625" style="39" bestFit="1" customWidth="1"/>
    <col min="4465" max="4469" width="9.109375" style="39"/>
    <col min="4470" max="4470" width="10.6640625" style="39" bestFit="1" customWidth="1"/>
    <col min="4471" max="4477" width="9.109375" style="39"/>
    <col min="4478" max="4478" width="12" style="39" bestFit="1" customWidth="1"/>
    <col min="4479" max="4479" width="32.6640625" style="39" customWidth="1"/>
    <col min="4480" max="4480" width="12.33203125" style="39" bestFit="1" customWidth="1"/>
    <col min="4481" max="4481" width="9.109375" style="39"/>
    <col min="4482" max="4482" width="10.6640625" style="39" bestFit="1" customWidth="1"/>
    <col min="4483" max="4487" width="9.109375" style="39"/>
    <col min="4488" max="4488" width="10.6640625" style="39" bestFit="1" customWidth="1"/>
    <col min="4489" max="4495" width="9.109375" style="39"/>
    <col min="4496" max="4496" width="12" style="39" bestFit="1" customWidth="1"/>
    <col min="4497" max="4497" width="32.6640625" style="39" customWidth="1"/>
    <col min="4498" max="4498" width="12.33203125" style="39" bestFit="1" customWidth="1"/>
    <col min="4499" max="4499" width="9.109375" style="39"/>
    <col min="4500" max="4500" width="10.6640625" style="39" bestFit="1" customWidth="1"/>
    <col min="4501" max="4505" width="9.109375" style="39"/>
    <col min="4506" max="4506" width="10.6640625" style="39" bestFit="1" customWidth="1"/>
    <col min="4507" max="4513" width="9.109375" style="39"/>
    <col min="4514" max="4514" width="12" style="39" bestFit="1" customWidth="1"/>
    <col min="4515" max="4515" width="32.6640625" style="39" customWidth="1"/>
    <col min="4516" max="4516" width="12.33203125" style="39" bestFit="1" customWidth="1"/>
    <col min="4517" max="4517" width="9.109375" style="39"/>
    <col min="4518" max="4518" width="10.6640625" style="39" bestFit="1" customWidth="1"/>
    <col min="4519" max="4523" width="9.109375" style="39"/>
    <col min="4524" max="4524" width="10.6640625" style="39" bestFit="1" customWidth="1"/>
    <col min="4525" max="4531" width="9.109375" style="39"/>
    <col min="4532" max="4532" width="12" style="39" bestFit="1" customWidth="1"/>
    <col min="4533" max="4533" width="32.6640625" style="39" customWidth="1"/>
    <col min="4534" max="4534" width="12.33203125" style="39" bestFit="1" customWidth="1"/>
    <col min="4535" max="4535" width="9.109375" style="39"/>
    <col min="4536" max="4536" width="10.6640625" style="39" bestFit="1" customWidth="1"/>
    <col min="4537" max="4541" width="9.109375" style="39"/>
    <col min="4542" max="4542" width="10.6640625" style="39" bestFit="1" customWidth="1"/>
    <col min="4543" max="4549" width="9.109375" style="39"/>
    <col min="4550" max="4550" width="13.33203125" style="39" bestFit="1" customWidth="1"/>
    <col min="4551" max="4551" width="32.6640625" style="39" customWidth="1"/>
    <col min="4552" max="4552" width="12.33203125" style="39" bestFit="1" customWidth="1"/>
    <col min="4553" max="4553" width="9.109375" style="39"/>
    <col min="4554" max="4554" width="10.6640625" style="39" bestFit="1" customWidth="1"/>
    <col min="4555" max="4559" width="9.109375" style="39"/>
    <col min="4560" max="4560" width="10.6640625" style="39" bestFit="1" customWidth="1"/>
    <col min="4561" max="4567" width="9.109375" style="39"/>
    <col min="4568" max="4568" width="12" style="39" bestFit="1" customWidth="1"/>
    <col min="4569" max="4609" width="9.109375" style="39"/>
    <col min="4610" max="4610" width="12.33203125" style="39" bestFit="1" customWidth="1"/>
    <col min="4611" max="4611" width="10.109375" style="39" bestFit="1" customWidth="1"/>
    <col min="4612" max="4612" width="10.6640625" style="39" bestFit="1" customWidth="1"/>
    <col min="4613" max="4616" width="9.109375" style="39"/>
    <col min="4617" max="4617" width="9.109375" style="39" bestFit="1" customWidth="1"/>
    <col min="4618" max="4618" width="10.6640625" style="39" bestFit="1" customWidth="1"/>
    <col min="4619" max="4619" width="4.5546875" style="39" bestFit="1" customWidth="1"/>
    <col min="4620" max="4620" width="5.5546875" style="39" bestFit="1" customWidth="1"/>
    <col min="4621" max="4621" width="10.6640625" style="39" bestFit="1" customWidth="1"/>
    <col min="4622" max="4625" width="9.109375" style="39"/>
    <col min="4626" max="4626" width="12" style="39" bestFit="1" customWidth="1"/>
    <col min="4627" max="4627" width="32.6640625" style="39" customWidth="1"/>
    <col min="4628" max="4628" width="12.33203125" style="39" bestFit="1" customWidth="1"/>
    <col min="4629" max="4629" width="9.109375" style="39"/>
    <col min="4630" max="4630" width="10.6640625" style="39" bestFit="1" customWidth="1"/>
    <col min="4631" max="4635" width="9.109375" style="39"/>
    <col min="4636" max="4636" width="10.6640625" style="39" bestFit="1" customWidth="1"/>
    <col min="4637" max="4643" width="9.109375" style="39"/>
    <col min="4644" max="4644" width="12" style="39" bestFit="1" customWidth="1"/>
    <col min="4645" max="4645" width="32.6640625" style="39" customWidth="1"/>
    <col min="4646" max="4646" width="12.33203125" style="39" bestFit="1" customWidth="1"/>
    <col min="4647" max="4647" width="9.109375" style="39"/>
    <col min="4648" max="4648" width="10.6640625" style="39" bestFit="1" customWidth="1"/>
    <col min="4649" max="4653" width="9.109375" style="39"/>
    <col min="4654" max="4654" width="10.6640625" style="39" bestFit="1" customWidth="1"/>
    <col min="4655" max="4661" width="9.109375" style="39"/>
    <col min="4662" max="4662" width="12" style="39" bestFit="1" customWidth="1"/>
    <col min="4663" max="4663" width="32.6640625" style="39" customWidth="1"/>
    <col min="4664" max="4664" width="12.33203125" style="39" bestFit="1" customWidth="1"/>
    <col min="4665" max="4665" width="9.109375" style="39"/>
    <col min="4666" max="4666" width="10.6640625" style="39" bestFit="1" customWidth="1"/>
    <col min="4667" max="4671" width="9.109375" style="39"/>
    <col min="4672" max="4672" width="10.6640625" style="39" bestFit="1" customWidth="1"/>
    <col min="4673" max="4679" width="9.109375" style="39"/>
    <col min="4680" max="4680" width="12" style="39" bestFit="1" customWidth="1"/>
    <col min="4681" max="4681" width="32.6640625" style="39" customWidth="1"/>
    <col min="4682" max="4682" width="12.33203125" style="39" bestFit="1" customWidth="1"/>
    <col min="4683" max="4683" width="9.109375" style="39"/>
    <col min="4684" max="4684" width="10.6640625" style="39" bestFit="1" customWidth="1"/>
    <col min="4685" max="4689" width="9.109375" style="39"/>
    <col min="4690" max="4690" width="10.6640625" style="39" bestFit="1" customWidth="1"/>
    <col min="4691" max="4697" width="9.109375" style="39"/>
    <col min="4698" max="4698" width="12" style="39" bestFit="1" customWidth="1"/>
    <col min="4699" max="4699" width="32.6640625" style="39" customWidth="1"/>
    <col min="4700" max="4700" width="12.33203125" style="39" bestFit="1" customWidth="1"/>
    <col min="4701" max="4701" width="9.109375" style="39"/>
    <col min="4702" max="4702" width="10.6640625" style="39" bestFit="1" customWidth="1"/>
    <col min="4703" max="4707" width="9.109375" style="39"/>
    <col min="4708" max="4708" width="10.6640625" style="39" bestFit="1" customWidth="1"/>
    <col min="4709" max="4715" width="9.109375" style="39"/>
    <col min="4716" max="4716" width="12" style="39" bestFit="1" customWidth="1"/>
    <col min="4717" max="4717" width="32.6640625" style="39" customWidth="1"/>
    <col min="4718" max="4718" width="12.33203125" style="39" bestFit="1" customWidth="1"/>
    <col min="4719" max="4719" width="9.109375" style="39"/>
    <col min="4720" max="4720" width="10.6640625" style="39" bestFit="1" customWidth="1"/>
    <col min="4721" max="4725" width="9.109375" style="39"/>
    <col min="4726" max="4726" width="10.6640625" style="39" bestFit="1" customWidth="1"/>
    <col min="4727" max="4733" width="9.109375" style="39"/>
    <col min="4734" max="4734" width="12" style="39" bestFit="1" customWidth="1"/>
    <col min="4735" max="4735" width="32.6640625" style="39" customWidth="1"/>
    <col min="4736" max="4736" width="12.33203125" style="39" bestFit="1" customWidth="1"/>
    <col min="4737" max="4737" width="9.109375" style="39"/>
    <col min="4738" max="4738" width="10.6640625" style="39" bestFit="1" customWidth="1"/>
    <col min="4739" max="4743" width="9.109375" style="39"/>
    <col min="4744" max="4744" width="10.6640625" style="39" bestFit="1" customWidth="1"/>
    <col min="4745" max="4751" width="9.109375" style="39"/>
    <col min="4752" max="4752" width="12" style="39" bestFit="1" customWidth="1"/>
    <col min="4753" max="4753" width="32.6640625" style="39" customWidth="1"/>
    <col min="4754" max="4754" width="12.33203125" style="39" bestFit="1" customWidth="1"/>
    <col min="4755" max="4755" width="9.109375" style="39"/>
    <col min="4756" max="4756" width="10.6640625" style="39" bestFit="1" customWidth="1"/>
    <col min="4757" max="4761" width="9.109375" style="39"/>
    <col min="4762" max="4762" width="10.6640625" style="39" bestFit="1" customWidth="1"/>
    <col min="4763" max="4769" width="9.109375" style="39"/>
    <col min="4770" max="4770" width="12" style="39" bestFit="1" customWidth="1"/>
    <col min="4771" max="4771" width="32.6640625" style="39" customWidth="1"/>
    <col min="4772" max="4772" width="12.33203125" style="39" bestFit="1" customWidth="1"/>
    <col min="4773" max="4773" width="9.109375" style="39"/>
    <col min="4774" max="4774" width="10.6640625" style="39" bestFit="1" customWidth="1"/>
    <col min="4775" max="4779" width="9.109375" style="39"/>
    <col min="4780" max="4780" width="10.6640625" style="39" bestFit="1" customWidth="1"/>
    <col min="4781" max="4787" width="9.109375" style="39"/>
    <col min="4788" max="4788" width="12" style="39" bestFit="1" customWidth="1"/>
    <col min="4789" max="4789" width="32.6640625" style="39" customWidth="1"/>
    <col min="4790" max="4790" width="12.33203125" style="39" bestFit="1" customWidth="1"/>
    <col min="4791" max="4791" width="9.109375" style="39"/>
    <col min="4792" max="4792" width="10.6640625" style="39" bestFit="1" customWidth="1"/>
    <col min="4793" max="4797" width="9.109375" style="39"/>
    <col min="4798" max="4798" width="10.6640625" style="39" bestFit="1" customWidth="1"/>
    <col min="4799" max="4805" width="9.109375" style="39"/>
    <col min="4806" max="4806" width="13.33203125" style="39" bestFit="1" customWidth="1"/>
    <col min="4807" max="4807" width="32.6640625" style="39" customWidth="1"/>
    <col min="4808" max="4808" width="12.33203125" style="39" bestFit="1" customWidth="1"/>
    <col min="4809" max="4809" width="9.109375" style="39"/>
    <col min="4810" max="4810" width="10.6640625" style="39" bestFit="1" customWidth="1"/>
    <col min="4811" max="4815" width="9.109375" style="39"/>
    <col min="4816" max="4816" width="10.6640625" style="39" bestFit="1" customWidth="1"/>
    <col min="4817" max="4823" width="9.109375" style="39"/>
    <col min="4824" max="4824" width="12" style="39" bestFit="1" customWidth="1"/>
    <col min="4825" max="4865" width="9.109375" style="39"/>
    <col min="4866" max="4866" width="12.33203125" style="39" bestFit="1" customWidth="1"/>
    <col min="4867" max="4867" width="10.109375" style="39" bestFit="1" customWidth="1"/>
    <col min="4868" max="4868" width="10.6640625" style="39" bestFit="1" customWidth="1"/>
    <col min="4869" max="4872" width="9.109375" style="39"/>
    <col min="4873" max="4873" width="9.109375" style="39" bestFit="1" customWidth="1"/>
    <col min="4874" max="4874" width="10.6640625" style="39" bestFit="1" customWidth="1"/>
    <col min="4875" max="4875" width="4.5546875" style="39" bestFit="1" customWidth="1"/>
    <col min="4876" max="4876" width="5.5546875" style="39" bestFit="1" customWidth="1"/>
    <col min="4877" max="4877" width="10.6640625" style="39" bestFit="1" customWidth="1"/>
    <col min="4878" max="4881" width="9.109375" style="39"/>
    <col min="4882" max="4882" width="12" style="39" bestFit="1" customWidth="1"/>
    <col min="4883" max="4883" width="32.6640625" style="39" customWidth="1"/>
    <col min="4884" max="4884" width="12.33203125" style="39" bestFit="1" customWidth="1"/>
    <col min="4885" max="4885" width="9.109375" style="39"/>
    <col min="4886" max="4886" width="10.6640625" style="39" bestFit="1" customWidth="1"/>
    <col min="4887" max="4891" width="9.109375" style="39"/>
    <col min="4892" max="4892" width="10.6640625" style="39" bestFit="1" customWidth="1"/>
    <col min="4893" max="4899" width="9.109375" style="39"/>
    <col min="4900" max="4900" width="12" style="39" bestFit="1" customWidth="1"/>
    <col min="4901" max="4901" width="32.6640625" style="39" customWidth="1"/>
    <col min="4902" max="4902" width="12.33203125" style="39" bestFit="1" customWidth="1"/>
    <col min="4903" max="4903" width="9.109375" style="39"/>
    <col min="4904" max="4904" width="10.6640625" style="39" bestFit="1" customWidth="1"/>
    <col min="4905" max="4909" width="9.109375" style="39"/>
    <col min="4910" max="4910" width="10.6640625" style="39" bestFit="1" customWidth="1"/>
    <col min="4911" max="4917" width="9.109375" style="39"/>
    <col min="4918" max="4918" width="12" style="39" bestFit="1" customWidth="1"/>
    <col min="4919" max="4919" width="32.6640625" style="39" customWidth="1"/>
    <col min="4920" max="4920" width="12.33203125" style="39" bestFit="1" customWidth="1"/>
    <col min="4921" max="4921" width="9.109375" style="39"/>
    <col min="4922" max="4922" width="10.6640625" style="39" bestFit="1" customWidth="1"/>
    <col min="4923" max="4927" width="9.109375" style="39"/>
    <col min="4928" max="4928" width="10.6640625" style="39" bestFit="1" customWidth="1"/>
    <col min="4929" max="4935" width="9.109375" style="39"/>
    <col min="4936" max="4936" width="12" style="39" bestFit="1" customWidth="1"/>
    <col min="4937" max="4937" width="32.6640625" style="39" customWidth="1"/>
    <col min="4938" max="4938" width="12.33203125" style="39" bestFit="1" customWidth="1"/>
    <col min="4939" max="4939" width="9.109375" style="39"/>
    <col min="4940" max="4940" width="10.6640625" style="39" bestFit="1" customWidth="1"/>
    <col min="4941" max="4945" width="9.109375" style="39"/>
    <col min="4946" max="4946" width="10.6640625" style="39" bestFit="1" customWidth="1"/>
    <col min="4947" max="4953" width="9.109375" style="39"/>
    <col min="4954" max="4954" width="12" style="39" bestFit="1" customWidth="1"/>
    <col min="4955" max="4955" width="32.6640625" style="39" customWidth="1"/>
    <col min="4956" max="4956" width="12.33203125" style="39" bestFit="1" customWidth="1"/>
    <col min="4957" max="4957" width="9.109375" style="39"/>
    <col min="4958" max="4958" width="10.6640625" style="39" bestFit="1" customWidth="1"/>
    <col min="4959" max="4963" width="9.109375" style="39"/>
    <col min="4964" max="4964" width="10.6640625" style="39" bestFit="1" customWidth="1"/>
    <col min="4965" max="4971" width="9.109375" style="39"/>
    <col min="4972" max="4972" width="12" style="39" bestFit="1" customWidth="1"/>
    <col min="4973" max="4973" width="32.6640625" style="39" customWidth="1"/>
    <col min="4974" max="4974" width="12.33203125" style="39" bestFit="1" customWidth="1"/>
    <col min="4975" max="4975" width="9.109375" style="39"/>
    <col min="4976" max="4976" width="10.6640625" style="39" bestFit="1" customWidth="1"/>
    <col min="4977" max="4981" width="9.109375" style="39"/>
    <col min="4982" max="4982" width="10.6640625" style="39" bestFit="1" customWidth="1"/>
    <col min="4983" max="4989" width="9.109375" style="39"/>
    <col min="4990" max="4990" width="12" style="39" bestFit="1" customWidth="1"/>
    <col min="4991" max="4991" width="32.6640625" style="39" customWidth="1"/>
    <col min="4992" max="4992" width="12.33203125" style="39" bestFit="1" customWidth="1"/>
    <col min="4993" max="4993" width="9.109375" style="39"/>
    <col min="4994" max="4994" width="10.6640625" style="39" bestFit="1" customWidth="1"/>
    <col min="4995" max="4999" width="9.109375" style="39"/>
    <col min="5000" max="5000" width="10.6640625" style="39" bestFit="1" customWidth="1"/>
    <col min="5001" max="5007" width="9.109375" style="39"/>
    <col min="5008" max="5008" width="12" style="39" bestFit="1" customWidth="1"/>
    <col min="5009" max="5009" width="32.6640625" style="39" customWidth="1"/>
    <col min="5010" max="5010" width="12.33203125" style="39" bestFit="1" customWidth="1"/>
    <col min="5011" max="5011" width="9.109375" style="39"/>
    <col min="5012" max="5012" width="10.6640625" style="39" bestFit="1" customWidth="1"/>
    <col min="5013" max="5017" width="9.109375" style="39"/>
    <col min="5018" max="5018" width="10.6640625" style="39" bestFit="1" customWidth="1"/>
    <col min="5019" max="5025" width="9.109375" style="39"/>
    <col min="5026" max="5026" width="12" style="39" bestFit="1" customWidth="1"/>
    <col min="5027" max="5027" width="32.6640625" style="39" customWidth="1"/>
    <col min="5028" max="5028" width="12.33203125" style="39" bestFit="1" customWidth="1"/>
    <col min="5029" max="5029" width="9.109375" style="39"/>
    <col min="5030" max="5030" width="10.6640625" style="39" bestFit="1" customWidth="1"/>
    <col min="5031" max="5035" width="9.109375" style="39"/>
    <col min="5036" max="5036" width="10.6640625" style="39" bestFit="1" customWidth="1"/>
    <col min="5037" max="5043" width="9.109375" style="39"/>
    <col min="5044" max="5044" width="12" style="39" bestFit="1" customWidth="1"/>
    <col min="5045" max="5045" width="32.6640625" style="39" customWidth="1"/>
    <col min="5046" max="5046" width="12.33203125" style="39" bestFit="1" customWidth="1"/>
    <col min="5047" max="5047" width="9.109375" style="39"/>
    <col min="5048" max="5048" width="10.6640625" style="39" bestFit="1" customWidth="1"/>
    <col min="5049" max="5053" width="9.109375" style="39"/>
    <col min="5054" max="5054" width="10.6640625" style="39" bestFit="1" customWidth="1"/>
    <col min="5055" max="5061" width="9.109375" style="39"/>
    <col min="5062" max="5062" width="13.33203125" style="39" bestFit="1" customWidth="1"/>
    <col min="5063" max="5063" width="32.6640625" style="39" customWidth="1"/>
    <col min="5064" max="5064" width="12.33203125" style="39" bestFit="1" customWidth="1"/>
    <col min="5065" max="5065" width="9.109375" style="39"/>
    <col min="5066" max="5066" width="10.6640625" style="39" bestFit="1" customWidth="1"/>
    <col min="5067" max="5071" width="9.109375" style="39"/>
    <col min="5072" max="5072" width="10.6640625" style="39" bestFit="1" customWidth="1"/>
    <col min="5073" max="5079" width="9.109375" style="39"/>
    <col min="5080" max="5080" width="12" style="39" bestFit="1" customWidth="1"/>
    <col min="5081" max="5121" width="9.109375" style="39"/>
    <col min="5122" max="5122" width="12.33203125" style="39" bestFit="1" customWidth="1"/>
    <col min="5123" max="5123" width="10.109375" style="39" bestFit="1" customWidth="1"/>
    <col min="5124" max="5124" width="10.6640625" style="39" bestFit="1" customWidth="1"/>
    <col min="5125" max="5128" width="9.109375" style="39"/>
    <col min="5129" max="5129" width="9.109375" style="39" bestFit="1" customWidth="1"/>
    <col min="5130" max="5130" width="10.6640625" style="39" bestFit="1" customWidth="1"/>
    <col min="5131" max="5131" width="4.5546875" style="39" bestFit="1" customWidth="1"/>
    <col min="5132" max="5132" width="5.5546875" style="39" bestFit="1" customWidth="1"/>
    <col min="5133" max="5133" width="10.6640625" style="39" bestFit="1" customWidth="1"/>
    <col min="5134" max="5137" width="9.109375" style="39"/>
    <col min="5138" max="5138" width="12" style="39" bestFit="1" customWidth="1"/>
    <col min="5139" max="5139" width="32.6640625" style="39" customWidth="1"/>
    <col min="5140" max="5140" width="12.33203125" style="39" bestFit="1" customWidth="1"/>
    <col min="5141" max="5141" width="9.109375" style="39"/>
    <col min="5142" max="5142" width="10.6640625" style="39" bestFit="1" customWidth="1"/>
    <col min="5143" max="5147" width="9.109375" style="39"/>
    <col min="5148" max="5148" width="10.6640625" style="39" bestFit="1" customWidth="1"/>
    <col min="5149" max="5155" width="9.109375" style="39"/>
    <col min="5156" max="5156" width="12" style="39" bestFit="1" customWidth="1"/>
    <col min="5157" max="5157" width="32.6640625" style="39" customWidth="1"/>
    <col min="5158" max="5158" width="12.33203125" style="39" bestFit="1" customWidth="1"/>
    <col min="5159" max="5159" width="9.109375" style="39"/>
    <col min="5160" max="5160" width="10.6640625" style="39" bestFit="1" customWidth="1"/>
    <col min="5161" max="5165" width="9.109375" style="39"/>
    <col min="5166" max="5166" width="10.6640625" style="39" bestFit="1" customWidth="1"/>
    <col min="5167" max="5173" width="9.109375" style="39"/>
    <col min="5174" max="5174" width="12" style="39" bestFit="1" customWidth="1"/>
    <col min="5175" max="5175" width="32.6640625" style="39" customWidth="1"/>
    <col min="5176" max="5176" width="12.33203125" style="39" bestFit="1" customWidth="1"/>
    <col min="5177" max="5177" width="9.109375" style="39"/>
    <col min="5178" max="5178" width="10.6640625" style="39" bestFit="1" customWidth="1"/>
    <col min="5179" max="5183" width="9.109375" style="39"/>
    <col min="5184" max="5184" width="10.6640625" style="39" bestFit="1" customWidth="1"/>
    <col min="5185" max="5191" width="9.109375" style="39"/>
    <col min="5192" max="5192" width="12" style="39" bestFit="1" customWidth="1"/>
    <col min="5193" max="5193" width="32.6640625" style="39" customWidth="1"/>
    <col min="5194" max="5194" width="12.33203125" style="39" bestFit="1" customWidth="1"/>
    <col min="5195" max="5195" width="9.109375" style="39"/>
    <col min="5196" max="5196" width="10.6640625" style="39" bestFit="1" customWidth="1"/>
    <col min="5197" max="5201" width="9.109375" style="39"/>
    <col min="5202" max="5202" width="10.6640625" style="39" bestFit="1" customWidth="1"/>
    <col min="5203" max="5209" width="9.109375" style="39"/>
    <col min="5210" max="5210" width="12" style="39" bestFit="1" customWidth="1"/>
    <col min="5211" max="5211" width="32.6640625" style="39" customWidth="1"/>
    <col min="5212" max="5212" width="12.33203125" style="39" bestFit="1" customWidth="1"/>
    <col min="5213" max="5213" width="9.109375" style="39"/>
    <col min="5214" max="5214" width="10.6640625" style="39" bestFit="1" customWidth="1"/>
    <col min="5215" max="5219" width="9.109375" style="39"/>
    <col min="5220" max="5220" width="10.6640625" style="39" bestFit="1" customWidth="1"/>
    <col min="5221" max="5227" width="9.109375" style="39"/>
    <col min="5228" max="5228" width="12" style="39" bestFit="1" customWidth="1"/>
    <col min="5229" max="5229" width="32.6640625" style="39" customWidth="1"/>
    <col min="5230" max="5230" width="12.33203125" style="39" bestFit="1" customWidth="1"/>
    <col min="5231" max="5231" width="9.109375" style="39"/>
    <col min="5232" max="5232" width="10.6640625" style="39" bestFit="1" customWidth="1"/>
    <col min="5233" max="5237" width="9.109375" style="39"/>
    <col min="5238" max="5238" width="10.6640625" style="39" bestFit="1" customWidth="1"/>
    <col min="5239" max="5245" width="9.109375" style="39"/>
    <col min="5246" max="5246" width="12" style="39" bestFit="1" customWidth="1"/>
    <col min="5247" max="5247" width="32.6640625" style="39" customWidth="1"/>
    <col min="5248" max="5248" width="12.33203125" style="39" bestFit="1" customWidth="1"/>
    <col min="5249" max="5249" width="9.109375" style="39"/>
    <col min="5250" max="5250" width="10.6640625" style="39" bestFit="1" customWidth="1"/>
    <col min="5251" max="5255" width="9.109375" style="39"/>
    <col min="5256" max="5256" width="10.6640625" style="39" bestFit="1" customWidth="1"/>
    <col min="5257" max="5263" width="9.109375" style="39"/>
    <col min="5264" max="5264" width="12" style="39" bestFit="1" customWidth="1"/>
    <col min="5265" max="5265" width="32.6640625" style="39" customWidth="1"/>
    <col min="5266" max="5266" width="12.33203125" style="39" bestFit="1" customWidth="1"/>
    <col min="5267" max="5267" width="9.109375" style="39"/>
    <col min="5268" max="5268" width="10.6640625" style="39" bestFit="1" customWidth="1"/>
    <col min="5269" max="5273" width="9.109375" style="39"/>
    <col min="5274" max="5274" width="10.6640625" style="39" bestFit="1" customWidth="1"/>
    <col min="5275" max="5281" width="9.109375" style="39"/>
    <col min="5282" max="5282" width="12" style="39" bestFit="1" customWidth="1"/>
    <col min="5283" max="5283" width="32.6640625" style="39" customWidth="1"/>
    <col min="5284" max="5284" width="12.33203125" style="39" bestFit="1" customWidth="1"/>
    <col min="5285" max="5285" width="9.109375" style="39"/>
    <col min="5286" max="5286" width="10.6640625" style="39" bestFit="1" customWidth="1"/>
    <col min="5287" max="5291" width="9.109375" style="39"/>
    <col min="5292" max="5292" width="10.6640625" style="39" bestFit="1" customWidth="1"/>
    <col min="5293" max="5299" width="9.109375" style="39"/>
    <col min="5300" max="5300" width="12" style="39" bestFit="1" customWidth="1"/>
    <col min="5301" max="5301" width="32.6640625" style="39" customWidth="1"/>
    <col min="5302" max="5302" width="12.33203125" style="39" bestFit="1" customWidth="1"/>
    <col min="5303" max="5303" width="9.109375" style="39"/>
    <col min="5304" max="5304" width="10.6640625" style="39" bestFit="1" customWidth="1"/>
    <col min="5305" max="5309" width="9.109375" style="39"/>
    <col min="5310" max="5310" width="10.6640625" style="39" bestFit="1" customWidth="1"/>
    <col min="5311" max="5317" width="9.109375" style="39"/>
    <col min="5318" max="5318" width="13.33203125" style="39" bestFit="1" customWidth="1"/>
    <col min="5319" max="5319" width="32.6640625" style="39" customWidth="1"/>
    <col min="5320" max="5320" width="12.33203125" style="39" bestFit="1" customWidth="1"/>
    <col min="5321" max="5321" width="9.109375" style="39"/>
    <col min="5322" max="5322" width="10.6640625" style="39" bestFit="1" customWidth="1"/>
    <col min="5323" max="5327" width="9.109375" style="39"/>
    <col min="5328" max="5328" width="10.6640625" style="39" bestFit="1" customWidth="1"/>
    <col min="5329" max="5335" width="9.109375" style="39"/>
    <col min="5336" max="5336" width="12" style="39" bestFit="1" customWidth="1"/>
    <col min="5337" max="5377" width="9.109375" style="39"/>
    <col min="5378" max="5378" width="12.33203125" style="39" bestFit="1" customWidth="1"/>
    <col min="5379" max="5379" width="10.109375" style="39" bestFit="1" customWidth="1"/>
    <col min="5380" max="5380" width="10.6640625" style="39" bestFit="1" customWidth="1"/>
    <col min="5381" max="5384" width="9.109375" style="39"/>
    <col min="5385" max="5385" width="9.109375" style="39" bestFit="1" customWidth="1"/>
    <col min="5386" max="5386" width="10.6640625" style="39" bestFit="1" customWidth="1"/>
    <col min="5387" max="5387" width="4.5546875" style="39" bestFit="1" customWidth="1"/>
    <col min="5388" max="5388" width="5.5546875" style="39" bestFit="1" customWidth="1"/>
    <col min="5389" max="5389" width="10.6640625" style="39" bestFit="1" customWidth="1"/>
    <col min="5390" max="5393" width="9.109375" style="39"/>
    <col min="5394" max="5394" width="12" style="39" bestFit="1" customWidth="1"/>
    <col min="5395" max="5395" width="32.6640625" style="39" customWidth="1"/>
    <col min="5396" max="5396" width="12.33203125" style="39" bestFit="1" customWidth="1"/>
    <col min="5397" max="5397" width="9.109375" style="39"/>
    <col min="5398" max="5398" width="10.6640625" style="39" bestFit="1" customWidth="1"/>
    <col min="5399" max="5403" width="9.109375" style="39"/>
    <col min="5404" max="5404" width="10.6640625" style="39" bestFit="1" customWidth="1"/>
    <col min="5405" max="5411" width="9.109375" style="39"/>
    <col min="5412" max="5412" width="12" style="39" bestFit="1" customWidth="1"/>
    <col min="5413" max="5413" width="32.6640625" style="39" customWidth="1"/>
    <col min="5414" max="5414" width="12.33203125" style="39" bestFit="1" customWidth="1"/>
    <col min="5415" max="5415" width="9.109375" style="39"/>
    <col min="5416" max="5416" width="10.6640625" style="39" bestFit="1" customWidth="1"/>
    <col min="5417" max="5421" width="9.109375" style="39"/>
    <col min="5422" max="5422" width="10.6640625" style="39" bestFit="1" customWidth="1"/>
    <col min="5423" max="5429" width="9.109375" style="39"/>
    <col min="5430" max="5430" width="12" style="39" bestFit="1" customWidth="1"/>
    <col min="5431" max="5431" width="32.6640625" style="39" customWidth="1"/>
    <col min="5432" max="5432" width="12.33203125" style="39" bestFit="1" customWidth="1"/>
    <col min="5433" max="5433" width="9.109375" style="39"/>
    <col min="5434" max="5434" width="10.6640625" style="39" bestFit="1" customWidth="1"/>
    <col min="5435" max="5439" width="9.109375" style="39"/>
    <col min="5440" max="5440" width="10.6640625" style="39" bestFit="1" customWidth="1"/>
    <col min="5441" max="5447" width="9.109375" style="39"/>
    <col min="5448" max="5448" width="12" style="39" bestFit="1" customWidth="1"/>
    <col min="5449" max="5449" width="32.6640625" style="39" customWidth="1"/>
    <col min="5450" max="5450" width="12.33203125" style="39" bestFit="1" customWidth="1"/>
    <col min="5451" max="5451" width="9.109375" style="39"/>
    <col min="5452" max="5452" width="10.6640625" style="39" bestFit="1" customWidth="1"/>
    <col min="5453" max="5457" width="9.109375" style="39"/>
    <col min="5458" max="5458" width="10.6640625" style="39" bestFit="1" customWidth="1"/>
    <col min="5459" max="5465" width="9.109375" style="39"/>
    <col min="5466" max="5466" width="12" style="39" bestFit="1" customWidth="1"/>
    <col min="5467" max="5467" width="32.6640625" style="39" customWidth="1"/>
    <col min="5468" max="5468" width="12.33203125" style="39" bestFit="1" customWidth="1"/>
    <col min="5469" max="5469" width="9.109375" style="39"/>
    <col min="5470" max="5470" width="10.6640625" style="39" bestFit="1" customWidth="1"/>
    <col min="5471" max="5475" width="9.109375" style="39"/>
    <col min="5476" max="5476" width="10.6640625" style="39" bestFit="1" customWidth="1"/>
    <col min="5477" max="5483" width="9.109375" style="39"/>
    <col min="5484" max="5484" width="12" style="39" bestFit="1" customWidth="1"/>
    <col min="5485" max="5485" width="32.6640625" style="39" customWidth="1"/>
    <col min="5486" max="5486" width="12.33203125" style="39" bestFit="1" customWidth="1"/>
    <col min="5487" max="5487" width="9.109375" style="39"/>
    <col min="5488" max="5488" width="10.6640625" style="39" bestFit="1" customWidth="1"/>
    <col min="5489" max="5493" width="9.109375" style="39"/>
    <col min="5494" max="5494" width="10.6640625" style="39" bestFit="1" customWidth="1"/>
    <col min="5495" max="5501" width="9.109375" style="39"/>
    <col min="5502" max="5502" width="12" style="39" bestFit="1" customWidth="1"/>
    <col min="5503" max="5503" width="32.6640625" style="39" customWidth="1"/>
    <col min="5504" max="5504" width="12.33203125" style="39" bestFit="1" customWidth="1"/>
    <col min="5505" max="5505" width="9.109375" style="39"/>
    <col min="5506" max="5506" width="10.6640625" style="39" bestFit="1" customWidth="1"/>
    <col min="5507" max="5511" width="9.109375" style="39"/>
    <col min="5512" max="5512" width="10.6640625" style="39" bestFit="1" customWidth="1"/>
    <col min="5513" max="5519" width="9.109375" style="39"/>
    <col min="5520" max="5520" width="12" style="39" bestFit="1" customWidth="1"/>
    <col min="5521" max="5521" width="32.6640625" style="39" customWidth="1"/>
    <col min="5522" max="5522" width="12.33203125" style="39" bestFit="1" customWidth="1"/>
    <col min="5523" max="5523" width="9.109375" style="39"/>
    <col min="5524" max="5524" width="10.6640625" style="39" bestFit="1" customWidth="1"/>
    <col min="5525" max="5529" width="9.109375" style="39"/>
    <col min="5530" max="5530" width="10.6640625" style="39" bestFit="1" customWidth="1"/>
    <col min="5531" max="5537" width="9.109375" style="39"/>
    <col min="5538" max="5538" width="12" style="39" bestFit="1" customWidth="1"/>
    <col min="5539" max="5539" width="32.6640625" style="39" customWidth="1"/>
    <col min="5540" max="5540" width="12.33203125" style="39" bestFit="1" customWidth="1"/>
    <col min="5541" max="5541" width="9.109375" style="39"/>
    <col min="5542" max="5542" width="10.6640625" style="39" bestFit="1" customWidth="1"/>
    <col min="5543" max="5547" width="9.109375" style="39"/>
    <col min="5548" max="5548" width="10.6640625" style="39" bestFit="1" customWidth="1"/>
    <col min="5549" max="5555" width="9.109375" style="39"/>
    <col min="5556" max="5556" width="12" style="39" bestFit="1" customWidth="1"/>
    <col min="5557" max="5557" width="32.6640625" style="39" customWidth="1"/>
    <col min="5558" max="5558" width="12.33203125" style="39" bestFit="1" customWidth="1"/>
    <col min="5559" max="5559" width="9.109375" style="39"/>
    <col min="5560" max="5560" width="10.6640625" style="39" bestFit="1" customWidth="1"/>
    <col min="5561" max="5565" width="9.109375" style="39"/>
    <col min="5566" max="5566" width="10.6640625" style="39" bestFit="1" customWidth="1"/>
    <col min="5567" max="5573" width="9.109375" style="39"/>
    <col min="5574" max="5574" width="13.33203125" style="39" bestFit="1" customWidth="1"/>
    <col min="5575" max="5575" width="32.6640625" style="39" customWidth="1"/>
    <col min="5576" max="5576" width="12.33203125" style="39" bestFit="1" customWidth="1"/>
    <col min="5577" max="5577" width="9.109375" style="39"/>
    <col min="5578" max="5578" width="10.6640625" style="39" bestFit="1" customWidth="1"/>
    <col min="5579" max="5583" width="9.109375" style="39"/>
    <col min="5584" max="5584" width="10.6640625" style="39" bestFit="1" customWidth="1"/>
    <col min="5585" max="5591" width="9.109375" style="39"/>
    <col min="5592" max="5592" width="12" style="39" bestFit="1" customWidth="1"/>
    <col min="5593" max="5633" width="9.109375" style="39"/>
    <col min="5634" max="5634" width="12.33203125" style="39" bestFit="1" customWidth="1"/>
    <col min="5635" max="5635" width="10.109375" style="39" bestFit="1" customWidth="1"/>
    <col min="5636" max="5636" width="10.6640625" style="39" bestFit="1" customWidth="1"/>
    <col min="5637" max="5640" width="9.109375" style="39"/>
    <col min="5641" max="5641" width="9.109375" style="39" bestFit="1" customWidth="1"/>
    <col min="5642" max="5642" width="10.6640625" style="39" bestFit="1" customWidth="1"/>
    <col min="5643" max="5643" width="4.5546875" style="39" bestFit="1" customWidth="1"/>
    <col min="5644" max="5644" width="5.5546875" style="39" bestFit="1" customWidth="1"/>
    <col min="5645" max="5645" width="10.6640625" style="39" bestFit="1" customWidth="1"/>
    <col min="5646" max="5649" width="9.109375" style="39"/>
    <col min="5650" max="5650" width="12" style="39" bestFit="1" customWidth="1"/>
    <col min="5651" max="5651" width="32.6640625" style="39" customWidth="1"/>
    <col min="5652" max="5652" width="12.33203125" style="39" bestFit="1" customWidth="1"/>
    <col min="5653" max="5653" width="9.109375" style="39"/>
    <col min="5654" max="5654" width="10.6640625" style="39" bestFit="1" customWidth="1"/>
    <col min="5655" max="5659" width="9.109375" style="39"/>
    <col min="5660" max="5660" width="10.6640625" style="39" bestFit="1" customWidth="1"/>
    <col min="5661" max="5667" width="9.109375" style="39"/>
    <col min="5668" max="5668" width="12" style="39" bestFit="1" customWidth="1"/>
    <col min="5669" max="5669" width="32.6640625" style="39" customWidth="1"/>
    <col min="5670" max="5670" width="12.33203125" style="39" bestFit="1" customWidth="1"/>
    <col min="5671" max="5671" width="9.109375" style="39"/>
    <col min="5672" max="5672" width="10.6640625" style="39" bestFit="1" customWidth="1"/>
    <col min="5673" max="5677" width="9.109375" style="39"/>
    <col min="5678" max="5678" width="10.6640625" style="39" bestFit="1" customWidth="1"/>
    <col min="5679" max="5685" width="9.109375" style="39"/>
    <col min="5686" max="5686" width="12" style="39" bestFit="1" customWidth="1"/>
    <col min="5687" max="5687" width="32.6640625" style="39" customWidth="1"/>
    <col min="5688" max="5688" width="12.33203125" style="39" bestFit="1" customWidth="1"/>
    <col min="5689" max="5689" width="9.109375" style="39"/>
    <col min="5690" max="5690" width="10.6640625" style="39" bestFit="1" customWidth="1"/>
    <col min="5691" max="5695" width="9.109375" style="39"/>
    <col min="5696" max="5696" width="10.6640625" style="39" bestFit="1" customWidth="1"/>
    <col min="5697" max="5703" width="9.109375" style="39"/>
    <col min="5704" max="5704" width="12" style="39" bestFit="1" customWidth="1"/>
    <col min="5705" max="5705" width="32.6640625" style="39" customWidth="1"/>
    <col min="5706" max="5706" width="12.33203125" style="39" bestFit="1" customWidth="1"/>
    <col min="5707" max="5707" width="9.109375" style="39"/>
    <col min="5708" max="5708" width="10.6640625" style="39" bestFit="1" customWidth="1"/>
    <col min="5709" max="5713" width="9.109375" style="39"/>
    <col min="5714" max="5714" width="10.6640625" style="39" bestFit="1" customWidth="1"/>
    <col min="5715" max="5721" width="9.109375" style="39"/>
    <col min="5722" max="5722" width="12" style="39" bestFit="1" customWidth="1"/>
    <col min="5723" max="5723" width="32.6640625" style="39" customWidth="1"/>
    <col min="5724" max="5724" width="12.33203125" style="39" bestFit="1" customWidth="1"/>
    <col min="5725" max="5725" width="9.109375" style="39"/>
    <col min="5726" max="5726" width="10.6640625" style="39" bestFit="1" customWidth="1"/>
    <col min="5727" max="5731" width="9.109375" style="39"/>
    <col min="5732" max="5732" width="10.6640625" style="39" bestFit="1" customWidth="1"/>
    <col min="5733" max="5739" width="9.109375" style="39"/>
    <col min="5740" max="5740" width="12" style="39" bestFit="1" customWidth="1"/>
    <col min="5741" max="5741" width="32.6640625" style="39" customWidth="1"/>
    <col min="5742" max="5742" width="12.33203125" style="39" bestFit="1" customWidth="1"/>
    <col min="5743" max="5743" width="9.109375" style="39"/>
    <col min="5744" max="5744" width="10.6640625" style="39" bestFit="1" customWidth="1"/>
    <col min="5745" max="5749" width="9.109375" style="39"/>
    <col min="5750" max="5750" width="10.6640625" style="39" bestFit="1" customWidth="1"/>
    <col min="5751" max="5757" width="9.109375" style="39"/>
    <col min="5758" max="5758" width="12" style="39" bestFit="1" customWidth="1"/>
    <col min="5759" max="5759" width="32.6640625" style="39" customWidth="1"/>
    <col min="5760" max="5760" width="12.33203125" style="39" bestFit="1" customWidth="1"/>
    <col min="5761" max="5761" width="9.109375" style="39"/>
    <col min="5762" max="5762" width="10.6640625" style="39" bestFit="1" customWidth="1"/>
    <col min="5763" max="5767" width="9.109375" style="39"/>
    <col min="5768" max="5768" width="10.6640625" style="39" bestFit="1" customWidth="1"/>
    <col min="5769" max="5775" width="9.109375" style="39"/>
    <col min="5776" max="5776" width="12" style="39" bestFit="1" customWidth="1"/>
    <col min="5777" max="5777" width="32.6640625" style="39" customWidth="1"/>
    <col min="5778" max="5778" width="12.33203125" style="39" bestFit="1" customWidth="1"/>
    <col min="5779" max="5779" width="9.109375" style="39"/>
    <col min="5780" max="5780" width="10.6640625" style="39" bestFit="1" customWidth="1"/>
    <col min="5781" max="5785" width="9.109375" style="39"/>
    <col min="5786" max="5786" width="10.6640625" style="39" bestFit="1" customWidth="1"/>
    <col min="5787" max="5793" width="9.109375" style="39"/>
    <col min="5794" max="5794" width="12" style="39" bestFit="1" customWidth="1"/>
    <col min="5795" max="5795" width="32.6640625" style="39" customWidth="1"/>
    <col min="5796" max="5796" width="12.33203125" style="39" bestFit="1" customWidth="1"/>
    <col min="5797" max="5797" width="9.109375" style="39"/>
    <col min="5798" max="5798" width="10.6640625" style="39" bestFit="1" customWidth="1"/>
    <col min="5799" max="5803" width="9.109375" style="39"/>
    <col min="5804" max="5804" width="10.6640625" style="39" bestFit="1" customWidth="1"/>
    <col min="5805" max="5811" width="9.109375" style="39"/>
    <col min="5812" max="5812" width="12" style="39" bestFit="1" customWidth="1"/>
    <col min="5813" max="5813" width="32.6640625" style="39" customWidth="1"/>
    <col min="5814" max="5814" width="12.33203125" style="39" bestFit="1" customWidth="1"/>
    <col min="5815" max="5815" width="9.109375" style="39"/>
    <col min="5816" max="5816" width="10.6640625" style="39" bestFit="1" customWidth="1"/>
    <col min="5817" max="5821" width="9.109375" style="39"/>
    <col min="5822" max="5822" width="10.6640625" style="39" bestFit="1" customWidth="1"/>
    <col min="5823" max="5829" width="9.109375" style="39"/>
    <col min="5830" max="5830" width="13.33203125" style="39" bestFit="1" customWidth="1"/>
    <col min="5831" max="5831" width="32.6640625" style="39" customWidth="1"/>
    <col min="5832" max="5832" width="12.33203125" style="39" bestFit="1" customWidth="1"/>
    <col min="5833" max="5833" width="9.109375" style="39"/>
    <col min="5834" max="5834" width="10.6640625" style="39" bestFit="1" customWidth="1"/>
    <col min="5835" max="5839" width="9.109375" style="39"/>
    <col min="5840" max="5840" width="10.6640625" style="39" bestFit="1" customWidth="1"/>
    <col min="5841" max="5847" width="9.109375" style="39"/>
    <col min="5848" max="5848" width="12" style="39" bestFit="1" customWidth="1"/>
    <col min="5849" max="5889" width="9.109375" style="39"/>
    <col min="5890" max="5890" width="12.33203125" style="39" bestFit="1" customWidth="1"/>
    <col min="5891" max="5891" width="10.109375" style="39" bestFit="1" customWidth="1"/>
    <col min="5892" max="5892" width="10.6640625" style="39" bestFit="1" customWidth="1"/>
    <col min="5893" max="5896" width="9.109375" style="39"/>
    <col min="5897" max="5897" width="9.109375" style="39" bestFit="1" customWidth="1"/>
    <col min="5898" max="5898" width="10.6640625" style="39" bestFit="1" customWidth="1"/>
    <col min="5899" max="5899" width="4.5546875" style="39" bestFit="1" customWidth="1"/>
    <col min="5900" max="5900" width="5.5546875" style="39" bestFit="1" customWidth="1"/>
    <col min="5901" max="5901" width="10.6640625" style="39" bestFit="1" customWidth="1"/>
    <col min="5902" max="5905" width="9.109375" style="39"/>
    <col min="5906" max="5906" width="12" style="39" bestFit="1" customWidth="1"/>
    <col min="5907" max="5907" width="32.6640625" style="39" customWidth="1"/>
    <col min="5908" max="5908" width="12.33203125" style="39" bestFit="1" customWidth="1"/>
    <col min="5909" max="5909" width="9.109375" style="39"/>
    <col min="5910" max="5910" width="10.6640625" style="39" bestFit="1" customWidth="1"/>
    <col min="5911" max="5915" width="9.109375" style="39"/>
    <col min="5916" max="5916" width="10.6640625" style="39" bestFit="1" customWidth="1"/>
    <col min="5917" max="5923" width="9.109375" style="39"/>
    <col min="5924" max="5924" width="12" style="39" bestFit="1" customWidth="1"/>
    <col min="5925" max="5925" width="32.6640625" style="39" customWidth="1"/>
    <col min="5926" max="5926" width="12.33203125" style="39" bestFit="1" customWidth="1"/>
    <col min="5927" max="5927" width="9.109375" style="39"/>
    <col min="5928" max="5928" width="10.6640625" style="39" bestFit="1" customWidth="1"/>
    <col min="5929" max="5933" width="9.109375" style="39"/>
    <col min="5934" max="5934" width="10.6640625" style="39" bestFit="1" customWidth="1"/>
    <col min="5935" max="5941" width="9.109375" style="39"/>
    <col min="5942" max="5942" width="12" style="39" bestFit="1" customWidth="1"/>
    <col min="5943" max="5943" width="32.6640625" style="39" customWidth="1"/>
    <col min="5944" max="5944" width="12.33203125" style="39" bestFit="1" customWidth="1"/>
    <col min="5945" max="5945" width="9.109375" style="39"/>
    <col min="5946" max="5946" width="10.6640625" style="39" bestFit="1" customWidth="1"/>
    <col min="5947" max="5951" width="9.109375" style="39"/>
    <col min="5952" max="5952" width="10.6640625" style="39" bestFit="1" customWidth="1"/>
    <col min="5953" max="5959" width="9.109375" style="39"/>
    <col min="5960" max="5960" width="12" style="39" bestFit="1" customWidth="1"/>
    <col min="5961" max="5961" width="32.6640625" style="39" customWidth="1"/>
    <col min="5962" max="5962" width="12.33203125" style="39" bestFit="1" customWidth="1"/>
    <col min="5963" max="5963" width="9.109375" style="39"/>
    <col min="5964" max="5964" width="10.6640625" style="39" bestFit="1" customWidth="1"/>
    <col min="5965" max="5969" width="9.109375" style="39"/>
    <col min="5970" max="5970" width="10.6640625" style="39" bestFit="1" customWidth="1"/>
    <col min="5971" max="5977" width="9.109375" style="39"/>
    <col min="5978" max="5978" width="12" style="39" bestFit="1" customWidth="1"/>
    <col min="5979" max="5979" width="32.6640625" style="39" customWidth="1"/>
    <col min="5980" max="5980" width="12.33203125" style="39" bestFit="1" customWidth="1"/>
    <col min="5981" max="5981" width="9.109375" style="39"/>
    <col min="5982" max="5982" width="10.6640625" style="39" bestFit="1" customWidth="1"/>
    <col min="5983" max="5987" width="9.109375" style="39"/>
    <col min="5988" max="5988" width="10.6640625" style="39" bestFit="1" customWidth="1"/>
    <col min="5989" max="5995" width="9.109375" style="39"/>
    <col min="5996" max="5996" width="12" style="39" bestFit="1" customWidth="1"/>
    <col min="5997" max="5997" width="32.6640625" style="39" customWidth="1"/>
    <col min="5998" max="5998" width="12.33203125" style="39" bestFit="1" customWidth="1"/>
    <col min="5999" max="5999" width="9.109375" style="39"/>
    <col min="6000" max="6000" width="10.6640625" style="39" bestFit="1" customWidth="1"/>
    <col min="6001" max="6005" width="9.109375" style="39"/>
    <col min="6006" max="6006" width="10.6640625" style="39" bestFit="1" customWidth="1"/>
    <col min="6007" max="6013" width="9.109375" style="39"/>
    <col min="6014" max="6014" width="12" style="39" bestFit="1" customWidth="1"/>
    <col min="6015" max="6015" width="32.6640625" style="39" customWidth="1"/>
    <col min="6016" max="6016" width="12.33203125" style="39" bestFit="1" customWidth="1"/>
    <col min="6017" max="6017" width="9.109375" style="39"/>
    <col min="6018" max="6018" width="10.6640625" style="39" bestFit="1" customWidth="1"/>
    <col min="6019" max="6023" width="9.109375" style="39"/>
    <col min="6024" max="6024" width="10.6640625" style="39" bestFit="1" customWidth="1"/>
    <col min="6025" max="6031" width="9.109375" style="39"/>
    <col min="6032" max="6032" width="12" style="39" bestFit="1" customWidth="1"/>
    <col min="6033" max="6033" width="32.6640625" style="39" customWidth="1"/>
    <col min="6034" max="6034" width="12.33203125" style="39" bestFit="1" customWidth="1"/>
    <col min="6035" max="6035" width="9.109375" style="39"/>
    <col min="6036" max="6036" width="10.6640625" style="39" bestFit="1" customWidth="1"/>
    <col min="6037" max="6041" width="9.109375" style="39"/>
    <col min="6042" max="6042" width="10.6640625" style="39" bestFit="1" customWidth="1"/>
    <col min="6043" max="6049" width="9.109375" style="39"/>
    <col min="6050" max="6050" width="12" style="39" bestFit="1" customWidth="1"/>
    <col min="6051" max="6051" width="32.6640625" style="39" customWidth="1"/>
    <col min="6052" max="6052" width="12.33203125" style="39" bestFit="1" customWidth="1"/>
    <col min="6053" max="6053" width="9.109375" style="39"/>
    <col min="6054" max="6054" width="10.6640625" style="39" bestFit="1" customWidth="1"/>
    <col min="6055" max="6059" width="9.109375" style="39"/>
    <col min="6060" max="6060" width="10.6640625" style="39" bestFit="1" customWidth="1"/>
    <col min="6061" max="6067" width="9.109375" style="39"/>
    <col min="6068" max="6068" width="12" style="39" bestFit="1" customWidth="1"/>
    <col min="6069" max="6069" width="32.6640625" style="39" customWidth="1"/>
    <col min="6070" max="6070" width="12.33203125" style="39" bestFit="1" customWidth="1"/>
    <col min="6071" max="6071" width="9.109375" style="39"/>
    <col min="6072" max="6072" width="10.6640625" style="39" bestFit="1" customWidth="1"/>
    <col min="6073" max="6077" width="9.109375" style="39"/>
    <col min="6078" max="6078" width="10.6640625" style="39" bestFit="1" customWidth="1"/>
    <col min="6079" max="6085" width="9.109375" style="39"/>
    <col min="6086" max="6086" width="13.33203125" style="39" bestFit="1" customWidth="1"/>
    <col min="6087" max="6087" width="32.6640625" style="39" customWidth="1"/>
    <col min="6088" max="6088" width="12.33203125" style="39" bestFit="1" customWidth="1"/>
    <col min="6089" max="6089" width="9.109375" style="39"/>
    <col min="6090" max="6090" width="10.6640625" style="39" bestFit="1" customWidth="1"/>
    <col min="6091" max="6095" width="9.109375" style="39"/>
    <col min="6096" max="6096" width="10.6640625" style="39" bestFit="1" customWidth="1"/>
    <col min="6097" max="6103" width="9.109375" style="39"/>
    <col min="6104" max="6104" width="12" style="39" bestFit="1" customWidth="1"/>
    <col min="6105" max="6145" width="9.109375" style="39"/>
    <col min="6146" max="6146" width="12.33203125" style="39" bestFit="1" customWidth="1"/>
    <col min="6147" max="6147" width="10.109375" style="39" bestFit="1" customWidth="1"/>
    <col min="6148" max="6148" width="10.6640625" style="39" bestFit="1" customWidth="1"/>
    <col min="6149" max="6152" width="9.109375" style="39"/>
    <col min="6153" max="6153" width="9.109375" style="39" bestFit="1" customWidth="1"/>
    <col min="6154" max="6154" width="10.6640625" style="39" bestFit="1" customWidth="1"/>
    <col min="6155" max="6155" width="4.5546875" style="39" bestFit="1" customWidth="1"/>
    <col min="6156" max="6156" width="5.5546875" style="39" bestFit="1" customWidth="1"/>
    <col min="6157" max="6157" width="10.6640625" style="39" bestFit="1" customWidth="1"/>
    <col min="6158" max="6161" width="9.109375" style="39"/>
    <col min="6162" max="6162" width="12" style="39" bestFit="1" customWidth="1"/>
    <col min="6163" max="6163" width="32.6640625" style="39" customWidth="1"/>
    <col min="6164" max="6164" width="12.33203125" style="39" bestFit="1" customWidth="1"/>
    <col min="6165" max="6165" width="9.109375" style="39"/>
    <col min="6166" max="6166" width="10.6640625" style="39" bestFit="1" customWidth="1"/>
    <col min="6167" max="6171" width="9.109375" style="39"/>
    <col min="6172" max="6172" width="10.6640625" style="39" bestFit="1" customWidth="1"/>
    <col min="6173" max="6179" width="9.109375" style="39"/>
    <col min="6180" max="6180" width="12" style="39" bestFit="1" customWidth="1"/>
    <col min="6181" max="6181" width="32.6640625" style="39" customWidth="1"/>
    <col min="6182" max="6182" width="12.33203125" style="39" bestFit="1" customWidth="1"/>
    <col min="6183" max="6183" width="9.109375" style="39"/>
    <col min="6184" max="6184" width="10.6640625" style="39" bestFit="1" customWidth="1"/>
    <col min="6185" max="6189" width="9.109375" style="39"/>
    <col min="6190" max="6190" width="10.6640625" style="39" bestFit="1" customWidth="1"/>
    <col min="6191" max="6197" width="9.109375" style="39"/>
    <col min="6198" max="6198" width="12" style="39" bestFit="1" customWidth="1"/>
    <col min="6199" max="6199" width="32.6640625" style="39" customWidth="1"/>
    <col min="6200" max="6200" width="12.33203125" style="39" bestFit="1" customWidth="1"/>
    <col min="6201" max="6201" width="9.109375" style="39"/>
    <col min="6202" max="6202" width="10.6640625" style="39" bestFit="1" customWidth="1"/>
    <col min="6203" max="6207" width="9.109375" style="39"/>
    <col min="6208" max="6208" width="10.6640625" style="39" bestFit="1" customWidth="1"/>
    <col min="6209" max="6215" width="9.109375" style="39"/>
    <col min="6216" max="6216" width="12" style="39" bestFit="1" customWidth="1"/>
    <col min="6217" max="6217" width="32.6640625" style="39" customWidth="1"/>
    <col min="6218" max="6218" width="12.33203125" style="39" bestFit="1" customWidth="1"/>
    <col min="6219" max="6219" width="9.109375" style="39"/>
    <col min="6220" max="6220" width="10.6640625" style="39" bestFit="1" customWidth="1"/>
    <col min="6221" max="6225" width="9.109375" style="39"/>
    <col min="6226" max="6226" width="10.6640625" style="39" bestFit="1" customWidth="1"/>
    <col min="6227" max="6233" width="9.109375" style="39"/>
    <col min="6234" max="6234" width="12" style="39" bestFit="1" customWidth="1"/>
    <col min="6235" max="6235" width="32.6640625" style="39" customWidth="1"/>
    <col min="6236" max="6236" width="12.33203125" style="39" bestFit="1" customWidth="1"/>
    <col min="6237" max="6237" width="9.109375" style="39"/>
    <col min="6238" max="6238" width="10.6640625" style="39" bestFit="1" customWidth="1"/>
    <col min="6239" max="6243" width="9.109375" style="39"/>
    <col min="6244" max="6244" width="10.6640625" style="39" bestFit="1" customWidth="1"/>
    <col min="6245" max="6251" width="9.109375" style="39"/>
    <col min="6252" max="6252" width="12" style="39" bestFit="1" customWidth="1"/>
    <col min="6253" max="6253" width="32.6640625" style="39" customWidth="1"/>
    <col min="6254" max="6254" width="12.33203125" style="39" bestFit="1" customWidth="1"/>
    <col min="6255" max="6255" width="9.109375" style="39"/>
    <col min="6256" max="6256" width="10.6640625" style="39" bestFit="1" customWidth="1"/>
    <col min="6257" max="6261" width="9.109375" style="39"/>
    <col min="6262" max="6262" width="10.6640625" style="39" bestFit="1" customWidth="1"/>
    <col min="6263" max="6269" width="9.109375" style="39"/>
    <col min="6270" max="6270" width="12" style="39" bestFit="1" customWidth="1"/>
    <col min="6271" max="6271" width="32.6640625" style="39" customWidth="1"/>
    <col min="6272" max="6272" width="12.33203125" style="39" bestFit="1" customWidth="1"/>
    <col min="6273" max="6273" width="9.109375" style="39"/>
    <col min="6274" max="6274" width="10.6640625" style="39" bestFit="1" customWidth="1"/>
    <col min="6275" max="6279" width="9.109375" style="39"/>
    <col min="6280" max="6280" width="10.6640625" style="39" bestFit="1" customWidth="1"/>
    <col min="6281" max="6287" width="9.109375" style="39"/>
    <col min="6288" max="6288" width="12" style="39" bestFit="1" customWidth="1"/>
    <col min="6289" max="6289" width="32.6640625" style="39" customWidth="1"/>
    <col min="6290" max="6290" width="12.33203125" style="39" bestFit="1" customWidth="1"/>
    <col min="6291" max="6291" width="9.109375" style="39"/>
    <col min="6292" max="6292" width="10.6640625" style="39" bestFit="1" customWidth="1"/>
    <col min="6293" max="6297" width="9.109375" style="39"/>
    <col min="6298" max="6298" width="10.6640625" style="39" bestFit="1" customWidth="1"/>
    <col min="6299" max="6305" width="9.109375" style="39"/>
    <col min="6306" max="6306" width="12" style="39" bestFit="1" customWidth="1"/>
    <col min="6307" max="6307" width="32.6640625" style="39" customWidth="1"/>
    <col min="6308" max="6308" width="12.33203125" style="39" bestFit="1" customWidth="1"/>
    <col min="6309" max="6309" width="9.109375" style="39"/>
    <col min="6310" max="6310" width="10.6640625" style="39" bestFit="1" customWidth="1"/>
    <col min="6311" max="6315" width="9.109375" style="39"/>
    <col min="6316" max="6316" width="10.6640625" style="39" bestFit="1" customWidth="1"/>
    <col min="6317" max="6323" width="9.109375" style="39"/>
    <col min="6324" max="6324" width="12" style="39" bestFit="1" customWidth="1"/>
    <col min="6325" max="6325" width="32.6640625" style="39" customWidth="1"/>
    <col min="6326" max="6326" width="12.33203125" style="39" bestFit="1" customWidth="1"/>
    <col min="6327" max="6327" width="9.109375" style="39"/>
    <col min="6328" max="6328" width="10.6640625" style="39" bestFit="1" customWidth="1"/>
    <col min="6329" max="6333" width="9.109375" style="39"/>
    <col min="6334" max="6334" width="10.6640625" style="39" bestFit="1" customWidth="1"/>
    <col min="6335" max="6341" width="9.109375" style="39"/>
    <col min="6342" max="6342" width="13.33203125" style="39" bestFit="1" customWidth="1"/>
    <col min="6343" max="6343" width="32.6640625" style="39" customWidth="1"/>
    <col min="6344" max="6344" width="12.33203125" style="39" bestFit="1" customWidth="1"/>
    <col min="6345" max="6345" width="9.109375" style="39"/>
    <col min="6346" max="6346" width="10.6640625" style="39" bestFit="1" customWidth="1"/>
    <col min="6347" max="6351" width="9.109375" style="39"/>
    <col min="6352" max="6352" width="10.6640625" style="39" bestFit="1" customWidth="1"/>
    <col min="6353" max="6359" width="9.109375" style="39"/>
    <col min="6360" max="6360" width="12" style="39" bestFit="1" customWidth="1"/>
    <col min="6361" max="6401" width="9.109375" style="39"/>
    <col min="6402" max="6402" width="12.33203125" style="39" bestFit="1" customWidth="1"/>
    <col min="6403" max="6403" width="10.109375" style="39" bestFit="1" customWidth="1"/>
    <col min="6404" max="6404" width="10.6640625" style="39" bestFit="1" customWidth="1"/>
    <col min="6405" max="6408" width="9.109375" style="39"/>
    <col min="6409" max="6409" width="9.109375" style="39" bestFit="1" customWidth="1"/>
    <col min="6410" max="6410" width="10.6640625" style="39" bestFit="1" customWidth="1"/>
    <col min="6411" max="6411" width="4.5546875" style="39" bestFit="1" customWidth="1"/>
    <col min="6412" max="6412" width="5.5546875" style="39" bestFit="1" customWidth="1"/>
    <col min="6413" max="6413" width="10.6640625" style="39" bestFit="1" customWidth="1"/>
    <col min="6414" max="6417" width="9.109375" style="39"/>
    <col min="6418" max="6418" width="12" style="39" bestFit="1" customWidth="1"/>
    <col min="6419" max="6419" width="32.6640625" style="39" customWidth="1"/>
    <col min="6420" max="6420" width="12.33203125" style="39" bestFit="1" customWidth="1"/>
    <col min="6421" max="6421" width="9.109375" style="39"/>
    <col min="6422" max="6422" width="10.6640625" style="39" bestFit="1" customWidth="1"/>
    <col min="6423" max="6427" width="9.109375" style="39"/>
    <col min="6428" max="6428" width="10.6640625" style="39" bestFit="1" customWidth="1"/>
    <col min="6429" max="6435" width="9.109375" style="39"/>
    <col min="6436" max="6436" width="12" style="39" bestFit="1" customWidth="1"/>
    <col min="6437" max="6437" width="32.6640625" style="39" customWidth="1"/>
    <col min="6438" max="6438" width="12.33203125" style="39" bestFit="1" customWidth="1"/>
    <col min="6439" max="6439" width="9.109375" style="39"/>
    <col min="6440" max="6440" width="10.6640625" style="39" bestFit="1" customWidth="1"/>
    <col min="6441" max="6445" width="9.109375" style="39"/>
    <col min="6446" max="6446" width="10.6640625" style="39" bestFit="1" customWidth="1"/>
    <col min="6447" max="6453" width="9.109375" style="39"/>
    <col min="6454" max="6454" width="12" style="39" bestFit="1" customWidth="1"/>
    <col min="6455" max="6455" width="32.6640625" style="39" customWidth="1"/>
    <col min="6456" max="6456" width="12.33203125" style="39" bestFit="1" customWidth="1"/>
    <col min="6457" max="6457" width="9.109375" style="39"/>
    <col min="6458" max="6458" width="10.6640625" style="39" bestFit="1" customWidth="1"/>
    <col min="6459" max="6463" width="9.109375" style="39"/>
    <col min="6464" max="6464" width="10.6640625" style="39" bestFit="1" customWidth="1"/>
    <col min="6465" max="6471" width="9.109375" style="39"/>
    <col min="6472" max="6472" width="12" style="39" bestFit="1" customWidth="1"/>
    <col min="6473" max="6473" width="32.6640625" style="39" customWidth="1"/>
    <col min="6474" max="6474" width="12.33203125" style="39" bestFit="1" customWidth="1"/>
    <col min="6475" max="6475" width="9.109375" style="39"/>
    <col min="6476" max="6476" width="10.6640625" style="39" bestFit="1" customWidth="1"/>
    <col min="6477" max="6481" width="9.109375" style="39"/>
    <col min="6482" max="6482" width="10.6640625" style="39" bestFit="1" customWidth="1"/>
    <col min="6483" max="6489" width="9.109375" style="39"/>
    <col min="6490" max="6490" width="12" style="39" bestFit="1" customWidth="1"/>
    <col min="6491" max="6491" width="32.6640625" style="39" customWidth="1"/>
    <col min="6492" max="6492" width="12.33203125" style="39" bestFit="1" customWidth="1"/>
    <col min="6493" max="6493" width="9.109375" style="39"/>
    <col min="6494" max="6494" width="10.6640625" style="39" bestFit="1" customWidth="1"/>
    <col min="6495" max="6499" width="9.109375" style="39"/>
    <col min="6500" max="6500" width="10.6640625" style="39" bestFit="1" customWidth="1"/>
    <col min="6501" max="6507" width="9.109375" style="39"/>
    <col min="6508" max="6508" width="12" style="39" bestFit="1" customWidth="1"/>
    <col min="6509" max="6509" width="32.6640625" style="39" customWidth="1"/>
    <col min="6510" max="6510" width="12.33203125" style="39" bestFit="1" customWidth="1"/>
    <col min="6511" max="6511" width="9.109375" style="39"/>
    <col min="6512" max="6512" width="10.6640625" style="39" bestFit="1" customWidth="1"/>
    <col min="6513" max="6517" width="9.109375" style="39"/>
    <col min="6518" max="6518" width="10.6640625" style="39" bestFit="1" customWidth="1"/>
    <col min="6519" max="6525" width="9.109375" style="39"/>
    <col min="6526" max="6526" width="12" style="39" bestFit="1" customWidth="1"/>
    <col min="6527" max="6527" width="32.6640625" style="39" customWidth="1"/>
    <col min="6528" max="6528" width="12.33203125" style="39" bestFit="1" customWidth="1"/>
    <col min="6529" max="6529" width="9.109375" style="39"/>
    <col min="6530" max="6530" width="10.6640625" style="39" bestFit="1" customWidth="1"/>
    <col min="6531" max="6535" width="9.109375" style="39"/>
    <col min="6536" max="6536" width="10.6640625" style="39" bestFit="1" customWidth="1"/>
    <col min="6537" max="6543" width="9.109375" style="39"/>
    <col min="6544" max="6544" width="12" style="39" bestFit="1" customWidth="1"/>
    <col min="6545" max="6545" width="32.6640625" style="39" customWidth="1"/>
    <col min="6546" max="6546" width="12.33203125" style="39" bestFit="1" customWidth="1"/>
    <col min="6547" max="6547" width="9.109375" style="39"/>
    <col min="6548" max="6548" width="10.6640625" style="39" bestFit="1" customWidth="1"/>
    <col min="6549" max="6553" width="9.109375" style="39"/>
    <col min="6554" max="6554" width="10.6640625" style="39" bestFit="1" customWidth="1"/>
    <col min="6555" max="6561" width="9.109375" style="39"/>
    <col min="6562" max="6562" width="12" style="39" bestFit="1" customWidth="1"/>
    <col min="6563" max="6563" width="32.6640625" style="39" customWidth="1"/>
    <col min="6564" max="6564" width="12.33203125" style="39" bestFit="1" customWidth="1"/>
    <col min="6565" max="6565" width="9.109375" style="39"/>
    <col min="6566" max="6566" width="10.6640625" style="39" bestFit="1" customWidth="1"/>
    <col min="6567" max="6571" width="9.109375" style="39"/>
    <col min="6572" max="6572" width="10.6640625" style="39" bestFit="1" customWidth="1"/>
    <col min="6573" max="6579" width="9.109375" style="39"/>
    <col min="6580" max="6580" width="12" style="39" bestFit="1" customWidth="1"/>
    <col min="6581" max="6581" width="32.6640625" style="39" customWidth="1"/>
    <col min="6582" max="6582" width="12.33203125" style="39" bestFit="1" customWidth="1"/>
    <col min="6583" max="6583" width="9.109375" style="39"/>
    <col min="6584" max="6584" width="10.6640625" style="39" bestFit="1" customWidth="1"/>
    <col min="6585" max="6589" width="9.109375" style="39"/>
    <col min="6590" max="6590" width="10.6640625" style="39" bestFit="1" customWidth="1"/>
    <col min="6591" max="6597" width="9.109375" style="39"/>
    <col min="6598" max="6598" width="13.33203125" style="39" bestFit="1" customWidth="1"/>
    <col min="6599" max="6599" width="32.6640625" style="39" customWidth="1"/>
    <col min="6600" max="6600" width="12.33203125" style="39" bestFit="1" customWidth="1"/>
    <col min="6601" max="6601" width="9.109375" style="39"/>
    <col min="6602" max="6602" width="10.6640625" style="39" bestFit="1" customWidth="1"/>
    <col min="6603" max="6607" width="9.109375" style="39"/>
    <col min="6608" max="6608" width="10.6640625" style="39" bestFit="1" customWidth="1"/>
    <col min="6609" max="6615" width="9.109375" style="39"/>
    <col min="6616" max="6616" width="12" style="39" bestFit="1" customWidth="1"/>
    <col min="6617" max="6657" width="9.109375" style="39"/>
    <col min="6658" max="6658" width="12.33203125" style="39" bestFit="1" customWidth="1"/>
    <col min="6659" max="6659" width="10.109375" style="39" bestFit="1" customWidth="1"/>
    <col min="6660" max="6660" width="10.6640625" style="39" bestFit="1" customWidth="1"/>
    <col min="6661" max="6664" width="9.109375" style="39"/>
    <col min="6665" max="6665" width="9.109375" style="39" bestFit="1" customWidth="1"/>
    <col min="6666" max="6666" width="10.6640625" style="39" bestFit="1" customWidth="1"/>
    <col min="6667" max="6667" width="4.5546875" style="39" bestFit="1" customWidth="1"/>
    <col min="6668" max="6668" width="5.5546875" style="39" bestFit="1" customWidth="1"/>
    <col min="6669" max="6669" width="10.6640625" style="39" bestFit="1" customWidth="1"/>
    <col min="6670" max="6673" width="9.109375" style="39"/>
    <col min="6674" max="6674" width="12" style="39" bestFit="1" customWidth="1"/>
    <col min="6675" max="6675" width="32.6640625" style="39" customWidth="1"/>
    <col min="6676" max="6676" width="12.33203125" style="39" bestFit="1" customWidth="1"/>
    <col min="6677" max="6677" width="9.109375" style="39"/>
    <col min="6678" max="6678" width="10.6640625" style="39" bestFit="1" customWidth="1"/>
    <col min="6679" max="6683" width="9.109375" style="39"/>
    <col min="6684" max="6684" width="10.6640625" style="39" bestFit="1" customWidth="1"/>
    <col min="6685" max="6691" width="9.109375" style="39"/>
    <col min="6692" max="6692" width="12" style="39" bestFit="1" customWidth="1"/>
    <col min="6693" max="6693" width="32.6640625" style="39" customWidth="1"/>
    <col min="6694" max="6694" width="12.33203125" style="39" bestFit="1" customWidth="1"/>
    <col min="6695" max="6695" width="9.109375" style="39"/>
    <col min="6696" max="6696" width="10.6640625" style="39" bestFit="1" customWidth="1"/>
    <col min="6697" max="6701" width="9.109375" style="39"/>
    <col min="6702" max="6702" width="10.6640625" style="39" bestFit="1" customWidth="1"/>
    <col min="6703" max="6709" width="9.109375" style="39"/>
    <col min="6710" max="6710" width="12" style="39" bestFit="1" customWidth="1"/>
    <col min="6711" max="6711" width="32.6640625" style="39" customWidth="1"/>
    <col min="6712" max="6712" width="12.33203125" style="39" bestFit="1" customWidth="1"/>
    <col min="6713" max="6713" width="9.109375" style="39"/>
    <col min="6714" max="6714" width="10.6640625" style="39" bestFit="1" customWidth="1"/>
    <col min="6715" max="6719" width="9.109375" style="39"/>
    <col min="6720" max="6720" width="10.6640625" style="39" bestFit="1" customWidth="1"/>
    <col min="6721" max="6727" width="9.109375" style="39"/>
    <col min="6728" max="6728" width="12" style="39" bestFit="1" customWidth="1"/>
    <col min="6729" max="6729" width="32.6640625" style="39" customWidth="1"/>
    <col min="6730" max="6730" width="12.33203125" style="39" bestFit="1" customWidth="1"/>
    <col min="6731" max="6731" width="9.109375" style="39"/>
    <col min="6732" max="6732" width="10.6640625" style="39" bestFit="1" customWidth="1"/>
    <col min="6733" max="6737" width="9.109375" style="39"/>
    <col min="6738" max="6738" width="10.6640625" style="39" bestFit="1" customWidth="1"/>
    <col min="6739" max="6745" width="9.109375" style="39"/>
    <col min="6746" max="6746" width="12" style="39" bestFit="1" customWidth="1"/>
    <col min="6747" max="6747" width="32.6640625" style="39" customWidth="1"/>
    <col min="6748" max="6748" width="12.33203125" style="39" bestFit="1" customWidth="1"/>
    <col min="6749" max="6749" width="9.109375" style="39"/>
    <col min="6750" max="6750" width="10.6640625" style="39" bestFit="1" customWidth="1"/>
    <col min="6751" max="6755" width="9.109375" style="39"/>
    <col min="6756" max="6756" width="10.6640625" style="39" bestFit="1" customWidth="1"/>
    <col min="6757" max="6763" width="9.109375" style="39"/>
    <col min="6764" max="6764" width="12" style="39" bestFit="1" customWidth="1"/>
    <col min="6765" max="6765" width="32.6640625" style="39" customWidth="1"/>
    <col min="6766" max="6766" width="12.33203125" style="39" bestFit="1" customWidth="1"/>
    <col min="6767" max="6767" width="9.109375" style="39"/>
    <col min="6768" max="6768" width="10.6640625" style="39" bestFit="1" customWidth="1"/>
    <col min="6769" max="6773" width="9.109375" style="39"/>
    <col min="6774" max="6774" width="10.6640625" style="39" bestFit="1" customWidth="1"/>
    <col min="6775" max="6781" width="9.109375" style="39"/>
    <col min="6782" max="6782" width="12" style="39" bestFit="1" customWidth="1"/>
    <col min="6783" max="6783" width="32.6640625" style="39" customWidth="1"/>
    <col min="6784" max="6784" width="12.33203125" style="39" bestFit="1" customWidth="1"/>
    <col min="6785" max="6785" width="9.109375" style="39"/>
    <col min="6786" max="6786" width="10.6640625" style="39" bestFit="1" customWidth="1"/>
    <col min="6787" max="6791" width="9.109375" style="39"/>
    <col min="6792" max="6792" width="10.6640625" style="39" bestFit="1" customWidth="1"/>
    <col min="6793" max="6799" width="9.109375" style="39"/>
    <col min="6800" max="6800" width="12" style="39" bestFit="1" customWidth="1"/>
    <col min="6801" max="6801" width="32.6640625" style="39" customWidth="1"/>
    <col min="6802" max="6802" width="12.33203125" style="39" bestFit="1" customWidth="1"/>
    <col min="6803" max="6803" width="9.109375" style="39"/>
    <col min="6804" max="6804" width="10.6640625" style="39" bestFit="1" customWidth="1"/>
    <col min="6805" max="6809" width="9.109375" style="39"/>
    <col min="6810" max="6810" width="10.6640625" style="39" bestFit="1" customWidth="1"/>
    <col min="6811" max="6817" width="9.109375" style="39"/>
    <col min="6818" max="6818" width="12" style="39" bestFit="1" customWidth="1"/>
    <col min="6819" max="6819" width="32.6640625" style="39" customWidth="1"/>
    <col min="6820" max="6820" width="12.33203125" style="39" bestFit="1" customWidth="1"/>
    <col min="6821" max="6821" width="9.109375" style="39"/>
    <col min="6822" max="6822" width="10.6640625" style="39" bestFit="1" customWidth="1"/>
    <col min="6823" max="6827" width="9.109375" style="39"/>
    <col min="6828" max="6828" width="10.6640625" style="39" bestFit="1" customWidth="1"/>
    <col min="6829" max="6835" width="9.109375" style="39"/>
    <col min="6836" max="6836" width="12" style="39" bestFit="1" customWidth="1"/>
    <col min="6837" max="6837" width="32.6640625" style="39" customWidth="1"/>
    <col min="6838" max="6838" width="12.33203125" style="39" bestFit="1" customWidth="1"/>
    <col min="6839" max="6839" width="9.109375" style="39"/>
    <col min="6840" max="6840" width="10.6640625" style="39" bestFit="1" customWidth="1"/>
    <col min="6841" max="6845" width="9.109375" style="39"/>
    <col min="6846" max="6846" width="10.6640625" style="39" bestFit="1" customWidth="1"/>
    <col min="6847" max="6853" width="9.109375" style="39"/>
    <col min="6854" max="6854" width="13.33203125" style="39" bestFit="1" customWidth="1"/>
    <col min="6855" max="6855" width="32.6640625" style="39" customWidth="1"/>
    <col min="6856" max="6856" width="12.33203125" style="39" bestFit="1" customWidth="1"/>
    <col min="6857" max="6857" width="9.109375" style="39"/>
    <col min="6858" max="6858" width="10.6640625" style="39" bestFit="1" customWidth="1"/>
    <col min="6859" max="6863" width="9.109375" style="39"/>
    <col min="6864" max="6864" width="10.6640625" style="39" bestFit="1" customWidth="1"/>
    <col min="6865" max="6871" width="9.109375" style="39"/>
    <col min="6872" max="6872" width="12" style="39" bestFit="1" customWidth="1"/>
    <col min="6873" max="6913" width="9.109375" style="39"/>
    <col min="6914" max="6914" width="12.33203125" style="39" bestFit="1" customWidth="1"/>
    <col min="6915" max="6915" width="10.109375" style="39" bestFit="1" customWidth="1"/>
    <col min="6916" max="6916" width="10.6640625" style="39" bestFit="1" customWidth="1"/>
    <col min="6917" max="6920" width="9.109375" style="39"/>
    <col min="6921" max="6921" width="9.109375" style="39" bestFit="1" customWidth="1"/>
    <col min="6922" max="6922" width="10.6640625" style="39" bestFit="1" customWidth="1"/>
    <col min="6923" max="6923" width="4.5546875" style="39" bestFit="1" customWidth="1"/>
    <col min="6924" max="6924" width="5.5546875" style="39" bestFit="1" customWidth="1"/>
    <col min="6925" max="6925" width="10.6640625" style="39" bestFit="1" customWidth="1"/>
    <col min="6926" max="6929" width="9.109375" style="39"/>
    <col min="6930" max="6930" width="12" style="39" bestFit="1" customWidth="1"/>
    <col min="6931" max="6931" width="32.6640625" style="39" customWidth="1"/>
    <col min="6932" max="6932" width="12.33203125" style="39" bestFit="1" customWidth="1"/>
    <col min="6933" max="6933" width="9.109375" style="39"/>
    <col min="6934" max="6934" width="10.6640625" style="39" bestFit="1" customWidth="1"/>
    <col min="6935" max="6939" width="9.109375" style="39"/>
    <col min="6940" max="6940" width="10.6640625" style="39" bestFit="1" customWidth="1"/>
    <col min="6941" max="6947" width="9.109375" style="39"/>
    <col min="6948" max="6948" width="12" style="39" bestFit="1" customWidth="1"/>
    <col min="6949" max="6949" width="32.6640625" style="39" customWidth="1"/>
    <col min="6950" max="6950" width="12.33203125" style="39" bestFit="1" customWidth="1"/>
    <col min="6951" max="6951" width="9.109375" style="39"/>
    <col min="6952" max="6952" width="10.6640625" style="39" bestFit="1" customWidth="1"/>
    <col min="6953" max="6957" width="9.109375" style="39"/>
    <col min="6958" max="6958" width="10.6640625" style="39" bestFit="1" customWidth="1"/>
    <col min="6959" max="6965" width="9.109375" style="39"/>
    <col min="6966" max="6966" width="12" style="39" bestFit="1" customWidth="1"/>
    <col min="6967" max="6967" width="32.6640625" style="39" customWidth="1"/>
    <col min="6968" max="6968" width="12.33203125" style="39" bestFit="1" customWidth="1"/>
    <col min="6969" max="6969" width="9.109375" style="39"/>
    <col min="6970" max="6970" width="10.6640625" style="39" bestFit="1" customWidth="1"/>
    <col min="6971" max="6975" width="9.109375" style="39"/>
    <col min="6976" max="6976" width="10.6640625" style="39" bestFit="1" customWidth="1"/>
    <col min="6977" max="6983" width="9.109375" style="39"/>
    <col min="6984" max="6984" width="12" style="39" bestFit="1" customWidth="1"/>
    <col min="6985" max="6985" width="32.6640625" style="39" customWidth="1"/>
    <col min="6986" max="6986" width="12.33203125" style="39" bestFit="1" customWidth="1"/>
    <col min="6987" max="6987" width="9.109375" style="39"/>
    <col min="6988" max="6988" width="10.6640625" style="39" bestFit="1" customWidth="1"/>
    <col min="6989" max="6993" width="9.109375" style="39"/>
    <col min="6994" max="6994" width="10.6640625" style="39" bestFit="1" customWidth="1"/>
    <col min="6995" max="7001" width="9.109375" style="39"/>
    <col min="7002" max="7002" width="12" style="39" bestFit="1" customWidth="1"/>
    <col min="7003" max="7003" width="32.6640625" style="39" customWidth="1"/>
    <col min="7004" max="7004" width="12.33203125" style="39" bestFit="1" customWidth="1"/>
    <col min="7005" max="7005" width="9.109375" style="39"/>
    <col min="7006" max="7006" width="10.6640625" style="39" bestFit="1" customWidth="1"/>
    <col min="7007" max="7011" width="9.109375" style="39"/>
    <col min="7012" max="7012" width="10.6640625" style="39" bestFit="1" customWidth="1"/>
    <col min="7013" max="7019" width="9.109375" style="39"/>
    <col min="7020" max="7020" width="12" style="39" bestFit="1" customWidth="1"/>
    <col min="7021" max="7021" width="32.6640625" style="39" customWidth="1"/>
    <col min="7022" max="7022" width="12.33203125" style="39" bestFit="1" customWidth="1"/>
    <col min="7023" max="7023" width="9.109375" style="39"/>
    <col min="7024" max="7024" width="10.6640625" style="39" bestFit="1" customWidth="1"/>
    <col min="7025" max="7029" width="9.109375" style="39"/>
    <col min="7030" max="7030" width="10.6640625" style="39" bestFit="1" customWidth="1"/>
    <col min="7031" max="7037" width="9.109375" style="39"/>
    <col min="7038" max="7038" width="12" style="39" bestFit="1" customWidth="1"/>
    <col min="7039" max="7039" width="32.6640625" style="39" customWidth="1"/>
    <col min="7040" max="7040" width="12.33203125" style="39" bestFit="1" customWidth="1"/>
    <col min="7041" max="7041" width="9.109375" style="39"/>
    <col min="7042" max="7042" width="10.6640625" style="39" bestFit="1" customWidth="1"/>
    <col min="7043" max="7047" width="9.109375" style="39"/>
    <col min="7048" max="7048" width="10.6640625" style="39" bestFit="1" customWidth="1"/>
    <col min="7049" max="7055" width="9.109375" style="39"/>
    <col min="7056" max="7056" width="12" style="39" bestFit="1" customWidth="1"/>
    <col min="7057" max="7057" width="32.6640625" style="39" customWidth="1"/>
    <col min="7058" max="7058" width="12.33203125" style="39" bestFit="1" customWidth="1"/>
    <col min="7059" max="7059" width="9.109375" style="39"/>
    <col min="7060" max="7060" width="10.6640625" style="39" bestFit="1" customWidth="1"/>
    <col min="7061" max="7065" width="9.109375" style="39"/>
    <col min="7066" max="7066" width="10.6640625" style="39" bestFit="1" customWidth="1"/>
    <col min="7067" max="7073" width="9.109375" style="39"/>
    <col min="7074" max="7074" width="12" style="39" bestFit="1" customWidth="1"/>
    <col min="7075" max="7075" width="32.6640625" style="39" customWidth="1"/>
    <col min="7076" max="7076" width="12.33203125" style="39" bestFit="1" customWidth="1"/>
    <col min="7077" max="7077" width="9.109375" style="39"/>
    <col min="7078" max="7078" width="10.6640625" style="39" bestFit="1" customWidth="1"/>
    <col min="7079" max="7083" width="9.109375" style="39"/>
    <col min="7084" max="7084" width="10.6640625" style="39" bestFit="1" customWidth="1"/>
    <col min="7085" max="7091" width="9.109375" style="39"/>
    <col min="7092" max="7092" width="12" style="39" bestFit="1" customWidth="1"/>
    <col min="7093" max="7093" width="32.6640625" style="39" customWidth="1"/>
    <col min="7094" max="7094" width="12.33203125" style="39" bestFit="1" customWidth="1"/>
    <col min="7095" max="7095" width="9.109375" style="39"/>
    <col min="7096" max="7096" width="10.6640625" style="39" bestFit="1" customWidth="1"/>
    <col min="7097" max="7101" width="9.109375" style="39"/>
    <col min="7102" max="7102" width="10.6640625" style="39" bestFit="1" customWidth="1"/>
    <col min="7103" max="7109" width="9.109375" style="39"/>
    <col min="7110" max="7110" width="13.33203125" style="39" bestFit="1" customWidth="1"/>
    <col min="7111" max="7111" width="32.6640625" style="39" customWidth="1"/>
    <col min="7112" max="7112" width="12.33203125" style="39" bestFit="1" customWidth="1"/>
    <col min="7113" max="7113" width="9.109375" style="39"/>
    <col min="7114" max="7114" width="10.6640625" style="39" bestFit="1" customWidth="1"/>
    <col min="7115" max="7119" width="9.109375" style="39"/>
    <col min="7120" max="7120" width="10.6640625" style="39" bestFit="1" customWidth="1"/>
    <col min="7121" max="7127" width="9.109375" style="39"/>
    <col min="7128" max="7128" width="12" style="39" bestFit="1" customWidth="1"/>
    <col min="7129" max="7169" width="9.109375" style="39"/>
    <col min="7170" max="7170" width="12.33203125" style="39" bestFit="1" customWidth="1"/>
    <col min="7171" max="7171" width="10.109375" style="39" bestFit="1" customWidth="1"/>
    <col min="7172" max="7172" width="10.6640625" style="39" bestFit="1" customWidth="1"/>
    <col min="7173" max="7176" width="9.109375" style="39"/>
    <col min="7177" max="7177" width="9.109375" style="39" bestFit="1" customWidth="1"/>
    <col min="7178" max="7178" width="10.6640625" style="39" bestFit="1" customWidth="1"/>
    <col min="7179" max="7179" width="4.5546875" style="39" bestFit="1" customWidth="1"/>
    <col min="7180" max="7180" width="5.5546875" style="39" bestFit="1" customWidth="1"/>
    <col min="7181" max="7181" width="10.6640625" style="39" bestFit="1" customWidth="1"/>
    <col min="7182" max="7185" width="9.109375" style="39"/>
    <col min="7186" max="7186" width="12" style="39" bestFit="1" customWidth="1"/>
    <col min="7187" max="7187" width="32.6640625" style="39" customWidth="1"/>
    <col min="7188" max="7188" width="12.33203125" style="39" bestFit="1" customWidth="1"/>
    <col min="7189" max="7189" width="9.109375" style="39"/>
    <col min="7190" max="7190" width="10.6640625" style="39" bestFit="1" customWidth="1"/>
    <col min="7191" max="7195" width="9.109375" style="39"/>
    <col min="7196" max="7196" width="10.6640625" style="39" bestFit="1" customWidth="1"/>
    <col min="7197" max="7203" width="9.109375" style="39"/>
    <col min="7204" max="7204" width="12" style="39" bestFit="1" customWidth="1"/>
    <col min="7205" max="7205" width="32.6640625" style="39" customWidth="1"/>
    <col min="7206" max="7206" width="12.33203125" style="39" bestFit="1" customWidth="1"/>
    <col min="7207" max="7207" width="9.109375" style="39"/>
    <col min="7208" max="7208" width="10.6640625" style="39" bestFit="1" customWidth="1"/>
    <col min="7209" max="7213" width="9.109375" style="39"/>
    <col min="7214" max="7214" width="10.6640625" style="39" bestFit="1" customWidth="1"/>
    <col min="7215" max="7221" width="9.109375" style="39"/>
    <col min="7222" max="7222" width="12" style="39" bestFit="1" customWidth="1"/>
    <col min="7223" max="7223" width="32.6640625" style="39" customWidth="1"/>
    <col min="7224" max="7224" width="12.33203125" style="39" bestFit="1" customWidth="1"/>
    <col min="7225" max="7225" width="9.109375" style="39"/>
    <col min="7226" max="7226" width="10.6640625" style="39" bestFit="1" customWidth="1"/>
    <col min="7227" max="7231" width="9.109375" style="39"/>
    <col min="7232" max="7232" width="10.6640625" style="39" bestFit="1" customWidth="1"/>
    <col min="7233" max="7239" width="9.109375" style="39"/>
    <col min="7240" max="7240" width="12" style="39" bestFit="1" customWidth="1"/>
    <col min="7241" max="7241" width="32.6640625" style="39" customWidth="1"/>
    <col min="7242" max="7242" width="12.33203125" style="39" bestFit="1" customWidth="1"/>
    <col min="7243" max="7243" width="9.109375" style="39"/>
    <col min="7244" max="7244" width="10.6640625" style="39" bestFit="1" customWidth="1"/>
    <col min="7245" max="7249" width="9.109375" style="39"/>
    <col min="7250" max="7250" width="10.6640625" style="39" bestFit="1" customWidth="1"/>
    <col min="7251" max="7257" width="9.109375" style="39"/>
    <col min="7258" max="7258" width="12" style="39" bestFit="1" customWidth="1"/>
    <col min="7259" max="7259" width="32.6640625" style="39" customWidth="1"/>
    <col min="7260" max="7260" width="12.33203125" style="39" bestFit="1" customWidth="1"/>
    <col min="7261" max="7261" width="9.109375" style="39"/>
    <col min="7262" max="7262" width="10.6640625" style="39" bestFit="1" customWidth="1"/>
    <col min="7263" max="7267" width="9.109375" style="39"/>
    <col min="7268" max="7268" width="10.6640625" style="39" bestFit="1" customWidth="1"/>
    <col min="7269" max="7275" width="9.109375" style="39"/>
    <col min="7276" max="7276" width="12" style="39" bestFit="1" customWidth="1"/>
    <col min="7277" max="7277" width="32.6640625" style="39" customWidth="1"/>
    <col min="7278" max="7278" width="12.33203125" style="39" bestFit="1" customWidth="1"/>
    <col min="7279" max="7279" width="9.109375" style="39"/>
    <col min="7280" max="7280" width="10.6640625" style="39" bestFit="1" customWidth="1"/>
    <col min="7281" max="7285" width="9.109375" style="39"/>
    <col min="7286" max="7286" width="10.6640625" style="39" bestFit="1" customWidth="1"/>
    <col min="7287" max="7293" width="9.109375" style="39"/>
    <col min="7294" max="7294" width="12" style="39" bestFit="1" customWidth="1"/>
    <col min="7295" max="7295" width="32.6640625" style="39" customWidth="1"/>
    <col min="7296" max="7296" width="12.33203125" style="39" bestFit="1" customWidth="1"/>
    <col min="7297" max="7297" width="9.109375" style="39"/>
    <col min="7298" max="7298" width="10.6640625" style="39" bestFit="1" customWidth="1"/>
    <col min="7299" max="7303" width="9.109375" style="39"/>
    <col min="7304" max="7304" width="10.6640625" style="39" bestFit="1" customWidth="1"/>
    <col min="7305" max="7311" width="9.109375" style="39"/>
    <col min="7312" max="7312" width="12" style="39" bestFit="1" customWidth="1"/>
    <col min="7313" max="7313" width="32.6640625" style="39" customWidth="1"/>
    <col min="7314" max="7314" width="12.33203125" style="39" bestFit="1" customWidth="1"/>
    <col min="7315" max="7315" width="9.109375" style="39"/>
    <col min="7316" max="7316" width="10.6640625" style="39" bestFit="1" customWidth="1"/>
    <col min="7317" max="7321" width="9.109375" style="39"/>
    <col min="7322" max="7322" width="10.6640625" style="39" bestFit="1" customWidth="1"/>
    <col min="7323" max="7329" width="9.109375" style="39"/>
    <col min="7330" max="7330" width="12" style="39" bestFit="1" customWidth="1"/>
    <col min="7331" max="7331" width="32.6640625" style="39" customWidth="1"/>
    <col min="7332" max="7332" width="12.33203125" style="39" bestFit="1" customWidth="1"/>
    <col min="7333" max="7333" width="9.109375" style="39"/>
    <col min="7334" max="7334" width="10.6640625" style="39" bestFit="1" customWidth="1"/>
    <col min="7335" max="7339" width="9.109375" style="39"/>
    <col min="7340" max="7340" width="10.6640625" style="39" bestFit="1" customWidth="1"/>
    <col min="7341" max="7347" width="9.109375" style="39"/>
    <col min="7348" max="7348" width="12" style="39" bestFit="1" customWidth="1"/>
    <col min="7349" max="7349" width="32.6640625" style="39" customWidth="1"/>
    <col min="7350" max="7350" width="12.33203125" style="39" bestFit="1" customWidth="1"/>
    <col min="7351" max="7351" width="9.109375" style="39"/>
    <col min="7352" max="7352" width="10.6640625" style="39" bestFit="1" customWidth="1"/>
    <col min="7353" max="7357" width="9.109375" style="39"/>
    <col min="7358" max="7358" width="10.6640625" style="39" bestFit="1" customWidth="1"/>
    <col min="7359" max="7365" width="9.109375" style="39"/>
    <col min="7366" max="7366" width="13.33203125" style="39" bestFit="1" customWidth="1"/>
    <col min="7367" max="7367" width="32.6640625" style="39" customWidth="1"/>
    <col min="7368" max="7368" width="12.33203125" style="39" bestFit="1" customWidth="1"/>
    <col min="7369" max="7369" width="9.109375" style="39"/>
    <col min="7370" max="7370" width="10.6640625" style="39" bestFit="1" customWidth="1"/>
    <col min="7371" max="7375" width="9.109375" style="39"/>
    <col min="7376" max="7376" width="10.6640625" style="39" bestFit="1" customWidth="1"/>
    <col min="7377" max="7383" width="9.109375" style="39"/>
    <col min="7384" max="7384" width="12" style="39" bestFit="1" customWidth="1"/>
    <col min="7385" max="7425" width="9.109375" style="39"/>
    <col min="7426" max="7426" width="12.33203125" style="39" bestFit="1" customWidth="1"/>
    <col min="7427" max="7427" width="10.109375" style="39" bestFit="1" customWidth="1"/>
    <col min="7428" max="7428" width="10.6640625" style="39" bestFit="1" customWidth="1"/>
    <col min="7429" max="7432" width="9.109375" style="39"/>
    <col min="7433" max="7433" width="9.109375" style="39" bestFit="1" customWidth="1"/>
    <col min="7434" max="7434" width="10.6640625" style="39" bestFit="1" customWidth="1"/>
    <col min="7435" max="7435" width="4.5546875" style="39" bestFit="1" customWidth="1"/>
    <col min="7436" max="7436" width="5.5546875" style="39" bestFit="1" customWidth="1"/>
    <col min="7437" max="7437" width="10.6640625" style="39" bestFit="1" customWidth="1"/>
    <col min="7438" max="7441" width="9.109375" style="39"/>
    <col min="7442" max="7442" width="12" style="39" bestFit="1" customWidth="1"/>
    <col min="7443" max="7443" width="32.6640625" style="39" customWidth="1"/>
    <col min="7444" max="7444" width="12.33203125" style="39" bestFit="1" customWidth="1"/>
    <col min="7445" max="7445" width="9.109375" style="39"/>
    <col min="7446" max="7446" width="10.6640625" style="39" bestFit="1" customWidth="1"/>
    <col min="7447" max="7451" width="9.109375" style="39"/>
    <col min="7452" max="7452" width="10.6640625" style="39" bestFit="1" customWidth="1"/>
    <col min="7453" max="7459" width="9.109375" style="39"/>
    <col min="7460" max="7460" width="12" style="39" bestFit="1" customWidth="1"/>
    <col min="7461" max="7461" width="32.6640625" style="39" customWidth="1"/>
    <col min="7462" max="7462" width="12.33203125" style="39" bestFit="1" customWidth="1"/>
    <col min="7463" max="7463" width="9.109375" style="39"/>
    <col min="7464" max="7464" width="10.6640625" style="39" bestFit="1" customWidth="1"/>
    <col min="7465" max="7469" width="9.109375" style="39"/>
    <col min="7470" max="7470" width="10.6640625" style="39" bestFit="1" customWidth="1"/>
    <col min="7471" max="7477" width="9.109375" style="39"/>
    <col min="7478" max="7478" width="12" style="39" bestFit="1" customWidth="1"/>
    <col min="7479" max="7479" width="32.6640625" style="39" customWidth="1"/>
    <col min="7480" max="7480" width="12.33203125" style="39" bestFit="1" customWidth="1"/>
    <col min="7481" max="7481" width="9.109375" style="39"/>
    <col min="7482" max="7482" width="10.6640625" style="39" bestFit="1" customWidth="1"/>
    <col min="7483" max="7487" width="9.109375" style="39"/>
    <col min="7488" max="7488" width="10.6640625" style="39" bestFit="1" customWidth="1"/>
    <col min="7489" max="7495" width="9.109375" style="39"/>
    <col min="7496" max="7496" width="12" style="39" bestFit="1" customWidth="1"/>
    <col min="7497" max="7497" width="32.6640625" style="39" customWidth="1"/>
    <col min="7498" max="7498" width="12.33203125" style="39" bestFit="1" customWidth="1"/>
    <col min="7499" max="7499" width="9.109375" style="39"/>
    <col min="7500" max="7500" width="10.6640625" style="39" bestFit="1" customWidth="1"/>
    <col min="7501" max="7505" width="9.109375" style="39"/>
    <col min="7506" max="7506" width="10.6640625" style="39" bestFit="1" customWidth="1"/>
    <col min="7507" max="7513" width="9.109375" style="39"/>
    <col min="7514" max="7514" width="12" style="39" bestFit="1" customWidth="1"/>
    <col min="7515" max="7515" width="32.6640625" style="39" customWidth="1"/>
    <col min="7516" max="7516" width="12.33203125" style="39" bestFit="1" customWidth="1"/>
    <col min="7517" max="7517" width="9.109375" style="39"/>
    <col min="7518" max="7518" width="10.6640625" style="39" bestFit="1" customWidth="1"/>
    <col min="7519" max="7523" width="9.109375" style="39"/>
    <col min="7524" max="7524" width="10.6640625" style="39" bestFit="1" customWidth="1"/>
    <col min="7525" max="7531" width="9.109375" style="39"/>
    <col min="7532" max="7532" width="12" style="39" bestFit="1" customWidth="1"/>
    <col min="7533" max="7533" width="32.6640625" style="39" customWidth="1"/>
    <col min="7534" max="7534" width="12.33203125" style="39" bestFit="1" customWidth="1"/>
    <col min="7535" max="7535" width="9.109375" style="39"/>
    <col min="7536" max="7536" width="10.6640625" style="39" bestFit="1" customWidth="1"/>
    <col min="7537" max="7541" width="9.109375" style="39"/>
    <col min="7542" max="7542" width="10.6640625" style="39" bestFit="1" customWidth="1"/>
    <col min="7543" max="7549" width="9.109375" style="39"/>
    <col min="7550" max="7550" width="12" style="39" bestFit="1" customWidth="1"/>
    <col min="7551" max="7551" width="32.6640625" style="39" customWidth="1"/>
    <col min="7552" max="7552" width="12.33203125" style="39" bestFit="1" customWidth="1"/>
    <col min="7553" max="7553" width="9.109375" style="39"/>
    <col min="7554" max="7554" width="10.6640625" style="39" bestFit="1" customWidth="1"/>
    <col min="7555" max="7559" width="9.109375" style="39"/>
    <col min="7560" max="7560" width="10.6640625" style="39" bestFit="1" customWidth="1"/>
    <col min="7561" max="7567" width="9.109375" style="39"/>
    <col min="7568" max="7568" width="12" style="39" bestFit="1" customWidth="1"/>
    <col min="7569" max="7569" width="32.6640625" style="39" customWidth="1"/>
    <col min="7570" max="7570" width="12.33203125" style="39" bestFit="1" customWidth="1"/>
    <col min="7571" max="7571" width="9.109375" style="39"/>
    <col min="7572" max="7572" width="10.6640625" style="39" bestFit="1" customWidth="1"/>
    <col min="7573" max="7577" width="9.109375" style="39"/>
    <col min="7578" max="7578" width="10.6640625" style="39" bestFit="1" customWidth="1"/>
    <col min="7579" max="7585" width="9.109375" style="39"/>
    <col min="7586" max="7586" width="12" style="39" bestFit="1" customWidth="1"/>
    <col min="7587" max="7587" width="32.6640625" style="39" customWidth="1"/>
    <col min="7588" max="7588" width="12.33203125" style="39" bestFit="1" customWidth="1"/>
    <col min="7589" max="7589" width="9.109375" style="39"/>
    <col min="7590" max="7590" width="10.6640625" style="39" bestFit="1" customWidth="1"/>
    <col min="7591" max="7595" width="9.109375" style="39"/>
    <col min="7596" max="7596" width="10.6640625" style="39" bestFit="1" customWidth="1"/>
    <col min="7597" max="7603" width="9.109375" style="39"/>
    <col min="7604" max="7604" width="12" style="39" bestFit="1" customWidth="1"/>
    <col min="7605" max="7605" width="32.6640625" style="39" customWidth="1"/>
    <col min="7606" max="7606" width="12.33203125" style="39" bestFit="1" customWidth="1"/>
    <col min="7607" max="7607" width="9.109375" style="39"/>
    <col min="7608" max="7608" width="10.6640625" style="39" bestFit="1" customWidth="1"/>
    <col min="7609" max="7613" width="9.109375" style="39"/>
    <col min="7614" max="7614" width="10.6640625" style="39" bestFit="1" customWidth="1"/>
    <col min="7615" max="7621" width="9.109375" style="39"/>
    <col min="7622" max="7622" width="13.33203125" style="39" bestFit="1" customWidth="1"/>
    <col min="7623" max="7623" width="32.6640625" style="39" customWidth="1"/>
    <col min="7624" max="7624" width="12.33203125" style="39" bestFit="1" customWidth="1"/>
    <col min="7625" max="7625" width="9.109375" style="39"/>
    <col min="7626" max="7626" width="10.6640625" style="39" bestFit="1" customWidth="1"/>
    <col min="7627" max="7631" width="9.109375" style="39"/>
    <col min="7632" max="7632" width="10.6640625" style="39" bestFit="1" customWidth="1"/>
    <col min="7633" max="7639" width="9.109375" style="39"/>
    <col min="7640" max="7640" width="12" style="39" bestFit="1" customWidth="1"/>
    <col min="7641" max="7681" width="9.109375" style="39"/>
    <col min="7682" max="7682" width="12.33203125" style="39" bestFit="1" customWidth="1"/>
    <col min="7683" max="7683" width="10.109375" style="39" bestFit="1" customWidth="1"/>
    <col min="7684" max="7684" width="10.6640625" style="39" bestFit="1" customWidth="1"/>
    <col min="7685" max="7688" width="9.109375" style="39"/>
    <col min="7689" max="7689" width="9.109375" style="39" bestFit="1" customWidth="1"/>
    <col min="7690" max="7690" width="10.6640625" style="39" bestFit="1" customWidth="1"/>
    <col min="7691" max="7691" width="4.5546875" style="39" bestFit="1" customWidth="1"/>
    <col min="7692" max="7692" width="5.5546875" style="39" bestFit="1" customWidth="1"/>
    <col min="7693" max="7693" width="10.6640625" style="39" bestFit="1" customWidth="1"/>
    <col min="7694" max="7697" width="9.109375" style="39"/>
    <col min="7698" max="7698" width="12" style="39" bestFit="1" customWidth="1"/>
    <col min="7699" max="7699" width="32.6640625" style="39" customWidth="1"/>
    <col min="7700" max="7700" width="12.33203125" style="39" bestFit="1" customWidth="1"/>
    <col min="7701" max="7701" width="9.109375" style="39"/>
    <col min="7702" max="7702" width="10.6640625" style="39" bestFit="1" customWidth="1"/>
    <col min="7703" max="7707" width="9.109375" style="39"/>
    <col min="7708" max="7708" width="10.6640625" style="39" bestFit="1" customWidth="1"/>
    <col min="7709" max="7715" width="9.109375" style="39"/>
    <col min="7716" max="7716" width="12" style="39" bestFit="1" customWidth="1"/>
    <col min="7717" max="7717" width="32.6640625" style="39" customWidth="1"/>
    <col min="7718" max="7718" width="12.33203125" style="39" bestFit="1" customWidth="1"/>
    <col min="7719" max="7719" width="9.109375" style="39"/>
    <col min="7720" max="7720" width="10.6640625" style="39" bestFit="1" customWidth="1"/>
    <col min="7721" max="7725" width="9.109375" style="39"/>
    <col min="7726" max="7726" width="10.6640625" style="39" bestFit="1" customWidth="1"/>
    <col min="7727" max="7733" width="9.109375" style="39"/>
    <col min="7734" max="7734" width="12" style="39" bestFit="1" customWidth="1"/>
    <col min="7735" max="7735" width="32.6640625" style="39" customWidth="1"/>
    <col min="7736" max="7736" width="12.33203125" style="39" bestFit="1" customWidth="1"/>
    <col min="7737" max="7737" width="9.109375" style="39"/>
    <col min="7738" max="7738" width="10.6640625" style="39" bestFit="1" customWidth="1"/>
    <col min="7739" max="7743" width="9.109375" style="39"/>
    <col min="7744" max="7744" width="10.6640625" style="39" bestFit="1" customWidth="1"/>
    <col min="7745" max="7751" width="9.109375" style="39"/>
    <col min="7752" max="7752" width="12" style="39" bestFit="1" customWidth="1"/>
    <col min="7753" max="7753" width="32.6640625" style="39" customWidth="1"/>
    <col min="7754" max="7754" width="12.33203125" style="39" bestFit="1" customWidth="1"/>
    <col min="7755" max="7755" width="9.109375" style="39"/>
    <col min="7756" max="7756" width="10.6640625" style="39" bestFit="1" customWidth="1"/>
    <col min="7757" max="7761" width="9.109375" style="39"/>
    <col min="7762" max="7762" width="10.6640625" style="39" bestFit="1" customWidth="1"/>
    <col min="7763" max="7769" width="9.109375" style="39"/>
    <col min="7770" max="7770" width="12" style="39" bestFit="1" customWidth="1"/>
    <col min="7771" max="7771" width="32.6640625" style="39" customWidth="1"/>
    <col min="7772" max="7772" width="12.33203125" style="39" bestFit="1" customWidth="1"/>
    <col min="7773" max="7773" width="9.109375" style="39"/>
    <col min="7774" max="7774" width="10.6640625" style="39" bestFit="1" customWidth="1"/>
    <col min="7775" max="7779" width="9.109375" style="39"/>
    <col min="7780" max="7780" width="10.6640625" style="39" bestFit="1" customWidth="1"/>
    <col min="7781" max="7787" width="9.109375" style="39"/>
    <col min="7788" max="7788" width="12" style="39" bestFit="1" customWidth="1"/>
    <col min="7789" max="7789" width="32.6640625" style="39" customWidth="1"/>
    <col min="7790" max="7790" width="12.33203125" style="39" bestFit="1" customWidth="1"/>
    <col min="7791" max="7791" width="9.109375" style="39"/>
    <col min="7792" max="7792" width="10.6640625" style="39" bestFit="1" customWidth="1"/>
    <col min="7793" max="7797" width="9.109375" style="39"/>
    <col min="7798" max="7798" width="10.6640625" style="39" bestFit="1" customWidth="1"/>
    <col min="7799" max="7805" width="9.109375" style="39"/>
    <col min="7806" max="7806" width="12" style="39" bestFit="1" customWidth="1"/>
    <col min="7807" max="7807" width="32.6640625" style="39" customWidth="1"/>
    <col min="7808" max="7808" width="12.33203125" style="39" bestFit="1" customWidth="1"/>
    <col min="7809" max="7809" width="9.109375" style="39"/>
    <col min="7810" max="7810" width="10.6640625" style="39" bestFit="1" customWidth="1"/>
    <col min="7811" max="7815" width="9.109375" style="39"/>
    <col min="7816" max="7816" width="10.6640625" style="39" bestFit="1" customWidth="1"/>
    <col min="7817" max="7823" width="9.109375" style="39"/>
    <col min="7824" max="7824" width="12" style="39" bestFit="1" customWidth="1"/>
    <col min="7825" max="7825" width="32.6640625" style="39" customWidth="1"/>
    <col min="7826" max="7826" width="12.33203125" style="39" bestFit="1" customWidth="1"/>
    <col min="7827" max="7827" width="9.109375" style="39"/>
    <col min="7828" max="7828" width="10.6640625" style="39" bestFit="1" customWidth="1"/>
    <col min="7829" max="7833" width="9.109375" style="39"/>
    <col min="7834" max="7834" width="10.6640625" style="39" bestFit="1" customWidth="1"/>
    <col min="7835" max="7841" width="9.109375" style="39"/>
    <col min="7842" max="7842" width="12" style="39" bestFit="1" customWidth="1"/>
    <col min="7843" max="7843" width="32.6640625" style="39" customWidth="1"/>
    <col min="7844" max="7844" width="12.33203125" style="39" bestFit="1" customWidth="1"/>
    <col min="7845" max="7845" width="9.109375" style="39"/>
    <col min="7846" max="7846" width="10.6640625" style="39" bestFit="1" customWidth="1"/>
    <col min="7847" max="7851" width="9.109375" style="39"/>
    <col min="7852" max="7852" width="10.6640625" style="39" bestFit="1" customWidth="1"/>
    <col min="7853" max="7859" width="9.109375" style="39"/>
    <col min="7860" max="7860" width="12" style="39" bestFit="1" customWidth="1"/>
    <col min="7861" max="7861" width="32.6640625" style="39" customWidth="1"/>
    <col min="7862" max="7862" width="12.33203125" style="39" bestFit="1" customWidth="1"/>
    <col min="7863" max="7863" width="9.109375" style="39"/>
    <col min="7864" max="7864" width="10.6640625" style="39" bestFit="1" customWidth="1"/>
    <col min="7865" max="7869" width="9.109375" style="39"/>
    <col min="7870" max="7870" width="10.6640625" style="39" bestFit="1" customWidth="1"/>
    <col min="7871" max="7877" width="9.109375" style="39"/>
    <col min="7878" max="7878" width="13.33203125" style="39" bestFit="1" customWidth="1"/>
    <col min="7879" max="7879" width="32.6640625" style="39" customWidth="1"/>
    <col min="7880" max="7880" width="12.33203125" style="39" bestFit="1" customWidth="1"/>
    <col min="7881" max="7881" width="9.109375" style="39"/>
    <col min="7882" max="7882" width="10.6640625" style="39" bestFit="1" customWidth="1"/>
    <col min="7883" max="7887" width="9.109375" style="39"/>
    <col min="7888" max="7888" width="10.6640625" style="39" bestFit="1" customWidth="1"/>
    <col min="7889" max="7895" width="9.109375" style="39"/>
    <col min="7896" max="7896" width="12" style="39" bestFit="1" customWidth="1"/>
    <col min="7897" max="7937" width="9.109375" style="39"/>
    <col min="7938" max="7938" width="12.33203125" style="39" bestFit="1" customWidth="1"/>
    <col min="7939" max="7939" width="10.109375" style="39" bestFit="1" customWidth="1"/>
    <col min="7940" max="7940" width="10.6640625" style="39" bestFit="1" customWidth="1"/>
    <col min="7941" max="7944" width="9.109375" style="39"/>
    <col min="7945" max="7945" width="9.109375" style="39" bestFit="1" customWidth="1"/>
    <col min="7946" max="7946" width="10.6640625" style="39" bestFit="1" customWidth="1"/>
    <col min="7947" max="7947" width="4.5546875" style="39" bestFit="1" customWidth="1"/>
    <col min="7948" max="7948" width="5.5546875" style="39" bestFit="1" customWidth="1"/>
    <col min="7949" max="7949" width="10.6640625" style="39" bestFit="1" customWidth="1"/>
    <col min="7950" max="7953" width="9.109375" style="39"/>
    <col min="7954" max="7954" width="12" style="39" bestFit="1" customWidth="1"/>
    <col min="7955" max="7955" width="32.6640625" style="39" customWidth="1"/>
    <col min="7956" max="7956" width="12.33203125" style="39" bestFit="1" customWidth="1"/>
    <col min="7957" max="7957" width="9.109375" style="39"/>
    <col min="7958" max="7958" width="10.6640625" style="39" bestFit="1" customWidth="1"/>
    <col min="7959" max="7963" width="9.109375" style="39"/>
    <col min="7964" max="7964" width="10.6640625" style="39" bestFit="1" customWidth="1"/>
    <col min="7965" max="7971" width="9.109375" style="39"/>
    <col min="7972" max="7972" width="12" style="39" bestFit="1" customWidth="1"/>
    <col min="7973" max="7973" width="32.6640625" style="39" customWidth="1"/>
    <col min="7974" max="7974" width="12.33203125" style="39" bestFit="1" customWidth="1"/>
    <col min="7975" max="7975" width="9.109375" style="39"/>
    <col min="7976" max="7976" width="10.6640625" style="39" bestFit="1" customWidth="1"/>
    <col min="7977" max="7981" width="9.109375" style="39"/>
    <col min="7982" max="7982" width="10.6640625" style="39" bestFit="1" customWidth="1"/>
    <col min="7983" max="7989" width="9.109375" style="39"/>
    <col min="7990" max="7990" width="12" style="39" bestFit="1" customWidth="1"/>
    <col min="7991" max="7991" width="32.6640625" style="39" customWidth="1"/>
    <col min="7992" max="7992" width="12.33203125" style="39" bestFit="1" customWidth="1"/>
    <col min="7993" max="7993" width="9.109375" style="39"/>
    <col min="7994" max="7994" width="10.6640625" style="39" bestFit="1" customWidth="1"/>
    <col min="7995" max="7999" width="9.109375" style="39"/>
    <col min="8000" max="8000" width="10.6640625" style="39" bestFit="1" customWidth="1"/>
    <col min="8001" max="8007" width="9.109375" style="39"/>
    <col min="8008" max="8008" width="12" style="39" bestFit="1" customWidth="1"/>
    <col min="8009" max="8009" width="32.6640625" style="39" customWidth="1"/>
    <col min="8010" max="8010" width="12.33203125" style="39" bestFit="1" customWidth="1"/>
    <col min="8011" max="8011" width="9.109375" style="39"/>
    <col min="8012" max="8012" width="10.6640625" style="39" bestFit="1" customWidth="1"/>
    <col min="8013" max="8017" width="9.109375" style="39"/>
    <col min="8018" max="8018" width="10.6640625" style="39" bestFit="1" customWidth="1"/>
    <col min="8019" max="8025" width="9.109375" style="39"/>
    <col min="8026" max="8026" width="12" style="39" bestFit="1" customWidth="1"/>
    <col min="8027" max="8027" width="32.6640625" style="39" customWidth="1"/>
    <col min="8028" max="8028" width="12.33203125" style="39" bestFit="1" customWidth="1"/>
    <col min="8029" max="8029" width="9.109375" style="39"/>
    <col min="8030" max="8030" width="10.6640625" style="39" bestFit="1" customWidth="1"/>
    <col min="8031" max="8035" width="9.109375" style="39"/>
    <col min="8036" max="8036" width="10.6640625" style="39" bestFit="1" customWidth="1"/>
    <col min="8037" max="8043" width="9.109375" style="39"/>
    <col min="8044" max="8044" width="12" style="39" bestFit="1" customWidth="1"/>
    <col min="8045" max="8045" width="32.6640625" style="39" customWidth="1"/>
    <col min="8046" max="8046" width="12.33203125" style="39" bestFit="1" customWidth="1"/>
    <col min="8047" max="8047" width="9.109375" style="39"/>
    <col min="8048" max="8048" width="10.6640625" style="39" bestFit="1" customWidth="1"/>
    <col min="8049" max="8053" width="9.109375" style="39"/>
    <col min="8054" max="8054" width="10.6640625" style="39" bestFit="1" customWidth="1"/>
    <col min="8055" max="8061" width="9.109375" style="39"/>
    <col min="8062" max="8062" width="12" style="39" bestFit="1" customWidth="1"/>
    <col min="8063" max="8063" width="32.6640625" style="39" customWidth="1"/>
    <col min="8064" max="8064" width="12.33203125" style="39" bestFit="1" customWidth="1"/>
    <col min="8065" max="8065" width="9.109375" style="39"/>
    <col min="8066" max="8066" width="10.6640625" style="39" bestFit="1" customWidth="1"/>
    <col min="8067" max="8071" width="9.109375" style="39"/>
    <col min="8072" max="8072" width="10.6640625" style="39" bestFit="1" customWidth="1"/>
    <col min="8073" max="8079" width="9.109375" style="39"/>
    <col min="8080" max="8080" width="12" style="39" bestFit="1" customWidth="1"/>
    <col min="8081" max="8081" width="32.6640625" style="39" customWidth="1"/>
    <col min="8082" max="8082" width="12.33203125" style="39" bestFit="1" customWidth="1"/>
    <col min="8083" max="8083" width="9.109375" style="39"/>
    <col min="8084" max="8084" width="10.6640625" style="39" bestFit="1" customWidth="1"/>
    <col min="8085" max="8089" width="9.109375" style="39"/>
    <col min="8090" max="8090" width="10.6640625" style="39" bestFit="1" customWidth="1"/>
    <col min="8091" max="8097" width="9.109375" style="39"/>
    <col min="8098" max="8098" width="12" style="39" bestFit="1" customWidth="1"/>
    <col min="8099" max="8099" width="32.6640625" style="39" customWidth="1"/>
    <col min="8100" max="8100" width="12.33203125" style="39" bestFit="1" customWidth="1"/>
    <col min="8101" max="8101" width="9.109375" style="39"/>
    <col min="8102" max="8102" width="10.6640625" style="39" bestFit="1" customWidth="1"/>
    <col min="8103" max="8107" width="9.109375" style="39"/>
    <col min="8108" max="8108" width="10.6640625" style="39" bestFit="1" customWidth="1"/>
    <col min="8109" max="8115" width="9.109375" style="39"/>
    <col min="8116" max="8116" width="12" style="39" bestFit="1" customWidth="1"/>
    <col min="8117" max="8117" width="32.6640625" style="39" customWidth="1"/>
    <col min="8118" max="8118" width="12.33203125" style="39" bestFit="1" customWidth="1"/>
    <col min="8119" max="8119" width="9.109375" style="39"/>
    <col min="8120" max="8120" width="10.6640625" style="39" bestFit="1" customWidth="1"/>
    <col min="8121" max="8125" width="9.109375" style="39"/>
    <col min="8126" max="8126" width="10.6640625" style="39" bestFit="1" customWidth="1"/>
    <col min="8127" max="8133" width="9.109375" style="39"/>
    <col min="8134" max="8134" width="13.33203125" style="39" bestFit="1" customWidth="1"/>
    <col min="8135" max="8135" width="32.6640625" style="39" customWidth="1"/>
    <col min="8136" max="8136" width="12.33203125" style="39" bestFit="1" customWidth="1"/>
    <col min="8137" max="8137" width="9.109375" style="39"/>
    <col min="8138" max="8138" width="10.6640625" style="39" bestFit="1" customWidth="1"/>
    <col min="8139" max="8143" width="9.109375" style="39"/>
    <col min="8144" max="8144" width="10.6640625" style="39" bestFit="1" customWidth="1"/>
    <col min="8145" max="8151" width="9.109375" style="39"/>
    <col min="8152" max="8152" width="12" style="39" bestFit="1" customWidth="1"/>
    <col min="8153" max="8193" width="9.109375" style="39"/>
    <col min="8194" max="8194" width="12.33203125" style="39" bestFit="1" customWidth="1"/>
    <col min="8195" max="8195" width="10.109375" style="39" bestFit="1" customWidth="1"/>
    <col min="8196" max="8196" width="10.6640625" style="39" bestFit="1" customWidth="1"/>
    <col min="8197" max="8200" width="9.109375" style="39"/>
    <col min="8201" max="8201" width="9.109375" style="39" bestFit="1" customWidth="1"/>
    <col min="8202" max="8202" width="10.6640625" style="39" bestFit="1" customWidth="1"/>
    <col min="8203" max="8203" width="4.5546875" style="39" bestFit="1" customWidth="1"/>
    <col min="8204" max="8204" width="5.5546875" style="39" bestFit="1" customWidth="1"/>
    <col min="8205" max="8205" width="10.6640625" style="39" bestFit="1" customWidth="1"/>
    <col min="8206" max="8209" width="9.109375" style="39"/>
    <col min="8210" max="8210" width="12" style="39" bestFit="1" customWidth="1"/>
    <col min="8211" max="8211" width="32.6640625" style="39" customWidth="1"/>
    <col min="8212" max="8212" width="12.33203125" style="39" bestFit="1" customWidth="1"/>
    <col min="8213" max="8213" width="9.109375" style="39"/>
    <col min="8214" max="8214" width="10.6640625" style="39" bestFit="1" customWidth="1"/>
    <col min="8215" max="8219" width="9.109375" style="39"/>
    <col min="8220" max="8220" width="10.6640625" style="39" bestFit="1" customWidth="1"/>
    <col min="8221" max="8227" width="9.109375" style="39"/>
    <col min="8228" max="8228" width="12" style="39" bestFit="1" customWidth="1"/>
    <col min="8229" max="8229" width="32.6640625" style="39" customWidth="1"/>
    <col min="8230" max="8230" width="12.33203125" style="39" bestFit="1" customWidth="1"/>
    <col min="8231" max="8231" width="9.109375" style="39"/>
    <col min="8232" max="8232" width="10.6640625" style="39" bestFit="1" customWidth="1"/>
    <col min="8233" max="8237" width="9.109375" style="39"/>
    <col min="8238" max="8238" width="10.6640625" style="39" bestFit="1" customWidth="1"/>
    <col min="8239" max="8245" width="9.109375" style="39"/>
    <col min="8246" max="8246" width="12" style="39" bestFit="1" customWidth="1"/>
    <col min="8247" max="8247" width="32.6640625" style="39" customWidth="1"/>
    <col min="8248" max="8248" width="12.33203125" style="39" bestFit="1" customWidth="1"/>
    <col min="8249" max="8249" width="9.109375" style="39"/>
    <col min="8250" max="8250" width="10.6640625" style="39" bestFit="1" customWidth="1"/>
    <col min="8251" max="8255" width="9.109375" style="39"/>
    <col min="8256" max="8256" width="10.6640625" style="39" bestFit="1" customWidth="1"/>
    <col min="8257" max="8263" width="9.109375" style="39"/>
    <col min="8264" max="8264" width="12" style="39" bestFit="1" customWidth="1"/>
    <col min="8265" max="8265" width="32.6640625" style="39" customWidth="1"/>
    <col min="8266" max="8266" width="12.33203125" style="39" bestFit="1" customWidth="1"/>
    <col min="8267" max="8267" width="9.109375" style="39"/>
    <col min="8268" max="8268" width="10.6640625" style="39" bestFit="1" customWidth="1"/>
    <col min="8269" max="8273" width="9.109375" style="39"/>
    <col min="8274" max="8274" width="10.6640625" style="39" bestFit="1" customWidth="1"/>
    <col min="8275" max="8281" width="9.109375" style="39"/>
    <col min="8282" max="8282" width="12" style="39" bestFit="1" customWidth="1"/>
    <col min="8283" max="8283" width="32.6640625" style="39" customWidth="1"/>
    <col min="8284" max="8284" width="12.33203125" style="39" bestFit="1" customWidth="1"/>
    <col min="8285" max="8285" width="9.109375" style="39"/>
    <col min="8286" max="8286" width="10.6640625" style="39" bestFit="1" customWidth="1"/>
    <col min="8287" max="8291" width="9.109375" style="39"/>
    <col min="8292" max="8292" width="10.6640625" style="39" bestFit="1" customWidth="1"/>
    <col min="8293" max="8299" width="9.109375" style="39"/>
    <col min="8300" max="8300" width="12" style="39" bestFit="1" customWidth="1"/>
    <col min="8301" max="8301" width="32.6640625" style="39" customWidth="1"/>
    <col min="8302" max="8302" width="12.33203125" style="39" bestFit="1" customWidth="1"/>
    <col min="8303" max="8303" width="9.109375" style="39"/>
    <col min="8304" max="8304" width="10.6640625" style="39" bestFit="1" customWidth="1"/>
    <col min="8305" max="8309" width="9.109375" style="39"/>
    <col min="8310" max="8310" width="10.6640625" style="39" bestFit="1" customWidth="1"/>
    <col min="8311" max="8317" width="9.109375" style="39"/>
    <col min="8318" max="8318" width="12" style="39" bestFit="1" customWidth="1"/>
    <col min="8319" max="8319" width="32.6640625" style="39" customWidth="1"/>
    <col min="8320" max="8320" width="12.33203125" style="39" bestFit="1" customWidth="1"/>
    <col min="8321" max="8321" width="9.109375" style="39"/>
    <col min="8322" max="8322" width="10.6640625" style="39" bestFit="1" customWidth="1"/>
    <col min="8323" max="8327" width="9.109375" style="39"/>
    <col min="8328" max="8328" width="10.6640625" style="39" bestFit="1" customWidth="1"/>
    <col min="8329" max="8335" width="9.109375" style="39"/>
    <col min="8336" max="8336" width="12" style="39" bestFit="1" customWidth="1"/>
    <col min="8337" max="8337" width="32.6640625" style="39" customWidth="1"/>
    <col min="8338" max="8338" width="12.33203125" style="39" bestFit="1" customWidth="1"/>
    <col min="8339" max="8339" width="9.109375" style="39"/>
    <col min="8340" max="8340" width="10.6640625" style="39" bestFit="1" customWidth="1"/>
    <col min="8341" max="8345" width="9.109375" style="39"/>
    <col min="8346" max="8346" width="10.6640625" style="39" bestFit="1" customWidth="1"/>
    <col min="8347" max="8353" width="9.109375" style="39"/>
    <col min="8354" max="8354" width="12" style="39" bestFit="1" customWidth="1"/>
    <col min="8355" max="8355" width="32.6640625" style="39" customWidth="1"/>
    <col min="8356" max="8356" width="12.33203125" style="39" bestFit="1" customWidth="1"/>
    <col min="8357" max="8357" width="9.109375" style="39"/>
    <col min="8358" max="8358" width="10.6640625" style="39" bestFit="1" customWidth="1"/>
    <col min="8359" max="8363" width="9.109375" style="39"/>
    <col min="8364" max="8364" width="10.6640625" style="39" bestFit="1" customWidth="1"/>
    <col min="8365" max="8371" width="9.109375" style="39"/>
    <col min="8372" max="8372" width="12" style="39" bestFit="1" customWidth="1"/>
    <col min="8373" max="8373" width="32.6640625" style="39" customWidth="1"/>
    <col min="8374" max="8374" width="12.33203125" style="39" bestFit="1" customWidth="1"/>
    <col min="8375" max="8375" width="9.109375" style="39"/>
    <col min="8376" max="8376" width="10.6640625" style="39" bestFit="1" customWidth="1"/>
    <col min="8377" max="8381" width="9.109375" style="39"/>
    <col min="8382" max="8382" width="10.6640625" style="39" bestFit="1" customWidth="1"/>
    <col min="8383" max="8389" width="9.109375" style="39"/>
    <col min="8390" max="8390" width="13.33203125" style="39" bestFit="1" customWidth="1"/>
    <col min="8391" max="8391" width="32.6640625" style="39" customWidth="1"/>
    <col min="8392" max="8392" width="12.33203125" style="39" bestFit="1" customWidth="1"/>
    <col min="8393" max="8393" width="9.109375" style="39"/>
    <col min="8394" max="8394" width="10.6640625" style="39" bestFit="1" customWidth="1"/>
    <col min="8395" max="8399" width="9.109375" style="39"/>
    <col min="8400" max="8400" width="10.6640625" style="39" bestFit="1" customWidth="1"/>
    <col min="8401" max="8407" width="9.109375" style="39"/>
    <col min="8408" max="8408" width="12" style="39" bestFit="1" customWidth="1"/>
    <col min="8409" max="8449" width="9.109375" style="39"/>
    <col min="8450" max="8450" width="12.33203125" style="39" bestFit="1" customWidth="1"/>
    <col min="8451" max="8451" width="10.109375" style="39" bestFit="1" customWidth="1"/>
    <col min="8452" max="8452" width="10.6640625" style="39" bestFit="1" customWidth="1"/>
    <col min="8453" max="8456" width="9.109375" style="39"/>
    <col min="8457" max="8457" width="9.109375" style="39" bestFit="1" customWidth="1"/>
    <col min="8458" max="8458" width="10.6640625" style="39" bestFit="1" customWidth="1"/>
    <col min="8459" max="8459" width="4.5546875" style="39" bestFit="1" customWidth="1"/>
    <col min="8460" max="8460" width="5.5546875" style="39" bestFit="1" customWidth="1"/>
    <col min="8461" max="8461" width="10.6640625" style="39" bestFit="1" customWidth="1"/>
    <col min="8462" max="8465" width="9.109375" style="39"/>
    <col min="8466" max="8466" width="12" style="39" bestFit="1" customWidth="1"/>
    <col min="8467" max="8467" width="32.6640625" style="39" customWidth="1"/>
    <col min="8468" max="8468" width="12.33203125" style="39" bestFit="1" customWidth="1"/>
    <col min="8469" max="8469" width="9.109375" style="39"/>
    <col min="8470" max="8470" width="10.6640625" style="39" bestFit="1" customWidth="1"/>
    <col min="8471" max="8475" width="9.109375" style="39"/>
    <col min="8476" max="8476" width="10.6640625" style="39" bestFit="1" customWidth="1"/>
    <col min="8477" max="8483" width="9.109375" style="39"/>
    <col min="8484" max="8484" width="12" style="39" bestFit="1" customWidth="1"/>
    <col min="8485" max="8485" width="32.6640625" style="39" customWidth="1"/>
    <col min="8486" max="8486" width="12.33203125" style="39" bestFit="1" customWidth="1"/>
    <col min="8487" max="8487" width="9.109375" style="39"/>
    <col min="8488" max="8488" width="10.6640625" style="39" bestFit="1" customWidth="1"/>
    <col min="8489" max="8493" width="9.109375" style="39"/>
    <col min="8494" max="8494" width="10.6640625" style="39" bestFit="1" customWidth="1"/>
    <col min="8495" max="8501" width="9.109375" style="39"/>
    <col min="8502" max="8502" width="12" style="39" bestFit="1" customWidth="1"/>
    <col min="8503" max="8503" width="32.6640625" style="39" customWidth="1"/>
    <col min="8504" max="8504" width="12.33203125" style="39" bestFit="1" customWidth="1"/>
    <col min="8505" max="8505" width="9.109375" style="39"/>
    <col min="8506" max="8506" width="10.6640625" style="39" bestFit="1" customWidth="1"/>
    <col min="8507" max="8511" width="9.109375" style="39"/>
    <col min="8512" max="8512" width="10.6640625" style="39" bestFit="1" customWidth="1"/>
    <col min="8513" max="8519" width="9.109375" style="39"/>
    <col min="8520" max="8520" width="12" style="39" bestFit="1" customWidth="1"/>
    <col min="8521" max="8521" width="32.6640625" style="39" customWidth="1"/>
    <col min="8522" max="8522" width="12.33203125" style="39" bestFit="1" customWidth="1"/>
    <col min="8523" max="8523" width="9.109375" style="39"/>
    <col min="8524" max="8524" width="10.6640625" style="39" bestFit="1" customWidth="1"/>
    <col min="8525" max="8529" width="9.109375" style="39"/>
    <col min="8530" max="8530" width="10.6640625" style="39" bestFit="1" customWidth="1"/>
    <col min="8531" max="8537" width="9.109375" style="39"/>
    <col min="8538" max="8538" width="12" style="39" bestFit="1" customWidth="1"/>
    <col min="8539" max="8539" width="32.6640625" style="39" customWidth="1"/>
    <col min="8540" max="8540" width="12.33203125" style="39" bestFit="1" customWidth="1"/>
    <col min="8541" max="8541" width="9.109375" style="39"/>
    <col min="8542" max="8542" width="10.6640625" style="39" bestFit="1" customWidth="1"/>
    <col min="8543" max="8547" width="9.109375" style="39"/>
    <col min="8548" max="8548" width="10.6640625" style="39" bestFit="1" customWidth="1"/>
    <col min="8549" max="8555" width="9.109375" style="39"/>
    <col min="8556" max="8556" width="12" style="39" bestFit="1" customWidth="1"/>
    <col min="8557" max="8557" width="32.6640625" style="39" customWidth="1"/>
    <col min="8558" max="8558" width="12.33203125" style="39" bestFit="1" customWidth="1"/>
    <col min="8559" max="8559" width="9.109375" style="39"/>
    <col min="8560" max="8560" width="10.6640625" style="39" bestFit="1" customWidth="1"/>
    <col min="8561" max="8565" width="9.109375" style="39"/>
    <col min="8566" max="8566" width="10.6640625" style="39" bestFit="1" customWidth="1"/>
    <col min="8567" max="8573" width="9.109375" style="39"/>
    <col min="8574" max="8574" width="12" style="39" bestFit="1" customWidth="1"/>
    <col min="8575" max="8575" width="32.6640625" style="39" customWidth="1"/>
    <col min="8576" max="8576" width="12.33203125" style="39" bestFit="1" customWidth="1"/>
    <col min="8577" max="8577" width="9.109375" style="39"/>
    <col min="8578" max="8578" width="10.6640625" style="39" bestFit="1" customWidth="1"/>
    <col min="8579" max="8583" width="9.109375" style="39"/>
    <col min="8584" max="8584" width="10.6640625" style="39" bestFit="1" customWidth="1"/>
    <col min="8585" max="8591" width="9.109375" style="39"/>
    <col min="8592" max="8592" width="12" style="39" bestFit="1" customWidth="1"/>
    <col min="8593" max="8593" width="32.6640625" style="39" customWidth="1"/>
    <col min="8594" max="8594" width="12.33203125" style="39" bestFit="1" customWidth="1"/>
    <col min="8595" max="8595" width="9.109375" style="39"/>
    <col min="8596" max="8596" width="10.6640625" style="39" bestFit="1" customWidth="1"/>
    <col min="8597" max="8601" width="9.109375" style="39"/>
    <col min="8602" max="8602" width="10.6640625" style="39" bestFit="1" customWidth="1"/>
    <col min="8603" max="8609" width="9.109375" style="39"/>
    <col min="8610" max="8610" width="12" style="39" bestFit="1" customWidth="1"/>
    <col min="8611" max="8611" width="32.6640625" style="39" customWidth="1"/>
    <col min="8612" max="8612" width="12.33203125" style="39" bestFit="1" customWidth="1"/>
    <col min="8613" max="8613" width="9.109375" style="39"/>
    <col min="8614" max="8614" width="10.6640625" style="39" bestFit="1" customWidth="1"/>
    <col min="8615" max="8619" width="9.109375" style="39"/>
    <col min="8620" max="8620" width="10.6640625" style="39" bestFit="1" customWidth="1"/>
    <col min="8621" max="8627" width="9.109375" style="39"/>
    <col min="8628" max="8628" width="12" style="39" bestFit="1" customWidth="1"/>
    <col min="8629" max="8629" width="32.6640625" style="39" customWidth="1"/>
    <col min="8630" max="8630" width="12.33203125" style="39" bestFit="1" customWidth="1"/>
    <col min="8631" max="8631" width="9.109375" style="39"/>
    <col min="8632" max="8632" width="10.6640625" style="39" bestFit="1" customWidth="1"/>
    <col min="8633" max="8637" width="9.109375" style="39"/>
    <col min="8638" max="8638" width="10.6640625" style="39" bestFit="1" customWidth="1"/>
    <col min="8639" max="8645" width="9.109375" style="39"/>
    <col min="8646" max="8646" width="13.33203125" style="39" bestFit="1" customWidth="1"/>
    <col min="8647" max="8647" width="32.6640625" style="39" customWidth="1"/>
    <col min="8648" max="8648" width="12.33203125" style="39" bestFit="1" customWidth="1"/>
    <col min="8649" max="8649" width="9.109375" style="39"/>
    <col min="8650" max="8650" width="10.6640625" style="39" bestFit="1" customWidth="1"/>
    <col min="8651" max="8655" width="9.109375" style="39"/>
    <col min="8656" max="8656" width="10.6640625" style="39" bestFit="1" customWidth="1"/>
    <col min="8657" max="8663" width="9.109375" style="39"/>
    <col min="8664" max="8664" width="12" style="39" bestFit="1" customWidth="1"/>
    <col min="8665" max="8705" width="9.109375" style="39"/>
    <col min="8706" max="8706" width="12.33203125" style="39" bestFit="1" customWidth="1"/>
    <col min="8707" max="8707" width="10.109375" style="39" bestFit="1" customWidth="1"/>
    <col min="8708" max="8708" width="10.6640625" style="39" bestFit="1" customWidth="1"/>
    <col min="8709" max="8712" width="9.109375" style="39"/>
    <col min="8713" max="8713" width="9.109375" style="39" bestFit="1" customWidth="1"/>
    <col min="8714" max="8714" width="10.6640625" style="39" bestFit="1" customWidth="1"/>
    <col min="8715" max="8715" width="4.5546875" style="39" bestFit="1" customWidth="1"/>
    <col min="8716" max="8716" width="5.5546875" style="39" bestFit="1" customWidth="1"/>
    <col min="8717" max="8717" width="10.6640625" style="39" bestFit="1" customWidth="1"/>
    <col min="8718" max="8721" width="9.109375" style="39"/>
    <col min="8722" max="8722" width="12" style="39" bestFit="1" customWidth="1"/>
    <col min="8723" max="8723" width="32.6640625" style="39" customWidth="1"/>
    <col min="8724" max="8724" width="12.33203125" style="39" bestFit="1" customWidth="1"/>
    <col min="8725" max="8725" width="9.109375" style="39"/>
    <col min="8726" max="8726" width="10.6640625" style="39" bestFit="1" customWidth="1"/>
    <col min="8727" max="8731" width="9.109375" style="39"/>
    <col min="8732" max="8732" width="10.6640625" style="39" bestFit="1" customWidth="1"/>
    <col min="8733" max="8739" width="9.109375" style="39"/>
    <col min="8740" max="8740" width="12" style="39" bestFit="1" customWidth="1"/>
    <col min="8741" max="8741" width="32.6640625" style="39" customWidth="1"/>
    <col min="8742" max="8742" width="12.33203125" style="39" bestFit="1" customWidth="1"/>
    <col min="8743" max="8743" width="9.109375" style="39"/>
    <col min="8744" max="8744" width="10.6640625" style="39" bestFit="1" customWidth="1"/>
    <col min="8745" max="8749" width="9.109375" style="39"/>
    <col min="8750" max="8750" width="10.6640625" style="39" bestFit="1" customWidth="1"/>
    <col min="8751" max="8757" width="9.109375" style="39"/>
    <col min="8758" max="8758" width="12" style="39" bestFit="1" customWidth="1"/>
    <col min="8759" max="8759" width="32.6640625" style="39" customWidth="1"/>
    <col min="8760" max="8760" width="12.33203125" style="39" bestFit="1" customWidth="1"/>
    <col min="8761" max="8761" width="9.109375" style="39"/>
    <col min="8762" max="8762" width="10.6640625" style="39" bestFit="1" customWidth="1"/>
    <col min="8763" max="8767" width="9.109375" style="39"/>
    <col min="8768" max="8768" width="10.6640625" style="39" bestFit="1" customWidth="1"/>
    <col min="8769" max="8775" width="9.109375" style="39"/>
    <col min="8776" max="8776" width="12" style="39" bestFit="1" customWidth="1"/>
    <col min="8777" max="8777" width="32.6640625" style="39" customWidth="1"/>
    <col min="8778" max="8778" width="12.33203125" style="39" bestFit="1" customWidth="1"/>
    <col min="8779" max="8779" width="9.109375" style="39"/>
    <col min="8780" max="8780" width="10.6640625" style="39" bestFit="1" customWidth="1"/>
    <col min="8781" max="8785" width="9.109375" style="39"/>
    <col min="8786" max="8786" width="10.6640625" style="39" bestFit="1" customWidth="1"/>
    <col min="8787" max="8793" width="9.109375" style="39"/>
    <col min="8794" max="8794" width="12" style="39" bestFit="1" customWidth="1"/>
    <col min="8795" max="8795" width="32.6640625" style="39" customWidth="1"/>
    <col min="8796" max="8796" width="12.33203125" style="39" bestFit="1" customWidth="1"/>
    <col min="8797" max="8797" width="9.109375" style="39"/>
    <col min="8798" max="8798" width="10.6640625" style="39" bestFit="1" customWidth="1"/>
    <col min="8799" max="8803" width="9.109375" style="39"/>
    <col min="8804" max="8804" width="10.6640625" style="39" bestFit="1" customWidth="1"/>
    <col min="8805" max="8811" width="9.109375" style="39"/>
    <col min="8812" max="8812" width="12" style="39" bestFit="1" customWidth="1"/>
    <col min="8813" max="8813" width="32.6640625" style="39" customWidth="1"/>
    <col min="8814" max="8814" width="12.33203125" style="39" bestFit="1" customWidth="1"/>
    <col min="8815" max="8815" width="9.109375" style="39"/>
    <col min="8816" max="8816" width="10.6640625" style="39" bestFit="1" customWidth="1"/>
    <col min="8817" max="8821" width="9.109375" style="39"/>
    <col min="8822" max="8822" width="10.6640625" style="39" bestFit="1" customWidth="1"/>
    <col min="8823" max="8829" width="9.109375" style="39"/>
    <col min="8830" max="8830" width="12" style="39" bestFit="1" customWidth="1"/>
    <col min="8831" max="8831" width="32.6640625" style="39" customWidth="1"/>
    <col min="8832" max="8832" width="12.33203125" style="39" bestFit="1" customWidth="1"/>
    <col min="8833" max="8833" width="9.109375" style="39"/>
    <col min="8834" max="8834" width="10.6640625" style="39" bestFit="1" customWidth="1"/>
    <col min="8835" max="8839" width="9.109375" style="39"/>
    <col min="8840" max="8840" width="10.6640625" style="39" bestFit="1" customWidth="1"/>
    <col min="8841" max="8847" width="9.109375" style="39"/>
    <col min="8848" max="8848" width="12" style="39" bestFit="1" customWidth="1"/>
    <col min="8849" max="8849" width="32.6640625" style="39" customWidth="1"/>
    <col min="8850" max="8850" width="12.33203125" style="39" bestFit="1" customWidth="1"/>
    <col min="8851" max="8851" width="9.109375" style="39"/>
    <col min="8852" max="8852" width="10.6640625" style="39" bestFit="1" customWidth="1"/>
    <col min="8853" max="8857" width="9.109375" style="39"/>
    <col min="8858" max="8858" width="10.6640625" style="39" bestFit="1" customWidth="1"/>
    <col min="8859" max="8865" width="9.109375" style="39"/>
    <col min="8866" max="8866" width="12" style="39" bestFit="1" customWidth="1"/>
    <col min="8867" max="8867" width="32.6640625" style="39" customWidth="1"/>
    <col min="8868" max="8868" width="12.33203125" style="39" bestFit="1" customWidth="1"/>
    <col min="8869" max="8869" width="9.109375" style="39"/>
    <col min="8870" max="8870" width="10.6640625" style="39" bestFit="1" customWidth="1"/>
    <col min="8871" max="8875" width="9.109375" style="39"/>
    <col min="8876" max="8876" width="10.6640625" style="39" bestFit="1" customWidth="1"/>
    <col min="8877" max="8883" width="9.109375" style="39"/>
    <col min="8884" max="8884" width="12" style="39" bestFit="1" customWidth="1"/>
    <col min="8885" max="8885" width="32.6640625" style="39" customWidth="1"/>
    <col min="8886" max="8886" width="12.33203125" style="39" bestFit="1" customWidth="1"/>
    <col min="8887" max="8887" width="9.109375" style="39"/>
    <col min="8888" max="8888" width="10.6640625" style="39" bestFit="1" customWidth="1"/>
    <col min="8889" max="8893" width="9.109375" style="39"/>
    <col min="8894" max="8894" width="10.6640625" style="39" bestFit="1" customWidth="1"/>
    <col min="8895" max="8901" width="9.109375" style="39"/>
    <col min="8902" max="8902" width="13.33203125" style="39" bestFit="1" customWidth="1"/>
    <col min="8903" max="8903" width="32.6640625" style="39" customWidth="1"/>
    <col min="8904" max="8904" width="12.33203125" style="39" bestFit="1" customWidth="1"/>
    <col min="8905" max="8905" width="9.109375" style="39"/>
    <col min="8906" max="8906" width="10.6640625" style="39" bestFit="1" customWidth="1"/>
    <col min="8907" max="8911" width="9.109375" style="39"/>
    <col min="8912" max="8912" width="10.6640625" style="39" bestFit="1" customWidth="1"/>
    <col min="8913" max="8919" width="9.109375" style="39"/>
    <col min="8920" max="8920" width="12" style="39" bestFit="1" customWidth="1"/>
    <col min="8921" max="8961" width="9.109375" style="39"/>
    <col min="8962" max="8962" width="12.33203125" style="39" bestFit="1" customWidth="1"/>
    <col min="8963" max="8963" width="10.109375" style="39" bestFit="1" customWidth="1"/>
    <col min="8964" max="8964" width="10.6640625" style="39" bestFit="1" customWidth="1"/>
    <col min="8965" max="8968" width="9.109375" style="39"/>
    <col min="8969" max="8969" width="9.109375" style="39" bestFit="1" customWidth="1"/>
    <col min="8970" max="8970" width="10.6640625" style="39" bestFit="1" customWidth="1"/>
    <col min="8971" max="8971" width="4.5546875" style="39" bestFit="1" customWidth="1"/>
    <col min="8972" max="8972" width="5.5546875" style="39" bestFit="1" customWidth="1"/>
    <col min="8973" max="8973" width="10.6640625" style="39" bestFit="1" customWidth="1"/>
    <col min="8974" max="8977" width="9.109375" style="39"/>
    <col min="8978" max="8978" width="12" style="39" bestFit="1" customWidth="1"/>
    <col min="8979" max="8979" width="32.6640625" style="39" customWidth="1"/>
    <col min="8980" max="8980" width="12.33203125" style="39" bestFit="1" customWidth="1"/>
    <col min="8981" max="8981" width="9.109375" style="39"/>
    <col min="8982" max="8982" width="10.6640625" style="39" bestFit="1" customWidth="1"/>
    <col min="8983" max="8987" width="9.109375" style="39"/>
    <col min="8988" max="8988" width="10.6640625" style="39" bestFit="1" customWidth="1"/>
    <col min="8989" max="8995" width="9.109375" style="39"/>
    <col min="8996" max="8996" width="12" style="39" bestFit="1" customWidth="1"/>
    <col min="8997" max="8997" width="32.6640625" style="39" customWidth="1"/>
    <col min="8998" max="8998" width="12.33203125" style="39" bestFit="1" customWidth="1"/>
    <col min="8999" max="8999" width="9.109375" style="39"/>
    <col min="9000" max="9000" width="10.6640625" style="39" bestFit="1" customWidth="1"/>
    <col min="9001" max="9005" width="9.109375" style="39"/>
    <col min="9006" max="9006" width="10.6640625" style="39" bestFit="1" customWidth="1"/>
    <col min="9007" max="9013" width="9.109375" style="39"/>
    <col min="9014" max="9014" width="12" style="39" bestFit="1" customWidth="1"/>
    <col min="9015" max="9015" width="32.6640625" style="39" customWidth="1"/>
    <col min="9016" max="9016" width="12.33203125" style="39" bestFit="1" customWidth="1"/>
    <col min="9017" max="9017" width="9.109375" style="39"/>
    <col min="9018" max="9018" width="10.6640625" style="39" bestFit="1" customWidth="1"/>
    <col min="9019" max="9023" width="9.109375" style="39"/>
    <col min="9024" max="9024" width="10.6640625" style="39" bestFit="1" customWidth="1"/>
    <col min="9025" max="9031" width="9.109375" style="39"/>
    <col min="9032" max="9032" width="12" style="39" bestFit="1" customWidth="1"/>
    <col min="9033" max="9033" width="32.6640625" style="39" customWidth="1"/>
    <col min="9034" max="9034" width="12.33203125" style="39" bestFit="1" customWidth="1"/>
    <col min="9035" max="9035" width="9.109375" style="39"/>
    <col min="9036" max="9036" width="10.6640625" style="39" bestFit="1" customWidth="1"/>
    <col min="9037" max="9041" width="9.109375" style="39"/>
    <col min="9042" max="9042" width="10.6640625" style="39" bestFit="1" customWidth="1"/>
    <col min="9043" max="9049" width="9.109375" style="39"/>
    <col min="9050" max="9050" width="12" style="39" bestFit="1" customWidth="1"/>
    <col min="9051" max="9051" width="32.6640625" style="39" customWidth="1"/>
    <col min="9052" max="9052" width="12.33203125" style="39" bestFit="1" customWidth="1"/>
    <col min="9053" max="9053" width="9.109375" style="39"/>
    <col min="9054" max="9054" width="10.6640625" style="39" bestFit="1" customWidth="1"/>
    <col min="9055" max="9059" width="9.109375" style="39"/>
    <col min="9060" max="9060" width="10.6640625" style="39" bestFit="1" customWidth="1"/>
    <col min="9061" max="9067" width="9.109375" style="39"/>
    <col min="9068" max="9068" width="12" style="39" bestFit="1" customWidth="1"/>
    <col min="9069" max="9069" width="32.6640625" style="39" customWidth="1"/>
    <col min="9070" max="9070" width="12.33203125" style="39" bestFit="1" customWidth="1"/>
    <col min="9071" max="9071" width="9.109375" style="39"/>
    <col min="9072" max="9072" width="10.6640625" style="39" bestFit="1" customWidth="1"/>
    <col min="9073" max="9077" width="9.109375" style="39"/>
    <col min="9078" max="9078" width="10.6640625" style="39" bestFit="1" customWidth="1"/>
    <col min="9079" max="9085" width="9.109375" style="39"/>
    <col min="9086" max="9086" width="12" style="39" bestFit="1" customWidth="1"/>
    <col min="9087" max="9087" width="32.6640625" style="39" customWidth="1"/>
    <col min="9088" max="9088" width="12.33203125" style="39" bestFit="1" customWidth="1"/>
    <col min="9089" max="9089" width="9.109375" style="39"/>
    <col min="9090" max="9090" width="10.6640625" style="39" bestFit="1" customWidth="1"/>
    <col min="9091" max="9095" width="9.109375" style="39"/>
    <col min="9096" max="9096" width="10.6640625" style="39" bestFit="1" customWidth="1"/>
    <col min="9097" max="9103" width="9.109375" style="39"/>
    <col min="9104" max="9104" width="12" style="39" bestFit="1" customWidth="1"/>
    <col min="9105" max="9105" width="32.6640625" style="39" customWidth="1"/>
    <col min="9106" max="9106" width="12.33203125" style="39" bestFit="1" customWidth="1"/>
    <col min="9107" max="9107" width="9.109375" style="39"/>
    <col min="9108" max="9108" width="10.6640625" style="39" bestFit="1" customWidth="1"/>
    <col min="9109" max="9113" width="9.109375" style="39"/>
    <col min="9114" max="9114" width="10.6640625" style="39" bestFit="1" customWidth="1"/>
    <col min="9115" max="9121" width="9.109375" style="39"/>
    <col min="9122" max="9122" width="12" style="39" bestFit="1" customWidth="1"/>
    <col min="9123" max="9123" width="32.6640625" style="39" customWidth="1"/>
    <col min="9124" max="9124" width="12.33203125" style="39" bestFit="1" customWidth="1"/>
    <col min="9125" max="9125" width="9.109375" style="39"/>
    <col min="9126" max="9126" width="10.6640625" style="39" bestFit="1" customWidth="1"/>
    <col min="9127" max="9131" width="9.109375" style="39"/>
    <col min="9132" max="9132" width="10.6640625" style="39" bestFit="1" customWidth="1"/>
    <col min="9133" max="9139" width="9.109375" style="39"/>
    <col min="9140" max="9140" width="12" style="39" bestFit="1" customWidth="1"/>
    <col min="9141" max="9141" width="32.6640625" style="39" customWidth="1"/>
    <col min="9142" max="9142" width="12.33203125" style="39" bestFit="1" customWidth="1"/>
    <col min="9143" max="9143" width="9.109375" style="39"/>
    <col min="9144" max="9144" width="10.6640625" style="39" bestFit="1" customWidth="1"/>
    <col min="9145" max="9149" width="9.109375" style="39"/>
    <col min="9150" max="9150" width="10.6640625" style="39" bestFit="1" customWidth="1"/>
    <col min="9151" max="9157" width="9.109375" style="39"/>
    <col min="9158" max="9158" width="13.33203125" style="39" bestFit="1" customWidth="1"/>
    <col min="9159" max="9159" width="32.6640625" style="39" customWidth="1"/>
    <col min="9160" max="9160" width="12.33203125" style="39" bestFit="1" customWidth="1"/>
    <col min="9161" max="9161" width="9.109375" style="39"/>
    <col min="9162" max="9162" width="10.6640625" style="39" bestFit="1" customWidth="1"/>
    <col min="9163" max="9167" width="9.109375" style="39"/>
    <col min="9168" max="9168" width="10.6640625" style="39" bestFit="1" customWidth="1"/>
    <col min="9169" max="9175" width="9.109375" style="39"/>
    <col min="9176" max="9176" width="12" style="39" bestFit="1" customWidth="1"/>
    <col min="9177" max="9217" width="9.109375" style="39"/>
    <col min="9218" max="9218" width="12.33203125" style="39" bestFit="1" customWidth="1"/>
    <col min="9219" max="9219" width="10.109375" style="39" bestFit="1" customWidth="1"/>
    <col min="9220" max="9220" width="10.6640625" style="39" bestFit="1" customWidth="1"/>
    <col min="9221" max="9224" width="9.109375" style="39"/>
    <col min="9225" max="9225" width="9.109375" style="39" bestFit="1" customWidth="1"/>
    <col min="9226" max="9226" width="10.6640625" style="39" bestFit="1" customWidth="1"/>
    <col min="9227" max="9227" width="4.5546875" style="39" bestFit="1" customWidth="1"/>
    <col min="9228" max="9228" width="5.5546875" style="39" bestFit="1" customWidth="1"/>
    <col min="9229" max="9229" width="10.6640625" style="39" bestFit="1" customWidth="1"/>
    <col min="9230" max="9233" width="9.109375" style="39"/>
    <col min="9234" max="9234" width="12" style="39" bestFit="1" customWidth="1"/>
    <col min="9235" max="9235" width="32.6640625" style="39" customWidth="1"/>
    <col min="9236" max="9236" width="12.33203125" style="39" bestFit="1" customWidth="1"/>
    <col min="9237" max="9237" width="9.109375" style="39"/>
    <col min="9238" max="9238" width="10.6640625" style="39" bestFit="1" customWidth="1"/>
    <col min="9239" max="9243" width="9.109375" style="39"/>
    <col min="9244" max="9244" width="10.6640625" style="39" bestFit="1" customWidth="1"/>
    <col min="9245" max="9251" width="9.109375" style="39"/>
    <col min="9252" max="9252" width="12" style="39" bestFit="1" customWidth="1"/>
    <col min="9253" max="9253" width="32.6640625" style="39" customWidth="1"/>
    <col min="9254" max="9254" width="12.33203125" style="39" bestFit="1" customWidth="1"/>
    <col min="9255" max="9255" width="9.109375" style="39"/>
    <col min="9256" max="9256" width="10.6640625" style="39" bestFit="1" customWidth="1"/>
    <col min="9257" max="9261" width="9.109375" style="39"/>
    <col min="9262" max="9262" width="10.6640625" style="39" bestFit="1" customWidth="1"/>
    <col min="9263" max="9269" width="9.109375" style="39"/>
    <col min="9270" max="9270" width="12" style="39" bestFit="1" customWidth="1"/>
    <col min="9271" max="9271" width="32.6640625" style="39" customWidth="1"/>
    <col min="9272" max="9272" width="12.33203125" style="39" bestFit="1" customWidth="1"/>
    <col min="9273" max="9273" width="9.109375" style="39"/>
    <col min="9274" max="9274" width="10.6640625" style="39" bestFit="1" customWidth="1"/>
    <col min="9275" max="9279" width="9.109375" style="39"/>
    <col min="9280" max="9280" width="10.6640625" style="39" bestFit="1" customWidth="1"/>
    <col min="9281" max="9287" width="9.109375" style="39"/>
    <col min="9288" max="9288" width="12" style="39" bestFit="1" customWidth="1"/>
    <col min="9289" max="9289" width="32.6640625" style="39" customWidth="1"/>
    <col min="9290" max="9290" width="12.33203125" style="39" bestFit="1" customWidth="1"/>
    <col min="9291" max="9291" width="9.109375" style="39"/>
    <col min="9292" max="9292" width="10.6640625" style="39" bestFit="1" customWidth="1"/>
    <col min="9293" max="9297" width="9.109375" style="39"/>
    <col min="9298" max="9298" width="10.6640625" style="39" bestFit="1" customWidth="1"/>
    <col min="9299" max="9305" width="9.109375" style="39"/>
    <col min="9306" max="9306" width="12" style="39" bestFit="1" customWidth="1"/>
    <col min="9307" max="9307" width="32.6640625" style="39" customWidth="1"/>
    <col min="9308" max="9308" width="12.33203125" style="39" bestFit="1" customWidth="1"/>
    <col min="9309" max="9309" width="9.109375" style="39"/>
    <col min="9310" max="9310" width="10.6640625" style="39" bestFit="1" customWidth="1"/>
    <col min="9311" max="9315" width="9.109375" style="39"/>
    <col min="9316" max="9316" width="10.6640625" style="39" bestFit="1" customWidth="1"/>
    <col min="9317" max="9323" width="9.109375" style="39"/>
    <col min="9324" max="9324" width="12" style="39" bestFit="1" customWidth="1"/>
    <col min="9325" max="9325" width="32.6640625" style="39" customWidth="1"/>
    <col min="9326" max="9326" width="12.33203125" style="39" bestFit="1" customWidth="1"/>
    <col min="9327" max="9327" width="9.109375" style="39"/>
    <col min="9328" max="9328" width="10.6640625" style="39" bestFit="1" customWidth="1"/>
    <col min="9329" max="9333" width="9.109375" style="39"/>
    <col min="9334" max="9334" width="10.6640625" style="39" bestFit="1" customWidth="1"/>
    <col min="9335" max="9341" width="9.109375" style="39"/>
    <col min="9342" max="9342" width="12" style="39" bestFit="1" customWidth="1"/>
    <col min="9343" max="9343" width="32.6640625" style="39" customWidth="1"/>
    <col min="9344" max="9344" width="12.33203125" style="39" bestFit="1" customWidth="1"/>
    <col min="9345" max="9345" width="9.109375" style="39"/>
    <col min="9346" max="9346" width="10.6640625" style="39" bestFit="1" customWidth="1"/>
    <col min="9347" max="9351" width="9.109375" style="39"/>
    <col min="9352" max="9352" width="10.6640625" style="39" bestFit="1" customWidth="1"/>
    <col min="9353" max="9359" width="9.109375" style="39"/>
    <col min="9360" max="9360" width="12" style="39" bestFit="1" customWidth="1"/>
    <col min="9361" max="9361" width="32.6640625" style="39" customWidth="1"/>
    <col min="9362" max="9362" width="12.33203125" style="39" bestFit="1" customWidth="1"/>
    <col min="9363" max="9363" width="9.109375" style="39"/>
    <col min="9364" max="9364" width="10.6640625" style="39" bestFit="1" customWidth="1"/>
    <col min="9365" max="9369" width="9.109375" style="39"/>
    <col min="9370" max="9370" width="10.6640625" style="39" bestFit="1" customWidth="1"/>
    <col min="9371" max="9377" width="9.109375" style="39"/>
    <col min="9378" max="9378" width="12" style="39" bestFit="1" customWidth="1"/>
    <col min="9379" max="9379" width="32.6640625" style="39" customWidth="1"/>
    <col min="9380" max="9380" width="12.33203125" style="39" bestFit="1" customWidth="1"/>
    <col min="9381" max="9381" width="9.109375" style="39"/>
    <col min="9382" max="9382" width="10.6640625" style="39" bestFit="1" customWidth="1"/>
    <col min="9383" max="9387" width="9.109375" style="39"/>
    <col min="9388" max="9388" width="10.6640625" style="39" bestFit="1" customWidth="1"/>
    <col min="9389" max="9395" width="9.109375" style="39"/>
    <col min="9396" max="9396" width="12" style="39" bestFit="1" customWidth="1"/>
    <col min="9397" max="9397" width="32.6640625" style="39" customWidth="1"/>
    <col min="9398" max="9398" width="12.33203125" style="39" bestFit="1" customWidth="1"/>
    <col min="9399" max="9399" width="9.109375" style="39"/>
    <col min="9400" max="9400" width="10.6640625" style="39" bestFit="1" customWidth="1"/>
    <col min="9401" max="9405" width="9.109375" style="39"/>
    <col min="9406" max="9406" width="10.6640625" style="39" bestFit="1" customWidth="1"/>
    <col min="9407" max="9413" width="9.109375" style="39"/>
    <col min="9414" max="9414" width="13.33203125" style="39" bestFit="1" customWidth="1"/>
    <col min="9415" max="9415" width="32.6640625" style="39" customWidth="1"/>
    <col min="9416" max="9416" width="12.33203125" style="39" bestFit="1" customWidth="1"/>
    <col min="9417" max="9417" width="9.109375" style="39"/>
    <col min="9418" max="9418" width="10.6640625" style="39" bestFit="1" customWidth="1"/>
    <col min="9419" max="9423" width="9.109375" style="39"/>
    <col min="9424" max="9424" width="10.6640625" style="39" bestFit="1" customWidth="1"/>
    <col min="9425" max="9431" width="9.109375" style="39"/>
    <col min="9432" max="9432" width="12" style="39" bestFit="1" customWidth="1"/>
    <col min="9433" max="9473" width="9.109375" style="39"/>
    <col min="9474" max="9474" width="12.33203125" style="39" bestFit="1" customWidth="1"/>
    <col min="9475" max="9475" width="10.109375" style="39" bestFit="1" customWidth="1"/>
    <col min="9476" max="9476" width="10.6640625" style="39" bestFit="1" customWidth="1"/>
    <col min="9477" max="9480" width="9.109375" style="39"/>
    <col min="9481" max="9481" width="9.109375" style="39" bestFit="1" customWidth="1"/>
    <col min="9482" max="9482" width="10.6640625" style="39" bestFit="1" customWidth="1"/>
    <col min="9483" max="9483" width="4.5546875" style="39" bestFit="1" customWidth="1"/>
    <col min="9484" max="9484" width="5.5546875" style="39" bestFit="1" customWidth="1"/>
    <col min="9485" max="9485" width="10.6640625" style="39" bestFit="1" customWidth="1"/>
    <col min="9486" max="9489" width="9.109375" style="39"/>
    <col min="9490" max="9490" width="12" style="39" bestFit="1" customWidth="1"/>
    <col min="9491" max="9491" width="32.6640625" style="39" customWidth="1"/>
    <col min="9492" max="9492" width="12.33203125" style="39" bestFit="1" customWidth="1"/>
    <col min="9493" max="9493" width="9.109375" style="39"/>
    <col min="9494" max="9494" width="10.6640625" style="39" bestFit="1" customWidth="1"/>
    <col min="9495" max="9499" width="9.109375" style="39"/>
    <col min="9500" max="9500" width="10.6640625" style="39" bestFit="1" customWidth="1"/>
    <col min="9501" max="9507" width="9.109375" style="39"/>
    <col min="9508" max="9508" width="12" style="39" bestFit="1" customWidth="1"/>
    <col min="9509" max="9509" width="32.6640625" style="39" customWidth="1"/>
    <col min="9510" max="9510" width="12.33203125" style="39" bestFit="1" customWidth="1"/>
    <col min="9511" max="9511" width="9.109375" style="39"/>
    <col min="9512" max="9512" width="10.6640625" style="39" bestFit="1" customWidth="1"/>
    <col min="9513" max="9517" width="9.109375" style="39"/>
    <col min="9518" max="9518" width="10.6640625" style="39" bestFit="1" customWidth="1"/>
    <col min="9519" max="9525" width="9.109375" style="39"/>
    <col min="9526" max="9526" width="12" style="39" bestFit="1" customWidth="1"/>
    <col min="9527" max="9527" width="32.6640625" style="39" customWidth="1"/>
    <col min="9528" max="9528" width="12.33203125" style="39" bestFit="1" customWidth="1"/>
    <col min="9529" max="9529" width="9.109375" style="39"/>
    <col min="9530" max="9530" width="10.6640625" style="39" bestFit="1" customWidth="1"/>
    <col min="9531" max="9535" width="9.109375" style="39"/>
    <col min="9536" max="9536" width="10.6640625" style="39" bestFit="1" customWidth="1"/>
    <col min="9537" max="9543" width="9.109375" style="39"/>
    <col min="9544" max="9544" width="12" style="39" bestFit="1" customWidth="1"/>
    <col min="9545" max="9545" width="32.6640625" style="39" customWidth="1"/>
    <col min="9546" max="9546" width="12.33203125" style="39" bestFit="1" customWidth="1"/>
    <col min="9547" max="9547" width="9.109375" style="39"/>
    <col min="9548" max="9548" width="10.6640625" style="39" bestFit="1" customWidth="1"/>
    <col min="9549" max="9553" width="9.109375" style="39"/>
    <col min="9554" max="9554" width="10.6640625" style="39" bestFit="1" customWidth="1"/>
    <col min="9555" max="9561" width="9.109375" style="39"/>
    <col min="9562" max="9562" width="12" style="39" bestFit="1" customWidth="1"/>
    <col min="9563" max="9563" width="32.6640625" style="39" customWidth="1"/>
    <col min="9564" max="9564" width="12.33203125" style="39" bestFit="1" customWidth="1"/>
    <col min="9565" max="9565" width="9.109375" style="39"/>
    <col min="9566" max="9566" width="10.6640625" style="39" bestFit="1" customWidth="1"/>
    <col min="9567" max="9571" width="9.109375" style="39"/>
    <col min="9572" max="9572" width="10.6640625" style="39" bestFit="1" customWidth="1"/>
    <col min="9573" max="9579" width="9.109375" style="39"/>
    <col min="9580" max="9580" width="12" style="39" bestFit="1" customWidth="1"/>
    <col min="9581" max="9581" width="32.6640625" style="39" customWidth="1"/>
    <col min="9582" max="9582" width="12.33203125" style="39" bestFit="1" customWidth="1"/>
    <col min="9583" max="9583" width="9.109375" style="39"/>
    <col min="9584" max="9584" width="10.6640625" style="39" bestFit="1" customWidth="1"/>
    <col min="9585" max="9589" width="9.109375" style="39"/>
    <col min="9590" max="9590" width="10.6640625" style="39" bestFit="1" customWidth="1"/>
    <col min="9591" max="9597" width="9.109375" style="39"/>
    <col min="9598" max="9598" width="12" style="39" bestFit="1" customWidth="1"/>
    <col min="9599" max="9599" width="32.6640625" style="39" customWidth="1"/>
    <col min="9600" max="9600" width="12.33203125" style="39" bestFit="1" customWidth="1"/>
    <col min="9601" max="9601" width="9.109375" style="39"/>
    <col min="9602" max="9602" width="10.6640625" style="39" bestFit="1" customWidth="1"/>
    <col min="9603" max="9607" width="9.109375" style="39"/>
    <col min="9608" max="9608" width="10.6640625" style="39" bestFit="1" customWidth="1"/>
    <col min="9609" max="9615" width="9.109375" style="39"/>
    <col min="9616" max="9616" width="12" style="39" bestFit="1" customWidth="1"/>
    <col min="9617" max="9617" width="32.6640625" style="39" customWidth="1"/>
    <col min="9618" max="9618" width="12.33203125" style="39" bestFit="1" customWidth="1"/>
    <col min="9619" max="9619" width="9.109375" style="39"/>
    <col min="9620" max="9620" width="10.6640625" style="39" bestFit="1" customWidth="1"/>
    <col min="9621" max="9625" width="9.109375" style="39"/>
    <col min="9626" max="9626" width="10.6640625" style="39" bestFit="1" customWidth="1"/>
    <col min="9627" max="9633" width="9.109375" style="39"/>
    <col min="9634" max="9634" width="12" style="39" bestFit="1" customWidth="1"/>
    <col min="9635" max="9635" width="32.6640625" style="39" customWidth="1"/>
    <col min="9636" max="9636" width="12.33203125" style="39" bestFit="1" customWidth="1"/>
    <col min="9637" max="9637" width="9.109375" style="39"/>
    <col min="9638" max="9638" width="10.6640625" style="39" bestFit="1" customWidth="1"/>
    <col min="9639" max="9643" width="9.109375" style="39"/>
    <col min="9644" max="9644" width="10.6640625" style="39" bestFit="1" customWidth="1"/>
    <col min="9645" max="9651" width="9.109375" style="39"/>
    <col min="9652" max="9652" width="12" style="39" bestFit="1" customWidth="1"/>
    <col min="9653" max="9653" width="32.6640625" style="39" customWidth="1"/>
    <col min="9654" max="9654" width="12.33203125" style="39" bestFit="1" customWidth="1"/>
    <col min="9655" max="9655" width="9.109375" style="39"/>
    <col min="9656" max="9656" width="10.6640625" style="39" bestFit="1" customWidth="1"/>
    <col min="9657" max="9661" width="9.109375" style="39"/>
    <col min="9662" max="9662" width="10.6640625" style="39" bestFit="1" customWidth="1"/>
    <col min="9663" max="9669" width="9.109375" style="39"/>
    <col min="9670" max="9670" width="13.33203125" style="39" bestFit="1" customWidth="1"/>
    <col min="9671" max="9671" width="32.6640625" style="39" customWidth="1"/>
    <col min="9672" max="9672" width="12.33203125" style="39" bestFit="1" customWidth="1"/>
    <col min="9673" max="9673" width="9.109375" style="39"/>
    <col min="9674" max="9674" width="10.6640625" style="39" bestFit="1" customWidth="1"/>
    <col min="9675" max="9679" width="9.109375" style="39"/>
    <col min="9680" max="9680" width="10.6640625" style="39" bestFit="1" customWidth="1"/>
    <col min="9681" max="9687" width="9.109375" style="39"/>
    <col min="9688" max="9688" width="12" style="39" bestFit="1" customWidth="1"/>
    <col min="9689" max="9729" width="9.109375" style="39"/>
    <col min="9730" max="9730" width="12.33203125" style="39" bestFit="1" customWidth="1"/>
    <col min="9731" max="9731" width="10.109375" style="39" bestFit="1" customWidth="1"/>
    <col min="9732" max="9732" width="10.6640625" style="39" bestFit="1" customWidth="1"/>
    <col min="9733" max="9736" width="9.109375" style="39"/>
    <col min="9737" max="9737" width="9.109375" style="39" bestFit="1" customWidth="1"/>
    <col min="9738" max="9738" width="10.6640625" style="39" bestFit="1" customWidth="1"/>
    <col min="9739" max="9739" width="4.5546875" style="39" bestFit="1" customWidth="1"/>
    <col min="9740" max="9740" width="5.5546875" style="39" bestFit="1" customWidth="1"/>
    <col min="9741" max="9741" width="10.6640625" style="39" bestFit="1" customWidth="1"/>
    <col min="9742" max="9745" width="9.109375" style="39"/>
    <col min="9746" max="9746" width="12" style="39" bestFit="1" customWidth="1"/>
    <col min="9747" max="9747" width="32.6640625" style="39" customWidth="1"/>
    <col min="9748" max="9748" width="12.33203125" style="39" bestFit="1" customWidth="1"/>
    <col min="9749" max="9749" width="9.109375" style="39"/>
    <col min="9750" max="9750" width="10.6640625" style="39" bestFit="1" customWidth="1"/>
    <col min="9751" max="9755" width="9.109375" style="39"/>
    <col min="9756" max="9756" width="10.6640625" style="39" bestFit="1" customWidth="1"/>
    <col min="9757" max="9763" width="9.109375" style="39"/>
    <col min="9764" max="9764" width="12" style="39" bestFit="1" customWidth="1"/>
    <col min="9765" max="9765" width="32.6640625" style="39" customWidth="1"/>
    <col min="9766" max="9766" width="12.33203125" style="39" bestFit="1" customWidth="1"/>
    <col min="9767" max="9767" width="9.109375" style="39"/>
    <col min="9768" max="9768" width="10.6640625" style="39" bestFit="1" customWidth="1"/>
    <col min="9769" max="9773" width="9.109375" style="39"/>
    <col min="9774" max="9774" width="10.6640625" style="39" bestFit="1" customWidth="1"/>
    <col min="9775" max="9781" width="9.109375" style="39"/>
    <col min="9782" max="9782" width="12" style="39" bestFit="1" customWidth="1"/>
    <col min="9783" max="9783" width="32.6640625" style="39" customWidth="1"/>
    <col min="9784" max="9784" width="12.33203125" style="39" bestFit="1" customWidth="1"/>
    <col min="9785" max="9785" width="9.109375" style="39"/>
    <col min="9786" max="9786" width="10.6640625" style="39" bestFit="1" customWidth="1"/>
    <col min="9787" max="9791" width="9.109375" style="39"/>
    <col min="9792" max="9792" width="10.6640625" style="39" bestFit="1" customWidth="1"/>
    <col min="9793" max="9799" width="9.109375" style="39"/>
    <col min="9800" max="9800" width="12" style="39" bestFit="1" customWidth="1"/>
    <col min="9801" max="9801" width="32.6640625" style="39" customWidth="1"/>
    <col min="9802" max="9802" width="12.33203125" style="39" bestFit="1" customWidth="1"/>
    <col min="9803" max="9803" width="9.109375" style="39"/>
    <col min="9804" max="9804" width="10.6640625" style="39" bestFit="1" customWidth="1"/>
    <col min="9805" max="9809" width="9.109375" style="39"/>
    <col min="9810" max="9810" width="10.6640625" style="39" bestFit="1" customWidth="1"/>
    <col min="9811" max="9817" width="9.109375" style="39"/>
    <col min="9818" max="9818" width="12" style="39" bestFit="1" customWidth="1"/>
    <col min="9819" max="9819" width="32.6640625" style="39" customWidth="1"/>
    <col min="9820" max="9820" width="12.33203125" style="39" bestFit="1" customWidth="1"/>
    <col min="9821" max="9821" width="9.109375" style="39"/>
    <col min="9822" max="9822" width="10.6640625" style="39" bestFit="1" customWidth="1"/>
    <col min="9823" max="9827" width="9.109375" style="39"/>
    <col min="9828" max="9828" width="10.6640625" style="39" bestFit="1" customWidth="1"/>
    <col min="9829" max="9835" width="9.109375" style="39"/>
    <col min="9836" max="9836" width="12" style="39" bestFit="1" customWidth="1"/>
    <col min="9837" max="9837" width="32.6640625" style="39" customWidth="1"/>
    <col min="9838" max="9838" width="12.33203125" style="39" bestFit="1" customWidth="1"/>
    <col min="9839" max="9839" width="9.109375" style="39"/>
    <col min="9840" max="9840" width="10.6640625" style="39" bestFit="1" customWidth="1"/>
    <col min="9841" max="9845" width="9.109375" style="39"/>
    <col min="9846" max="9846" width="10.6640625" style="39" bestFit="1" customWidth="1"/>
    <col min="9847" max="9853" width="9.109375" style="39"/>
    <col min="9854" max="9854" width="12" style="39" bestFit="1" customWidth="1"/>
    <col min="9855" max="9855" width="32.6640625" style="39" customWidth="1"/>
    <col min="9856" max="9856" width="12.33203125" style="39" bestFit="1" customWidth="1"/>
    <col min="9857" max="9857" width="9.109375" style="39"/>
    <col min="9858" max="9858" width="10.6640625" style="39" bestFit="1" customWidth="1"/>
    <col min="9859" max="9863" width="9.109375" style="39"/>
    <col min="9864" max="9864" width="10.6640625" style="39" bestFit="1" customWidth="1"/>
    <col min="9865" max="9871" width="9.109375" style="39"/>
    <col min="9872" max="9872" width="12" style="39" bestFit="1" customWidth="1"/>
    <col min="9873" max="9873" width="32.6640625" style="39" customWidth="1"/>
    <col min="9874" max="9874" width="12.33203125" style="39" bestFit="1" customWidth="1"/>
    <col min="9875" max="9875" width="9.109375" style="39"/>
    <col min="9876" max="9876" width="10.6640625" style="39" bestFit="1" customWidth="1"/>
    <col min="9877" max="9881" width="9.109375" style="39"/>
    <col min="9882" max="9882" width="10.6640625" style="39" bestFit="1" customWidth="1"/>
    <col min="9883" max="9889" width="9.109375" style="39"/>
    <col min="9890" max="9890" width="12" style="39" bestFit="1" customWidth="1"/>
    <col min="9891" max="9891" width="32.6640625" style="39" customWidth="1"/>
    <col min="9892" max="9892" width="12.33203125" style="39" bestFit="1" customWidth="1"/>
    <col min="9893" max="9893" width="9.109375" style="39"/>
    <col min="9894" max="9894" width="10.6640625" style="39" bestFit="1" customWidth="1"/>
    <col min="9895" max="9899" width="9.109375" style="39"/>
    <col min="9900" max="9900" width="10.6640625" style="39" bestFit="1" customWidth="1"/>
    <col min="9901" max="9907" width="9.109375" style="39"/>
    <col min="9908" max="9908" width="12" style="39" bestFit="1" customWidth="1"/>
    <col min="9909" max="9909" width="32.6640625" style="39" customWidth="1"/>
    <col min="9910" max="9910" width="12.33203125" style="39" bestFit="1" customWidth="1"/>
    <col min="9911" max="9911" width="9.109375" style="39"/>
    <col min="9912" max="9912" width="10.6640625" style="39" bestFit="1" customWidth="1"/>
    <col min="9913" max="9917" width="9.109375" style="39"/>
    <col min="9918" max="9918" width="10.6640625" style="39" bestFit="1" customWidth="1"/>
    <col min="9919" max="9925" width="9.109375" style="39"/>
    <col min="9926" max="9926" width="13.33203125" style="39" bestFit="1" customWidth="1"/>
    <col min="9927" max="9927" width="32.6640625" style="39" customWidth="1"/>
    <col min="9928" max="9928" width="12.33203125" style="39" bestFit="1" customWidth="1"/>
    <col min="9929" max="9929" width="9.109375" style="39"/>
    <col min="9930" max="9930" width="10.6640625" style="39" bestFit="1" customWidth="1"/>
    <col min="9931" max="9935" width="9.109375" style="39"/>
    <col min="9936" max="9936" width="10.6640625" style="39" bestFit="1" customWidth="1"/>
    <col min="9937" max="9943" width="9.109375" style="39"/>
    <col min="9944" max="9944" width="12" style="39" bestFit="1" customWidth="1"/>
    <col min="9945" max="9985" width="9.109375" style="39"/>
    <col min="9986" max="9986" width="12.33203125" style="39" bestFit="1" customWidth="1"/>
    <col min="9987" max="9987" width="10.109375" style="39" bestFit="1" customWidth="1"/>
    <col min="9988" max="9988" width="10.6640625" style="39" bestFit="1" customWidth="1"/>
    <col min="9989" max="9992" width="9.109375" style="39"/>
    <col min="9993" max="9993" width="9.109375" style="39" bestFit="1" customWidth="1"/>
    <col min="9994" max="9994" width="10.6640625" style="39" bestFit="1" customWidth="1"/>
    <col min="9995" max="9995" width="4.5546875" style="39" bestFit="1" customWidth="1"/>
    <col min="9996" max="9996" width="5.5546875" style="39" bestFit="1" customWidth="1"/>
    <col min="9997" max="9997" width="10.6640625" style="39" bestFit="1" customWidth="1"/>
    <col min="9998" max="10001" width="9.109375" style="39"/>
    <col min="10002" max="10002" width="12" style="39" bestFit="1" customWidth="1"/>
    <col min="10003" max="10003" width="32.6640625" style="39" customWidth="1"/>
    <col min="10004" max="10004" width="12.33203125" style="39" bestFit="1" customWidth="1"/>
    <col min="10005" max="10005" width="9.109375" style="39"/>
    <col min="10006" max="10006" width="10.6640625" style="39" bestFit="1" customWidth="1"/>
    <col min="10007" max="10011" width="9.109375" style="39"/>
    <col min="10012" max="10012" width="10.6640625" style="39" bestFit="1" customWidth="1"/>
    <col min="10013" max="10019" width="9.109375" style="39"/>
    <col min="10020" max="10020" width="12" style="39" bestFit="1" customWidth="1"/>
    <col min="10021" max="10021" width="32.6640625" style="39" customWidth="1"/>
    <col min="10022" max="10022" width="12.33203125" style="39" bestFit="1" customWidth="1"/>
    <col min="10023" max="10023" width="9.109375" style="39"/>
    <col min="10024" max="10024" width="10.6640625" style="39" bestFit="1" customWidth="1"/>
    <col min="10025" max="10029" width="9.109375" style="39"/>
    <col min="10030" max="10030" width="10.6640625" style="39" bestFit="1" customWidth="1"/>
    <col min="10031" max="10037" width="9.109375" style="39"/>
    <col min="10038" max="10038" width="12" style="39" bestFit="1" customWidth="1"/>
    <col min="10039" max="10039" width="32.6640625" style="39" customWidth="1"/>
    <col min="10040" max="10040" width="12.33203125" style="39" bestFit="1" customWidth="1"/>
    <col min="10041" max="10041" width="9.109375" style="39"/>
    <col min="10042" max="10042" width="10.6640625" style="39" bestFit="1" customWidth="1"/>
    <col min="10043" max="10047" width="9.109375" style="39"/>
    <col min="10048" max="10048" width="10.6640625" style="39" bestFit="1" customWidth="1"/>
    <col min="10049" max="10055" width="9.109375" style="39"/>
    <col min="10056" max="10056" width="12" style="39" bestFit="1" customWidth="1"/>
    <col min="10057" max="10057" width="32.6640625" style="39" customWidth="1"/>
    <col min="10058" max="10058" width="12.33203125" style="39" bestFit="1" customWidth="1"/>
    <col min="10059" max="10059" width="9.109375" style="39"/>
    <col min="10060" max="10060" width="10.6640625" style="39" bestFit="1" customWidth="1"/>
    <col min="10061" max="10065" width="9.109375" style="39"/>
    <col min="10066" max="10066" width="10.6640625" style="39" bestFit="1" customWidth="1"/>
    <col min="10067" max="10073" width="9.109375" style="39"/>
    <col min="10074" max="10074" width="12" style="39" bestFit="1" customWidth="1"/>
    <col min="10075" max="10075" width="32.6640625" style="39" customWidth="1"/>
    <col min="10076" max="10076" width="12.33203125" style="39" bestFit="1" customWidth="1"/>
    <col min="10077" max="10077" width="9.109375" style="39"/>
    <col min="10078" max="10078" width="10.6640625" style="39" bestFit="1" customWidth="1"/>
    <col min="10079" max="10083" width="9.109375" style="39"/>
    <col min="10084" max="10084" width="10.6640625" style="39" bestFit="1" customWidth="1"/>
    <col min="10085" max="10091" width="9.109375" style="39"/>
    <col min="10092" max="10092" width="12" style="39" bestFit="1" customWidth="1"/>
    <col min="10093" max="10093" width="32.6640625" style="39" customWidth="1"/>
    <col min="10094" max="10094" width="12.33203125" style="39" bestFit="1" customWidth="1"/>
    <col min="10095" max="10095" width="9.109375" style="39"/>
    <col min="10096" max="10096" width="10.6640625" style="39" bestFit="1" customWidth="1"/>
    <col min="10097" max="10101" width="9.109375" style="39"/>
    <col min="10102" max="10102" width="10.6640625" style="39" bestFit="1" customWidth="1"/>
    <col min="10103" max="10109" width="9.109375" style="39"/>
    <col min="10110" max="10110" width="12" style="39" bestFit="1" customWidth="1"/>
    <col min="10111" max="10111" width="32.6640625" style="39" customWidth="1"/>
    <col min="10112" max="10112" width="12.33203125" style="39" bestFit="1" customWidth="1"/>
    <col min="10113" max="10113" width="9.109375" style="39"/>
    <col min="10114" max="10114" width="10.6640625" style="39" bestFit="1" customWidth="1"/>
    <col min="10115" max="10119" width="9.109375" style="39"/>
    <col min="10120" max="10120" width="10.6640625" style="39" bestFit="1" customWidth="1"/>
    <col min="10121" max="10127" width="9.109375" style="39"/>
    <col min="10128" max="10128" width="12" style="39" bestFit="1" customWidth="1"/>
    <col min="10129" max="10129" width="32.6640625" style="39" customWidth="1"/>
    <col min="10130" max="10130" width="12.33203125" style="39" bestFit="1" customWidth="1"/>
    <col min="10131" max="10131" width="9.109375" style="39"/>
    <col min="10132" max="10132" width="10.6640625" style="39" bestFit="1" customWidth="1"/>
    <col min="10133" max="10137" width="9.109375" style="39"/>
    <col min="10138" max="10138" width="10.6640625" style="39" bestFit="1" customWidth="1"/>
    <col min="10139" max="10145" width="9.109375" style="39"/>
    <col min="10146" max="10146" width="12" style="39" bestFit="1" customWidth="1"/>
    <col min="10147" max="10147" width="32.6640625" style="39" customWidth="1"/>
    <col min="10148" max="10148" width="12.33203125" style="39" bestFit="1" customWidth="1"/>
    <col min="10149" max="10149" width="9.109375" style="39"/>
    <col min="10150" max="10150" width="10.6640625" style="39" bestFit="1" customWidth="1"/>
    <col min="10151" max="10155" width="9.109375" style="39"/>
    <col min="10156" max="10156" width="10.6640625" style="39" bestFit="1" customWidth="1"/>
    <col min="10157" max="10163" width="9.109375" style="39"/>
    <col min="10164" max="10164" width="12" style="39" bestFit="1" customWidth="1"/>
    <col min="10165" max="10165" width="32.6640625" style="39" customWidth="1"/>
    <col min="10166" max="10166" width="12.33203125" style="39" bestFit="1" customWidth="1"/>
    <col min="10167" max="10167" width="9.109375" style="39"/>
    <col min="10168" max="10168" width="10.6640625" style="39" bestFit="1" customWidth="1"/>
    <col min="10169" max="10173" width="9.109375" style="39"/>
    <col min="10174" max="10174" width="10.6640625" style="39" bestFit="1" customWidth="1"/>
    <col min="10175" max="10181" width="9.109375" style="39"/>
    <col min="10182" max="10182" width="13.33203125" style="39" bestFit="1" customWidth="1"/>
    <col min="10183" max="10183" width="32.6640625" style="39" customWidth="1"/>
    <col min="10184" max="10184" width="12.33203125" style="39" bestFit="1" customWidth="1"/>
    <col min="10185" max="10185" width="9.109375" style="39"/>
    <col min="10186" max="10186" width="10.6640625" style="39" bestFit="1" customWidth="1"/>
    <col min="10187" max="10191" width="9.109375" style="39"/>
    <col min="10192" max="10192" width="10.6640625" style="39" bestFit="1" customWidth="1"/>
    <col min="10193" max="10199" width="9.109375" style="39"/>
    <col min="10200" max="10200" width="12" style="39" bestFit="1" customWidth="1"/>
    <col min="10201" max="10241" width="9.109375" style="39"/>
    <col min="10242" max="10242" width="12.33203125" style="39" bestFit="1" customWidth="1"/>
    <col min="10243" max="10243" width="10.109375" style="39" bestFit="1" customWidth="1"/>
    <col min="10244" max="10244" width="10.6640625" style="39" bestFit="1" customWidth="1"/>
    <col min="10245" max="10248" width="9.109375" style="39"/>
    <col min="10249" max="10249" width="9.109375" style="39" bestFit="1" customWidth="1"/>
    <col min="10250" max="10250" width="10.6640625" style="39" bestFit="1" customWidth="1"/>
    <col min="10251" max="10251" width="4.5546875" style="39" bestFit="1" customWidth="1"/>
    <col min="10252" max="10252" width="5.5546875" style="39" bestFit="1" customWidth="1"/>
    <col min="10253" max="10253" width="10.6640625" style="39" bestFit="1" customWidth="1"/>
    <col min="10254" max="10257" width="9.109375" style="39"/>
    <col min="10258" max="10258" width="12" style="39" bestFit="1" customWidth="1"/>
    <col min="10259" max="10259" width="32.6640625" style="39" customWidth="1"/>
    <col min="10260" max="10260" width="12.33203125" style="39" bestFit="1" customWidth="1"/>
    <col min="10261" max="10261" width="9.109375" style="39"/>
    <col min="10262" max="10262" width="10.6640625" style="39" bestFit="1" customWidth="1"/>
    <col min="10263" max="10267" width="9.109375" style="39"/>
    <col min="10268" max="10268" width="10.6640625" style="39" bestFit="1" customWidth="1"/>
    <col min="10269" max="10275" width="9.109375" style="39"/>
    <col min="10276" max="10276" width="12" style="39" bestFit="1" customWidth="1"/>
    <col min="10277" max="10277" width="32.6640625" style="39" customWidth="1"/>
    <col min="10278" max="10278" width="12.33203125" style="39" bestFit="1" customWidth="1"/>
    <col min="10279" max="10279" width="9.109375" style="39"/>
    <col min="10280" max="10280" width="10.6640625" style="39" bestFit="1" customWidth="1"/>
    <col min="10281" max="10285" width="9.109375" style="39"/>
    <col min="10286" max="10286" width="10.6640625" style="39" bestFit="1" customWidth="1"/>
    <col min="10287" max="10293" width="9.109375" style="39"/>
    <col min="10294" max="10294" width="12" style="39" bestFit="1" customWidth="1"/>
    <col min="10295" max="10295" width="32.6640625" style="39" customWidth="1"/>
    <col min="10296" max="10296" width="12.33203125" style="39" bestFit="1" customWidth="1"/>
    <col min="10297" max="10297" width="9.109375" style="39"/>
    <col min="10298" max="10298" width="10.6640625" style="39" bestFit="1" customWidth="1"/>
    <col min="10299" max="10303" width="9.109375" style="39"/>
    <col min="10304" max="10304" width="10.6640625" style="39" bestFit="1" customWidth="1"/>
    <col min="10305" max="10311" width="9.109375" style="39"/>
    <col min="10312" max="10312" width="12" style="39" bestFit="1" customWidth="1"/>
    <col min="10313" max="10313" width="32.6640625" style="39" customWidth="1"/>
    <col min="10314" max="10314" width="12.33203125" style="39" bestFit="1" customWidth="1"/>
    <col min="10315" max="10315" width="9.109375" style="39"/>
    <col min="10316" max="10316" width="10.6640625" style="39" bestFit="1" customWidth="1"/>
    <col min="10317" max="10321" width="9.109375" style="39"/>
    <col min="10322" max="10322" width="10.6640625" style="39" bestFit="1" customWidth="1"/>
    <col min="10323" max="10329" width="9.109375" style="39"/>
    <col min="10330" max="10330" width="12" style="39" bestFit="1" customWidth="1"/>
    <col min="10331" max="10331" width="32.6640625" style="39" customWidth="1"/>
    <col min="10332" max="10332" width="12.33203125" style="39" bestFit="1" customWidth="1"/>
    <col min="10333" max="10333" width="9.109375" style="39"/>
    <col min="10334" max="10334" width="10.6640625" style="39" bestFit="1" customWidth="1"/>
    <col min="10335" max="10339" width="9.109375" style="39"/>
    <col min="10340" max="10340" width="10.6640625" style="39" bestFit="1" customWidth="1"/>
    <col min="10341" max="10347" width="9.109375" style="39"/>
    <col min="10348" max="10348" width="12" style="39" bestFit="1" customWidth="1"/>
    <col min="10349" max="10349" width="32.6640625" style="39" customWidth="1"/>
    <col min="10350" max="10350" width="12.33203125" style="39" bestFit="1" customWidth="1"/>
    <col min="10351" max="10351" width="9.109375" style="39"/>
    <col min="10352" max="10352" width="10.6640625" style="39" bestFit="1" customWidth="1"/>
    <col min="10353" max="10357" width="9.109375" style="39"/>
    <col min="10358" max="10358" width="10.6640625" style="39" bestFit="1" customWidth="1"/>
    <col min="10359" max="10365" width="9.109375" style="39"/>
    <col min="10366" max="10366" width="12" style="39" bestFit="1" customWidth="1"/>
    <col min="10367" max="10367" width="32.6640625" style="39" customWidth="1"/>
    <col min="10368" max="10368" width="12.33203125" style="39" bestFit="1" customWidth="1"/>
    <col min="10369" max="10369" width="9.109375" style="39"/>
    <col min="10370" max="10370" width="10.6640625" style="39" bestFit="1" customWidth="1"/>
    <col min="10371" max="10375" width="9.109375" style="39"/>
    <col min="10376" max="10376" width="10.6640625" style="39" bestFit="1" customWidth="1"/>
    <col min="10377" max="10383" width="9.109375" style="39"/>
    <col min="10384" max="10384" width="12" style="39" bestFit="1" customWidth="1"/>
    <col min="10385" max="10385" width="32.6640625" style="39" customWidth="1"/>
    <col min="10386" max="10386" width="12.33203125" style="39" bestFit="1" customWidth="1"/>
    <col min="10387" max="10387" width="9.109375" style="39"/>
    <col min="10388" max="10388" width="10.6640625" style="39" bestFit="1" customWidth="1"/>
    <col min="10389" max="10393" width="9.109375" style="39"/>
    <col min="10394" max="10394" width="10.6640625" style="39" bestFit="1" customWidth="1"/>
    <col min="10395" max="10401" width="9.109375" style="39"/>
    <col min="10402" max="10402" width="12" style="39" bestFit="1" customWidth="1"/>
    <col min="10403" max="10403" width="32.6640625" style="39" customWidth="1"/>
    <col min="10404" max="10404" width="12.33203125" style="39" bestFit="1" customWidth="1"/>
    <col min="10405" max="10405" width="9.109375" style="39"/>
    <col min="10406" max="10406" width="10.6640625" style="39" bestFit="1" customWidth="1"/>
    <col min="10407" max="10411" width="9.109375" style="39"/>
    <col min="10412" max="10412" width="10.6640625" style="39" bestFit="1" customWidth="1"/>
    <col min="10413" max="10419" width="9.109375" style="39"/>
    <col min="10420" max="10420" width="12" style="39" bestFit="1" customWidth="1"/>
    <col min="10421" max="10421" width="32.6640625" style="39" customWidth="1"/>
    <col min="10422" max="10422" width="12.33203125" style="39" bestFit="1" customWidth="1"/>
    <col min="10423" max="10423" width="9.109375" style="39"/>
    <col min="10424" max="10424" width="10.6640625" style="39" bestFit="1" customWidth="1"/>
    <col min="10425" max="10429" width="9.109375" style="39"/>
    <col min="10430" max="10430" width="10.6640625" style="39" bestFit="1" customWidth="1"/>
    <col min="10431" max="10437" width="9.109375" style="39"/>
    <col min="10438" max="10438" width="13.33203125" style="39" bestFit="1" customWidth="1"/>
    <col min="10439" max="10439" width="32.6640625" style="39" customWidth="1"/>
    <col min="10440" max="10440" width="12.33203125" style="39" bestFit="1" customWidth="1"/>
    <col min="10441" max="10441" width="9.109375" style="39"/>
    <col min="10442" max="10442" width="10.6640625" style="39" bestFit="1" customWidth="1"/>
    <col min="10443" max="10447" width="9.109375" style="39"/>
    <col min="10448" max="10448" width="10.6640625" style="39" bestFit="1" customWidth="1"/>
    <col min="10449" max="10455" width="9.109375" style="39"/>
    <col min="10456" max="10456" width="12" style="39" bestFit="1" customWidth="1"/>
    <col min="10457" max="10497" width="9.109375" style="39"/>
    <col min="10498" max="10498" width="12.33203125" style="39" bestFit="1" customWidth="1"/>
    <col min="10499" max="10499" width="10.109375" style="39" bestFit="1" customWidth="1"/>
    <col min="10500" max="10500" width="10.6640625" style="39" bestFit="1" customWidth="1"/>
    <col min="10501" max="10504" width="9.109375" style="39"/>
    <col min="10505" max="10505" width="9.109375" style="39" bestFit="1" customWidth="1"/>
    <col min="10506" max="10506" width="10.6640625" style="39" bestFit="1" customWidth="1"/>
    <col min="10507" max="10507" width="4.5546875" style="39" bestFit="1" customWidth="1"/>
    <col min="10508" max="10508" width="5.5546875" style="39" bestFit="1" customWidth="1"/>
    <col min="10509" max="10509" width="10.6640625" style="39" bestFit="1" customWidth="1"/>
    <col min="10510" max="10513" width="9.109375" style="39"/>
    <col min="10514" max="10514" width="12" style="39" bestFit="1" customWidth="1"/>
    <col min="10515" max="10515" width="32.6640625" style="39" customWidth="1"/>
    <col min="10516" max="10516" width="12.33203125" style="39" bestFit="1" customWidth="1"/>
    <col min="10517" max="10517" width="9.109375" style="39"/>
    <col min="10518" max="10518" width="10.6640625" style="39" bestFit="1" customWidth="1"/>
    <col min="10519" max="10523" width="9.109375" style="39"/>
    <col min="10524" max="10524" width="10.6640625" style="39" bestFit="1" customWidth="1"/>
    <col min="10525" max="10531" width="9.109375" style="39"/>
    <col min="10532" max="10532" width="12" style="39" bestFit="1" customWidth="1"/>
    <col min="10533" max="10533" width="32.6640625" style="39" customWidth="1"/>
    <col min="10534" max="10534" width="12.33203125" style="39" bestFit="1" customWidth="1"/>
    <col min="10535" max="10535" width="9.109375" style="39"/>
    <col min="10536" max="10536" width="10.6640625" style="39" bestFit="1" customWidth="1"/>
    <col min="10537" max="10541" width="9.109375" style="39"/>
    <col min="10542" max="10542" width="10.6640625" style="39" bestFit="1" customWidth="1"/>
    <col min="10543" max="10549" width="9.109375" style="39"/>
    <col min="10550" max="10550" width="12" style="39" bestFit="1" customWidth="1"/>
    <col min="10551" max="10551" width="32.6640625" style="39" customWidth="1"/>
    <col min="10552" max="10552" width="12.33203125" style="39" bestFit="1" customWidth="1"/>
    <col min="10553" max="10553" width="9.109375" style="39"/>
    <col min="10554" max="10554" width="10.6640625" style="39" bestFit="1" customWidth="1"/>
    <col min="10555" max="10559" width="9.109375" style="39"/>
    <col min="10560" max="10560" width="10.6640625" style="39" bestFit="1" customWidth="1"/>
    <col min="10561" max="10567" width="9.109375" style="39"/>
    <col min="10568" max="10568" width="12" style="39" bestFit="1" customWidth="1"/>
    <col min="10569" max="10569" width="32.6640625" style="39" customWidth="1"/>
    <col min="10570" max="10570" width="12.33203125" style="39" bestFit="1" customWidth="1"/>
    <col min="10571" max="10571" width="9.109375" style="39"/>
    <col min="10572" max="10572" width="10.6640625" style="39" bestFit="1" customWidth="1"/>
    <col min="10573" max="10577" width="9.109375" style="39"/>
    <col min="10578" max="10578" width="10.6640625" style="39" bestFit="1" customWidth="1"/>
    <col min="10579" max="10585" width="9.109375" style="39"/>
    <col min="10586" max="10586" width="12" style="39" bestFit="1" customWidth="1"/>
    <col min="10587" max="10587" width="32.6640625" style="39" customWidth="1"/>
    <col min="10588" max="10588" width="12.33203125" style="39" bestFit="1" customWidth="1"/>
    <col min="10589" max="10589" width="9.109375" style="39"/>
    <col min="10590" max="10590" width="10.6640625" style="39" bestFit="1" customWidth="1"/>
    <col min="10591" max="10595" width="9.109375" style="39"/>
    <col min="10596" max="10596" width="10.6640625" style="39" bestFit="1" customWidth="1"/>
    <col min="10597" max="10603" width="9.109375" style="39"/>
    <col min="10604" max="10604" width="12" style="39" bestFit="1" customWidth="1"/>
    <col min="10605" max="10605" width="32.6640625" style="39" customWidth="1"/>
    <col min="10606" max="10606" width="12.33203125" style="39" bestFit="1" customWidth="1"/>
    <col min="10607" max="10607" width="9.109375" style="39"/>
    <col min="10608" max="10608" width="10.6640625" style="39" bestFit="1" customWidth="1"/>
    <col min="10609" max="10613" width="9.109375" style="39"/>
    <col min="10614" max="10614" width="10.6640625" style="39" bestFit="1" customWidth="1"/>
    <col min="10615" max="10621" width="9.109375" style="39"/>
    <col min="10622" max="10622" width="12" style="39" bestFit="1" customWidth="1"/>
    <col min="10623" max="10623" width="32.6640625" style="39" customWidth="1"/>
    <col min="10624" max="10624" width="12.33203125" style="39" bestFit="1" customWidth="1"/>
    <col min="10625" max="10625" width="9.109375" style="39"/>
    <col min="10626" max="10626" width="10.6640625" style="39" bestFit="1" customWidth="1"/>
    <col min="10627" max="10631" width="9.109375" style="39"/>
    <col min="10632" max="10632" width="10.6640625" style="39" bestFit="1" customWidth="1"/>
    <col min="10633" max="10639" width="9.109375" style="39"/>
    <col min="10640" max="10640" width="12" style="39" bestFit="1" customWidth="1"/>
    <col min="10641" max="10641" width="32.6640625" style="39" customWidth="1"/>
    <col min="10642" max="10642" width="12.33203125" style="39" bestFit="1" customWidth="1"/>
    <col min="10643" max="10643" width="9.109375" style="39"/>
    <col min="10644" max="10644" width="10.6640625" style="39" bestFit="1" customWidth="1"/>
    <col min="10645" max="10649" width="9.109375" style="39"/>
    <col min="10650" max="10650" width="10.6640625" style="39" bestFit="1" customWidth="1"/>
    <col min="10651" max="10657" width="9.109375" style="39"/>
    <col min="10658" max="10658" width="12" style="39" bestFit="1" customWidth="1"/>
    <col min="10659" max="10659" width="32.6640625" style="39" customWidth="1"/>
    <col min="10660" max="10660" width="12.33203125" style="39" bestFit="1" customWidth="1"/>
    <col min="10661" max="10661" width="9.109375" style="39"/>
    <col min="10662" max="10662" width="10.6640625" style="39" bestFit="1" customWidth="1"/>
    <col min="10663" max="10667" width="9.109375" style="39"/>
    <col min="10668" max="10668" width="10.6640625" style="39" bestFit="1" customWidth="1"/>
    <col min="10669" max="10675" width="9.109375" style="39"/>
    <col min="10676" max="10676" width="12" style="39" bestFit="1" customWidth="1"/>
    <col min="10677" max="10677" width="32.6640625" style="39" customWidth="1"/>
    <col min="10678" max="10678" width="12.33203125" style="39" bestFit="1" customWidth="1"/>
    <col min="10679" max="10679" width="9.109375" style="39"/>
    <col min="10680" max="10680" width="10.6640625" style="39" bestFit="1" customWidth="1"/>
    <col min="10681" max="10685" width="9.109375" style="39"/>
    <col min="10686" max="10686" width="10.6640625" style="39" bestFit="1" customWidth="1"/>
    <col min="10687" max="10693" width="9.109375" style="39"/>
    <col min="10694" max="10694" width="13.33203125" style="39" bestFit="1" customWidth="1"/>
    <col min="10695" max="10695" width="32.6640625" style="39" customWidth="1"/>
    <col min="10696" max="10696" width="12.33203125" style="39" bestFit="1" customWidth="1"/>
    <col min="10697" max="10697" width="9.109375" style="39"/>
    <col min="10698" max="10698" width="10.6640625" style="39" bestFit="1" customWidth="1"/>
    <col min="10699" max="10703" width="9.109375" style="39"/>
    <col min="10704" max="10704" width="10.6640625" style="39" bestFit="1" customWidth="1"/>
    <col min="10705" max="10711" width="9.109375" style="39"/>
    <col min="10712" max="10712" width="12" style="39" bestFit="1" customWidth="1"/>
    <col min="10713" max="10753" width="9.109375" style="39"/>
    <col min="10754" max="10754" width="12.33203125" style="39" bestFit="1" customWidth="1"/>
    <col min="10755" max="10755" width="10.109375" style="39" bestFit="1" customWidth="1"/>
    <col min="10756" max="10756" width="10.6640625" style="39" bestFit="1" customWidth="1"/>
    <col min="10757" max="10760" width="9.109375" style="39"/>
    <col min="10761" max="10761" width="9.109375" style="39" bestFit="1" customWidth="1"/>
    <col min="10762" max="10762" width="10.6640625" style="39" bestFit="1" customWidth="1"/>
    <col min="10763" max="10763" width="4.5546875" style="39" bestFit="1" customWidth="1"/>
    <col min="10764" max="10764" width="5.5546875" style="39" bestFit="1" customWidth="1"/>
    <col min="10765" max="10765" width="10.6640625" style="39" bestFit="1" customWidth="1"/>
    <col min="10766" max="10769" width="9.109375" style="39"/>
    <col min="10770" max="10770" width="12" style="39" bestFit="1" customWidth="1"/>
    <col min="10771" max="10771" width="32.6640625" style="39" customWidth="1"/>
    <col min="10772" max="10772" width="12.33203125" style="39" bestFit="1" customWidth="1"/>
    <col min="10773" max="10773" width="9.109375" style="39"/>
    <col min="10774" max="10774" width="10.6640625" style="39" bestFit="1" customWidth="1"/>
    <col min="10775" max="10779" width="9.109375" style="39"/>
    <col min="10780" max="10780" width="10.6640625" style="39" bestFit="1" customWidth="1"/>
    <col min="10781" max="10787" width="9.109375" style="39"/>
    <col min="10788" max="10788" width="12" style="39" bestFit="1" customWidth="1"/>
    <col min="10789" max="10789" width="32.6640625" style="39" customWidth="1"/>
    <col min="10790" max="10790" width="12.33203125" style="39" bestFit="1" customWidth="1"/>
    <col min="10791" max="10791" width="9.109375" style="39"/>
    <col min="10792" max="10792" width="10.6640625" style="39" bestFit="1" customWidth="1"/>
    <col min="10793" max="10797" width="9.109375" style="39"/>
    <col min="10798" max="10798" width="10.6640625" style="39" bestFit="1" customWidth="1"/>
    <col min="10799" max="10805" width="9.109375" style="39"/>
    <col min="10806" max="10806" width="12" style="39" bestFit="1" customWidth="1"/>
    <col min="10807" max="10807" width="32.6640625" style="39" customWidth="1"/>
    <col min="10808" max="10808" width="12.33203125" style="39" bestFit="1" customWidth="1"/>
    <col min="10809" max="10809" width="9.109375" style="39"/>
    <col min="10810" max="10810" width="10.6640625" style="39" bestFit="1" customWidth="1"/>
    <col min="10811" max="10815" width="9.109375" style="39"/>
    <col min="10816" max="10816" width="10.6640625" style="39" bestFit="1" customWidth="1"/>
    <col min="10817" max="10823" width="9.109375" style="39"/>
    <col min="10824" max="10824" width="12" style="39" bestFit="1" customWidth="1"/>
    <col min="10825" max="10825" width="32.6640625" style="39" customWidth="1"/>
    <col min="10826" max="10826" width="12.33203125" style="39" bestFit="1" customWidth="1"/>
    <col min="10827" max="10827" width="9.109375" style="39"/>
    <col min="10828" max="10828" width="10.6640625" style="39" bestFit="1" customWidth="1"/>
    <col min="10829" max="10833" width="9.109375" style="39"/>
    <col min="10834" max="10834" width="10.6640625" style="39" bestFit="1" customWidth="1"/>
    <col min="10835" max="10841" width="9.109375" style="39"/>
    <col min="10842" max="10842" width="12" style="39" bestFit="1" customWidth="1"/>
    <col min="10843" max="10843" width="32.6640625" style="39" customWidth="1"/>
    <col min="10844" max="10844" width="12.33203125" style="39" bestFit="1" customWidth="1"/>
    <col min="10845" max="10845" width="9.109375" style="39"/>
    <col min="10846" max="10846" width="10.6640625" style="39" bestFit="1" customWidth="1"/>
    <col min="10847" max="10851" width="9.109375" style="39"/>
    <col min="10852" max="10852" width="10.6640625" style="39" bestFit="1" customWidth="1"/>
    <col min="10853" max="10859" width="9.109375" style="39"/>
    <col min="10860" max="10860" width="12" style="39" bestFit="1" customWidth="1"/>
    <col min="10861" max="10861" width="32.6640625" style="39" customWidth="1"/>
    <col min="10862" max="10862" width="12.33203125" style="39" bestFit="1" customWidth="1"/>
    <col min="10863" max="10863" width="9.109375" style="39"/>
    <col min="10864" max="10864" width="10.6640625" style="39" bestFit="1" customWidth="1"/>
    <col min="10865" max="10869" width="9.109375" style="39"/>
    <col min="10870" max="10870" width="10.6640625" style="39" bestFit="1" customWidth="1"/>
    <col min="10871" max="10877" width="9.109375" style="39"/>
    <col min="10878" max="10878" width="12" style="39" bestFit="1" customWidth="1"/>
    <col min="10879" max="10879" width="32.6640625" style="39" customWidth="1"/>
    <col min="10880" max="10880" width="12.33203125" style="39" bestFit="1" customWidth="1"/>
    <col min="10881" max="10881" width="9.109375" style="39"/>
    <col min="10882" max="10882" width="10.6640625" style="39" bestFit="1" customWidth="1"/>
    <col min="10883" max="10887" width="9.109375" style="39"/>
    <col min="10888" max="10888" width="10.6640625" style="39" bestFit="1" customWidth="1"/>
    <col min="10889" max="10895" width="9.109375" style="39"/>
    <col min="10896" max="10896" width="12" style="39" bestFit="1" customWidth="1"/>
    <col min="10897" max="10897" width="32.6640625" style="39" customWidth="1"/>
    <col min="10898" max="10898" width="12.33203125" style="39" bestFit="1" customWidth="1"/>
    <col min="10899" max="10899" width="9.109375" style="39"/>
    <col min="10900" max="10900" width="10.6640625" style="39" bestFit="1" customWidth="1"/>
    <col min="10901" max="10905" width="9.109375" style="39"/>
    <col min="10906" max="10906" width="10.6640625" style="39" bestFit="1" customWidth="1"/>
    <col min="10907" max="10913" width="9.109375" style="39"/>
    <col min="10914" max="10914" width="12" style="39" bestFit="1" customWidth="1"/>
    <col min="10915" max="10915" width="32.6640625" style="39" customWidth="1"/>
    <col min="10916" max="10916" width="12.33203125" style="39" bestFit="1" customWidth="1"/>
    <col min="10917" max="10917" width="9.109375" style="39"/>
    <col min="10918" max="10918" width="10.6640625" style="39" bestFit="1" customWidth="1"/>
    <col min="10919" max="10923" width="9.109375" style="39"/>
    <col min="10924" max="10924" width="10.6640625" style="39" bestFit="1" customWidth="1"/>
    <col min="10925" max="10931" width="9.109375" style="39"/>
    <col min="10932" max="10932" width="12" style="39" bestFit="1" customWidth="1"/>
    <col min="10933" max="10933" width="32.6640625" style="39" customWidth="1"/>
    <col min="10934" max="10934" width="12.33203125" style="39" bestFit="1" customWidth="1"/>
    <col min="10935" max="10935" width="9.109375" style="39"/>
    <col min="10936" max="10936" width="10.6640625" style="39" bestFit="1" customWidth="1"/>
    <col min="10937" max="10941" width="9.109375" style="39"/>
    <col min="10942" max="10942" width="10.6640625" style="39" bestFit="1" customWidth="1"/>
    <col min="10943" max="10949" width="9.109375" style="39"/>
    <col min="10950" max="10950" width="13.33203125" style="39" bestFit="1" customWidth="1"/>
    <col min="10951" max="10951" width="32.6640625" style="39" customWidth="1"/>
    <col min="10952" max="10952" width="12.33203125" style="39" bestFit="1" customWidth="1"/>
    <col min="10953" max="10953" width="9.109375" style="39"/>
    <col min="10954" max="10954" width="10.6640625" style="39" bestFit="1" customWidth="1"/>
    <col min="10955" max="10959" width="9.109375" style="39"/>
    <col min="10960" max="10960" width="10.6640625" style="39" bestFit="1" customWidth="1"/>
    <col min="10961" max="10967" width="9.109375" style="39"/>
    <col min="10968" max="10968" width="12" style="39" bestFit="1" customWidth="1"/>
    <col min="10969" max="11009" width="9.109375" style="39"/>
    <col min="11010" max="11010" width="12.33203125" style="39" bestFit="1" customWidth="1"/>
    <col min="11011" max="11011" width="10.109375" style="39" bestFit="1" customWidth="1"/>
    <col min="11012" max="11012" width="10.6640625" style="39" bestFit="1" customWidth="1"/>
    <col min="11013" max="11016" width="9.109375" style="39"/>
    <col min="11017" max="11017" width="9.109375" style="39" bestFit="1" customWidth="1"/>
    <col min="11018" max="11018" width="10.6640625" style="39" bestFit="1" customWidth="1"/>
    <col min="11019" max="11019" width="4.5546875" style="39" bestFit="1" customWidth="1"/>
    <col min="11020" max="11020" width="5.5546875" style="39" bestFit="1" customWidth="1"/>
    <col min="11021" max="11021" width="10.6640625" style="39" bestFit="1" customWidth="1"/>
    <col min="11022" max="11025" width="9.109375" style="39"/>
    <col min="11026" max="11026" width="12" style="39" bestFit="1" customWidth="1"/>
    <col min="11027" max="11027" width="32.6640625" style="39" customWidth="1"/>
    <col min="11028" max="11028" width="12.33203125" style="39" bestFit="1" customWidth="1"/>
    <col min="11029" max="11029" width="9.109375" style="39"/>
    <col min="11030" max="11030" width="10.6640625" style="39" bestFit="1" customWidth="1"/>
    <col min="11031" max="11035" width="9.109375" style="39"/>
    <col min="11036" max="11036" width="10.6640625" style="39" bestFit="1" customWidth="1"/>
    <col min="11037" max="11043" width="9.109375" style="39"/>
    <col min="11044" max="11044" width="12" style="39" bestFit="1" customWidth="1"/>
    <col min="11045" max="11045" width="32.6640625" style="39" customWidth="1"/>
    <col min="11046" max="11046" width="12.33203125" style="39" bestFit="1" customWidth="1"/>
    <col min="11047" max="11047" width="9.109375" style="39"/>
    <col min="11048" max="11048" width="10.6640625" style="39" bestFit="1" customWidth="1"/>
    <col min="11049" max="11053" width="9.109375" style="39"/>
    <col min="11054" max="11054" width="10.6640625" style="39" bestFit="1" customWidth="1"/>
    <col min="11055" max="11061" width="9.109375" style="39"/>
    <col min="11062" max="11062" width="12" style="39" bestFit="1" customWidth="1"/>
    <col min="11063" max="11063" width="32.6640625" style="39" customWidth="1"/>
    <col min="11064" max="11064" width="12.33203125" style="39" bestFit="1" customWidth="1"/>
    <col min="11065" max="11065" width="9.109375" style="39"/>
    <col min="11066" max="11066" width="10.6640625" style="39" bestFit="1" customWidth="1"/>
    <col min="11067" max="11071" width="9.109375" style="39"/>
    <col min="11072" max="11072" width="10.6640625" style="39" bestFit="1" customWidth="1"/>
    <col min="11073" max="11079" width="9.109375" style="39"/>
    <col min="11080" max="11080" width="12" style="39" bestFit="1" customWidth="1"/>
    <col min="11081" max="11081" width="32.6640625" style="39" customWidth="1"/>
    <col min="11082" max="11082" width="12.33203125" style="39" bestFit="1" customWidth="1"/>
    <col min="11083" max="11083" width="9.109375" style="39"/>
    <col min="11084" max="11084" width="10.6640625" style="39" bestFit="1" customWidth="1"/>
    <col min="11085" max="11089" width="9.109375" style="39"/>
    <col min="11090" max="11090" width="10.6640625" style="39" bestFit="1" customWidth="1"/>
    <col min="11091" max="11097" width="9.109375" style="39"/>
    <col min="11098" max="11098" width="12" style="39" bestFit="1" customWidth="1"/>
    <col min="11099" max="11099" width="32.6640625" style="39" customWidth="1"/>
    <col min="11100" max="11100" width="12.33203125" style="39" bestFit="1" customWidth="1"/>
    <col min="11101" max="11101" width="9.109375" style="39"/>
    <col min="11102" max="11102" width="10.6640625" style="39" bestFit="1" customWidth="1"/>
    <col min="11103" max="11107" width="9.109375" style="39"/>
    <col min="11108" max="11108" width="10.6640625" style="39" bestFit="1" customWidth="1"/>
    <col min="11109" max="11115" width="9.109375" style="39"/>
    <col min="11116" max="11116" width="12" style="39" bestFit="1" customWidth="1"/>
    <col min="11117" max="11117" width="32.6640625" style="39" customWidth="1"/>
    <col min="11118" max="11118" width="12.33203125" style="39" bestFit="1" customWidth="1"/>
    <col min="11119" max="11119" width="9.109375" style="39"/>
    <col min="11120" max="11120" width="10.6640625" style="39" bestFit="1" customWidth="1"/>
    <col min="11121" max="11125" width="9.109375" style="39"/>
    <col min="11126" max="11126" width="10.6640625" style="39" bestFit="1" customWidth="1"/>
    <col min="11127" max="11133" width="9.109375" style="39"/>
    <col min="11134" max="11134" width="12" style="39" bestFit="1" customWidth="1"/>
    <col min="11135" max="11135" width="32.6640625" style="39" customWidth="1"/>
    <col min="11136" max="11136" width="12.33203125" style="39" bestFit="1" customWidth="1"/>
    <col min="11137" max="11137" width="9.109375" style="39"/>
    <col min="11138" max="11138" width="10.6640625" style="39" bestFit="1" customWidth="1"/>
    <col min="11139" max="11143" width="9.109375" style="39"/>
    <col min="11144" max="11144" width="10.6640625" style="39" bestFit="1" customWidth="1"/>
    <col min="11145" max="11151" width="9.109375" style="39"/>
    <col min="11152" max="11152" width="12" style="39" bestFit="1" customWidth="1"/>
    <col min="11153" max="11153" width="32.6640625" style="39" customWidth="1"/>
    <col min="11154" max="11154" width="12.33203125" style="39" bestFit="1" customWidth="1"/>
    <col min="11155" max="11155" width="9.109375" style="39"/>
    <col min="11156" max="11156" width="10.6640625" style="39" bestFit="1" customWidth="1"/>
    <col min="11157" max="11161" width="9.109375" style="39"/>
    <col min="11162" max="11162" width="10.6640625" style="39" bestFit="1" customWidth="1"/>
    <col min="11163" max="11169" width="9.109375" style="39"/>
    <col min="11170" max="11170" width="12" style="39" bestFit="1" customWidth="1"/>
    <col min="11171" max="11171" width="32.6640625" style="39" customWidth="1"/>
    <col min="11172" max="11172" width="12.33203125" style="39" bestFit="1" customWidth="1"/>
    <col min="11173" max="11173" width="9.109375" style="39"/>
    <col min="11174" max="11174" width="10.6640625" style="39" bestFit="1" customWidth="1"/>
    <col min="11175" max="11179" width="9.109375" style="39"/>
    <col min="11180" max="11180" width="10.6640625" style="39" bestFit="1" customWidth="1"/>
    <col min="11181" max="11187" width="9.109375" style="39"/>
    <col min="11188" max="11188" width="12" style="39" bestFit="1" customWidth="1"/>
    <col min="11189" max="11189" width="32.6640625" style="39" customWidth="1"/>
    <col min="11190" max="11190" width="12.33203125" style="39" bestFit="1" customWidth="1"/>
    <col min="11191" max="11191" width="9.109375" style="39"/>
    <col min="11192" max="11192" width="10.6640625" style="39" bestFit="1" customWidth="1"/>
    <col min="11193" max="11197" width="9.109375" style="39"/>
    <col min="11198" max="11198" width="10.6640625" style="39" bestFit="1" customWidth="1"/>
    <col min="11199" max="11205" width="9.109375" style="39"/>
    <col min="11206" max="11206" width="13.33203125" style="39" bestFit="1" customWidth="1"/>
    <col min="11207" max="11207" width="32.6640625" style="39" customWidth="1"/>
    <col min="11208" max="11208" width="12.33203125" style="39" bestFit="1" customWidth="1"/>
    <col min="11209" max="11209" width="9.109375" style="39"/>
    <col min="11210" max="11210" width="10.6640625" style="39" bestFit="1" customWidth="1"/>
    <col min="11211" max="11215" width="9.109375" style="39"/>
    <col min="11216" max="11216" width="10.6640625" style="39" bestFit="1" customWidth="1"/>
    <col min="11217" max="11223" width="9.109375" style="39"/>
    <col min="11224" max="11224" width="12" style="39" bestFit="1" customWidth="1"/>
    <col min="11225" max="11265" width="9.109375" style="39"/>
    <col min="11266" max="11266" width="12.33203125" style="39" bestFit="1" customWidth="1"/>
    <col min="11267" max="11267" width="10.109375" style="39" bestFit="1" customWidth="1"/>
    <col min="11268" max="11268" width="10.6640625" style="39" bestFit="1" customWidth="1"/>
    <col min="11269" max="11272" width="9.109375" style="39"/>
    <col min="11273" max="11273" width="9.109375" style="39" bestFit="1" customWidth="1"/>
    <col min="11274" max="11274" width="10.6640625" style="39" bestFit="1" customWidth="1"/>
    <col min="11275" max="11275" width="4.5546875" style="39" bestFit="1" customWidth="1"/>
    <col min="11276" max="11276" width="5.5546875" style="39" bestFit="1" customWidth="1"/>
    <col min="11277" max="11277" width="10.6640625" style="39" bestFit="1" customWidth="1"/>
    <col min="11278" max="11281" width="9.109375" style="39"/>
    <col min="11282" max="11282" width="12" style="39" bestFit="1" customWidth="1"/>
    <col min="11283" max="11283" width="32.6640625" style="39" customWidth="1"/>
    <col min="11284" max="11284" width="12.33203125" style="39" bestFit="1" customWidth="1"/>
    <col min="11285" max="11285" width="9.109375" style="39"/>
    <col min="11286" max="11286" width="10.6640625" style="39" bestFit="1" customWidth="1"/>
    <col min="11287" max="11291" width="9.109375" style="39"/>
    <col min="11292" max="11292" width="10.6640625" style="39" bestFit="1" customWidth="1"/>
    <col min="11293" max="11299" width="9.109375" style="39"/>
    <col min="11300" max="11300" width="12" style="39" bestFit="1" customWidth="1"/>
    <col min="11301" max="11301" width="32.6640625" style="39" customWidth="1"/>
    <col min="11302" max="11302" width="12.33203125" style="39" bestFit="1" customWidth="1"/>
    <col min="11303" max="11303" width="9.109375" style="39"/>
    <col min="11304" max="11304" width="10.6640625" style="39" bestFit="1" customWidth="1"/>
    <col min="11305" max="11309" width="9.109375" style="39"/>
    <col min="11310" max="11310" width="10.6640625" style="39" bestFit="1" customWidth="1"/>
    <col min="11311" max="11317" width="9.109375" style="39"/>
    <col min="11318" max="11318" width="12" style="39" bestFit="1" customWidth="1"/>
    <col min="11319" max="11319" width="32.6640625" style="39" customWidth="1"/>
    <col min="11320" max="11320" width="12.33203125" style="39" bestFit="1" customWidth="1"/>
    <col min="11321" max="11321" width="9.109375" style="39"/>
    <col min="11322" max="11322" width="10.6640625" style="39" bestFit="1" customWidth="1"/>
    <col min="11323" max="11327" width="9.109375" style="39"/>
    <col min="11328" max="11328" width="10.6640625" style="39" bestFit="1" customWidth="1"/>
    <col min="11329" max="11335" width="9.109375" style="39"/>
    <col min="11336" max="11336" width="12" style="39" bestFit="1" customWidth="1"/>
    <col min="11337" max="11337" width="32.6640625" style="39" customWidth="1"/>
    <col min="11338" max="11338" width="12.33203125" style="39" bestFit="1" customWidth="1"/>
    <col min="11339" max="11339" width="9.109375" style="39"/>
    <col min="11340" max="11340" width="10.6640625" style="39" bestFit="1" customWidth="1"/>
    <col min="11341" max="11345" width="9.109375" style="39"/>
    <col min="11346" max="11346" width="10.6640625" style="39" bestFit="1" customWidth="1"/>
    <col min="11347" max="11353" width="9.109375" style="39"/>
    <col min="11354" max="11354" width="12" style="39" bestFit="1" customWidth="1"/>
    <col min="11355" max="11355" width="32.6640625" style="39" customWidth="1"/>
    <col min="11356" max="11356" width="12.33203125" style="39" bestFit="1" customWidth="1"/>
    <col min="11357" max="11357" width="9.109375" style="39"/>
    <col min="11358" max="11358" width="10.6640625" style="39" bestFit="1" customWidth="1"/>
    <col min="11359" max="11363" width="9.109375" style="39"/>
    <col min="11364" max="11364" width="10.6640625" style="39" bestFit="1" customWidth="1"/>
    <col min="11365" max="11371" width="9.109375" style="39"/>
    <col min="11372" max="11372" width="12" style="39" bestFit="1" customWidth="1"/>
    <col min="11373" max="11373" width="32.6640625" style="39" customWidth="1"/>
    <col min="11374" max="11374" width="12.33203125" style="39" bestFit="1" customWidth="1"/>
    <col min="11375" max="11375" width="9.109375" style="39"/>
    <col min="11376" max="11376" width="10.6640625" style="39" bestFit="1" customWidth="1"/>
    <col min="11377" max="11381" width="9.109375" style="39"/>
    <col min="11382" max="11382" width="10.6640625" style="39" bestFit="1" customWidth="1"/>
    <col min="11383" max="11389" width="9.109375" style="39"/>
    <col min="11390" max="11390" width="12" style="39" bestFit="1" customWidth="1"/>
    <col min="11391" max="11391" width="32.6640625" style="39" customWidth="1"/>
    <col min="11392" max="11392" width="12.33203125" style="39" bestFit="1" customWidth="1"/>
    <col min="11393" max="11393" width="9.109375" style="39"/>
    <col min="11394" max="11394" width="10.6640625" style="39" bestFit="1" customWidth="1"/>
    <col min="11395" max="11399" width="9.109375" style="39"/>
    <col min="11400" max="11400" width="10.6640625" style="39" bestFit="1" customWidth="1"/>
    <col min="11401" max="11407" width="9.109375" style="39"/>
    <col min="11408" max="11408" width="12" style="39" bestFit="1" customWidth="1"/>
    <col min="11409" max="11409" width="32.6640625" style="39" customWidth="1"/>
    <col min="11410" max="11410" width="12.33203125" style="39" bestFit="1" customWidth="1"/>
    <col min="11411" max="11411" width="9.109375" style="39"/>
    <col min="11412" max="11412" width="10.6640625" style="39" bestFit="1" customWidth="1"/>
    <col min="11413" max="11417" width="9.109375" style="39"/>
    <col min="11418" max="11418" width="10.6640625" style="39" bestFit="1" customWidth="1"/>
    <col min="11419" max="11425" width="9.109375" style="39"/>
    <col min="11426" max="11426" width="12" style="39" bestFit="1" customWidth="1"/>
    <col min="11427" max="11427" width="32.6640625" style="39" customWidth="1"/>
    <col min="11428" max="11428" width="12.33203125" style="39" bestFit="1" customWidth="1"/>
    <col min="11429" max="11429" width="9.109375" style="39"/>
    <col min="11430" max="11430" width="10.6640625" style="39" bestFit="1" customWidth="1"/>
    <col min="11431" max="11435" width="9.109375" style="39"/>
    <col min="11436" max="11436" width="10.6640625" style="39" bestFit="1" customWidth="1"/>
    <col min="11437" max="11443" width="9.109375" style="39"/>
    <col min="11444" max="11444" width="12" style="39" bestFit="1" customWidth="1"/>
    <col min="11445" max="11445" width="32.6640625" style="39" customWidth="1"/>
    <col min="11446" max="11446" width="12.33203125" style="39" bestFit="1" customWidth="1"/>
    <col min="11447" max="11447" width="9.109375" style="39"/>
    <col min="11448" max="11448" width="10.6640625" style="39" bestFit="1" customWidth="1"/>
    <col min="11449" max="11453" width="9.109375" style="39"/>
    <col min="11454" max="11454" width="10.6640625" style="39" bestFit="1" customWidth="1"/>
    <col min="11455" max="11461" width="9.109375" style="39"/>
    <col min="11462" max="11462" width="13.33203125" style="39" bestFit="1" customWidth="1"/>
    <col min="11463" max="11463" width="32.6640625" style="39" customWidth="1"/>
    <col min="11464" max="11464" width="12.33203125" style="39" bestFit="1" customWidth="1"/>
    <col min="11465" max="11465" width="9.109375" style="39"/>
    <col min="11466" max="11466" width="10.6640625" style="39" bestFit="1" customWidth="1"/>
    <col min="11467" max="11471" width="9.109375" style="39"/>
    <col min="11472" max="11472" width="10.6640625" style="39" bestFit="1" customWidth="1"/>
    <col min="11473" max="11479" width="9.109375" style="39"/>
    <col min="11480" max="11480" width="12" style="39" bestFit="1" customWidth="1"/>
    <col min="11481" max="11521" width="9.109375" style="39"/>
    <col min="11522" max="11522" width="12.33203125" style="39" bestFit="1" customWidth="1"/>
    <col min="11523" max="11523" width="10.109375" style="39" bestFit="1" customWidth="1"/>
    <col min="11524" max="11524" width="10.6640625" style="39" bestFit="1" customWidth="1"/>
    <col min="11525" max="11528" width="9.109375" style="39"/>
    <col min="11529" max="11529" width="9.109375" style="39" bestFit="1" customWidth="1"/>
    <col min="11530" max="11530" width="10.6640625" style="39" bestFit="1" customWidth="1"/>
    <col min="11531" max="11531" width="4.5546875" style="39" bestFit="1" customWidth="1"/>
    <col min="11532" max="11532" width="5.5546875" style="39" bestFit="1" customWidth="1"/>
    <col min="11533" max="11533" width="10.6640625" style="39" bestFit="1" customWidth="1"/>
    <col min="11534" max="11537" width="9.109375" style="39"/>
    <col min="11538" max="11538" width="12" style="39" bestFit="1" customWidth="1"/>
    <col min="11539" max="11539" width="32.6640625" style="39" customWidth="1"/>
    <col min="11540" max="11540" width="12.33203125" style="39" bestFit="1" customWidth="1"/>
    <col min="11541" max="11541" width="9.109375" style="39"/>
    <col min="11542" max="11542" width="10.6640625" style="39" bestFit="1" customWidth="1"/>
    <col min="11543" max="11547" width="9.109375" style="39"/>
    <col min="11548" max="11548" width="10.6640625" style="39" bestFit="1" customWidth="1"/>
    <col min="11549" max="11555" width="9.109375" style="39"/>
    <col min="11556" max="11556" width="12" style="39" bestFit="1" customWidth="1"/>
    <col min="11557" max="11557" width="32.6640625" style="39" customWidth="1"/>
    <col min="11558" max="11558" width="12.33203125" style="39" bestFit="1" customWidth="1"/>
    <col min="11559" max="11559" width="9.109375" style="39"/>
    <col min="11560" max="11560" width="10.6640625" style="39" bestFit="1" customWidth="1"/>
    <col min="11561" max="11565" width="9.109375" style="39"/>
    <col min="11566" max="11566" width="10.6640625" style="39" bestFit="1" customWidth="1"/>
    <col min="11567" max="11573" width="9.109375" style="39"/>
    <col min="11574" max="11574" width="12" style="39" bestFit="1" customWidth="1"/>
    <col min="11575" max="11575" width="32.6640625" style="39" customWidth="1"/>
    <col min="11576" max="11576" width="12.33203125" style="39" bestFit="1" customWidth="1"/>
    <col min="11577" max="11577" width="9.109375" style="39"/>
    <col min="11578" max="11578" width="10.6640625" style="39" bestFit="1" customWidth="1"/>
    <col min="11579" max="11583" width="9.109375" style="39"/>
    <col min="11584" max="11584" width="10.6640625" style="39" bestFit="1" customWidth="1"/>
    <col min="11585" max="11591" width="9.109375" style="39"/>
    <col min="11592" max="11592" width="12" style="39" bestFit="1" customWidth="1"/>
    <col min="11593" max="11593" width="32.6640625" style="39" customWidth="1"/>
    <col min="11594" max="11594" width="12.33203125" style="39" bestFit="1" customWidth="1"/>
    <col min="11595" max="11595" width="9.109375" style="39"/>
    <col min="11596" max="11596" width="10.6640625" style="39" bestFit="1" customWidth="1"/>
    <col min="11597" max="11601" width="9.109375" style="39"/>
    <col min="11602" max="11602" width="10.6640625" style="39" bestFit="1" customWidth="1"/>
    <col min="11603" max="11609" width="9.109375" style="39"/>
    <col min="11610" max="11610" width="12" style="39" bestFit="1" customWidth="1"/>
    <col min="11611" max="11611" width="32.6640625" style="39" customWidth="1"/>
    <col min="11612" max="11612" width="12.33203125" style="39" bestFit="1" customWidth="1"/>
    <col min="11613" max="11613" width="9.109375" style="39"/>
    <col min="11614" max="11614" width="10.6640625" style="39" bestFit="1" customWidth="1"/>
    <col min="11615" max="11619" width="9.109375" style="39"/>
    <col min="11620" max="11620" width="10.6640625" style="39" bestFit="1" customWidth="1"/>
    <col min="11621" max="11627" width="9.109375" style="39"/>
    <col min="11628" max="11628" width="12" style="39" bestFit="1" customWidth="1"/>
    <col min="11629" max="11629" width="32.6640625" style="39" customWidth="1"/>
    <col min="11630" max="11630" width="12.33203125" style="39" bestFit="1" customWidth="1"/>
    <col min="11631" max="11631" width="9.109375" style="39"/>
    <col min="11632" max="11632" width="10.6640625" style="39" bestFit="1" customWidth="1"/>
    <col min="11633" max="11637" width="9.109375" style="39"/>
    <col min="11638" max="11638" width="10.6640625" style="39" bestFit="1" customWidth="1"/>
    <col min="11639" max="11645" width="9.109375" style="39"/>
    <col min="11646" max="11646" width="12" style="39" bestFit="1" customWidth="1"/>
    <col min="11647" max="11647" width="32.6640625" style="39" customWidth="1"/>
    <col min="11648" max="11648" width="12.33203125" style="39" bestFit="1" customWidth="1"/>
    <col min="11649" max="11649" width="9.109375" style="39"/>
    <col min="11650" max="11650" width="10.6640625" style="39" bestFit="1" customWidth="1"/>
    <col min="11651" max="11655" width="9.109375" style="39"/>
    <col min="11656" max="11656" width="10.6640625" style="39" bestFit="1" customWidth="1"/>
    <col min="11657" max="11663" width="9.109375" style="39"/>
    <col min="11664" max="11664" width="12" style="39" bestFit="1" customWidth="1"/>
    <col min="11665" max="11665" width="32.6640625" style="39" customWidth="1"/>
    <col min="11666" max="11666" width="12.33203125" style="39" bestFit="1" customWidth="1"/>
    <col min="11667" max="11667" width="9.109375" style="39"/>
    <col min="11668" max="11668" width="10.6640625" style="39" bestFit="1" customWidth="1"/>
    <col min="11669" max="11673" width="9.109375" style="39"/>
    <col min="11674" max="11674" width="10.6640625" style="39" bestFit="1" customWidth="1"/>
    <col min="11675" max="11681" width="9.109375" style="39"/>
    <col min="11682" max="11682" width="12" style="39" bestFit="1" customWidth="1"/>
    <col min="11683" max="11683" width="32.6640625" style="39" customWidth="1"/>
    <col min="11684" max="11684" width="12.33203125" style="39" bestFit="1" customWidth="1"/>
    <col min="11685" max="11685" width="9.109375" style="39"/>
    <col min="11686" max="11686" width="10.6640625" style="39" bestFit="1" customWidth="1"/>
    <col min="11687" max="11691" width="9.109375" style="39"/>
    <col min="11692" max="11692" width="10.6640625" style="39" bestFit="1" customWidth="1"/>
    <col min="11693" max="11699" width="9.109375" style="39"/>
    <col min="11700" max="11700" width="12" style="39" bestFit="1" customWidth="1"/>
    <col min="11701" max="11701" width="32.6640625" style="39" customWidth="1"/>
    <col min="11702" max="11702" width="12.33203125" style="39" bestFit="1" customWidth="1"/>
    <col min="11703" max="11703" width="9.109375" style="39"/>
    <col min="11704" max="11704" width="10.6640625" style="39" bestFit="1" customWidth="1"/>
    <col min="11705" max="11709" width="9.109375" style="39"/>
    <col min="11710" max="11710" width="10.6640625" style="39" bestFit="1" customWidth="1"/>
    <col min="11711" max="11717" width="9.109375" style="39"/>
    <col min="11718" max="11718" width="13.33203125" style="39" bestFit="1" customWidth="1"/>
    <col min="11719" max="11719" width="32.6640625" style="39" customWidth="1"/>
    <col min="11720" max="11720" width="12.33203125" style="39" bestFit="1" customWidth="1"/>
    <col min="11721" max="11721" width="9.109375" style="39"/>
    <col min="11722" max="11722" width="10.6640625" style="39" bestFit="1" customWidth="1"/>
    <col min="11723" max="11727" width="9.109375" style="39"/>
    <col min="11728" max="11728" width="10.6640625" style="39" bestFit="1" customWidth="1"/>
    <col min="11729" max="11735" width="9.109375" style="39"/>
    <col min="11736" max="11736" width="12" style="39" bestFit="1" customWidth="1"/>
    <col min="11737" max="11777" width="9.109375" style="39"/>
    <col min="11778" max="11778" width="12.33203125" style="39" bestFit="1" customWidth="1"/>
    <col min="11779" max="11779" width="10.109375" style="39" bestFit="1" customWidth="1"/>
    <col min="11780" max="11780" width="10.6640625" style="39" bestFit="1" customWidth="1"/>
    <col min="11781" max="11784" width="9.109375" style="39"/>
    <col min="11785" max="11785" width="9.109375" style="39" bestFit="1" customWidth="1"/>
    <col min="11786" max="11786" width="10.6640625" style="39" bestFit="1" customWidth="1"/>
    <col min="11787" max="11787" width="4.5546875" style="39" bestFit="1" customWidth="1"/>
    <col min="11788" max="11788" width="5.5546875" style="39" bestFit="1" customWidth="1"/>
    <col min="11789" max="11789" width="10.6640625" style="39" bestFit="1" customWidth="1"/>
    <col min="11790" max="11793" width="9.109375" style="39"/>
    <col min="11794" max="11794" width="12" style="39" bestFit="1" customWidth="1"/>
    <col min="11795" max="11795" width="32.6640625" style="39" customWidth="1"/>
    <col min="11796" max="11796" width="12.33203125" style="39" bestFit="1" customWidth="1"/>
    <col min="11797" max="11797" width="9.109375" style="39"/>
    <col min="11798" max="11798" width="10.6640625" style="39" bestFit="1" customWidth="1"/>
    <col min="11799" max="11803" width="9.109375" style="39"/>
    <col min="11804" max="11804" width="10.6640625" style="39" bestFit="1" customWidth="1"/>
    <col min="11805" max="11811" width="9.109375" style="39"/>
    <col min="11812" max="11812" width="12" style="39" bestFit="1" customWidth="1"/>
    <col min="11813" max="11813" width="32.6640625" style="39" customWidth="1"/>
    <col min="11814" max="11814" width="12.33203125" style="39" bestFit="1" customWidth="1"/>
    <col min="11815" max="11815" width="9.109375" style="39"/>
    <col min="11816" max="11816" width="10.6640625" style="39" bestFit="1" customWidth="1"/>
    <col min="11817" max="11821" width="9.109375" style="39"/>
    <col min="11822" max="11822" width="10.6640625" style="39" bestFit="1" customWidth="1"/>
    <col min="11823" max="11829" width="9.109375" style="39"/>
    <col min="11830" max="11830" width="12" style="39" bestFit="1" customWidth="1"/>
    <col min="11831" max="11831" width="32.6640625" style="39" customWidth="1"/>
    <col min="11832" max="11832" width="12.33203125" style="39" bestFit="1" customWidth="1"/>
    <col min="11833" max="11833" width="9.109375" style="39"/>
    <col min="11834" max="11834" width="10.6640625" style="39" bestFit="1" customWidth="1"/>
    <col min="11835" max="11839" width="9.109375" style="39"/>
    <col min="11840" max="11840" width="10.6640625" style="39" bestFit="1" customWidth="1"/>
    <col min="11841" max="11847" width="9.109375" style="39"/>
    <col min="11848" max="11848" width="12" style="39" bestFit="1" customWidth="1"/>
    <col min="11849" max="11849" width="32.6640625" style="39" customWidth="1"/>
    <col min="11850" max="11850" width="12.33203125" style="39" bestFit="1" customWidth="1"/>
    <col min="11851" max="11851" width="9.109375" style="39"/>
    <col min="11852" max="11852" width="10.6640625" style="39" bestFit="1" customWidth="1"/>
    <col min="11853" max="11857" width="9.109375" style="39"/>
    <col min="11858" max="11858" width="10.6640625" style="39" bestFit="1" customWidth="1"/>
    <col min="11859" max="11865" width="9.109375" style="39"/>
    <col min="11866" max="11866" width="12" style="39" bestFit="1" customWidth="1"/>
    <col min="11867" max="11867" width="32.6640625" style="39" customWidth="1"/>
    <col min="11868" max="11868" width="12.33203125" style="39" bestFit="1" customWidth="1"/>
    <col min="11869" max="11869" width="9.109375" style="39"/>
    <col min="11870" max="11870" width="10.6640625" style="39" bestFit="1" customWidth="1"/>
    <col min="11871" max="11875" width="9.109375" style="39"/>
    <col min="11876" max="11876" width="10.6640625" style="39" bestFit="1" customWidth="1"/>
    <col min="11877" max="11883" width="9.109375" style="39"/>
    <col min="11884" max="11884" width="12" style="39" bestFit="1" customWidth="1"/>
    <col min="11885" max="11885" width="32.6640625" style="39" customWidth="1"/>
    <col min="11886" max="11886" width="12.33203125" style="39" bestFit="1" customWidth="1"/>
    <col min="11887" max="11887" width="9.109375" style="39"/>
    <col min="11888" max="11888" width="10.6640625" style="39" bestFit="1" customWidth="1"/>
    <col min="11889" max="11893" width="9.109375" style="39"/>
    <col min="11894" max="11894" width="10.6640625" style="39" bestFit="1" customWidth="1"/>
    <col min="11895" max="11901" width="9.109375" style="39"/>
    <col min="11902" max="11902" width="12" style="39" bestFit="1" customWidth="1"/>
    <col min="11903" max="11903" width="32.6640625" style="39" customWidth="1"/>
    <col min="11904" max="11904" width="12.33203125" style="39" bestFit="1" customWidth="1"/>
    <col min="11905" max="11905" width="9.109375" style="39"/>
    <col min="11906" max="11906" width="10.6640625" style="39" bestFit="1" customWidth="1"/>
    <col min="11907" max="11911" width="9.109375" style="39"/>
    <col min="11912" max="11912" width="10.6640625" style="39" bestFit="1" customWidth="1"/>
    <col min="11913" max="11919" width="9.109375" style="39"/>
    <col min="11920" max="11920" width="12" style="39" bestFit="1" customWidth="1"/>
    <col min="11921" max="11921" width="32.6640625" style="39" customWidth="1"/>
    <col min="11922" max="11922" width="12.33203125" style="39" bestFit="1" customWidth="1"/>
    <col min="11923" max="11923" width="9.109375" style="39"/>
    <col min="11924" max="11924" width="10.6640625" style="39" bestFit="1" customWidth="1"/>
    <col min="11925" max="11929" width="9.109375" style="39"/>
    <col min="11930" max="11930" width="10.6640625" style="39" bestFit="1" customWidth="1"/>
    <col min="11931" max="11937" width="9.109375" style="39"/>
    <col min="11938" max="11938" width="12" style="39" bestFit="1" customWidth="1"/>
    <col min="11939" max="11939" width="32.6640625" style="39" customWidth="1"/>
    <col min="11940" max="11940" width="12.33203125" style="39" bestFit="1" customWidth="1"/>
    <col min="11941" max="11941" width="9.109375" style="39"/>
    <col min="11942" max="11942" width="10.6640625" style="39" bestFit="1" customWidth="1"/>
    <col min="11943" max="11947" width="9.109375" style="39"/>
    <col min="11948" max="11948" width="10.6640625" style="39" bestFit="1" customWidth="1"/>
    <col min="11949" max="11955" width="9.109375" style="39"/>
    <col min="11956" max="11956" width="12" style="39" bestFit="1" customWidth="1"/>
    <col min="11957" max="11957" width="32.6640625" style="39" customWidth="1"/>
    <col min="11958" max="11958" width="12.33203125" style="39" bestFit="1" customWidth="1"/>
    <col min="11959" max="11959" width="9.109375" style="39"/>
    <col min="11960" max="11960" width="10.6640625" style="39" bestFit="1" customWidth="1"/>
    <col min="11961" max="11965" width="9.109375" style="39"/>
    <col min="11966" max="11966" width="10.6640625" style="39" bestFit="1" customWidth="1"/>
    <col min="11967" max="11973" width="9.109375" style="39"/>
    <col min="11974" max="11974" width="13.33203125" style="39" bestFit="1" customWidth="1"/>
    <col min="11975" max="11975" width="32.6640625" style="39" customWidth="1"/>
    <col min="11976" max="11976" width="12.33203125" style="39" bestFit="1" customWidth="1"/>
    <col min="11977" max="11977" width="9.109375" style="39"/>
    <col min="11978" max="11978" width="10.6640625" style="39" bestFit="1" customWidth="1"/>
    <col min="11979" max="11983" width="9.109375" style="39"/>
    <col min="11984" max="11984" width="10.6640625" style="39" bestFit="1" customWidth="1"/>
    <col min="11985" max="11991" width="9.109375" style="39"/>
    <col min="11992" max="11992" width="12" style="39" bestFit="1" customWidth="1"/>
    <col min="11993" max="12033" width="9.109375" style="39"/>
    <col min="12034" max="12034" width="12.33203125" style="39" bestFit="1" customWidth="1"/>
    <col min="12035" max="12035" width="10.109375" style="39" bestFit="1" customWidth="1"/>
    <col min="12036" max="12036" width="10.6640625" style="39" bestFit="1" customWidth="1"/>
    <col min="12037" max="12040" width="9.109375" style="39"/>
    <col min="12041" max="12041" width="9.109375" style="39" bestFit="1" customWidth="1"/>
    <col min="12042" max="12042" width="10.6640625" style="39" bestFit="1" customWidth="1"/>
    <col min="12043" max="12043" width="4.5546875" style="39" bestFit="1" customWidth="1"/>
    <col min="12044" max="12044" width="5.5546875" style="39" bestFit="1" customWidth="1"/>
    <col min="12045" max="12045" width="10.6640625" style="39" bestFit="1" customWidth="1"/>
    <col min="12046" max="12049" width="9.109375" style="39"/>
    <col min="12050" max="12050" width="12" style="39" bestFit="1" customWidth="1"/>
    <col min="12051" max="12051" width="32.6640625" style="39" customWidth="1"/>
    <col min="12052" max="12052" width="12.33203125" style="39" bestFit="1" customWidth="1"/>
    <col min="12053" max="12053" width="9.109375" style="39"/>
    <col min="12054" max="12054" width="10.6640625" style="39" bestFit="1" customWidth="1"/>
    <col min="12055" max="12059" width="9.109375" style="39"/>
    <col min="12060" max="12060" width="10.6640625" style="39" bestFit="1" customWidth="1"/>
    <col min="12061" max="12067" width="9.109375" style="39"/>
    <col min="12068" max="12068" width="12" style="39" bestFit="1" customWidth="1"/>
    <col min="12069" max="12069" width="32.6640625" style="39" customWidth="1"/>
    <col min="12070" max="12070" width="12.33203125" style="39" bestFit="1" customWidth="1"/>
    <col min="12071" max="12071" width="9.109375" style="39"/>
    <col min="12072" max="12072" width="10.6640625" style="39" bestFit="1" customWidth="1"/>
    <col min="12073" max="12077" width="9.109375" style="39"/>
    <col min="12078" max="12078" width="10.6640625" style="39" bestFit="1" customWidth="1"/>
    <col min="12079" max="12085" width="9.109375" style="39"/>
    <col min="12086" max="12086" width="12" style="39" bestFit="1" customWidth="1"/>
    <col min="12087" max="12087" width="32.6640625" style="39" customWidth="1"/>
    <col min="12088" max="12088" width="12.33203125" style="39" bestFit="1" customWidth="1"/>
    <col min="12089" max="12089" width="9.109375" style="39"/>
    <col min="12090" max="12090" width="10.6640625" style="39" bestFit="1" customWidth="1"/>
    <col min="12091" max="12095" width="9.109375" style="39"/>
    <col min="12096" max="12096" width="10.6640625" style="39" bestFit="1" customWidth="1"/>
    <col min="12097" max="12103" width="9.109375" style="39"/>
    <col min="12104" max="12104" width="12" style="39" bestFit="1" customWidth="1"/>
    <col min="12105" max="12105" width="32.6640625" style="39" customWidth="1"/>
    <col min="12106" max="12106" width="12.33203125" style="39" bestFit="1" customWidth="1"/>
    <col min="12107" max="12107" width="9.109375" style="39"/>
    <col min="12108" max="12108" width="10.6640625" style="39" bestFit="1" customWidth="1"/>
    <col min="12109" max="12113" width="9.109375" style="39"/>
    <col min="12114" max="12114" width="10.6640625" style="39" bestFit="1" customWidth="1"/>
    <col min="12115" max="12121" width="9.109375" style="39"/>
    <col min="12122" max="12122" width="12" style="39" bestFit="1" customWidth="1"/>
    <col min="12123" max="12123" width="32.6640625" style="39" customWidth="1"/>
    <col min="12124" max="12124" width="12.33203125" style="39" bestFit="1" customWidth="1"/>
    <col min="12125" max="12125" width="9.109375" style="39"/>
    <col min="12126" max="12126" width="10.6640625" style="39" bestFit="1" customWidth="1"/>
    <col min="12127" max="12131" width="9.109375" style="39"/>
    <col min="12132" max="12132" width="10.6640625" style="39" bestFit="1" customWidth="1"/>
    <col min="12133" max="12139" width="9.109375" style="39"/>
    <col min="12140" max="12140" width="12" style="39" bestFit="1" customWidth="1"/>
    <col min="12141" max="12141" width="32.6640625" style="39" customWidth="1"/>
    <col min="12142" max="12142" width="12.33203125" style="39" bestFit="1" customWidth="1"/>
    <col min="12143" max="12143" width="9.109375" style="39"/>
    <col min="12144" max="12144" width="10.6640625" style="39" bestFit="1" customWidth="1"/>
    <col min="12145" max="12149" width="9.109375" style="39"/>
    <col min="12150" max="12150" width="10.6640625" style="39" bestFit="1" customWidth="1"/>
    <col min="12151" max="12157" width="9.109375" style="39"/>
    <col min="12158" max="12158" width="12" style="39" bestFit="1" customWidth="1"/>
    <col min="12159" max="12159" width="32.6640625" style="39" customWidth="1"/>
    <col min="12160" max="12160" width="12.33203125" style="39" bestFit="1" customWidth="1"/>
    <col min="12161" max="12161" width="9.109375" style="39"/>
    <col min="12162" max="12162" width="10.6640625" style="39" bestFit="1" customWidth="1"/>
    <col min="12163" max="12167" width="9.109375" style="39"/>
    <col min="12168" max="12168" width="10.6640625" style="39" bestFit="1" customWidth="1"/>
    <col min="12169" max="12175" width="9.109375" style="39"/>
    <col min="12176" max="12176" width="12" style="39" bestFit="1" customWidth="1"/>
    <col min="12177" max="12177" width="32.6640625" style="39" customWidth="1"/>
    <col min="12178" max="12178" width="12.33203125" style="39" bestFit="1" customWidth="1"/>
    <col min="12179" max="12179" width="9.109375" style="39"/>
    <col min="12180" max="12180" width="10.6640625" style="39" bestFit="1" customWidth="1"/>
    <col min="12181" max="12185" width="9.109375" style="39"/>
    <col min="12186" max="12186" width="10.6640625" style="39" bestFit="1" customWidth="1"/>
    <col min="12187" max="12193" width="9.109375" style="39"/>
    <col min="12194" max="12194" width="12" style="39" bestFit="1" customWidth="1"/>
    <col min="12195" max="12195" width="32.6640625" style="39" customWidth="1"/>
    <col min="12196" max="12196" width="12.33203125" style="39" bestFit="1" customWidth="1"/>
    <col min="12197" max="12197" width="9.109375" style="39"/>
    <col min="12198" max="12198" width="10.6640625" style="39" bestFit="1" customWidth="1"/>
    <col min="12199" max="12203" width="9.109375" style="39"/>
    <col min="12204" max="12204" width="10.6640625" style="39" bestFit="1" customWidth="1"/>
    <col min="12205" max="12211" width="9.109375" style="39"/>
    <col min="12212" max="12212" width="12" style="39" bestFit="1" customWidth="1"/>
    <col min="12213" max="12213" width="32.6640625" style="39" customWidth="1"/>
    <col min="12214" max="12214" width="12.33203125" style="39" bestFit="1" customWidth="1"/>
    <col min="12215" max="12215" width="9.109375" style="39"/>
    <col min="12216" max="12216" width="10.6640625" style="39" bestFit="1" customWidth="1"/>
    <col min="12217" max="12221" width="9.109375" style="39"/>
    <col min="12222" max="12222" width="10.6640625" style="39" bestFit="1" customWidth="1"/>
    <col min="12223" max="12229" width="9.109375" style="39"/>
    <col min="12230" max="12230" width="13.33203125" style="39" bestFit="1" customWidth="1"/>
    <col min="12231" max="12231" width="32.6640625" style="39" customWidth="1"/>
    <col min="12232" max="12232" width="12.33203125" style="39" bestFit="1" customWidth="1"/>
    <col min="12233" max="12233" width="9.109375" style="39"/>
    <col min="12234" max="12234" width="10.6640625" style="39" bestFit="1" customWidth="1"/>
    <col min="12235" max="12239" width="9.109375" style="39"/>
    <col min="12240" max="12240" width="10.6640625" style="39" bestFit="1" customWidth="1"/>
    <col min="12241" max="12247" width="9.109375" style="39"/>
    <col min="12248" max="12248" width="12" style="39" bestFit="1" customWidth="1"/>
    <col min="12249" max="12289" width="9.109375" style="39"/>
    <col min="12290" max="12290" width="12.33203125" style="39" bestFit="1" customWidth="1"/>
    <col min="12291" max="12291" width="10.109375" style="39" bestFit="1" customWidth="1"/>
    <col min="12292" max="12292" width="10.6640625" style="39" bestFit="1" customWidth="1"/>
    <col min="12293" max="12296" width="9.109375" style="39"/>
    <col min="12297" max="12297" width="9.109375" style="39" bestFit="1" customWidth="1"/>
    <col min="12298" max="12298" width="10.6640625" style="39" bestFit="1" customWidth="1"/>
    <col min="12299" max="12299" width="4.5546875" style="39" bestFit="1" customWidth="1"/>
    <col min="12300" max="12300" width="5.5546875" style="39" bestFit="1" customWidth="1"/>
    <col min="12301" max="12301" width="10.6640625" style="39" bestFit="1" customWidth="1"/>
    <col min="12302" max="12305" width="9.109375" style="39"/>
    <col min="12306" max="12306" width="12" style="39" bestFit="1" customWidth="1"/>
    <col min="12307" max="12307" width="32.6640625" style="39" customWidth="1"/>
    <col min="12308" max="12308" width="12.33203125" style="39" bestFit="1" customWidth="1"/>
    <col min="12309" max="12309" width="9.109375" style="39"/>
    <col min="12310" max="12310" width="10.6640625" style="39" bestFit="1" customWidth="1"/>
    <col min="12311" max="12315" width="9.109375" style="39"/>
    <col min="12316" max="12316" width="10.6640625" style="39" bestFit="1" customWidth="1"/>
    <col min="12317" max="12323" width="9.109375" style="39"/>
    <col min="12324" max="12324" width="12" style="39" bestFit="1" customWidth="1"/>
    <col min="12325" max="12325" width="32.6640625" style="39" customWidth="1"/>
    <col min="12326" max="12326" width="12.33203125" style="39" bestFit="1" customWidth="1"/>
    <col min="12327" max="12327" width="9.109375" style="39"/>
    <col min="12328" max="12328" width="10.6640625" style="39" bestFit="1" customWidth="1"/>
    <col min="12329" max="12333" width="9.109375" style="39"/>
    <col min="12334" max="12334" width="10.6640625" style="39" bestFit="1" customWidth="1"/>
    <col min="12335" max="12341" width="9.109375" style="39"/>
    <col min="12342" max="12342" width="12" style="39" bestFit="1" customWidth="1"/>
    <col min="12343" max="12343" width="32.6640625" style="39" customWidth="1"/>
    <col min="12344" max="12344" width="12.33203125" style="39" bestFit="1" customWidth="1"/>
    <col min="12345" max="12345" width="9.109375" style="39"/>
    <col min="12346" max="12346" width="10.6640625" style="39" bestFit="1" customWidth="1"/>
    <col min="12347" max="12351" width="9.109375" style="39"/>
    <col min="12352" max="12352" width="10.6640625" style="39" bestFit="1" customWidth="1"/>
    <col min="12353" max="12359" width="9.109375" style="39"/>
    <col min="12360" max="12360" width="12" style="39" bestFit="1" customWidth="1"/>
    <col min="12361" max="12361" width="32.6640625" style="39" customWidth="1"/>
    <col min="12362" max="12362" width="12.33203125" style="39" bestFit="1" customWidth="1"/>
    <col min="12363" max="12363" width="9.109375" style="39"/>
    <col min="12364" max="12364" width="10.6640625" style="39" bestFit="1" customWidth="1"/>
    <col min="12365" max="12369" width="9.109375" style="39"/>
    <col min="12370" max="12370" width="10.6640625" style="39" bestFit="1" customWidth="1"/>
    <col min="12371" max="12377" width="9.109375" style="39"/>
    <col min="12378" max="12378" width="12" style="39" bestFit="1" customWidth="1"/>
    <col min="12379" max="12379" width="32.6640625" style="39" customWidth="1"/>
    <col min="12380" max="12380" width="12.33203125" style="39" bestFit="1" customWidth="1"/>
    <col min="12381" max="12381" width="9.109375" style="39"/>
    <col min="12382" max="12382" width="10.6640625" style="39" bestFit="1" customWidth="1"/>
    <col min="12383" max="12387" width="9.109375" style="39"/>
    <col min="12388" max="12388" width="10.6640625" style="39" bestFit="1" customWidth="1"/>
    <col min="12389" max="12395" width="9.109375" style="39"/>
    <col min="12396" max="12396" width="12" style="39" bestFit="1" customWidth="1"/>
    <col min="12397" max="12397" width="32.6640625" style="39" customWidth="1"/>
    <col min="12398" max="12398" width="12.33203125" style="39" bestFit="1" customWidth="1"/>
    <col min="12399" max="12399" width="9.109375" style="39"/>
    <col min="12400" max="12400" width="10.6640625" style="39" bestFit="1" customWidth="1"/>
    <col min="12401" max="12405" width="9.109375" style="39"/>
    <col min="12406" max="12406" width="10.6640625" style="39" bestFit="1" customWidth="1"/>
    <col min="12407" max="12413" width="9.109375" style="39"/>
    <col min="12414" max="12414" width="12" style="39" bestFit="1" customWidth="1"/>
    <col min="12415" max="12415" width="32.6640625" style="39" customWidth="1"/>
    <col min="12416" max="12416" width="12.33203125" style="39" bestFit="1" customWidth="1"/>
    <col min="12417" max="12417" width="9.109375" style="39"/>
    <col min="12418" max="12418" width="10.6640625" style="39" bestFit="1" customWidth="1"/>
    <col min="12419" max="12423" width="9.109375" style="39"/>
    <col min="12424" max="12424" width="10.6640625" style="39" bestFit="1" customWidth="1"/>
    <col min="12425" max="12431" width="9.109375" style="39"/>
    <col min="12432" max="12432" width="12" style="39" bestFit="1" customWidth="1"/>
    <col min="12433" max="12433" width="32.6640625" style="39" customWidth="1"/>
    <col min="12434" max="12434" width="12.33203125" style="39" bestFit="1" customWidth="1"/>
    <col min="12435" max="12435" width="9.109375" style="39"/>
    <col min="12436" max="12436" width="10.6640625" style="39" bestFit="1" customWidth="1"/>
    <col min="12437" max="12441" width="9.109375" style="39"/>
    <col min="12442" max="12442" width="10.6640625" style="39" bestFit="1" customWidth="1"/>
    <col min="12443" max="12449" width="9.109375" style="39"/>
    <col min="12450" max="12450" width="12" style="39" bestFit="1" customWidth="1"/>
    <col min="12451" max="12451" width="32.6640625" style="39" customWidth="1"/>
    <col min="12452" max="12452" width="12.33203125" style="39" bestFit="1" customWidth="1"/>
    <col min="12453" max="12453" width="9.109375" style="39"/>
    <col min="12454" max="12454" width="10.6640625" style="39" bestFit="1" customWidth="1"/>
    <col min="12455" max="12459" width="9.109375" style="39"/>
    <col min="12460" max="12460" width="10.6640625" style="39" bestFit="1" customWidth="1"/>
    <col min="12461" max="12467" width="9.109375" style="39"/>
    <col min="12468" max="12468" width="12" style="39" bestFit="1" customWidth="1"/>
    <col min="12469" max="12469" width="32.6640625" style="39" customWidth="1"/>
    <col min="12470" max="12470" width="12.33203125" style="39" bestFit="1" customWidth="1"/>
    <col min="12471" max="12471" width="9.109375" style="39"/>
    <col min="12472" max="12472" width="10.6640625" style="39" bestFit="1" customWidth="1"/>
    <col min="12473" max="12477" width="9.109375" style="39"/>
    <col min="12478" max="12478" width="10.6640625" style="39" bestFit="1" customWidth="1"/>
    <col min="12479" max="12485" width="9.109375" style="39"/>
    <col min="12486" max="12486" width="13.33203125" style="39" bestFit="1" customWidth="1"/>
    <col min="12487" max="12487" width="32.6640625" style="39" customWidth="1"/>
    <col min="12488" max="12488" width="12.33203125" style="39" bestFit="1" customWidth="1"/>
    <col min="12489" max="12489" width="9.109375" style="39"/>
    <col min="12490" max="12490" width="10.6640625" style="39" bestFit="1" customWidth="1"/>
    <col min="12491" max="12495" width="9.109375" style="39"/>
    <col min="12496" max="12496" width="10.6640625" style="39" bestFit="1" customWidth="1"/>
    <col min="12497" max="12503" width="9.109375" style="39"/>
    <col min="12504" max="12504" width="12" style="39" bestFit="1" customWidth="1"/>
    <col min="12505" max="12545" width="9.109375" style="39"/>
    <col min="12546" max="12546" width="12.33203125" style="39" bestFit="1" customWidth="1"/>
    <col min="12547" max="12547" width="10.109375" style="39" bestFit="1" customWidth="1"/>
    <col min="12548" max="12548" width="10.6640625" style="39" bestFit="1" customWidth="1"/>
    <col min="12549" max="12552" width="9.109375" style="39"/>
    <col min="12553" max="12553" width="9.109375" style="39" bestFit="1" customWidth="1"/>
    <col min="12554" max="12554" width="10.6640625" style="39" bestFit="1" customWidth="1"/>
    <col min="12555" max="12555" width="4.5546875" style="39" bestFit="1" customWidth="1"/>
    <col min="12556" max="12556" width="5.5546875" style="39" bestFit="1" customWidth="1"/>
    <col min="12557" max="12557" width="10.6640625" style="39" bestFit="1" customWidth="1"/>
    <col min="12558" max="12561" width="9.109375" style="39"/>
    <col min="12562" max="12562" width="12" style="39" bestFit="1" customWidth="1"/>
    <col min="12563" max="12563" width="32.6640625" style="39" customWidth="1"/>
    <col min="12564" max="12564" width="12.33203125" style="39" bestFit="1" customWidth="1"/>
    <col min="12565" max="12565" width="9.109375" style="39"/>
    <col min="12566" max="12566" width="10.6640625" style="39" bestFit="1" customWidth="1"/>
    <col min="12567" max="12571" width="9.109375" style="39"/>
    <col min="12572" max="12572" width="10.6640625" style="39" bestFit="1" customWidth="1"/>
    <col min="12573" max="12579" width="9.109375" style="39"/>
    <col min="12580" max="12580" width="12" style="39" bestFit="1" customWidth="1"/>
    <col min="12581" max="12581" width="32.6640625" style="39" customWidth="1"/>
    <col min="12582" max="12582" width="12.33203125" style="39" bestFit="1" customWidth="1"/>
    <col min="12583" max="12583" width="9.109375" style="39"/>
    <col min="12584" max="12584" width="10.6640625" style="39" bestFit="1" customWidth="1"/>
    <col min="12585" max="12589" width="9.109375" style="39"/>
    <col min="12590" max="12590" width="10.6640625" style="39" bestFit="1" customWidth="1"/>
    <col min="12591" max="12597" width="9.109375" style="39"/>
    <col min="12598" max="12598" width="12" style="39" bestFit="1" customWidth="1"/>
    <col min="12599" max="12599" width="32.6640625" style="39" customWidth="1"/>
    <col min="12600" max="12600" width="12.33203125" style="39" bestFit="1" customWidth="1"/>
    <col min="12601" max="12601" width="9.109375" style="39"/>
    <col min="12602" max="12602" width="10.6640625" style="39" bestFit="1" customWidth="1"/>
    <col min="12603" max="12607" width="9.109375" style="39"/>
    <col min="12608" max="12608" width="10.6640625" style="39" bestFit="1" customWidth="1"/>
    <col min="12609" max="12615" width="9.109375" style="39"/>
    <col min="12616" max="12616" width="12" style="39" bestFit="1" customWidth="1"/>
    <col min="12617" max="12617" width="32.6640625" style="39" customWidth="1"/>
    <col min="12618" max="12618" width="12.33203125" style="39" bestFit="1" customWidth="1"/>
    <col min="12619" max="12619" width="9.109375" style="39"/>
    <col min="12620" max="12620" width="10.6640625" style="39" bestFit="1" customWidth="1"/>
    <col min="12621" max="12625" width="9.109375" style="39"/>
    <col min="12626" max="12626" width="10.6640625" style="39" bestFit="1" customWidth="1"/>
    <col min="12627" max="12633" width="9.109375" style="39"/>
    <col min="12634" max="12634" width="12" style="39" bestFit="1" customWidth="1"/>
    <col min="12635" max="12635" width="32.6640625" style="39" customWidth="1"/>
    <col min="12636" max="12636" width="12.33203125" style="39" bestFit="1" customWidth="1"/>
    <col min="12637" max="12637" width="9.109375" style="39"/>
    <col min="12638" max="12638" width="10.6640625" style="39" bestFit="1" customWidth="1"/>
    <col min="12639" max="12643" width="9.109375" style="39"/>
    <col min="12644" max="12644" width="10.6640625" style="39" bestFit="1" customWidth="1"/>
    <col min="12645" max="12651" width="9.109375" style="39"/>
    <col min="12652" max="12652" width="12" style="39" bestFit="1" customWidth="1"/>
    <col min="12653" max="12653" width="32.6640625" style="39" customWidth="1"/>
    <col min="12654" max="12654" width="12.33203125" style="39" bestFit="1" customWidth="1"/>
    <col min="12655" max="12655" width="9.109375" style="39"/>
    <col min="12656" max="12656" width="10.6640625" style="39" bestFit="1" customWidth="1"/>
    <col min="12657" max="12661" width="9.109375" style="39"/>
    <col min="12662" max="12662" width="10.6640625" style="39" bestFit="1" customWidth="1"/>
    <col min="12663" max="12669" width="9.109375" style="39"/>
    <col min="12670" max="12670" width="12" style="39" bestFit="1" customWidth="1"/>
    <col min="12671" max="12671" width="32.6640625" style="39" customWidth="1"/>
    <col min="12672" max="12672" width="12.33203125" style="39" bestFit="1" customWidth="1"/>
    <col min="12673" max="12673" width="9.109375" style="39"/>
    <col min="12674" max="12674" width="10.6640625" style="39" bestFit="1" customWidth="1"/>
    <col min="12675" max="12679" width="9.109375" style="39"/>
    <col min="12680" max="12680" width="10.6640625" style="39" bestFit="1" customWidth="1"/>
    <col min="12681" max="12687" width="9.109375" style="39"/>
    <col min="12688" max="12688" width="12" style="39" bestFit="1" customWidth="1"/>
    <col min="12689" max="12689" width="32.6640625" style="39" customWidth="1"/>
    <col min="12690" max="12690" width="12.33203125" style="39" bestFit="1" customWidth="1"/>
    <col min="12691" max="12691" width="9.109375" style="39"/>
    <col min="12692" max="12692" width="10.6640625" style="39" bestFit="1" customWidth="1"/>
    <col min="12693" max="12697" width="9.109375" style="39"/>
    <col min="12698" max="12698" width="10.6640625" style="39" bestFit="1" customWidth="1"/>
    <col min="12699" max="12705" width="9.109375" style="39"/>
    <col min="12706" max="12706" width="12" style="39" bestFit="1" customWidth="1"/>
    <col min="12707" max="12707" width="32.6640625" style="39" customWidth="1"/>
    <col min="12708" max="12708" width="12.33203125" style="39" bestFit="1" customWidth="1"/>
    <col min="12709" max="12709" width="9.109375" style="39"/>
    <col min="12710" max="12710" width="10.6640625" style="39" bestFit="1" customWidth="1"/>
    <col min="12711" max="12715" width="9.109375" style="39"/>
    <col min="12716" max="12716" width="10.6640625" style="39" bestFit="1" customWidth="1"/>
    <col min="12717" max="12723" width="9.109375" style="39"/>
    <col min="12724" max="12724" width="12" style="39" bestFit="1" customWidth="1"/>
    <col min="12725" max="12725" width="32.6640625" style="39" customWidth="1"/>
    <col min="12726" max="12726" width="12.33203125" style="39" bestFit="1" customWidth="1"/>
    <col min="12727" max="12727" width="9.109375" style="39"/>
    <col min="12728" max="12728" width="10.6640625" style="39" bestFit="1" customWidth="1"/>
    <col min="12729" max="12733" width="9.109375" style="39"/>
    <col min="12734" max="12734" width="10.6640625" style="39" bestFit="1" customWidth="1"/>
    <col min="12735" max="12741" width="9.109375" style="39"/>
    <col min="12742" max="12742" width="13.33203125" style="39" bestFit="1" customWidth="1"/>
    <col min="12743" max="12743" width="32.6640625" style="39" customWidth="1"/>
    <col min="12744" max="12744" width="12.33203125" style="39" bestFit="1" customWidth="1"/>
    <col min="12745" max="12745" width="9.109375" style="39"/>
    <col min="12746" max="12746" width="10.6640625" style="39" bestFit="1" customWidth="1"/>
    <col min="12747" max="12751" width="9.109375" style="39"/>
    <col min="12752" max="12752" width="10.6640625" style="39" bestFit="1" customWidth="1"/>
    <col min="12753" max="12759" width="9.109375" style="39"/>
    <col min="12760" max="12760" width="12" style="39" bestFit="1" customWidth="1"/>
    <col min="12761" max="12801" width="9.109375" style="39"/>
    <col min="12802" max="12802" width="12.33203125" style="39" bestFit="1" customWidth="1"/>
    <col min="12803" max="12803" width="10.109375" style="39" bestFit="1" customWidth="1"/>
    <col min="12804" max="12804" width="10.6640625" style="39" bestFit="1" customWidth="1"/>
    <col min="12805" max="12808" width="9.109375" style="39"/>
    <col min="12809" max="12809" width="9.109375" style="39" bestFit="1" customWidth="1"/>
    <col min="12810" max="12810" width="10.6640625" style="39" bestFit="1" customWidth="1"/>
    <col min="12811" max="12811" width="4.5546875" style="39" bestFit="1" customWidth="1"/>
    <col min="12812" max="12812" width="5.5546875" style="39" bestFit="1" customWidth="1"/>
    <col min="12813" max="12813" width="10.6640625" style="39" bestFit="1" customWidth="1"/>
    <col min="12814" max="12817" width="9.109375" style="39"/>
    <col min="12818" max="12818" width="12" style="39" bestFit="1" customWidth="1"/>
    <col min="12819" max="12819" width="32.6640625" style="39" customWidth="1"/>
    <col min="12820" max="12820" width="12.33203125" style="39" bestFit="1" customWidth="1"/>
    <col min="12821" max="12821" width="9.109375" style="39"/>
    <col min="12822" max="12822" width="10.6640625" style="39" bestFit="1" customWidth="1"/>
    <col min="12823" max="12827" width="9.109375" style="39"/>
    <col min="12828" max="12828" width="10.6640625" style="39" bestFit="1" customWidth="1"/>
    <col min="12829" max="12835" width="9.109375" style="39"/>
    <col min="12836" max="12836" width="12" style="39" bestFit="1" customWidth="1"/>
    <col min="12837" max="12837" width="32.6640625" style="39" customWidth="1"/>
    <col min="12838" max="12838" width="12.33203125" style="39" bestFit="1" customWidth="1"/>
    <col min="12839" max="12839" width="9.109375" style="39"/>
    <col min="12840" max="12840" width="10.6640625" style="39" bestFit="1" customWidth="1"/>
    <col min="12841" max="12845" width="9.109375" style="39"/>
    <col min="12846" max="12846" width="10.6640625" style="39" bestFit="1" customWidth="1"/>
    <col min="12847" max="12853" width="9.109375" style="39"/>
    <col min="12854" max="12854" width="12" style="39" bestFit="1" customWidth="1"/>
    <col min="12855" max="12855" width="32.6640625" style="39" customWidth="1"/>
    <col min="12856" max="12856" width="12.33203125" style="39" bestFit="1" customWidth="1"/>
    <col min="12857" max="12857" width="9.109375" style="39"/>
    <col min="12858" max="12858" width="10.6640625" style="39" bestFit="1" customWidth="1"/>
    <col min="12859" max="12863" width="9.109375" style="39"/>
    <col min="12864" max="12864" width="10.6640625" style="39" bestFit="1" customWidth="1"/>
    <col min="12865" max="12871" width="9.109375" style="39"/>
    <col min="12872" max="12872" width="12" style="39" bestFit="1" customWidth="1"/>
    <col min="12873" max="12873" width="32.6640625" style="39" customWidth="1"/>
    <col min="12874" max="12874" width="12.33203125" style="39" bestFit="1" customWidth="1"/>
    <col min="12875" max="12875" width="9.109375" style="39"/>
    <col min="12876" max="12876" width="10.6640625" style="39" bestFit="1" customWidth="1"/>
    <col min="12877" max="12881" width="9.109375" style="39"/>
    <col min="12882" max="12882" width="10.6640625" style="39" bestFit="1" customWidth="1"/>
    <col min="12883" max="12889" width="9.109375" style="39"/>
    <col min="12890" max="12890" width="12" style="39" bestFit="1" customWidth="1"/>
    <col min="12891" max="12891" width="32.6640625" style="39" customWidth="1"/>
    <col min="12892" max="12892" width="12.33203125" style="39" bestFit="1" customWidth="1"/>
    <col min="12893" max="12893" width="9.109375" style="39"/>
    <col min="12894" max="12894" width="10.6640625" style="39" bestFit="1" customWidth="1"/>
    <col min="12895" max="12899" width="9.109375" style="39"/>
    <col min="12900" max="12900" width="10.6640625" style="39" bestFit="1" customWidth="1"/>
    <col min="12901" max="12907" width="9.109375" style="39"/>
    <col min="12908" max="12908" width="12" style="39" bestFit="1" customWidth="1"/>
    <col min="12909" max="12909" width="32.6640625" style="39" customWidth="1"/>
    <col min="12910" max="12910" width="12.33203125" style="39" bestFit="1" customWidth="1"/>
    <col min="12911" max="12911" width="9.109375" style="39"/>
    <col min="12912" max="12912" width="10.6640625" style="39" bestFit="1" customWidth="1"/>
    <col min="12913" max="12917" width="9.109375" style="39"/>
    <col min="12918" max="12918" width="10.6640625" style="39" bestFit="1" customWidth="1"/>
    <col min="12919" max="12925" width="9.109375" style="39"/>
    <col min="12926" max="12926" width="12" style="39" bestFit="1" customWidth="1"/>
    <col min="12927" max="12927" width="32.6640625" style="39" customWidth="1"/>
    <col min="12928" max="12928" width="12.33203125" style="39" bestFit="1" customWidth="1"/>
    <col min="12929" max="12929" width="9.109375" style="39"/>
    <col min="12930" max="12930" width="10.6640625" style="39" bestFit="1" customWidth="1"/>
    <col min="12931" max="12935" width="9.109375" style="39"/>
    <col min="12936" max="12936" width="10.6640625" style="39" bestFit="1" customWidth="1"/>
    <col min="12937" max="12943" width="9.109375" style="39"/>
    <col min="12944" max="12944" width="12" style="39" bestFit="1" customWidth="1"/>
    <col min="12945" max="12945" width="32.6640625" style="39" customWidth="1"/>
    <col min="12946" max="12946" width="12.33203125" style="39" bestFit="1" customWidth="1"/>
    <col min="12947" max="12947" width="9.109375" style="39"/>
    <col min="12948" max="12948" width="10.6640625" style="39" bestFit="1" customWidth="1"/>
    <col min="12949" max="12953" width="9.109375" style="39"/>
    <col min="12954" max="12954" width="10.6640625" style="39" bestFit="1" customWidth="1"/>
    <col min="12955" max="12961" width="9.109375" style="39"/>
    <col min="12962" max="12962" width="12" style="39" bestFit="1" customWidth="1"/>
    <col min="12963" max="12963" width="32.6640625" style="39" customWidth="1"/>
    <col min="12964" max="12964" width="12.33203125" style="39" bestFit="1" customWidth="1"/>
    <col min="12965" max="12965" width="9.109375" style="39"/>
    <col min="12966" max="12966" width="10.6640625" style="39" bestFit="1" customWidth="1"/>
    <col min="12967" max="12971" width="9.109375" style="39"/>
    <col min="12972" max="12972" width="10.6640625" style="39" bestFit="1" customWidth="1"/>
    <col min="12973" max="12979" width="9.109375" style="39"/>
    <col min="12980" max="12980" width="12" style="39" bestFit="1" customWidth="1"/>
    <col min="12981" max="12981" width="32.6640625" style="39" customWidth="1"/>
    <col min="12982" max="12982" width="12.33203125" style="39" bestFit="1" customWidth="1"/>
    <col min="12983" max="12983" width="9.109375" style="39"/>
    <col min="12984" max="12984" width="10.6640625" style="39" bestFit="1" customWidth="1"/>
    <col min="12985" max="12989" width="9.109375" style="39"/>
    <col min="12990" max="12990" width="10.6640625" style="39" bestFit="1" customWidth="1"/>
    <col min="12991" max="12997" width="9.109375" style="39"/>
    <col min="12998" max="12998" width="13.33203125" style="39" bestFit="1" customWidth="1"/>
    <col min="12999" max="12999" width="32.6640625" style="39" customWidth="1"/>
    <col min="13000" max="13000" width="12.33203125" style="39" bestFit="1" customWidth="1"/>
    <col min="13001" max="13001" width="9.109375" style="39"/>
    <col min="13002" max="13002" width="10.6640625" style="39" bestFit="1" customWidth="1"/>
    <col min="13003" max="13007" width="9.109375" style="39"/>
    <col min="13008" max="13008" width="10.6640625" style="39" bestFit="1" customWidth="1"/>
    <col min="13009" max="13015" width="9.109375" style="39"/>
    <col min="13016" max="13016" width="12" style="39" bestFit="1" customWidth="1"/>
    <col min="13017" max="13057" width="9.109375" style="39"/>
    <col min="13058" max="13058" width="12.33203125" style="39" bestFit="1" customWidth="1"/>
    <col min="13059" max="13059" width="10.109375" style="39" bestFit="1" customWidth="1"/>
    <col min="13060" max="13060" width="10.6640625" style="39" bestFit="1" customWidth="1"/>
    <col min="13061" max="13064" width="9.109375" style="39"/>
    <col min="13065" max="13065" width="9.109375" style="39" bestFit="1" customWidth="1"/>
    <col min="13066" max="13066" width="10.6640625" style="39" bestFit="1" customWidth="1"/>
    <col min="13067" max="13067" width="4.5546875" style="39" bestFit="1" customWidth="1"/>
    <col min="13068" max="13068" width="5.5546875" style="39" bestFit="1" customWidth="1"/>
    <col min="13069" max="13069" width="10.6640625" style="39" bestFit="1" customWidth="1"/>
    <col min="13070" max="13073" width="9.109375" style="39"/>
    <col min="13074" max="13074" width="12" style="39" bestFit="1" customWidth="1"/>
    <col min="13075" max="13075" width="32.6640625" style="39" customWidth="1"/>
    <col min="13076" max="13076" width="12.33203125" style="39" bestFit="1" customWidth="1"/>
    <col min="13077" max="13077" width="9.109375" style="39"/>
    <col min="13078" max="13078" width="10.6640625" style="39" bestFit="1" customWidth="1"/>
    <col min="13079" max="13083" width="9.109375" style="39"/>
    <col min="13084" max="13084" width="10.6640625" style="39" bestFit="1" customWidth="1"/>
    <col min="13085" max="13091" width="9.109375" style="39"/>
    <col min="13092" max="13092" width="12" style="39" bestFit="1" customWidth="1"/>
    <col min="13093" max="13093" width="32.6640625" style="39" customWidth="1"/>
    <col min="13094" max="13094" width="12.33203125" style="39" bestFit="1" customWidth="1"/>
    <col min="13095" max="13095" width="9.109375" style="39"/>
    <col min="13096" max="13096" width="10.6640625" style="39" bestFit="1" customWidth="1"/>
    <col min="13097" max="13101" width="9.109375" style="39"/>
    <col min="13102" max="13102" width="10.6640625" style="39" bestFit="1" customWidth="1"/>
    <col min="13103" max="13109" width="9.109375" style="39"/>
    <col min="13110" max="13110" width="12" style="39" bestFit="1" customWidth="1"/>
    <col min="13111" max="13111" width="32.6640625" style="39" customWidth="1"/>
    <col min="13112" max="13112" width="12.33203125" style="39" bestFit="1" customWidth="1"/>
    <col min="13113" max="13113" width="9.109375" style="39"/>
    <col min="13114" max="13114" width="10.6640625" style="39" bestFit="1" customWidth="1"/>
    <col min="13115" max="13119" width="9.109375" style="39"/>
    <col min="13120" max="13120" width="10.6640625" style="39" bestFit="1" customWidth="1"/>
    <col min="13121" max="13127" width="9.109375" style="39"/>
    <col min="13128" max="13128" width="12" style="39" bestFit="1" customWidth="1"/>
    <col min="13129" max="13129" width="32.6640625" style="39" customWidth="1"/>
    <col min="13130" max="13130" width="12.33203125" style="39" bestFit="1" customWidth="1"/>
    <col min="13131" max="13131" width="9.109375" style="39"/>
    <col min="13132" max="13132" width="10.6640625" style="39" bestFit="1" customWidth="1"/>
    <col min="13133" max="13137" width="9.109375" style="39"/>
    <col min="13138" max="13138" width="10.6640625" style="39" bestFit="1" customWidth="1"/>
    <col min="13139" max="13145" width="9.109375" style="39"/>
    <col min="13146" max="13146" width="12" style="39" bestFit="1" customWidth="1"/>
    <col min="13147" max="13147" width="32.6640625" style="39" customWidth="1"/>
    <col min="13148" max="13148" width="12.33203125" style="39" bestFit="1" customWidth="1"/>
    <col min="13149" max="13149" width="9.109375" style="39"/>
    <col min="13150" max="13150" width="10.6640625" style="39" bestFit="1" customWidth="1"/>
    <col min="13151" max="13155" width="9.109375" style="39"/>
    <col min="13156" max="13156" width="10.6640625" style="39" bestFit="1" customWidth="1"/>
    <col min="13157" max="13163" width="9.109375" style="39"/>
    <col min="13164" max="13164" width="12" style="39" bestFit="1" customWidth="1"/>
    <col min="13165" max="13165" width="32.6640625" style="39" customWidth="1"/>
    <col min="13166" max="13166" width="12.33203125" style="39" bestFit="1" customWidth="1"/>
    <col min="13167" max="13167" width="9.109375" style="39"/>
    <col min="13168" max="13168" width="10.6640625" style="39" bestFit="1" customWidth="1"/>
    <col min="13169" max="13173" width="9.109375" style="39"/>
    <col min="13174" max="13174" width="10.6640625" style="39" bestFit="1" customWidth="1"/>
    <col min="13175" max="13181" width="9.109375" style="39"/>
    <col min="13182" max="13182" width="12" style="39" bestFit="1" customWidth="1"/>
    <col min="13183" max="13183" width="32.6640625" style="39" customWidth="1"/>
    <col min="13184" max="13184" width="12.33203125" style="39" bestFit="1" customWidth="1"/>
    <col min="13185" max="13185" width="9.109375" style="39"/>
    <col min="13186" max="13186" width="10.6640625" style="39" bestFit="1" customWidth="1"/>
    <col min="13187" max="13191" width="9.109375" style="39"/>
    <col min="13192" max="13192" width="10.6640625" style="39" bestFit="1" customWidth="1"/>
    <col min="13193" max="13199" width="9.109375" style="39"/>
    <col min="13200" max="13200" width="12" style="39" bestFit="1" customWidth="1"/>
    <col min="13201" max="13201" width="32.6640625" style="39" customWidth="1"/>
    <col min="13202" max="13202" width="12.33203125" style="39" bestFit="1" customWidth="1"/>
    <col min="13203" max="13203" width="9.109375" style="39"/>
    <col min="13204" max="13204" width="10.6640625" style="39" bestFit="1" customWidth="1"/>
    <col min="13205" max="13209" width="9.109375" style="39"/>
    <col min="13210" max="13210" width="10.6640625" style="39" bestFit="1" customWidth="1"/>
    <col min="13211" max="13217" width="9.109375" style="39"/>
    <col min="13218" max="13218" width="12" style="39" bestFit="1" customWidth="1"/>
    <col min="13219" max="13219" width="32.6640625" style="39" customWidth="1"/>
    <col min="13220" max="13220" width="12.33203125" style="39" bestFit="1" customWidth="1"/>
    <col min="13221" max="13221" width="9.109375" style="39"/>
    <col min="13222" max="13222" width="10.6640625" style="39" bestFit="1" customWidth="1"/>
    <col min="13223" max="13227" width="9.109375" style="39"/>
    <col min="13228" max="13228" width="10.6640625" style="39" bestFit="1" customWidth="1"/>
    <col min="13229" max="13235" width="9.109375" style="39"/>
    <col min="13236" max="13236" width="12" style="39" bestFit="1" customWidth="1"/>
    <col min="13237" max="13237" width="32.6640625" style="39" customWidth="1"/>
    <col min="13238" max="13238" width="12.33203125" style="39" bestFit="1" customWidth="1"/>
    <col min="13239" max="13239" width="9.109375" style="39"/>
    <col min="13240" max="13240" width="10.6640625" style="39" bestFit="1" customWidth="1"/>
    <col min="13241" max="13245" width="9.109375" style="39"/>
    <col min="13246" max="13246" width="10.6640625" style="39" bestFit="1" customWidth="1"/>
    <col min="13247" max="13253" width="9.109375" style="39"/>
    <col min="13254" max="13254" width="13.33203125" style="39" bestFit="1" customWidth="1"/>
    <col min="13255" max="13255" width="32.6640625" style="39" customWidth="1"/>
    <col min="13256" max="13256" width="12.33203125" style="39" bestFit="1" customWidth="1"/>
    <col min="13257" max="13257" width="9.109375" style="39"/>
    <col min="13258" max="13258" width="10.6640625" style="39" bestFit="1" customWidth="1"/>
    <col min="13259" max="13263" width="9.109375" style="39"/>
    <col min="13264" max="13264" width="10.6640625" style="39" bestFit="1" customWidth="1"/>
    <col min="13265" max="13271" width="9.109375" style="39"/>
    <col min="13272" max="13272" width="12" style="39" bestFit="1" customWidth="1"/>
    <col min="13273" max="13313" width="9.109375" style="39"/>
    <col min="13314" max="13314" width="12.33203125" style="39" bestFit="1" customWidth="1"/>
    <col min="13315" max="13315" width="10.109375" style="39" bestFit="1" customWidth="1"/>
    <col min="13316" max="13316" width="10.6640625" style="39" bestFit="1" customWidth="1"/>
    <col min="13317" max="13320" width="9.109375" style="39"/>
    <col min="13321" max="13321" width="9.109375" style="39" bestFit="1" customWidth="1"/>
    <col min="13322" max="13322" width="10.6640625" style="39" bestFit="1" customWidth="1"/>
    <col min="13323" max="13323" width="4.5546875" style="39" bestFit="1" customWidth="1"/>
    <col min="13324" max="13324" width="5.5546875" style="39" bestFit="1" customWidth="1"/>
    <col min="13325" max="13325" width="10.6640625" style="39" bestFit="1" customWidth="1"/>
    <col min="13326" max="13329" width="9.109375" style="39"/>
    <col min="13330" max="13330" width="12" style="39" bestFit="1" customWidth="1"/>
    <col min="13331" max="13331" width="32.6640625" style="39" customWidth="1"/>
    <col min="13332" max="13332" width="12.33203125" style="39" bestFit="1" customWidth="1"/>
    <col min="13333" max="13333" width="9.109375" style="39"/>
    <col min="13334" max="13334" width="10.6640625" style="39" bestFit="1" customWidth="1"/>
    <col min="13335" max="13339" width="9.109375" style="39"/>
    <col min="13340" max="13340" width="10.6640625" style="39" bestFit="1" customWidth="1"/>
    <col min="13341" max="13347" width="9.109375" style="39"/>
    <col min="13348" max="13348" width="12" style="39" bestFit="1" customWidth="1"/>
    <col min="13349" max="13349" width="32.6640625" style="39" customWidth="1"/>
    <col min="13350" max="13350" width="12.33203125" style="39" bestFit="1" customWidth="1"/>
    <col min="13351" max="13351" width="9.109375" style="39"/>
    <col min="13352" max="13352" width="10.6640625" style="39" bestFit="1" customWidth="1"/>
    <col min="13353" max="13357" width="9.109375" style="39"/>
    <col min="13358" max="13358" width="10.6640625" style="39" bestFit="1" customWidth="1"/>
    <col min="13359" max="13365" width="9.109375" style="39"/>
    <col min="13366" max="13366" width="12" style="39" bestFit="1" customWidth="1"/>
    <col min="13367" max="13367" width="32.6640625" style="39" customWidth="1"/>
    <col min="13368" max="13368" width="12.33203125" style="39" bestFit="1" customWidth="1"/>
    <col min="13369" max="13369" width="9.109375" style="39"/>
    <col min="13370" max="13370" width="10.6640625" style="39" bestFit="1" customWidth="1"/>
    <col min="13371" max="13375" width="9.109375" style="39"/>
    <col min="13376" max="13376" width="10.6640625" style="39" bestFit="1" customWidth="1"/>
    <col min="13377" max="13383" width="9.109375" style="39"/>
    <col min="13384" max="13384" width="12" style="39" bestFit="1" customWidth="1"/>
    <col min="13385" max="13385" width="32.6640625" style="39" customWidth="1"/>
    <col min="13386" max="13386" width="12.33203125" style="39" bestFit="1" customWidth="1"/>
    <col min="13387" max="13387" width="9.109375" style="39"/>
    <col min="13388" max="13388" width="10.6640625" style="39" bestFit="1" customWidth="1"/>
    <col min="13389" max="13393" width="9.109375" style="39"/>
    <col min="13394" max="13394" width="10.6640625" style="39" bestFit="1" customWidth="1"/>
    <col min="13395" max="13401" width="9.109375" style="39"/>
    <col min="13402" max="13402" width="12" style="39" bestFit="1" customWidth="1"/>
    <col min="13403" max="13403" width="32.6640625" style="39" customWidth="1"/>
    <col min="13404" max="13404" width="12.33203125" style="39" bestFit="1" customWidth="1"/>
    <col min="13405" max="13405" width="9.109375" style="39"/>
    <col min="13406" max="13406" width="10.6640625" style="39" bestFit="1" customWidth="1"/>
    <col min="13407" max="13411" width="9.109375" style="39"/>
    <col min="13412" max="13412" width="10.6640625" style="39" bestFit="1" customWidth="1"/>
    <col min="13413" max="13419" width="9.109375" style="39"/>
    <col min="13420" max="13420" width="12" style="39" bestFit="1" customWidth="1"/>
    <col min="13421" max="13421" width="32.6640625" style="39" customWidth="1"/>
    <col min="13422" max="13422" width="12.33203125" style="39" bestFit="1" customWidth="1"/>
    <col min="13423" max="13423" width="9.109375" style="39"/>
    <col min="13424" max="13424" width="10.6640625" style="39" bestFit="1" customWidth="1"/>
    <col min="13425" max="13429" width="9.109375" style="39"/>
    <col min="13430" max="13430" width="10.6640625" style="39" bestFit="1" customWidth="1"/>
    <col min="13431" max="13437" width="9.109375" style="39"/>
    <col min="13438" max="13438" width="12" style="39" bestFit="1" customWidth="1"/>
    <col min="13439" max="13439" width="32.6640625" style="39" customWidth="1"/>
    <col min="13440" max="13440" width="12.33203125" style="39" bestFit="1" customWidth="1"/>
    <col min="13441" max="13441" width="9.109375" style="39"/>
    <col min="13442" max="13442" width="10.6640625" style="39" bestFit="1" customWidth="1"/>
    <col min="13443" max="13447" width="9.109375" style="39"/>
    <col min="13448" max="13448" width="10.6640625" style="39" bestFit="1" customWidth="1"/>
    <col min="13449" max="13455" width="9.109375" style="39"/>
    <col min="13456" max="13456" width="12" style="39" bestFit="1" customWidth="1"/>
    <col min="13457" max="13457" width="32.6640625" style="39" customWidth="1"/>
    <col min="13458" max="13458" width="12.33203125" style="39" bestFit="1" customWidth="1"/>
    <col min="13459" max="13459" width="9.109375" style="39"/>
    <col min="13460" max="13460" width="10.6640625" style="39" bestFit="1" customWidth="1"/>
    <col min="13461" max="13465" width="9.109375" style="39"/>
    <col min="13466" max="13466" width="10.6640625" style="39" bestFit="1" customWidth="1"/>
    <col min="13467" max="13473" width="9.109375" style="39"/>
    <col min="13474" max="13474" width="12" style="39" bestFit="1" customWidth="1"/>
    <col min="13475" max="13475" width="32.6640625" style="39" customWidth="1"/>
    <col min="13476" max="13476" width="12.33203125" style="39" bestFit="1" customWidth="1"/>
    <col min="13477" max="13477" width="9.109375" style="39"/>
    <col min="13478" max="13478" width="10.6640625" style="39" bestFit="1" customWidth="1"/>
    <col min="13479" max="13483" width="9.109375" style="39"/>
    <col min="13484" max="13484" width="10.6640625" style="39" bestFit="1" customWidth="1"/>
    <col min="13485" max="13491" width="9.109375" style="39"/>
    <col min="13492" max="13492" width="12" style="39" bestFit="1" customWidth="1"/>
    <col min="13493" max="13493" width="32.6640625" style="39" customWidth="1"/>
    <col min="13494" max="13494" width="12.33203125" style="39" bestFit="1" customWidth="1"/>
    <col min="13495" max="13495" width="9.109375" style="39"/>
    <col min="13496" max="13496" width="10.6640625" style="39" bestFit="1" customWidth="1"/>
    <col min="13497" max="13501" width="9.109375" style="39"/>
    <col min="13502" max="13502" width="10.6640625" style="39" bestFit="1" customWidth="1"/>
    <col min="13503" max="13509" width="9.109375" style="39"/>
    <col min="13510" max="13510" width="13.33203125" style="39" bestFit="1" customWidth="1"/>
    <col min="13511" max="13511" width="32.6640625" style="39" customWidth="1"/>
    <col min="13512" max="13512" width="12.33203125" style="39" bestFit="1" customWidth="1"/>
    <col min="13513" max="13513" width="9.109375" style="39"/>
    <col min="13514" max="13514" width="10.6640625" style="39" bestFit="1" customWidth="1"/>
    <col min="13515" max="13519" width="9.109375" style="39"/>
    <col min="13520" max="13520" width="10.6640625" style="39" bestFit="1" customWidth="1"/>
    <col min="13521" max="13527" width="9.109375" style="39"/>
    <col min="13528" max="13528" width="12" style="39" bestFit="1" customWidth="1"/>
    <col min="13529" max="13569" width="9.109375" style="39"/>
    <col min="13570" max="13570" width="12.33203125" style="39" bestFit="1" customWidth="1"/>
    <col min="13571" max="13571" width="10.109375" style="39" bestFit="1" customWidth="1"/>
    <col min="13572" max="13572" width="10.6640625" style="39" bestFit="1" customWidth="1"/>
    <col min="13573" max="13576" width="9.109375" style="39"/>
    <col min="13577" max="13577" width="9.109375" style="39" bestFit="1" customWidth="1"/>
    <col min="13578" max="13578" width="10.6640625" style="39" bestFit="1" customWidth="1"/>
    <col min="13579" max="13579" width="4.5546875" style="39" bestFit="1" customWidth="1"/>
    <col min="13580" max="13580" width="5.5546875" style="39" bestFit="1" customWidth="1"/>
    <col min="13581" max="13581" width="10.6640625" style="39" bestFit="1" customWidth="1"/>
    <col min="13582" max="13585" width="9.109375" style="39"/>
    <col min="13586" max="13586" width="12" style="39" bestFit="1" customWidth="1"/>
    <col min="13587" max="13587" width="32.6640625" style="39" customWidth="1"/>
    <col min="13588" max="13588" width="12.33203125" style="39" bestFit="1" customWidth="1"/>
    <col min="13589" max="13589" width="9.109375" style="39"/>
    <col min="13590" max="13590" width="10.6640625" style="39" bestFit="1" customWidth="1"/>
    <col min="13591" max="13595" width="9.109375" style="39"/>
    <col min="13596" max="13596" width="10.6640625" style="39" bestFit="1" customWidth="1"/>
    <col min="13597" max="13603" width="9.109375" style="39"/>
    <col min="13604" max="13604" width="12" style="39" bestFit="1" customWidth="1"/>
    <col min="13605" max="13605" width="32.6640625" style="39" customWidth="1"/>
    <col min="13606" max="13606" width="12.33203125" style="39" bestFit="1" customWidth="1"/>
    <col min="13607" max="13607" width="9.109375" style="39"/>
    <col min="13608" max="13608" width="10.6640625" style="39" bestFit="1" customWidth="1"/>
    <col min="13609" max="13613" width="9.109375" style="39"/>
    <col min="13614" max="13614" width="10.6640625" style="39" bestFit="1" customWidth="1"/>
    <col min="13615" max="13621" width="9.109375" style="39"/>
    <col min="13622" max="13622" width="12" style="39" bestFit="1" customWidth="1"/>
    <col min="13623" max="13623" width="32.6640625" style="39" customWidth="1"/>
    <col min="13624" max="13624" width="12.33203125" style="39" bestFit="1" customWidth="1"/>
    <col min="13625" max="13625" width="9.109375" style="39"/>
    <col min="13626" max="13626" width="10.6640625" style="39" bestFit="1" customWidth="1"/>
    <col min="13627" max="13631" width="9.109375" style="39"/>
    <col min="13632" max="13632" width="10.6640625" style="39" bestFit="1" customWidth="1"/>
    <col min="13633" max="13639" width="9.109375" style="39"/>
    <col min="13640" max="13640" width="12" style="39" bestFit="1" customWidth="1"/>
    <col min="13641" max="13641" width="32.6640625" style="39" customWidth="1"/>
    <col min="13642" max="13642" width="12.33203125" style="39" bestFit="1" customWidth="1"/>
    <col min="13643" max="13643" width="9.109375" style="39"/>
    <col min="13644" max="13644" width="10.6640625" style="39" bestFit="1" customWidth="1"/>
    <col min="13645" max="13649" width="9.109375" style="39"/>
    <col min="13650" max="13650" width="10.6640625" style="39" bestFit="1" customWidth="1"/>
    <col min="13651" max="13657" width="9.109375" style="39"/>
    <col min="13658" max="13658" width="12" style="39" bestFit="1" customWidth="1"/>
    <col min="13659" max="13659" width="32.6640625" style="39" customWidth="1"/>
    <col min="13660" max="13660" width="12.33203125" style="39" bestFit="1" customWidth="1"/>
    <col min="13661" max="13661" width="9.109375" style="39"/>
    <col min="13662" max="13662" width="10.6640625" style="39" bestFit="1" customWidth="1"/>
    <col min="13663" max="13667" width="9.109375" style="39"/>
    <col min="13668" max="13668" width="10.6640625" style="39" bestFit="1" customWidth="1"/>
    <col min="13669" max="13675" width="9.109375" style="39"/>
    <col min="13676" max="13676" width="12" style="39" bestFit="1" customWidth="1"/>
    <col min="13677" max="13677" width="32.6640625" style="39" customWidth="1"/>
    <col min="13678" max="13678" width="12.33203125" style="39" bestFit="1" customWidth="1"/>
    <col min="13679" max="13679" width="9.109375" style="39"/>
    <col min="13680" max="13680" width="10.6640625" style="39" bestFit="1" customWidth="1"/>
    <col min="13681" max="13685" width="9.109375" style="39"/>
    <col min="13686" max="13686" width="10.6640625" style="39" bestFit="1" customWidth="1"/>
    <col min="13687" max="13693" width="9.109375" style="39"/>
    <col min="13694" max="13694" width="12" style="39" bestFit="1" customWidth="1"/>
    <col min="13695" max="13695" width="32.6640625" style="39" customWidth="1"/>
    <col min="13696" max="13696" width="12.33203125" style="39" bestFit="1" customWidth="1"/>
    <col min="13697" max="13697" width="9.109375" style="39"/>
    <col min="13698" max="13698" width="10.6640625" style="39" bestFit="1" customWidth="1"/>
    <col min="13699" max="13703" width="9.109375" style="39"/>
    <col min="13704" max="13704" width="10.6640625" style="39" bestFit="1" customWidth="1"/>
    <col min="13705" max="13711" width="9.109375" style="39"/>
    <col min="13712" max="13712" width="12" style="39" bestFit="1" customWidth="1"/>
    <col min="13713" max="13713" width="32.6640625" style="39" customWidth="1"/>
    <col min="13714" max="13714" width="12.33203125" style="39" bestFit="1" customWidth="1"/>
    <col min="13715" max="13715" width="9.109375" style="39"/>
    <col min="13716" max="13716" width="10.6640625" style="39" bestFit="1" customWidth="1"/>
    <col min="13717" max="13721" width="9.109375" style="39"/>
    <col min="13722" max="13722" width="10.6640625" style="39" bestFit="1" customWidth="1"/>
    <col min="13723" max="13729" width="9.109375" style="39"/>
    <col min="13730" max="13730" width="12" style="39" bestFit="1" customWidth="1"/>
    <col min="13731" max="13731" width="32.6640625" style="39" customWidth="1"/>
    <col min="13732" max="13732" width="12.33203125" style="39" bestFit="1" customWidth="1"/>
    <col min="13733" max="13733" width="9.109375" style="39"/>
    <col min="13734" max="13734" width="10.6640625" style="39" bestFit="1" customWidth="1"/>
    <col min="13735" max="13739" width="9.109375" style="39"/>
    <col min="13740" max="13740" width="10.6640625" style="39" bestFit="1" customWidth="1"/>
    <col min="13741" max="13747" width="9.109375" style="39"/>
    <col min="13748" max="13748" width="12" style="39" bestFit="1" customWidth="1"/>
    <col min="13749" max="13749" width="32.6640625" style="39" customWidth="1"/>
    <col min="13750" max="13750" width="12.33203125" style="39" bestFit="1" customWidth="1"/>
    <col min="13751" max="13751" width="9.109375" style="39"/>
    <col min="13752" max="13752" width="10.6640625" style="39" bestFit="1" customWidth="1"/>
    <col min="13753" max="13757" width="9.109375" style="39"/>
    <col min="13758" max="13758" width="10.6640625" style="39" bestFit="1" customWidth="1"/>
    <col min="13759" max="13765" width="9.109375" style="39"/>
    <col min="13766" max="13766" width="13.33203125" style="39" bestFit="1" customWidth="1"/>
    <col min="13767" max="13767" width="32.6640625" style="39" customWidth="1"/>
    <col min="13768" max="13768" width="12.33203125" style="39" bestFit="1" customWidth="1"/>
    <col min="13769" max="13769" width="9.109375" style="39"/>
    <col min="13770" max="13770" width="10.6640625" style="39" bestFit="1" customWidth="1"/>
    <col min="13771" max="13775" width="9.109375" style="39"/>
    <col min="13776" max="13776" width="10.6640625" style="39" bestFit="1" customWidth="1"/>
    <col min="13777" max="13783" width="9.109375" style="39"/>
    <col min="13784" max="13784" width="12" style="39" bestFit="1" customWidth="1"/>
    <col min="13785" max="13825" width="9.109375" style="39"/>
    <col min="13826" max="13826" width="12.33203125" style="39" bestFit="1" customWidth="1"/>
    <col min="13827" max="13827" width="10.109375" style="39" bestFit="1" customWidth="1"/>
    <col min="13828" max="13828" width="10.6640625" style="39" bestFit="1" customWidth="1"/>
    <col min="13829" max="13832" width="9.109375" style="39"/>
    <col min="13833" max="13833" width="9.109375" style="39" bestFit="1" customWidth="1"/>
    <col min="13834" max="13834" width="10.6640625" style="39" bestFit="1" customWidth="1"/>
    <col min="13835" max="13835" width="4.5546875" style="39" bestFit="1" customWidth="1"/>
    <col min="13836" max="13836" width="5.5546875" style="39" bestFit="1" customWidth="1"/>
    <col min="13837" max="13837" width="10.6640625" style="39" bestFit="1" customWidth="1"/>
    <col min="13838" max="13841" width="9.109375" style="39"/>
    <col min="13842" max="13842" width="12" style="39" bestFit="1" customWidth="1"/>
    <col min="13843" max="13843" width="32.6640625" style="39" customWidth="1"/>
    <col min="13844" max="13844" width="12.33203125" style="39" bestFit="1" customWidth="1"/>
    <col min="13845" max="13845" width="9.109375" style="39"/>
    <col min="13846" max="13846" width="10.6640625" style="39" bestFit="1" customWidth="1"/>
    <col min="13847" max="13851" width="9.109375" style="39"/>
    <col min="13852" max="13852" width="10.6640625" style="39" bestFit="1" customWidth="1"/>
    <col min="13853" max="13859" width="9.109375" style="39"/>
    <col min="13860" max="13860" width="12" style="39" bestFit="1" customWidth="1"/>
    <col min="13861" max="13861" width="32.6640625" style="39" customWidth="1"/>
    <col min="13862" max="13862" width="12.33203125" style="39" bestFit="1" customWidth="1"/>
    <col min="13863" max="13863" width="9.109375" style="39"/>
    <col min="13864" max="13864" width="10.6640625" style="39" bestFit="1" customWidth="1"/>
    <col min="13865" max="13869" width="9.109375" style="39"/>
    <col min="13870" max="13870" width="10.6640625" style="39" bestFit="1" customWidth="1"/>
    <col min="13871" max="13877" width="9.109375" style="39"/>
    <col min="13878" max="13878" width="12" style="39" bestFit="1" customWidth="1"/>
    <col min="13879" max="13879" width="32.6640625" style="39" customWidth="1"/>
    <col min="13880" max="13880" width="12.33203125" style="39" bestFit="1" customWidth="1"/>
    <col min="13881" max="13881" width="9.109375" style="39"/>
    <col min="13882" max="13882" width="10.6640625" style="39" bestFit="1" customWidth="1"/>
    <col min="13883" max="13887" width="9.109375" style="39"/>
    <col min="13888" max="13888" width="10.6640625" style="39" bestFit="1" customWidth="1"/>
    <col min="13889" max="13895" width="9.109375" style="39"/>
    <col min="13896" max="13896" width="12" style="39" bestFit="1" customWidth="1"/>
    <col min="13897" max="13897" width="32.6640625" style="39" customWidth="1"/>
    <col min="13898" max="13898" width="12.33203125" style="39" bestFit="1" customWidth="1"/>
    <col min="13899" max="13899" width="9.109375" style="39"/>
    <col min="13900" max="13900" width="10.6640625" style="39" bestFit="1" customWidth="1"/>
    <col min="13901" max="13905" width="9.109375" style="39"/>
    <col min="13906" max="13906" width="10.6640625" style="39" bestFit="1" customWidth="1"/>
    <col min="13907" max="13913" width="9.109375" style="39"/>
    <col min="13914" max="13914" width="12" style="39" bestFit="1" customWidth="1"/>
    <col min="13915" max="13915" width="32.6640625" style="39" customWidth="1"/>
    <col min="13916" max="13916" width="12.33203125" style="39" bestFit="1" customWidth="1"/>
    <col min="13917" max="13917" width="9.109375" style="39"/>
    <col min="13918" max="13918" width="10.6640625" style="39" bestFit="1" customWidth="1"/>
    <col min="13919" max="13923" width="9.109375" style="39"/>
    <col min="13924" max="13924" width="10.6640625" style="39" bestFit="1" customWidth="1"/>
    <col min="13925" max="13931" width="9.109375" style="39"/>
    <col min="13932" max="13932" width="12" style="39" bestFit="1" customWidth="1"/>
    <col min="13933" max="13933" width="32.6640625" style="39" customWidth="1"/>
    <col min="13934" max="13934" width="12.33203125" style="39" bestFit="1" customWidth="1"/>
    <col min="13935" max="13935" width="9.109375" style="39"/>
    <col min="13936" max="13936" width="10.6640625" style="39" bestFit="1" customWidth="1"/>
    <col min="13937" max="13941" width="9.109375" style="39"/>
    <col min="13942" max="13942" width="10.6640625" style="39" bestFit="1" customWidth="1"/>
    <col min="13943" max="13949" width="9.109375" style="39"/>
    <col min="13950" max="13950" width="12" style="39" bestFit="1" customWidth="1"/>
    <col min="13951" max="13951" width="32.6640625" style="39" customWidth="1"/>
    <col min="13952" max="13952" width="12.33203125" style="39" bestFit="1" customWidth="1"/>
    <col min="13953" max="13953" width="9.109375" style="39"/>
    <col min="13954" max="13954" width="10.6640625" style="39" bestFit="1" customWidth="1"/>
    <col min="13955" max="13959" width="9.109375" style="39"/>
    <col min="13960" max="13960" width="10.6640625" style="39" bestFit="1" customWidth="1"/>
    <col min="13961" max="13967" width="9.109375" style="39"/>
    <col min="13968" max="13968" width="12" style="39" bestFit="1" customWidth="1"/>
    <col min="13969" max="13969" width="32.6640625" style="39" customWidth="1"/>
    <col min="13970" max="13970" width="12.33203125" style="39" bestFit="1" customWidth="1"/>
    <col min="13971" max="13971" width="9.109375" style="39"/>
    <col min="13972" max="13972" width="10.6640625" style="39" bestFit="1" customWidth="1"/>
    <col min="13973" max="13977" width="9.109375" style="39"/>
    <col min="13978" max="13978" width="10.6640625" style="39" bestFit="1" customWidth="1"/>
    <col min="13979" max="13985" width="9.109375" style="39"/>
    <col min="13986" max="13986" width="12" style="39" bestFit="1" customWidth="1"/>
    <col min="13987" max="13987" width="32.6640625" style="39" customWidth="1"/>
    <col min="13988" max="13988" width="12.33203125" style="39" bestFit="1" customWidth="1"/>
    <col min="13989" max="13989" width="9.109375" style="39"/>
    <col min="13990" max="13990" width="10.6640625" style="39" bestFit="1" customWidth="1"/>
    <col min="13991" max="13995" width="9.109375" style="39"/>
    <col min="13996" max="13996" width="10.6640625" style="39" bestFit="1" customWidth="1"/>
    <col min="13997" max="14003" width="9.109375" style="39"/>
    <col min="14004" max="14004" width="12" style="39" bestFit="1" customWidth="1"/>
    <col min="14005" max="14005" width="32.6640625" style="39" customWidth="1"/>
    <col min="14006" max="14006" width="12.33203125" style="39" bestFit="1" customWidth="1"/>
    <col min="14007" max="14007" width="9.109375" style="39"/>
    <col min="14008" max="14008" width="10.6640625" style="39" bestFit="1" customWidth="1"/>
    <col min="14009" max="14013" width="9.109375" style="39"/>
    <col min="14014" max="14014" width="10.6640625" style="39" bestFit="1" customWidth="1"/>
    <col min="14015" max="14021" width="9.109375" style="39"/>
    <col min="14022" max="14022" width="13.33203125" style="39" bestFit="1" customWidth="1"/>
    <col min="14023" max="14023" width="32.6640625" style="39" customWidth="1"/>
    <col min="14024" max="14024" width="12.33203125" style="39" bestFit="1" customWidth="1"/>
    <col min="14025" max="14025" width="9.109375" style="39"/>
    <col min="14026" max="14026" width="10.6640625" style="39" bestFit="1" customWidth="1"/>
    <col min="14027" max="14031" width="9.109375" style="39"/>
    <col min="14032" max="14032" width="10.6640625" style="39" bestFit="1" customWidth="1"/>
    <col min="14033" max="14039" width="9.109375" style="39"/>
    <col min="14040" max="14040" width="12" style="39" bestFit="1" customWidth="1"/>
    <col min="14041" max="14081" width="9.109375" style="39"/>
    <col min="14082" max="14082" width="12.33203125" style="39" bestFit="1" customWidth="1"/>
    <col min="14083" max="14083" width="10.109375" style="39" bestFit="1" customWidth="1"/>
    <col min="14084" max="14084" width="10.6640625" style="39" bestFit="1" customWidth="1"/>
    <col min="14085" max="14088" width="9.109375" style="39"/>
    <col min="14089" max="14089" width="9.109375" style="39" bestFit="1" customWidth="1"/>
    <col min="14090" max="14090" width="10.6640625" style="39" bestFit="1" customWidth="1"/>
    <col min="14091" max="14091" width="4.5546875" style="39" bestFit="1" customWidth="1"/>
    <col min="14092" max="14092" width="5.5546875" style="39" bestFit="1" customWidth="1"/>
    <col min="14093" max="14093" width="10.6640625" style="39" bestFit="1" customWidth="1"/>
    <col min="14094" max="14097" width="9.109375" style="39"/>
    <col min="14098" max="14098" width="12" style="39" bestFit="1" customWidth="1"/>
    <col min="14099" max="14099" width="32.6640625" style="39" customWidth="1"/>
    <col min="14100" max="14100" width="12.33203125" style="39" bestFit="1" customWidth="1"/>
    <col min="14101" max="14101" width="9.109375" style="39"/>
    <col min="14102" max="14102" width="10.6640625" style="39" bestFit="1" customWidth="1"/>
    <col min="14103" max="14107" width="9.109375" style="39"/>
    <col min="14108" max="14108" width="10.6640625" style="39" bestFit="1" customWidth="1"/>
    <col min="14109" max="14115" width="9.109375" style="39"/>
    <col min="14116" max="14116" width="12" style="39" bestFit="1" customWidth="1"/>
    <col min="14117" max="14117" width="32.6640625" style="39" customWidth="1"/>
    <col min="14118" max="14118" width="12.33203125" style="39" bestFit="1" customWidth="1"/>
    <col min="14119" max="14119" width="9.109375" style="39"/>
    <col min="14120" max="14120" width="10.6640625" style="39" bestFit="1" customWidth="1"/>
    <col min="14121" max="14125" width="9.109375" style="39"/>
    <col min="14126" max="14126" width="10.6640625" style="39" bestFit="1" customWidth="1"/>
    <col min="14127" max="14133" width="9.109375" style="39"/>
    <col min="14134" max="14134" width="12" style="39" bestFit="1" customWidth="1"/>
    <col min="14135" max="14135" width="32.6640625" style="39" customWidth="1"/>
    <col min="14136" max="14136" width="12.33203125" style="39" bestFit="1" customWidth="1"/>
    <col min="14137" max="14137" width="9.109375" style="39"/>
    <col min="14138" max="14138" width="10.6640625" style="39" bestFit="1" customWidth="1"/>
    <col min="14139" max="14143" width="9.109375" style="39"/>
    <col min="14144" max="14144" width="10.6640625" style="39" bestFit="1" customWidth="1"/>
    <col min="14145" max="14151" width="9.109375" style="39"/>
    <col min="14152" max="14152" width="12" style="39" bestFit="1" customWidth="1"/>
    <col min="14153" max="14153" width="32.6640625" style="39" customWidth="1"/>
    <col min="14154" max="14154" width="12.33203125" style="39" bestFit="1" customWidth="1"/>
    <col min="14155" max="14155" width="9.109375" style="39"/>
    <col min="14156" max="14156" width="10.6640625" style="39" bestFit="1" customWidth="1"/>
    <col min="14157" max="14161" width="9.109375" style="39"/>
    <col min="14162" max="14162" width="10.6640625" style="39" bestFit="1" customWidth="1"/>
    <col min="14163" max="14169" width="9.109375" style="39"/>
    <col min="14170" max="14170" width="12" style="39" bestFit="1" customWidth="1"/>
    <col min="14171" max="14171" width="32.6640625" style="39" customWidth="1"/>
    <col min="14172" max="14172" width="12.33203125" style="39" bestFit="1" customWidth="1"/>
    <col min="14173" max="14173" width="9.109375" style="39"/>
    <col min="14174" max="14174" width="10.6640625" style="39" bestFit="1" customWidth="1"/>
    <col min="14175" max="14179" width="9.109375" style="39"/>
    <col min="14180" max="14180" width="10.6640625" style="39" bestFit="1" customWidth="1"/>
    <col min="14181" max="14187" width="9.109375" style="39"/>
    <col min="14188" max="14188" width="12" style="39" bestFit="1" customWidth="1"/>
    <col min="14189" max="14189" width="32.6640625" style="39" customWidth="1"/>
    <col min="14190" max="14190" width="12.33203125" style="39" bestFit="1" customWidth="1"/>
    <col min="14191" max="14191" width="9.109375" style="39"/>
    <col min="14192" max="14192" width="10.6640625" style="39" bestFit="1" customWidth="1"/>
    <col min="14193" max="14197" width="9.109375" style="39"/>
    <col min="14198" max="14198" width="10.6640625" style="39" bestFit="1" customWidth="1"/>
    <col min="14199" max="14205" width="9.109375" style="39"/>
    <col min="14206" max="14206" width="12" style="39" bestFit="1" customWidth="1"/>
    <col min="14207" max="14207" width="32.6640625" style="39" customWidth="1"/>
    <col min="14208" max="14208" width="12.33203125" style="39" bestFit="1" customWidth="1"/>
    <col min="14209" max="14209" width="9.109375" style="39"/>
    <col min="14210" max="14210" width="10.6640625" style="39" bestFit="1" customWidth="1"/>
    <col min="14211" max="14215" width="9.109375" style="39"/>
    <col min="14216" max="14216" width="10.6640625" style="39" bestFit="1" customWidth="1"/>
    <col min="14217" max="14223" width="9.109375" style="39"/>
    <col min="14224" max="14224" width="12" style="39" bestFit="1" customWidth="1"/>
    <col min="14225" max="14225" width="32.6640625" style="39" customWidth="1"/>
    <col min="14226" max="14226" width="12.33203125" style="39" bestFit="1" customWidth="1"/>
    <col min="14227" max="14227" width="9.109375" style="39"/>
    <col min="14228" max="14228" width="10.6640625" style="39" bestFit="1" customWidth="1"/>
    <col min="14229" max="14233" width="9.109375" style="39"/>
    <col min="14234" max="14234" width="10.6640625" style="39" bestFit="1" customWidth="1"/>
    <col min="14235" max="14241" width="9.109375" style="39"/>
    <col min="14242" max="14242" width="12" style="39" bestFit="1" customWidth="1"/>
    <col min="14243" max="14243" width="32.6640625" style="39" customWidth="1"/>
    <col min="14244" max="14244" width="12.33203125" style="39" bestFit="1" customWidth="1"/>
    <col min="14245" max="14245" width="9.109375" style="39"/>
    <col min="14246" max="14246" width="10.6640625" style="39" bestFit="1" customWidth="1"/>
    <col min="14247" max="14251" width="9.109375" style="39"/>
    <col min="14252" max="14252" width="10.6640625" style="39" bestFit="1" customWidth="1"/>
    <col min="14253" max="14259" width="9.109375" style="39"/>
    <col min="14260" max="14260" width="12" style="39" bestFit="1" customWidth="1"/>
    <col min="14261" max="14261" width="32.6640625" style="39" customWidth="1"/>
    <col min="14262" max="14262" width="12.33203125" style="39" bestFit="1" customWidth="1"/>
    <col min="14263" max="14263" width="9.109375" style="39"/>
    <col min="14264" max="14264" width="10.6640625" style="39" bestFit="1" customWidth="1"/>
    <col min="14265" max="14269" width="9.109375" style="39"/>
    <col min="14270" max="14270" width="10.6640625" style="39" bestFit="1" customWidth="1"/>
    <col min="14271" max="14277" width="9.109375" style="39"/>
    <col min="14278" max="14278" width="13.33203125" style="39" bestFit="1" customWidth="1"/>
    <col min="14279" max="14279" width="32.6640625" style="39" customWidth="1"/>
    <col min="14280" max="14280" width="12.33203125" style="39" bestFit="1" customWidth="1"/>
    <col min="14281" max="14281" width="9.109375" style="39"/>
    <col min="14282" max="14282" width="10.6640625" style="39" bestFit="1" customWidth="1"/>
    <col min="14283" max="14287" width="9.109375" style="39"/>
    <col min="14288" max="14288" width="10.6640625" style="39" bestFit="1" customWidth="1"/>
    <col min="14289" max="14295" width="9.109375" style="39"/>
    <col min="14296" max="14296" width="12" style="39" bestFit="1" customWidth="1"/>
    <col min="14297" max="14337" width="9.109375" style="39"/>
    <col min="14338" max="14338" width="12.33203125" style="39" bestFit="1" customWidth="1"/>
    <col min="14339" max="14339" width="10.109375" style="39" bestFit="1" customWidth="1"/>
    <col min="14340" max="14340" width="10.6640625" style="39" bestFit="1" customWidth="1"/>
    <col min="14341" max="14344" width="9.109375" style="39"/>
    <col min="14345" max="14345" width="9.109375" style="39" bestFit="1" customWidth="1"/>
    <col min="14346" max="14346" width="10.6640625" style="39" bestFit="1" customWidth="1"/>
    <col min="14347" max="14347" width="4.5546875" style="39" bestFit="1" customWidth="1"/>
    <col min="14348" max="14348" width="5.5546875" style="39" bestFit="1" customWidth="1"/>
    <col min="14349" max="14349" width="10.6640625" style="39" bestFit="1" customWidth="1"/>
    <col min="14350" max="14353" width="9.109375" style="39"/>
    <col min="14354" max="14354" width="12" style="39" bestFit="1" customWidth="1"/>
    <col min="14355" max="14355" width="32.6640625" style="39" customWidth="1"/>
    <col min="14356" max="14356" width="12.33203125" style="39" bestFit="1" customWidth="1"/>
    <col min="14357" max="14357" width="9.109375" style="39"/>
    <col min="14358" max="14358" width="10.6640625" style="39" bestFit="1" customWidth="1"/>
    <col min="14359" max="14363" width="9.109375" style="39"/>
    <col min="14364" max="14364" width="10.6640625" style="39" bestFit="1" customWidth="1"/>
    <col min="14365" max="14371" width="9.109375" style="39"/>
    <col min="14372" max="14372" width="12" style="39" bestFit="1" customWidth="1"/>
    <col min="14373" max="14373" width="32.6640625" style="39" customWidth="1"/>
    <col min="14374" max="14374" width="12.33203125" style="39" bestFit="1" customWidth="1"/>
    <col min="14375" max="14375" width="9.109375" style="39"/>
    <col min="14376" max="14376" width="10.6640625" style="39" bestFit="1" customWidth="1"/>
    <col min="14377" max="14381" width="9.109375" style="39"/>
    <col min="14382" max="14382" width="10.6640625" style="39" bestFit="1" customWidth="1"/>
    <col min="14383" max="14389" width="9.109375" style="39"/>
    <col min="14390" max="14390" width="12" style="39" bestFit="1" customWidth="1"/>
    <col min="14391" max="14391" width="32.6640625" style="39" customWidth="1"/>
    <col min="14392" max="14392" width="12.33203125" style="39" bestFit="1" customWidth="1"/>
    <col min="14393" max="14393" width="9.109375" style="39"/>
    <col min="14394" max="14394" width="10.6640625" style="39" bestFit="1" customWidth="1"/>
    <col min="14395" max="14399" width="9.109375" style="39"/>
    <col min="14400" max="14400" width="10.6640625" style="39" bestFit="1" customWidth="1"/>
    <col min="14401" max="14407" width="9.109375" style="39"/>
    <col min="14408" max="14408" width="12" style="39" bestFit="1" customWidth="1"/>
    <col min="14409" max="14409" width="32.6640625" style="39" customWidth="1"/>
    <col min="14410" max="14410" width="12.33203125" style="39" bestFit="1" customWidth="1"/>
    <col min="14411" max="14411" width="9.109375" style="39"/>
    <col min="14412" max="14412" width="10.6640625" style="39" bestFit="1" customWidth="1"/>
    <col min="14413" max="14417" width="9.109375" style="39"/>
    <col min="14418" max="14418" width="10.6640625" style="39" bestFit="1" customWidth="1"/>
    <col min="14419" max="14425" width="9.109375" style="39"/>
    <col min="14426" max="14426" width="12" style="39" bestFit="1" customWidth="1"/>
    <col min="14427" max="14427" width="32.6640625" style="39" customWidth="1"/>
    <col min="14428" max="14428" width="12.33203125" style="39" bestFit="1" customWidth="1"/>
    <col min="14429" max="14429" width="9.109375" style="39"/>
    <col min="14430" max="14430" width="10.6640625" style="39" bestFit="1" customWidth="1"/>
    <col min="14431" max="14435" width="9.109375" style="39"/>
    <col min="14436" max="14436" width="10.6640625" style="39" bestFit="1" customWidth="1"/>
    <col min="14437" max="14443" width="9.109375" style="39"/>
    <col min="14444" max="14444" width="12" style="39" bestFit="1" customWidth="1"/>
    <col min="14445" max="14445" width="32.6640625" style="39" customWidth="1"/>
    <col min="14446" max="14446" width="12.33203125" style="39" bestFit="1" customWidth="1"/>
    <col min="14447" max="14447" width="9.109375" style="39"/>
    <col min="14448" max="14448" width="10.6640625" style="39" bestFit="1" customWidth="1"/>
    <col min="14449" max="14453" width="9.109375" style="39"/>
    <col min="14454" max="14454" width="10.6640625" style="39" bestFit="1" customWidth="1"/>
    <col min="14455" max="14461" width="9.109375" style="39"/>
    <col min="14462" max="14462" width="12" style="39" bestFit="1" customWidth="1"/>
    <col min="14463" max="14463" width="32.6640625" style="39" customWidth="1"/>
    <col min="14464" max="14464" width="12.33203125" style="39" bestFit="1" customWidth="1"/>
    <col min="14465" max="14465" width="9.109375" style="39"/>
    <col min="14466" max="14466" width="10.6640625" style="39" bestFit="1" customWidth="1"/>
    <col min="14467" max="14471" width="9.109375" style="39"/>
    <col min="14472" max="14472" width="10.6640625" style="39" bestFit="1" customWidth="1"/>
    <col min="14473" max="14479" width="9.109375" style="39"/>
    <col min="14480" max="14480" width="12" style="39" bestFit="1" customWidth="1"/>
    <col min="14481" max="14481" width="32.6640625" style="39" customWidth="1"/>
    <col min="14482" max="14482" width="12.33203125" style="39" bestFit="1" customWidth="1"/>
    <col min="14483" max="14483" width="9.109375" style="39"/>
    <col min="14484" max="14484" width="10.6640625" style="39" bestFit="1" customWidth="1"/>
    <col min="14485" max="14489" width="9.109375" style="39"/>
    <col min="14490" max="14490" width="10.6640625" style="39" bestFit="1" customWidth="1"/>
    <col min="14491" max="14497" width="9.109375" style="39"/>
    <col min="14498" max="14498" width="12" style="39" bestFit="1" customWidth="1"/>
    <col min="14499" max="14499" width="32.6640625" style="39" customWidth="1"/>
    <col min="14500" max="14500" width="12.33203125" style="39" bestFit="1" customWidth="1"/>
    <col min="14501" max="14501" width="9.109375" style="39"/>
    <col min="14502" max="14502" width="10.6640625" style="39" bestFit="1" customWidth="1"/>
    <col min="14503" max="14507" width="9.109375" style="39"/>
    <col min="14508" max="14508" width="10.6640625" style="39" bestFit="1" customWidth="1"/>
    <col min="14509" max="14515" width="9.109375" style="39"/>
    <col min="14516" max="14516" width="12" style="39" bestFit="1" customWidth="1"/>
    <col min="14517" max="14517" width="32.6640625" style="39" customWidth="1"/>
    <col min="14518" max="14518" width="12.33203125" style="39" bestFit="1" customWidth="1"/>
    <col min="14519" max="14519" width="9.109375" style="39"/>
    <col min="14520" max="14520" width="10.6640625" style="39" bestFit="1" customWidth="1"/>
    <col min="14521" max="14525" width="9.109375" style="39"/>
    <col min="14526" max="14526" width="10.6640625" style="39" bestFit="1" customWidth="1"/>
    <col min="14527" max="14533" width="9.109375" style="39"/>
    <col min="14534" max="14534" width="13.33203125" style="39" bestFit="1" customWidth="1"/>
    <col min="14535" max="14535" width="32.6640625" style="39" customWidth="1"/>
    <col min="14536" max="14536" width="12.33203125" style="39" bestFit="1" customWidth="1"/>
    <col min="14537" max="14537" width="9.109375" style="39"/>
    <col min="14538" max="14538" width="10.6640625" style="39" bestFit="1" customWidth="1"/>
    <col min="14539" max="14543" width="9.109375" style="39"/>
    <col min="14544" max="14544" width="10.6640625" style="39" bestFit="1" customWidth="1"/>
    <col min="14545" max="14551" width="9.109375" style="39"/>
    <col min="14552" max="14552" width="12" style="39" bestFit="1" customWidth="1"/>
    <col min="14553" max="14593" width="9.109375" style="39"/>
    <col min="14594" max="14594" width="12.33203125" style="39" bestFit="1" customWidth="1"/>
    <col min="14595" max="14595" width="10.109375" style="39" bestFit="1" customWidth="1"/>
    <col min="14596" max="14596" width="10.6640625" style="39" bestFit="1" customWidth="1"/>
    <col min="14597" max="14600" width="9.109375" style="39"/>
    <col min="14601" max="14601" width="9.109375" style="39" bestFit="1" customWidth="1"/>
    <col min="14602" max="14602" width="10.6640625" style="39" bestFit="1" customWidth="1"/>
    <col min="14603" max="14603" width="4.5546875" style="39" bestFit="1" customWidth="1"/>
    <col min="14604" max="14604" width="5.5546875" style="39" bestFit="1" customWidth="1"/>
    <col min="14605" max="14605" width="10.6640625" style="39" bestFit="1" customWidth="1"/>
    <col min="14606" max="14609" width="9.109375" style="39"/>
    <col min="14610" max="14610" width="12" style="39" bestFit="1" customWidth="1"/>
    <col min="14611" max="14611" width="32.6640625" style="39" customWidth="1"/>
    <col min="14612" max="14612" width="12.33203125" style="39" bestFit="1" customWidth="1"/>
    <col min="14613" max="14613" width="9.109375" style="39"/>
    <col min="14614" max="14614" width="10.6640625" style="39" bestFit="1" customWidth="1"/>
    <col min="14615" max="14619" width="9.109375" style="39"/>
    <col min="14620" max="14620" width="10.6640625" style="39" bestFit="1" customWidth="1"/>
    <col min="14621" max="14627" width="9.109375" style="39"/>
    <col min="14628" max="14628" width="12" style="39" bestFit="1" customWidth="1"/>
    <col min="14629" max="14629" width="32.6640625" style="39" customWidth="1"/>
    <col min="14630" max="14630" width="12.33203125" style="39" bestFit="1" customWidth="1"/>
    <col min="14631" max="14631" width="9.109375" style="39"/>
    <col min="14632" max="14632" width="10.6640625" style="39" bestFit="1" customWidth="1"/>
    <col min="14633" max="14637" width="9.109375" style="39"/>
    <col min="14638" max="14638" width="10.6640625" style="39" bestFit="1" customWidth="1"/>
    <col min="14639" max="14645" width="9.109375" style="39"/>
    <col min="14646" max="14646" width="12" style="39" bestFit="1" customWidth="1"/>
    <col min="14647" max="14647" width="32.6640625" style="39" customWidth="1"/>
    <col min="14648" max="14648" width="12.33203125" style="39" bestFit="1" customWidth="1"/>
    <col min="14649" max="14649" width="9.109375" style="39"/>
    <col min="14650" max="14650" width="10.6640625" style="39" bestFit="1" customWidth="1"/>
    <col min="14651" max="14655" width="9.109375" style="39"/>
    <col min="14656" max="14656" width="10.6640625" style="39" bestFit="1" customWidth="1"/>
    <col min="14657" max="14663" width="9.109375" style="39"/>
    <col min="14664" max="14664" width="12" style="39" bestFit="1" customWidth="1"/>
    <col min="14665" max="14665" width="32.6640625" style="39" customWidth="1"/>
    <col min="14666" max="14666" width="12.33203125" style="39" bestFit="1" customWidth="1"/>
    <col min="14667" max="14667" width="9.109375" style="39"/>
    <col min="14668" max="14668" width="10.6640625" style="39" bestFit="1" customWidth="1"/>
    <col min="14669" max="14673" width="9.109375" style="39"/>
    <col min="14674" max="14674" width="10.6640625" style="39" bestFit="1" customWidth="1"/>
    <col min="14675" max="14681" width="9.109375" style="39"/>
    <col min="14682" max="14682" width="12" style="39" bestFit="1" customWidth="1"/>
    <col min="14683" max="14683" width="32.6640625" style="39" customWidth="1"/>
    <col min="14684" max="14684" width="12.33203125" style="39" bestFit="1" customWidth="1"/>
    <col min="14685" max="14685" width="9.109375" style="39"/>
    <col min="14686" max="14686" width="10.6640625" style="39" bestFit="1" customWidth="1"/>
    <col min="14687" max="14691" width="9.109375" style="39"/>
    <col min="14692" max="14692" width="10.6640625" style="39" bestFit="1" customWidth="1"/>
    <col min="14693" max="14699" width="9.109375" style="39"/>
    <col min="14700" max="14700" width="12" style="39" bestFit="1" customWidth="1"/>
    <col min="14701" max="14701" width="32.6640625" style="39" customWidth="1"/>
    <col min="14702" max="14702" width="12.33203125" style="39" bestFit="1" customWidth="1"/>
    <col min="14703" max="14703" width="9.109375" style="39"/>
    <col min="14704" max="14704" width="10.6640625" style="39" bestFit="1" customWidth="1"/>
    <col min="14705" max="14709" width="9.109375" style="39"/>
    <col min="14710" max="14710" width="10.6640625" style="39" bestFit="1" customWidth="1"/>
    <col min="14711" max="14717" width="9.109375" style="39"/>
    <col min="14718" max="14718" width="12" style="39" bestFit="1" customWidth="1"/>
    <col min="14719" max="14719" width="32.6640625" style="39" customWidth="1"/>
    <col min="14720" max="14720" width="12.33203125" style="39" bestFit="1" customWidth="1"/>
    <col min="14721" max="14721" width="9.109375" style="39"/>
    <col min="14722" max="14722" width="10.6640625" style="39" bestFit="1" customWidth="1"/>
    <col min="14723" max="14727" width="9.109375" style="39"/>
    <col min="14728" max="14728" width="10.6640625" style="39" bestFit="1" customWidth="1"/>
    <col min="14729" max="14735" width="9.109375" style="39"/>
    <col min="14736" max="14736" width="12" style="39" bestFit="1" customWidth="1"/>
    <col min="14737" max="14737" width="32.6640625" style="39" customWidth="1"/>
    <col min="14738" max="14738" width="12.33203125" style="39" bestFit="1" customWidth="1"/>
    <col min="14739" max="14739" width="9.109375" style="39"/>
    <col min="14740" max="14740" width="10.6640625" style="39" bestFit="1" customWidth="1"/>
    <col min="14741" max="14745" width="9.109375" style="39"/>
    <col min="14746" max="14746" width="10.6640625" style="39" bestFit="1" customWidth="1"/>
    <col min="14747" max="14753" width="9.109375" style="39"/>
    <col min="14754" max="14754" width="12" style="39" bestFit="1" customWidth="1"/>
    <col min="14755" max="14755" width="32.6640625" style="39" customWidth="1"/>
    <col min="14756" max="14756" width="12.33203125" style="39" bestFit="1" customWidth="1"/>
    <col min="14757" max="14757" width="9.109375" style="39"/>
    <col min="14758" max="14758" width="10.6640625" style="39" bestFit="1" customWidth="1"/>
    <col min="14759" max="14763" width="9.109375" style="39"/>
    <col min="14764" max="14764" width="10.6640625" style="39" bestFit="1" customWidth="1"/>
    <col min="14765" max="14771" width="9.109375" style="39"/>
    <col min="14772" max="14772" width="12" style="39" bestFit="1" customWidth="1"/>
    <col min="14773" max="14773" width="32.6640625" style="39" customWidth="1"/>
    <col min="14774" max="14774" width="12.33203125" style="39" bestFit="1" customWidth="1"/>
    <col min="14775" max="14775" width="9.109375" style="39"/>
    <col min="14776" max="14776" width="10.6640625" style="39" bestFit="1" customWidth="1"/>
    <col min="14777" max="14781" width="9.109375" style="39"/>
    <col min="14782" max="14782" width="10.6640625" style="39" bestFit="1" customWidth="1"/>
    <col min="14783" max="14789" width="9.109375" style="39"/>
    <col min="14790" max="14790" width="13.33203125" style="39" bestFit="1" customWidth="1"/>
    <col min="14791" max="14791" width="32.6640625" style="39" customWidth="1"/>
    <col min="14792" max="14792" width="12.33203125" style="39" bestFit="1" customWidth="1"/>
    <col min="14793" max="14793" width="9.109375" style="39"/>
    <col min="14794" max="14794" width="10.6640625" style="39" bestFit="1" customWidth="1"/>
    <col min="14795" max="14799" width="9.109375" style="39"/>
    <col min="14800" max="14800" width="10.6640625" style="39" bestFit="1" customWidth="1"/>
    <col min="14801" max="14807" width="9.109375" style="39"/>
    <col min="14808" max="14808" width="12" style="39" bestFit="1" customWidth="1"/>
    <col min="14809" max="14849" width="9.109375" style="39"/>
    <col min="14850" max="14850" width="12.33203125" style="39" bestFit="1" customWidth="1"/>
    <col min="14851" max="14851" width="10.109375" style="39" bestFit="1" customWidth="1"/>
    <col min="14852" max="14852" width="10.6640625" style="39" bestFit="1" customWidth="1"/>
    <col min="14853" max="14856" width="9.109375" style="39"/>
    <col min="14857" max="14857" width="9.109375" style="39" bestFit="1" customWidth="1"/>
    <col min="14858" max="14858" width="10.6640625" style="39" bestFit="1" customWidth="1"/>
    <col min="14859" max="14859" width="4.5546875" style="39" bestFit="1" customWidth="1"/>
    <col min="14860" max="14860" width="5.5546875" style="39" bestFit="1" customWidth="1"/>
    <col min="14861" max="14861" width="10.6640625" style="39" bestFit="1" customWidth="1"/>
    <col min="14862" max="14865" width="9.109375" style="39"/>
    <col min="14866" max="14866" width="12" style="39" bestFit="1" customWidth="1"/>
    <col min="14867" max="14867" width="32.6640625" style="39" customWidth="1"/>
    <col min="14868" max="14868" width="12.33203125" style="39" bestFit="1" customWidth="1"/>
    <col min="14869" max="14869" width="9.109375" style="39"/>
    <col min="14870" max="14870" width="10.6640625" style="39" bestFit="1" customWidth="1"/>
    <col min="14871" max="14875" width="9.109375" style="39"/>
    <col min="14876" max="14876" width="10.6640625" style="39" bestFit="1" customWidth="1"/>
    <col min="14877" max="14883" width="9.109375" style="39"/>
    <col min="14884" max="14884" width="12" style="39" bestFit="1" customWidth="1"/>
    <col min="14885" max="14885" width="32.6640625" style="39" customWidth="1"/>
    <col min="14886" max="14886" width="12.33203125" style="39" bestFit="1" customWidth="1"/>
    <col min="14887" max="14887" width="9.109375" style="39"/>
    <col min="14888" max="14888" width="10.6640625" style="39" bestFit="1" customWidth="1"/>
    <col min="14889" max="14893" width="9.109375" style="39"/>
    <col min="14894" max="14894" width="10.6640625" style="39" bestFit="1" customWidth="1"/>
    <col min="14895" max="14901" width="9.109375" style="39"/>
    <col min="14902" max="14902" width="12" style="39" bestFit="1" customWidth="1"/>
    <col min="14903" max="14903" width="32.6640625" style="39" customWidth="1"/>
    <col min="14904" max="14904" width="12.33203125" style="39" bestFit="1" customWidth="1"/>
    <col min="14905" max="14905" width="9.109375" style="39"/>
    <col min="14906" max="14906" width="10.6640625" style="39" bestFit="1" customWidth="1"/>
    <col min="14907" max="14911" width="9.109375" style="39"/>
    <col min="14912" max="14912" width="10.6640625" style="39" bestFit="1" customWidth="1"/>
    <col min="14913" max="14919" width="9.109375" style="39"/>
    <col min="14920" max="14920" width="12" style="39" bestFit="1" customWidth="1"/>
    <col min="14921" max="14921" width="32.6640625" style="39" customWidth="1"/>
    <col min="14922" max="14922" width="12.33203125" style="39" bestFit="1" customWidth="1"/>
    <col min="14923" max="14923" width="9.109375" style="39"/>
    <col min="14924" max="14924" width="10.6640625" style="39" bestFit="1" customWidth="1"/>
    <col min="14925" max="14929" width="9.109375" style="39"/>
    <col min="14930" max="14930" width="10.6640625" style="39" bestFit="1" customWidth="1"/>
    <col min="14931" max="14937" width="9.109375" style="39"/>
    <col min="14938" max="14938" width="12" style="39" bestFit="1" customWidth="1"/>
    <col min="14939" max="14939" width="32.6640625" style="39" customWidth="1"/>
    <col min="14940" max="14940" width="12.33203125" style="39" bestFit="1" customWidth="1"/>
    <col min="14941" max="14941" width="9.109375" style="39"/>
    <col min="14942" max="14942" width="10.6640625" style="39" bestFit="1" customWidth="1"/>
    <col min="14943" max="14947" width="9.109375" style="39"/>
    <col min="14948" max="14948" width="10.6640625" style="39" bestFit="1" customWidth="1"/>
    <col min="14949" max="14955" width="9.109375" style="39"/>
    <col min="14956" max="14956" width="12" style="39" bestFit="1" customWidth="1"/>
    <col min="14957" max="14957" width="32.6640625" style="39" customWidth="1"/>
    <col min="14958" max="14958" width="12.33203125" style="39" bestFit="1" customWidth="1"/>
    <col min="14959" max="14959" width="9.109375" style="39"/>
    <col min="14960" max="14960" width="10.6640625" style="39" bestFit="1" customWidth="1"/>
    <col min="14961" max="14965" width="9.109375" style="39"/>
    <col min="14966" max="14966" width="10.6640625" style="39" bestFit="1" customWidth="1"/>
    <col min="14967" max="14973" width="9.109375" style="39"/>
    <col min="14974" max="14974" width="12" style="39" bestFit="1" customWidth="1"/>
    <col min="14975" max="14975" width="32.6640625" style="39" customWidth="1"/>
    <col min="14976" max="14976" width="12.33203125" style="39" bestFit="1" customWidth="1"/>
    <col min="14977" max="14977" width="9.109375" style="39"/>
    <col min="14978" max="14978" width="10.6640625" style="39" bestFit="1" customWidth="1"/>
    <col min="14979" max="14983" width="9.109375" style="39"/>
    <col min="14984" max="14984" width="10.6640625" style="39" bestFit="1" customWidth="1"/>
    <col min="14985" max="14991" width="9.109375" style="39"/>
    <col min="14992" max="14992" width="12" style="39" bestFit="1" customWidth="1"/>
    <col min="14993" max="14993" width="32.6640625" style="39" customWidth="1"/>
    <col min="14994" max="14994" width="12.33203125" style="39" bestFit="1" customWidth="1"/>
    <col min="14995" max="14995" width="9.109375" style="39"/>
    <col min="14996" max="14996" width="10.6640625" style="39" bestFit="1" customWidth="1"/>
    <col min="14997" max="15001" width="9.109375" style="39"/>
    <col min="15002" max="15002" width="10.6640625" style="39" bestFit="1" customWidth="1"/>
    <col min="15003" max="15009" width="9.109375" style="39"/>
    <col min="15010" max="15010" width="12" style="39" bestFit="1" customWidth="1"/>
    <col min="15011" max="15011" width="32.6640625" style="39" customWidth="1"/>
    <col min="15012" max="15012" width="12.33203125" style="39" bestFit="1" customWidth="1"/>
    <col min="15013" max="15013" width="9.109375" style="39"/>
    <col min="15014" max="15014" width="10.6640625" style="39" bestFit="1" customWidth="1"/>
    <col min="15015" max="15019" width="9.109375" style="39"/>
    <col min="15020" max="15020" width="10.6640625" style="39" bestFit="1" customWidth="1"/>
    <col min="15021" max="15027" width="9.109375" style="39"/>
    <col min="15028" max="15028" width="12" style="39" bestFit="1" customWidth="1"/>
    <col min="15029" max="15029" width="32.6640625" style="39" customWidth="1"/>
    <col min="15030" max="15030" width="12.33203125" style="39" bestFit="1" customWidth="1"/>
    <col min="15031" max="15031" width="9.109375" style="39"/>
    <col min="15032" max="15032" width="10.6640625" style="39" bestFit="1" customWidth="1"/>
    <col min="15033" max="15037" width="9.109375" style="39"/>
    <col min="15038" max="15038" width="10.6640625" style="39" bestFit="1" customWidth="1"/>
    <col min="15039" max="15045" width="9.109375" style="39"/>
    <col min="15046" max="15046" width="13.33203125" style="39" bestFit="1" customWidth="1"/>
    <col min="15047" max="15047" width="32.6640625" style="39" customWidth="1"/>
    <col min="15048" max="15048" width="12.33203125" style="39" bestFit="1" customWidth="1"/>
    <col min="15049" max="15049" width="9.109375" style="39"/>
    <col min="15050" max="15050" width="10.6640625" style="39" bestFit="1" customWidth="1"/>
    <col min="15051" max="15055" width="9.109375" style="39"/>
    <col min="15056" max="15056" width="10.6640625" style="39" bestFit="1" customWidth="1"/>
    <col min="15057" max="15063" width="9.109375" style="39"/>
    <col min="15064" max="15064" width="12" style="39" bestFit="1" customWidth="1"/>
    <col min="15065" max="15105" width="9.109375" style="39"/>
    <col min="15106" max="15106" width="12.33203125" style="39" bestFit="1" customWidth="1"/>
    <col min="15107" max="15107" width="10.109375" style="39" bestFit="1" customWidth="1"/>
    <col min="15108" max="15108" width="10.6640625" style="39" bestFit="1" customWidth="1"/>
    <col min="15109" max="15112" width="9.109375" style="39"/>
    <col min="15113" max="15113" width="9.109375" style="39" bestFit="1" customWidth="1"/>
    <col min="15114" max="15114" width="10.6640625" style="39" bestFit="1" customWidth="1"/>
    <col min="15115" max="15115" width="4.5546875" style="39" bestFit="1" customWidth="1"/>
    <col min="15116" max="15116" width="5.5546875" style="39" bestFit="1" customWidth="1"/>
    <col min="15117" max="15117" width="10.6640625" style="39" bestFit="1" customWidth="1"/>
    <col min="15118" max="15121" width="9.109375" style="39"/>
    <col min="15122" max="15122" width="12" style="39" bestFit="1" customWidth="1"/>
    <col min="15123" max="15123" width="32.6640625" style="39" customWidth="1"/>
    <col min="15124" max="15124" width="12.33203125" style="39" bestFit="1" customWidth="1"/>
    <col min="15125" max="15125" width="9.109375" style="39"/>
    <col min="15126" max="15126" width="10.6640625" style="39" bestFit="1" customWidth="1"/>
    <col min="15127" max="15131" width="9.109375" style="39"/>
    <col min="15132" max="15132" width="10.6640625" style="39" bestFit="1" customWidth="1"/>
    <col min="15133" max="15139" width="9.109375" style="39"/>
    <col min="15140" max="15140" width="12" style="39" bestFit="1" customWidth="1"/>
    <col min="15141" max="15141" width="32.6640625" style="39" customWidth="1"/>
    <col min="15142" max="15142" width="12.33203125" style="39" bestFit="1" customWidth="1"/>
    <col min="15143" max="15143" width="9.109375" style="39"/>
    <col min="15144" max="15144" width="10.6640625" style="39" bestFit="1" customWidth="1"/>
    <col min="15145" max="15149" width="9.109375" style="39"/>
    <col min="15150" max="15150" width="10.6640625" style="39" bestFit="1" customWidth="1"/>
    <col min="15151" max="15157" width="9.109375" style="39"/>
    <col min="15158" max="15158" width="12" style="39" bestFit="1" customWidth="1"/>
    <col min="15159" max="15159" width="32.6640625" style="39" customWidth="1"/>
    <col min="15160" max="15160" width="12.33203125" style="39" bestFit="1" customWidth="1"/>
    <col min="15161" max="15161" width="9.109375" style="39"/>
    <col min="15162" max="15162" width="10.6640625" style="39" bestFit="1" customWidth="1"/>
    <col min="15163" max="15167" width="9.109375" style="39"/>
    <col min="15168" max="15168" width="10.6640625" style="39" bestFit="1" customWidth="1"/>
    <col min="15169" max="15175" width="9.109375" style="39"/>
    <col min="15176" max="15176" width="12" style="39" bestFit="1" customWidth="1"/>
    <col min="15177" max="15177" width="32.6640625" style="39" customWidth="1"/>
    <col min="15178" max="15178" width="12.33203125" style="39" bestFit="1" customWidth="1"/>
    <col min="15179" max="15179" width="9.109375" style="39"/>
    <col min="15180" max="15180" width="10.6640625" style="39" bestFit="1" customWidth="1"/>
    <col min="15181" max="15185" width="9.109375" style="39"/>
    <col min="15186" max="15186" width="10.6640625" style="39" bestFit="1" customWidth="1"/>
    <col min="15187" max="15193" width="9.109375" style="39"/>
    <col min="15194" max="15194" width="12" style="39" bestFit="1" customWidth="1"/>
    <col min="15195" max="15195" width="32.6640625" style="39" customWidth="1"/>
    <col min="15196" max="15196" width="12.33203125" style="39" bestFit="1" customWidth="1"/>
    <col min="15197" max="15197" width="9.109375" style="39"/>
    <col min="15198" max="15198" width="10.6640625" style="39" bestFit="1" customWidth="1"/>
    <col min="15199" max="15203" width="9.109375" style="39"/>
    <col min="15204" max="15204" width="10.6640625" style="39" bestFit="1" customWidth="1"/>
    <col min="15205" max="15211" width="9.109375" style="39"/>
    <col min="15212" max="15212" width="12" style="39" bestFit="1" customWidth="1"/>
    <col min="15213" max="15213" width="32.6640625" style="39" customWidth="1"/>
    <col min="15214" max="15214" width="12.33203125" style="39" bestFit="1" customWidth="1"/>
    <col min="15215" max="15215" width="9.109375" style="39"/>
    <col min="15216" max="15216" width="10.6640625" style="39" bestFit="1" customWidth="1"/>
    <col min="15217" max="15221" width="9.109375" style="39"/>
    <col min="15222" max="15222" width="10.6640625" style="39" bestFit="1" customWidth="1"/>
    <col min="15223" max="15229" width="9.109375" style="39"/>
    <col min="15230" max="15230" width="12" style="39" bestFit="1" customWidth="1"/>
    <col min="15231" max="15231" width="32.6640625" style="39" customWidth="1"/>
    <col min="15232" max="15232" width="12.33203125" style="39" bestFit="1" customWidth="1"/>
    <col min="15233" max="15233" width="9.109375" style="39"/>
    <col min="15234" max="15234" width="10.6640625" style="39" bestFit="1" customWidth="1"/>
    <col min="15235" max="15239" width="9.109375" style="39"/>
    <col min="15240" max="15240" width="10.6640625" style="39" bestFit="1" customWidth="1"/>
    <col min="15241" max="15247" width="9.109375" style="39"/>
    <col min="15248" max="15248" width="12" style="39" bestFit="1" customWidth="1"/>
    <col min="15249" max="15249" width="32.6640625" style="39" customWidth="1"/>
    <col min="15250" max="15250" width="12.33203125" style="39" bestFit="1" customWidth="1"/>
    <col min="15251" max="15251" width="9.109375" style="39"/>
    <col min="15252" max="15252" width="10.6640625" style="39" bestFit="1" customWidth="1"/>
    <col min="15253" max="15257" width="9.109375" style="39"/>
    <col min="15258" max="15258" width="10.6640625" style="39" bestFit="1" customWidth="1"/>
    <col min="15259" max="15265" width="9.109375" style="39"/>
    <col min="15266" max="15266" width="12" style="39" bestFit="1" customWidth="1"/>
    <col min="15267" max="15267" width="32.6640625" style="39" customWidth="1"/>
    <col min="15268" max="15268" width="12.33203125" style="39" bestFit="1" customWidth="1"/>
    <col min="15269" max="15269" width="9.109375" style="39"/>
    <col min="15270" max="15270" width="10.6640625" style="39" bestFit="1" customWidth="1"/>
    <col min="15271" max="15275" width="9.109375" style="39"/>
    <col min="15276" max="15276" width="10.6640625" style="39" bestFit="1" customWidth="1"/>
    <col min="15277" max="15283" width="9.109375" style="39"/>
    <col min="15284" max="15284" width="12" style="39" bestFit="1" customWidth="1"/>
    <col min="15285" max="15285" width="32.6640625" style="39" customWidth="1"/>
    <col min="15286" max="15286" width="12.33203125" style="39" bestFit="1" customWidth="1"/>
    <col min="15287" max="15287" width="9.109375" style="39"/>
    <col min="15288" max="15288" width="10.6640625" style="39" bestFit="1" customWidth="1"/>
    <col min="15289" max="15293" width="9.109375" style="39"/>
    <col min="15294" max="15294" width="10.6640625" style="39" bestFit="1" customWidth="1"/>
    <col min="15295" max="15301" width="9.109375" style="39"/>
    <col min="15302" max="15302" width="13.33203125" style="39" bestFit="1" customWidth="1"/>
    <col min="15303" max="15303" width="32.6640625" style="39" customWidth="1"/>
    <col min="15304" max="15304" width="12.33203125" style="39" bestFit="1" customWidth="1"/>
    <col min="15305" max="15305" width="9.109375" style="39"/>
    <col min="15306" max="15306" width="10.6640625" style="39" bestFit="1" customWidth="1"/>
    <col min="15307" max="15311" width="9.109375" style="39"/>
    <col min="15312" max="15312" width="10.6640625" style="39" bestFit="1" customWidth="1"/>
    <col min="15313" max="15319" width="9.109375" style="39"/>
    <col min="15320" max="15320" width="12" style="39" bestFit="1" customWidth="1"/>
    <col min="15321" max="15361" width="9.109375" style="39"/>
    <col min="15362" max="15362" width="12.33203125" style="39" bestFit="1" customWidth="1"/>
    <col min="15363" max="15363" width="10.109375" style="39" bestFit="1" customWidth="1"/>
    <col min="15364" max="15364" width="10.6640625" style="39" bestFit="1" customWidth="1"/>
    <col min="15365" max="15368" width="9.109375" style="39"/>
    <col min="15369" max="15369" width="9.109375" style="39" bestFit="1" customWidth="1"/>
    <col min="15370" max="15370" width="10.6640625" style="39" bestFit="1" customWidth="1"/>
    <col min="15371" max="15371" width="4.5546875" style="39" bestFit="1" customWidth="1"/>
    <col min="15372" max="15372" width="5.5546875" style="39" bestFit="1" customWidth="1"/>
    <col min="15373" max="15373" width="10.6640625" style="39" bestFit="1" customWidth="1"/>
    <col min="15374" max="15377" width="9.109375" style="39"/>
    <col min="15378" max="15378" width="12" style="39" bestFit="1" customWidth="1"/>
    <col min="15379" max="15379" width="32.6640625" style="39" customWidth="1"/>
    <col min="15380" max="15380" width="12.33203125" style="39" bestFit="1" customWidth="1"/>
    <col min="15381" max="15381" width="9.109375" style="39"/>
    <col min="15382" max="15382" width="10.6640625" style="39" bestFit="1" customWidth="1"/>
    <col min="15383" max="15387" width="9.109375" style="39"/>
    <col min="15388" max="15388" width="10.6640625" style="39" bestFit="1" customWidth="1"/>
    <col min="15389" max="15395" width="9.109375" style="39"/>
    <col min="15396" max="15396" width="12" style="39" bestFit="1" customWidth="1"/>
    <col min="15397" max="15397" width="32.6640625" style="39" customWidth="1"/>
    <col min="15398" max="15398" width="12.33203125" style="39" bestFit="1" customWidth="1"/>
    <col min="15399" max="15399" width="9.109375" style="39"/>
    <col min="15400" max="15400" width="10.6640625" style="39" bestFit="1" customWidth="1"/>
    <col min="15401" max="15405" width="9.109375" style="39"/>
    <col min="15406" max="15406" width="10.6640625" style="39" bestFit="1" customWidth="1"/>
    <col min="15407" max="15413" width="9.109375" style="39"/>
    <col min="15414" max="15414" width="12" style="39" bestFit="1" customWidth="1"/>
    <col min="15415" max="15415" width="32.6640625" style="39" customWidth="1"/>
    <col min="15416" max="15416" width="12.33203125" style="39" bestFit="1" customWidth="1"/>
    <col min="15417" max="15417" width="9.109375" style="39"/>
    <col min="15418" max="15418" width="10.6640625" style="39" bestFit="1" customWidth="1"/>
    <col min="15419" max="15423" width="9.109375" style="39"/>
    <col min="15424" max="15424" width="10.6640625" style="39" bestFit="1" customWidth="1"/>
    <col min="15425" max="15431" width="9.109375" style="39"/>
    <col min="15432" max="15432" width="12" style="39" bestFit="1" customWidth="1"/>
    <col min="15433" max="15433" width="32.6640625" style="39" customWidth="1"/>
    <col min="15434" max="15434" width="12.33203125" style="39" bestFit="1" customWidth="1"/>
    <col min="15435" max="15435" width="9.109375" style="39"/>
    <col min="15436" max="15436" width="10.6640625" style="39" bestFit="1" customWidth="1"/>
    <col min="15437" max="15441" width="9.109375" style="39"/>
    <col min="15442" max="15442" width="10.6640625" style="39" bestFit="1" customWidth="1"/>
    <col min="15443" max="15449" width="9.109375" style="39"/>
    <col min="15450" max="15450" width="12" style="39" bestFit="1" customWidth="1"/>
    <col min="15451" max="15451" width="32.6640625" style="39" customWidth="1"/>
    <col min="15452" max="15452" width="12.33203125" style="39" bestFit="1" customWidth="1"/>
    <col min="15453" max="15453" width="9.109375" style="39"/>
    <col min="15454" max="15454" width="10.6640625" style="39" bestFit="1" customWidth="1"/>
    <col min="15455" max="15459" width="9.109375" style="39"/>
    <col min="15460" max="15460" width="10.6640625" style="39" bestFit="1" customWidth="1"/>
    <col min="15461" max="15467" width="9.109375" style="39"/>
    <col min="15468" max="15468" width="12" style="39" bestFit="1" customWidth="1"/>
    <col min="15469" max="15469" width="32.6640625" style="39" customWidth="1"/>
    <col min="15470" max="15470" width="12.33203125" style="39" bestFit="1" customWidth="1"/>
    <col min="15471" max="15471" width="9.109375" style="39"/>
    <col min="15472" max="15472" width="10.6640625" style="39" bestFit="1" customWidth="1"/>
    <col min="15473" max="15477" width="9.109375" style="39"/>
    <col min="15478" max="15478" width="10.6640625" style="39" bestFit="1" customWidth="1"/>
    <col min="15479" max="15485" width="9.109375" style="39"/>
    <col min="15486" max="15486" width="12" style="39" bestFit="1" customWidth="1"/>
    <col min="15487" max="15487" width="32.6640625" style="39" customWidth="1"/>
    <col min="15488" max="15488" width="12.33203125" style="39" bestFit="1" customWidth="1"/>
    <col min="15489" max="15489" width="9.109375" style="39"/>
    <col min="15490" max="15490" width="10.6640625" style="39" bestFit="1" customWidth="1"/>
    <col min="15491" max="15495" width="9.109375" style="39"/>
    <col min="15496" max="15496" width="10.6640625" style="39" bestFit="1" customWidth="1"/>
    <col min="15497" max="15503" width="9.109375" style="39"/>
    <col min="15504" max="15504" width="12" style="39" bestFit="1" customWidth="1"/>
    <col min="15505" max="15505" width="32.6640625" style="39" customWidth="1"/>
    <col min="15506" max="15506" width="12.33203125" style="39" bestFit="1" customWidth="1"/>
    <col min="15507" max="15507" width="9.109375" style="39"/>
    <col min="15508" max="15508" width="10.6640625" style="39" bestFit="1" customWidth="1"/>
    <col min="15509" max="15513" width="9.109375" style="39"/>
    <col min="15514" max="15514" width="10.6640625" style="39" bestFit="1" customWidth="1"/>
    <col min="15515" max="15521" width="9.109375" style="39"/>
    <col min="15522" max="15522" width="12" style="39" bestFit="1" customWidth="1"/>
    <col min="15523" max="15523" width="32.6640625" style="39" customWidth="1"/>
    <col min="15524" max="15524" width="12.33203125" style="39" bestFit="1" customWidth="1"/>
    <col min="15525" max="15525" width="9.109375" style="39"/>
    <col min="15526" max="15526" width="10.6640625" style="39" bestFit="1" customWidth="1"/>
    <col min="15527" max="15531" width="9.109375" style="39"/>
    <col min="15532" max="15532" width="10.6640625" style="39" bestFit="1" customWidth="1"/>
    <col min="15533" max="15539" width="9.109375" style="39"/>
    <col min="15540" max="15540" width="12" style="39" bestFit="1" customWidth="1"/>
    <col min="15541" max="15541" width="32.6640625" style="39" customWidth="1"/>
    <col min="15542" max="15542" width="12.33203125" style="39" bestFit="1" customWidth="1"/>
    <col min="15543" max="15543" width="9.109375" style="39"/>
    <col min="15544" max="15544" width="10.6640625" style="39" bestFit="1" customWidth="1"/>
    <col min="15545" max="15549" width="9.109375" style="39"/>
    <col min="15550" max="15550" width="10.6640625" style="39" bestFit="1" customWidth="1"/>
    <col min="15551" max="15557" width="9.109375" style="39"/>
    <col min="15558" max="15558" width="13.33203125" style="39" bestFit="1" customWidth="1"/>
    <col min="15559" max="15559" width="32.6640625" style="39" customWidth="1"/>
    <col min="15560" max="15560" width="12.33203125" style="39" bestFit="1" customWidth="1"/>
    <col min="15561" max="15561" width="9.109375" style="39"/>
    <col min="15562" max="15562" width="10.6640625" style="39" bestFit="1" customWidth="1"/>
    <col min="15563" max="15567" width="9.109375" style="39"/>
    <col min="15568" max="15568" width="10.6640625" style="39" bestFit="1" customWidth="1"/>
    <col min="15569" max="15575" width="9.109375" style="39"/>
    <col min="15576" max="15576" width="12" style="39" bestFit="1" customWidth="1"/>
    <col min="15577" max="15617" width="9.109375" style="39"/>
    <col min="15618" max="15618" width="12.33203125" style="39" bestFit="1" customWidth="1"/>
    <col min="15619" max="15619" width="10.109375" style="39" bestFit="1" customWidth="1"/>
    <col min="15620" max="15620" width="10.6640625" style="39" bestFit="1" customWidth="1"/>
    <col min="15621" max="15624" width="9.109375" style="39"/>
    <col min="15625" max="15625" width="9.109375" style="39" bestFit="1" customWidth="1"/>
    <col min="15626" max="15626" width="10.6640625" style="39" bestFit="1" customWidth="1"/>
    <col min="15627" max="15627" width="4.5546875" style="39" bestFit="1" customWidth="1"/>
    <col min="15628" max="15628" width="5.5546875" style="39" bestFit="1" customWidth="1"/>
    <col min="15629" max="15629" width="10.6640625" style="39" bestFit="1" customWidth="1"/>
    <col min="15630" max="15633" width="9.109375" style="39"/>
    <col min="15634" max="15634" width="12" style="39" bestFit="1" customWidth="1"/>
    <col min="15635" max="15635" width="32.6640625" style="39" customWidth="1"/>
    <col min="15636" max="15636" width="12.33203125" style="39" bestFit="1" customWidth="1"/>
    <col min="15637" max="15637" width="9.109375" style="39"/>
    <col min="15638" max="15638" width="10.6640625" style="39" bestFit="1" customWidth="1"/>
    <col min="15639" max="15643" width="9.109375" style="39"/>
    <col min="15644" max="15644" width="10.6640625" style="39" bestFit="1" customWidth="1"/>
    <col min="15645" max="15651" width="9.109375" style="39"/>
    <col min="15652" max="15652" width="12" style="39" bestFit="1" customWidth="1"/>
    <col min="15653" max="15653" width="32.6640625" style="39" customWidth="1"/>
    <col min="15654" max="15654" width="12.33203125" style="39" bestFit="1" customWidth="1"/>
    <col min="15655" max="15655" width="9.109375" style="39"/>
    <col min="15656" max="15656" width="10.6640625" style="39" bestFit="1" customWidth="1"/>
    <col min="15657" max="15661" width="9.109375" style="39"/>
    <col min="15662" max="15662" width="10.6640625" style="39" bestFit="1" customWidth="1"/>
    <col min="15663" max="15669" width="9.109375" style="39"/>
    <col min="15670" max="15670" width="12" style="39" bestFit="1" customWidth="1"/>
    <col min="15671" max="15671" width="32.6640625" style="39" customWidth="1"/>
    <col min="15672" max="15672" width="12.33203125" style="39" bestFit="1" customWidth="1"/>
    <col min="15673" max="15673" width="9.109375" style="39"/>
    <col min="15674" max="15674" width="10.6640625" style="39" bestFit="1" customWidth="1"/>
    <col min="15675" max="15679" width="9.109375" style="39"/>
    <col min="15680" max="15680" width="10.6640625" style="39" bestFit="1" customWidth="1"/>
    <col min="15681" max="15687" width="9.109375" style="39"/>
    <col min="15688" max="15688" width="12" style="39" bestFit="1" customWidth="1"/>
    <col min="15689" max="15689" width="32.6640625" style="39" customWidth="1"/>
    <col min="15690" max="15690" width="12.33203125" style="39" bestFit="1" customWidth="1"/>
    <col min="15691" max="15691" width="9.109375" style="39"/>
    <col min="15692" max="15692" width="10.6640625" style="39" bestFit="1" customWidth="1"/>
    <col min="15693" max="15697" width="9.109375" style="39"/>
    <col min="15698" max="15698" width="10.6640625" style="39" bestFit="1" customWidth="1"/>
    <col min="15699" max="15705" width="9.109375" style="39"/>
    <col min="15706" max="15706" width="12" style="39" bestFit="1" customWidth="1"/>
    <col min="15707" max="15707" width="32.6640625" style="39" customWidth="1"/>
    <col min="15708" max="15708" width="12.33203125" style="39" bestFit="1" customWidth="1"/>
    <col min="15709" max="15709" width="9.109375" style="39"/>
    <col min="15710" max="15710" width="10.6640625" style="39" bestFit="1" customWidth="1"/>
    <col min="15711" max="15715" width="9.109375" style="39"/>
    <col min="15716" max="15716" width="10.6640625" style="39" bestFit="1" customWidth="1"/>
    <col min="15717" max="15723" width="9.109375" style="39"/>
    <col min="15724" max="15724" width="12" style="39" bestFit="1" customWidth="1"/>
    <col min="15725" max="15725" width="32.6640625" style="39" customWidth="1"/>
    <col min="15726" max="15726" width="12.33203125" style="39" bestFit="1" customWidth="1"/>
    <col min="15727" max="15727" width="9.109375" style="39"/>
    <col min="15728" max="15728" width="10.6640625" style="39" bestFit="1" customWidth="1"/>
    <col min="15729" max="15733" width="9.109375" style="39"/>
    <col min="15734" max="15734" width="10.6640625" style="39" bestFit="1" customWidth="1"/>
    <col min="15735" max="15741" width="9.109375" style="39"/>
    <col min="15742" max="15742" width="12" style="39" bestFit="1" customWidth="1"/>
    <col min="15743" max="15743" width="32.6640625" style="39" customWidth="1"/>
    <col min="15744" max="15744" width="12.33203125" style="39" bestFit="1" customWidth="1"/>
    <col min="15745" max="15745" width="9.109375" style="39"/>
    <col min="15746" max="15746" width="10.6640625" style="39" bestFit="1" customWidth="1"/>
    <col min="15747" max="15751" width="9.109375" style="39"/>
    <col min="15752" max="15752" width="10.6640625" style="39" bestFit="1" customWidth="1"/>
    <col min="15753" max="15759" width="9.109375" style="39"/>
    <col min="15760" max="15760" width="12" style="39" bestFit="1" customWidth="1"/>
    <col min="15761" max="15761" width="32.6640625" style="39" customWidth="1"/>
    <col min="15762" max="15762" width="12.33203125" style="39" bestFit="1" customWidth="1"/>
    <col min="15763" max="15763" width="9.109375" style="39"/>
    <col min="15764" max="15764" width="10.6640625" style="39" bestFit="1" customWidth="1"/>
    <col min="15765" max="15769" width="9.109375" style="39"/>
    <col min="15770" max="15770" width="10.6640625" style="39" bestFit="1" customWidth="1"/>
    <col min="15771" max="15777" width="9.109375" style="39"/>
    <col min="15778" max="15778" width="12" style="39" bestFit="1" customWidth="1"/>
    <col min="15779" max="15779" width="32.6640625" style="39" customWidth="1"/>
    <col min="15780" max="15780" width="12.33203125" style="39" bestFit="1" customWidth="1"/>
    <col min="15781" max="15781" width="9.109375" style="39"/>
    <col min="15782" max="15782" width="10.6640625" style="39" bestFit="1" customWidth="1"/>
    <col min="15783" max="15787" width="9.109375" style="39"/>
    <col min="15788" max="15788" width="10.6640625" style="39" bestFit="1" customWidth="1"/>
    <col min="15789" max="15795" width="9.109375" style="39"/>
    <col min="15796" max="15796" width="12" style="39" bestFit="1" customWidth="1"/>
    <col min="15797" max="15797" width="32.6640625" style="39" customWidth="1"/>
    <col min="15798" max="15798" width="12.33203125" style="39" bestFit="1" customWidth="1"/>
    <col min="15799" max="15799" width="9.109375" style="39"/>
    <col min="15800" max="15800" width="10.6640625" style="39" bestFit="1" customWidth="1"/>
    <col min="15801" max="15805" width="9.109375" style="39"/>
    <col min="15806" max="15806" width="10.6640625" style="39" bestFit="1" customWidth="1"/>
    <col min="15807" max="15813" width="9.109375" style="39"/>
    <col min="15814" max="15814" width="13.33203125" style="39" bestFit="1" customWidth="1"/>
    <col min="15815" max="15815" width="32.6640625" style="39" customWidth="1"/>
    <col min="15816" max="15816" width="12.33203125" style="39" bestFit="1" customWidth="1"/>
    <col min="15817" max="15817" width="9.109375" style="39"/>
    <col min="15818" max="15818" width="10.6640625" style="39" bestFit="1" customWidth="1"/>
    <col min="15819" max="15823" width="9.109375" style="39"/>
    <col min="15824" max="15824" width="10.6640625" style="39" bestFit="1" customWidth="1"/>
    <col min="15825" max="15831" width="9.109375" style="39"/>
    <col min="15832" max="15832" width="12" style="39" bestFit="1" customWidth="1"/>
    <col min="15833" max="15873" width="9.109375" style="39"/>
    <col min="15874" max="15874" width="12.33203125" style="39" bestFit="1" customWidth="1"/>
    <col min="15875" max="15875" width="10.109375" style="39" bestFit="1" customWidth="1"/>
    <col min="15876" max="15876" width="10.6640625" style="39" bestFit="1" customWidth="1"/>
    <col min="15877" max="15880" width="9.109375" style="39"/>
    <col min="15881" max="15881" width="9.109375" style="39" bestFit="1" customWidth="1"/>
    <col min="15882" max="15882" width="10.6640625" style="39" bestFit="1" customWidth="1"/>
    <col min="15883" max="15883" width="4.5546875" style="39" bestFit="1" customWidth="1"/>
    <col min="15884" max="15884" width="5.5546875" style="39" bestFit="1" customWidth="1"/>
    <col min="15885" max="15885" width="10.6640625" style="39" bestFit="1" customWidth="1"/>
    <col min="15886" max="15889" width="9.109375" style="39"/>
    <col min="15890" max="15890" width="12" style="39" bestFit="1" customWidth="1"/>
    <col min="15891" max="15891" width="32.6640625" style="39" customWidth="1"/>
    <col min="15892" max="15892" width="12.33203125" style="39" bestFit="1" customWidth="1"/>
    <col min="15893" max="15893" width="9.109375" style="39"/>
    <col min="15894" max="15894" width="10.6640625" style="39" bestFit="1" customWidth="1"/>
    <col min="15895" max="15899" width="9.109375" style="39"/>
    <col min="15900" max="15900" width="10.6640625" style="39" bestFit="1" customWidth="1"/>
    <col min="15901" max="15907" width="9.109375" style="39"/>
    <col min="15908" max="15908" width="12" style="39" bestFit="1" customWidth="1"/>
    <col min="15909" max="15909" width="32.6640625" style="39" customWidth="1"/>
    <col min="15910" max="15910" width="12.33203125" style="39" bestFit="1" customWidth="1"/>
    <col min="15911" max="15911" width="9.109375" style="39"/>
    <col min="15912" max="15912" width="10.6640625" style="39" bestFit="1" customWidth="1"/>
    <col min="15913" max="15917" width="9.109375" style="39"/>
    <col min="15918" max="15918" width="10.6640625" style="39" bestFit="1" customWidth="1"/>
    <col min="15919" max="15925" width="9.109375" style="39"/>
    <col min="15926" max="15926" width="12" style="39" bestFit="1" customWidth="1"/>
    <col min="15927" max="15927" width="32.6640625" style="39" customWidth="1"/>
    <col min="15928" max="15928" width="12.33203125" style="39" bestFit="1" customWidth="1"/>
    <col min="15929" max="15929" width="9.109375" style="39"/>
    <col min="15930" max="15930" width="10.6640625" style="39" bestFit="1" customWidth="1"/>
    <col min="15931" max="15935" width="9.109375" style="39"/>
    <col min="15936" max="15936" width="10.6640625" style="39" bestFit="1" customWidth="1"/>
    <col min="15937" max="15943" width="9.109375" style="39"/>
    <col min="15944" max="15944" width="12" style="39" bestFit="1" customWidth="1"/>
    <col min="15945" max="15945" width="32.6640625" style="39" customWidth="1"/>
    <col min="15946" max="15946" width="12.33203125" style="39" bestFit="1" customWidth="1"/>
    <col min="15947" max="15947" width="9.109375" style="39"/>
    <col min="15948" max="15948" width="10.6640625" style="39" bestFit="1" customWidth="1"/>
    <col min="15949" max="15953" width="9.109375" style="39"/>
    <col min="15954" max="15954" width="10.6640625" style="39" bestFit="1" customWidth="1"/>
    <col min="15955" max="15961" width="9.109375" style="39"/>
    <col min="15962" max="15962" width="12" style="39" bestFit="1" customWidth="1"/>
    <col min="15963" max="15963" width="32.6640625" style="39" customWidth="1"/>
    <col min="15964" max="15964" width="12.33203125" style="39" bestFit="1" customWidth="1"/>
    <col min="15965" max="15965" width="9.109375" style="39"/>
    <col min="15966" max="15966" width="10.6640625" style="39" bestFit="1" customWidth="1"/>
    <col min="15967" max="15971" width="9.109375" style="39"/>
    <col min="15972" max="15972" width="10.6640625" style="39" bestFit="1" customWidth="1"/>
    <col min="15973" max="15979" width="9.109375" style="39"/>
    <col min="15980" max="15980" width="12" style="39" bestFit="1" customWidth="1"/>
    <col min="15981" max="15981" width="32.6640625" style="39" customWidth="1"/>
    <col min="15982" max="15982" width="12.33203125" style="39" bestFit="1" customWidth="1"/>
    <col min="15983" max="15983" width="9.109375" style="39"/>
    <col min="15984" max="15984" width="10.6640625" style="39" bestFit="1" customWidth="1"/>
    <col min="15985" max="15989" width="9.109375" style="39"/>
    <col min="15990" max="15990" width="10.6640625" style="39" bestFit="1" customWidth="1"/>
    <col min="15991" max="15997" width="9.109375" style="39"/>
    <col min="15998" max="15998" width="12" style="39" bestFit="1" customWidth="1"/>
    <col min="15999" max="15999" width="32.6640625" style="39" customWidth="1"/>
    <col min="16000" max="16000" width="12.33203125" style="39" bestFit="1" customWidth="1"/>
    <col min="16001" max="16001" width="9.109375" style="39"/>
    <col min="16002" max="16002" width="10.6640625" style="39" bestFit="1" customWidth="1"/>
    <col min="16003" max="16007" width="9.109375" style="39"/>
    <col min="16008" max="16008" width="10.6640625" style="39" bestFit="1" customWidth="1"/>
    <col min="16009" max="16015" width="9.109375" style="39"/>
    <col min="16016" max="16016" width="12" style="39" bestFit="1" customWidth="1"/>
    <col min="16017" max="16017" width="32.6640625" style="39" customWidth="1"/>
    <col min="16018" max="16018" width="12.33203125" style="39" bestFit="1" customWidth="1"/>
    <col min="16019" max="16019" width="9.109375" style="39"/>
    <col min="16020" max="16020" width="10.6640625" style="39" bestFit="1" customWidth="1"/>
    <col min="16021" max="16025" width="9.109375" style="39"/>
    <col min="16026" max="16026" width="10.6640625" style="39" bestFit="1" customWidth="1"/>
    <col min="16027" max="16033" width="9.109375" style="39"/>
    <col min="16034" max="16034" width="12" style="39" bestFit="1" customWidth="1"/>
    <col min="16035" max="16035" width="32.6640625" style="39" customWidth="1"/>
    <col min="16036" max="16036" width="12.33203125" style="39" bestFit="1" customWidth="1"/>
    <col min="16037" max="16037" width="9.109375" style="39"/>
    <col min="16038" max="16038" width="10.6640625" style="39" bestFit="1" customWidth="1"/>
    <col min="16039" max="16043" width="9.109375" style="39"/>
    <col min="16044" max="16044" width="10.6640625" style="39" bestFit="1" customWidth="1"/>
    <col min="16045" max="16051" width="9.109375" style="39"/>
    <col min="16052" max="16052" width="12" style="39" bestFit="1" customWidth="1"/>
    <col min="16053" max="16053" width="32.6640625" style="39" customWidth="1"/>
    <col min="16054" max="16054" width="12.33203125" style="39" bestFit="1" customWidth="1"/>
    <col min="16055" max="16055" width="9.109375" style="39"/>
    <col min="16056" max="16056" width="10.6640625" style="39" bestFit="1" customWidth="1"/>
    <col min="16057" max="16061" width="9.109375" style="39"/>
    <col min="16062" max="16062" width="10.6640625" style="39" bestFit="1" customWidth="1"/>
    <col min="16063" max="16069" width="9.109375" style="39"/>
    <col min="16070" max="16070" width="13.33203125" style="39" bestFit="1" customWidth="1"/>
    <col min="16071" max="16071" width="32.6640625" style="39" customWidth="1"/>
    <col min="16072" max="16072" width="12.33203125" style="39" bestFit="1" customWidth="1"/>
    <col min="16073" max="16073" width="9.109375" style="39"/>
    <col min="16074" max="16074" width="10.6640625" style="39" bestFit="1" customWidth="1"/>
    <col min="16075" max="16079" width="9.109375" style="39"/>
    <col min="16080" max="16080" width="10.6640625" style="39" bestFit="1" customWidth="1"/>
    <col min="16081" max="16087" width="9.109375" style="39"/>
    <col min="16088" max="16088" width="12" style="39" bestFit="1" customWidth="1"/>
    <col min="16089" max="16129" width="9.109375" style="39"/>
    <col min="16130" max="16130" width="12.33203125" style="39" bestFit="1" customWidth="1"/>
    <col min="16131" max="16131" width="10.109375" style="39" bestFit="1" customWidth="1"/>
    <col min="16132" max="16132" width="10.6640625" style="39" bestFit="1" customWidth="1"/>
    <col min="16133" max="16136" width="9.109375" style="39"/>
    <col min="16137" max="16137" width="9.109375" style="39" bestFit="1" customWidth="1"/>
    <col min="16138" max="16138" width="10.6640625" style="39" bestFit="1" customWidth="1"/>
    <col min="16139" max="16139" width="4.5546875" style="39" bestFit="1" customWidth="1"/>
    <col min="16140" max="16140" width="5.5546875" style="39" bestFit="1" customWidth="1"/>
    <col min="16141" max="16141" width="10.6640625" style="39" bestFit="1" customWidth="1"/>
    <col min="16142" max="16145" width="9.109375" style="39"/>
    <col min="16146" max="16146" width="12" style="39" bestFit="1" customWidth="1"/>
    <col min="16147" max="16147" width="32.6640625" style="39" customWidth="1"/>
    <col min="16148" max="16148" width="12.33203125" style="39" bestFit="1" customWidth="1"/>
    <col min="16149" max="16149" width="9.109375" style="39"/>
    <col min="16150" max="16150" width="10.6640625" style="39" bestFit="1" customWidth="1"/>
    <col min="16151" max="16155" width="9.109375" style="39"/>
    <col min="16156" max="16156" width="10.6640625" style="39" bestFit="1" customWidth="1"/>
    <col min="16157" max="16163" width="9.109375" style="39"/>
    <col min="16164" max="16164" width="12" style="39" bestFit="1" customWidth="1"/>
    <col min="16165" max="16165" width="32.6640625" style="39" customWidth="1"/>
    <col min="16166" max="16166" width="12.33203125" style="39" bestFit="1" customWidth="1"/>
    <col min="16167" max="16167" width="9.109375" style="39"/>
    <col min="16168" max="16168" width="10.6640625" style="39" bestFit="1" customWidth="1"/>
    <col min="16169" max="16173" width="9.109375" style="39"/>
    <col min="16174" max="16174" width="10.6640625" style="39" bestFit="1" customWidth="1"/>
    <col min="16175" max="16181" width="9.109375" style="39"/>
    <col min="16182" max="16182" width="12" style="39" bestFit="1" customWidth="1"/>
    <col min="16183" max="16183" width="32.6640625" style="39" customWidth="1"/>
    <col min="16184" max="16184" width="12.33203125" style="39" bestFit="1" customWidth="1"/>
    <col min="16185" max="16185" width="9.109375" style="39"/>
    <col min="16186" max="16186" width="10.6640625" style="39" bestFit="1" customWidth="1"/>
    <col min="16187" max="16191" width="9.109375" style="39"/>
    <col min="16192" max="16192" width="10.6640625" style="39" bestFit="1" customWidth="1"/>
    <col min="16193" max="16199" width="9.109375" style="39"/>
    <col min="16200" max="16200" width="12" style="39" bestFit="1" customWidth="1"/>
    <col min="16201" max="16201" width="32.6640625" style="39" customWidth="1"/>
    <col min="16202" max="16202" width="12.33203125" style="39" bestFit="1" customWidth="1"/>
    <col min="16203" max="16203" width="9.109375" style="39"/>
    <col min="16204" max="16204" width="10.6640625" style="39" bestFit="1" customWidth="1"/>
    <col min="16205" max="16209" width="9.109375" style="39"/>
    <col min="16210" max="16210" width="10.6640625" style="39" bestFit="1" customWidth="1"/>
    <col min="16211" max="16217" width="9.109375" style="39"/>
    <col min="16218" max="16218" width="12" style="39" bestFit="1" customWidth="1"/>
    <col min="16219" max="16219" width="32.6640625" style="39" customWidth="1"/>
    <col min="16220" max="16220" width="12.33203125" style="39" bestFit="1" customWidth="1"/>
    <col min="16221" max="16221" width="9.109375" style="39"/>
    <col min="16222" max="16222" width="10.6640625" style="39" bestFit="1" customWidth="1"/>
    <col min="16223" max="16227" width="9.109375" style="39"/>
    <col min="16228" max="16228" width="10.6640625" style="39" bestFit="1" customWidth="1"/>
    <col min="16229" max="16235" width="9.109375" style="39"/>
    <col min="16236" max="16236" width="12" style="39" bestFit="1" customWidth="1"/>
    <col min="16237" max="16237" width="32.6640625" style="39" customWidth="1"/>
    <col min="16238" max="16238" width="12.33203125" style="39" bestFit="1" customWidth="1"/>
    <col min="16239" max="16239" width="9.109375" style="39"/>
    <col min="16240" max="16240" width="10.6640625" style="39" bestFit="1" customWidth="1"/>
    <col min="16241" max="16245" width="9.109375" style="39"/>
    <col min="16246" max="16246" width="10.6640625" style="39" bestFit="1" customWidth="1"/>
    <col min="16247" max="16253" width="9.109375" style="39"/>
    <col min="16254" max="16254" width="12" style="39" bestFit="1" customWidth="1"/>
    <col min="16255" max="16255" width="32.6640625" style="39" customWidth="1"/>
    <col min="16256" max="16256" width="12.33203125" style="39" bestFit="1" customWidth="1"/>
    <col min="16257" max="16257" width="9.109375" style="39"/>
    <col min="16258" max="16258" width="10.6640625" style="39" bestFit="1" customWidth="1"/>
    <col min="16259" max="16263" width="9.109375" style="39"/>
    <col min="16264" max="16264" width="10.6640625" style="39" bestFit="1" customWidth="1"/>
    <col min="16265" max="16271" width="9.109375" style="39"/>
    <col min="16272" max="16272" width="12" style="39" bestFit="1" customWidth="1"/>
    <col min="16273" max="16273" width="32.6640625" style="39" customWidth="1"/>
    <col min="16274" max="16274" width="12.33203125" style="39" bestFit="1" customWidth="1"/>
    <col min="16275" max="16275" width="9.109375" style="39"/>
    <col min="16276" max="16276" width="10.6640625" style="39" bestFit="1" customWidth="1"/>
    <col min="16277" max="16281" width="9.109375" style="39"/>
    <col min="16282" max="16282" width="10.6640625" style="39" bestFit="1" customWidth="1"/>
    <col min="16283" max="16289" width="9.109375" style="39"/>
    <col min="16290" max="16290" width="12" style="39" bestFit="1" customWidth="1"/>
    <col min="16291" max="16291" width="32.6640625" style="39" customWidth="1"/>
    <col min="16292" max="16292" width="12.33203125" style="39" bestFit="1" customWidth="1"/>
    <col min="16293" max="16293" width="9.109375" style="39"/>
    <col min="16294" max="16294" width="10.6640625" style="39" bestFit="1" customWidth="1"/>
    <col min="16295" max="16299" width="9.109375" style="39"/>
    <col min="16300" max="16300" width="10.6640625" style="39" bestFit="1" customWidth="1"/>
    <col min="16301" max="16307" width="9.109375" style="39"/>
    <col min="16308" max="16308" width="12" style="39" bestFit="1" customWidth="1"/>
    <col min="16309" max="16309" width="32.6640625" style="39" customWidth="1"/>
    <col min="16310" max="16310" width="12.33203125" style="39" bestFit="1" customWidth="1"/>
    <col min="16311" max="16311" width="9.109375" style="39"/>
    <col min="16312" max="16312" width="10.6640625" style="39" bestFit="1" customWidth="1"/>
    <col min="16313" max="16317" width="9.109375" style="39"/>
    <col min="16318" max="16318" width="10.6640625" style="39" bestFit="1" customWidth="1"/>
    <col min="16319" max="16325" width="9.109375" style="39"/>
    <col min="16326" max="16326" width="13.33203125" style="39" bestFit="1" customWidth="1"/>
    <col min="16327" max="16327" width="32.6640625" style="39" customWidth="1"/>
    <col min="16328" max="16328" width="12.33203125" style="39" bestFit="1" customWidth="1"/>
    <col min="16329" max="16329" width="9.109375" style="39"/>
    <col min="16330" max="16330" width="10.6640625" style="39" bestFit="1" customWidth="1"/>
    <col min="16331" max="16335" width="9.109375" style="39"/>
    <col min="16336" max="16336" width="10.6640625" style="39" bestFit="1" customWidth="1"/>
    <col min="16337" max="16343" width="9.109375" style="39"/>
    <col min="16344" max="16344" width="12" style="39" bestFit="1" customWidth="1"/>
    <col min="16345" max="16384" width="9.109375" style="39"/>
  </cols>
  <sheetData>
    <row r="1" spans="1:250" ht="15" thickBot="1" x14ac:dyDescent="0.35">
      <c r="A1" s="312"/>
      <c r="B1" s="143" t="s">
        <v>160</v>
      </c>
      <c r="C1" s="311">
        <v>1412</v>
      </c>
      <c r="D1" s="143">
        <v>2160</v>
      </c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  <c r="Q1" s="36"/>
      <c r="R1" s="37"/>
      <c r="T1" s="36"/>
      <c r="U1" s="36"/>
      <c r="V1" s="36"/>
      <c r="W1" s="36"/>
      <c r="X1" s="36"/>
      <c r="Y1" s="36"/>
      <c r="Z1" s="36"/>
      <c r="AA1" s="36"/>
      <c r="AB1" s="36"/>
      <c r="AC1" s="36"/>
      <c r="AD1" s="36"/>
      <c r="AE1" s="36"/>
      <c r="AF1" s="36"/>
      <c r="AG1" s="36"/>
      <c r="AH1" s="36"/>
      <c r="AI1" s="36"/>
      <c r="AJ1" s="36"/>
      <c r="AK1" s="36"/>
      <c r="AL1" s="36"/>
      <c r="AM1" s="36"/>
      <c r="AN1" s="36"/>
      <c r="AO1" s="36"/>
      <c r="AP1" s="36"/>
      <c r="AQ1" s="36"/>
      <c r="AR1" s="36"/>
      <c r="AS1" s="36"/>
      <c r="AT1" s="36"/>
      <c r="AU1" s="36"/>
      <c r="AV1" s="36"/>
      <c r="AW1" s="36"/>
      <c r="AX1" s="36"/>
      <c r="AY1" s="36"/>
      <c r="AZ1" s="36"/>
      <c r="BA1" s="36"/>
      <c r="BB1" s="36"/>
      <c r="BC1" s="36"/>
      <c r="BD1" s="36"/>
      <c r="BE1" s="36"/>
      <c r="BF1" s="36"/>
      <c r="BG1" s="36"/>
      <c r="BH1" s="36"/>
      <c r="BI1" s="36"/>
      <c r="BJ1" s="36"/>
      <c r="BK1" s="36"/>
      <c r="BL1" s="36"/>
      <c r="BM1" s="36"/>
      <c r="BN1" s="36"/>
      <c r="BO1" s="36"/>
      <c r="BP1" s="36"/>
      <c r="BQ1" s="36"/>
      <c r="BR1" s="36"/>
      <c r="BS1" s="36"/>
      <c r="BT1" s="36"/>
      <c r="BU1" s="36"/>
      <c r="BV1" s="36"/>
      <c r="BW1" s="36"/>
      <c r="BX1" s="36"/>
      <c r="BY1" s="36"/>
      <c r="BZ1" s="36"/>
      <c r="CA1" s="36"/>
      <c r="CB1" s="36"/>
      <c r="CC1" s="36"/>
      <c r="CD1" s="36"/>
      <c r="CE1" s="36"/>
      <c r="CF1" s="36"/>
      <c r="CG1" s="36"/>
      <c r="CH1" s="36"/>
      <c r="CI1" s="36"/>
      <c r="CJ1" s="36"/>
      <c r="CK1" s="36"/>
      <c r="CL1" s="36"/>
      <c r="CM1" s="36"/>
      <c r="CN1" s="36"/>
      <c r="CO1" s="36"/>
      <c r="CP1" s="36"/>
      <c r="CQ1" s="36"/>
      <c r="CR1" s="36"/>
      <c r="CS1" s="36"/>
      <c r="CT1" s="36"/>
      <c r="CU1" s="36"/>
      <c r="CV1" s="36"/>
      <c r="CW1" s="36"/>
      <c r="CX1" s="36"/>
      <c r="CY1" s="36"/>
      <c r="CZ1" s="36"/>
      <c r="DA1" s="36"/>
      <c r="DB1" s="36"/>
      <c r="DC1" s="36"/>
      <c r="DD1" s="36"/>
      <c r="DE1" s="38"/>
      <c r="DF1" s="36"/>
      <c r="DG1" s="36"/>
      <c r="DH1" s="36"/>
      <c r="DI1" s="36"/>
      <c r="DJ1" s="36"/>
      <c r="DK1" s="36"/>
      <c r="DL1" s="36"/>
      <c r="DM1" s="36"/>
      <c r="DN1" s="36"/>
      <c r="DO1" s="36"/>
      <c r="DP1" s="36"/>
      <c r="DQ1" s="36"/>
      <c r="DR1" s="36"/>
      <c r="DS1" s="36"/>
      <c r="DT1" s="36"/>
      <c r="DU1" s="36"/>
      <c r="DV1" s="36"/>
      <c r="DW1" s="38"/>
      <c r="DX1" s="36"/>
      <c r="DY1" s="36"/>
      <c r="DZ1" s="36"/>
      <c r="EA1" s="36"/>
      <c r="EB1" s="36"/>
      <c r="EC1" s="36"/>
      <c r="ED1" s="36"/>
      <c r="EE1" s="36"/>
      <c r="EF1" s="36"/>
      <c r="EG1" s="36"/>
      <c r="EH1" s="36"/>
      <c r="EI1" s="36"/>
      <c r="EJ1" s="36"/>
      <c r="EK1" s="36"/>
      <c r="EL1" s="36"/>
      <c r="EM1" s="36"/>
      <c r="EN1" s="36"/>
      <c r="EO1" s="38"/>
      <c r="EP1" s="36"/>
      <c r="EQ1" s="36"/>
      <c r="ER1" s="36"/>
      <c r="ES1" s="36"/>
      <c r="ET1" s="36"/>
      <c r="EU1" s="36"/>
      <c r="EV1" s="36"/>
      <c r="EW1" s="36"/>
      <c r="EX1" s="36"/>
      <c r="EY1" s="36"/>
      <c r="EZ1" s="36"/>
      <c r="FA1" s="36"/>
      <c r="FB1" s="36"/>
      <c r="FC1" s="36"/>
      <c r="FD1" s="36"/>
      <c r="FE1" s="36"/>
      <c r="FF1" s="36"/>
      <c r="FG1" s="38"/>
      <c r="FH1" s="36"/>
      <c r="FI1" s="36"/>
      <c r="FJ1" s="36"/>
      <c r="FK1" s="36"/>
      <c r="FL1" s="36"/>
      <c r="FM1" s="36"/>
      <c r="FN1" s="36"/>
      <c r="FO1" s="36"/>
      <c r="FP1" s="36"/>
      <c r="FQ1" s="36"/>
      <c r="FR1" s="36"/>
      <c r="FS1" s="36"/>
      <c r="FT1" s="36"/>
      <c r="FU1" s="36"/>
      <c r="FV1" s="36"/>
      <c r="FW1" s="36"/>
      <c r="FX1" s="36"/>
      <c r="FY1" s="38"/>
      <c r="FZ1" s="36"/>
      <c r="GA1" s="36"/>
      <c r="GB1" s="36"/>
      <c r="GC1" s="36"/>
      <c r="GD1" s="36"/>
      <c r="GE1" s="36"/>
      <c r="GF1" s="36"/>
      <c r="GG1" s="36"/>
      <c r="GH1" s="36"/>
      <c r="GI1" s="36"/>
      <c r="GJ1" s="36"/>
      <c r="GK1" s="36"/>
      <c r="GL1" s="36"/>
      <c r="GM1" s="36"/>
      <c r="GN1" s="36"/>
      <c r="GO1" s="36"/>
      <c r="GP1" s="36"/>
      <c r="GQ1" s="38"/>
      <c r="GR1" s="36"/>
      <c r="GS1" s="36"/>
      <c r="GT1" s="36"/>
      <c r="GU1" s="36"/>
      <c r="GV1" s="36"/>
      <c r="GW1" s="36"/>
      <c r="GX1" s="36"/>
      <c r="GY1" s="36"/>
      <c r="GZ1" s="36"/>
      <c r="HA1" s="36"/>
      <c r="HB1" s="36"/>
      <c r="HC1" s="36"/>
      <c r="HD1" s="36"/>
      <c r="HE1" s="36"/>
      <c r="HF1" s="36"/>
      <c r="HG1" s="36"/>
      <c r="HH1" s="36"/>
      <c r="HJ1" s="36"/>
      <c r="HK1" s="36"/>
      <c r="HL1" s="36"/>
      <c r="HM1" s="36"/>
      <c r="HN1" s="36"/>
      <c r="HO1" s="36"/>
      <c r="HP1" s="36"/>
      <c r="HQ1" s="36"/>
      <c r="HR1" s="36"/>
      <c r="HS1" s="36"/>
      <c r="HT1" s="36"/>
      <c r="HU1" s="36"/>
      <c r="HV1" s="36"/>
      <c r="HW1" s="36"/>
      <c r="HX1" s="36"/>
      <c r="HY1" s="36"/>
      <c r="HZ1" s="36"/>
      <c r="IA1" s="36"/>
      <c r="IB1" s="36"/>
      <c r="IC1" s="36"/>
      <c r="ID1" s="36"/>
      <c r="IE1" s="36"/>
      <c r="IF1" s="36"/>
      <c r="IG1" s="36"/>
      <c r="IH1" s="36"/>
      <c r="II1" s="36"/>
      <c r="IJ1" s="36"/>
      <c r="IK1" s="36"/>
      <c r="IL1" s="36"/>
      <c r="IM1" s="36"/>
      <c r="IN1" s="36"/>
      <c r="IO1" s="36"/>
      <c r="IP1" s="36"/>
    </row>
    <row r="2" spans="1:250" ht="29.4" thickBot="1" x14ac:dyDescent="0.6">
      <c r="A2" s="262" t="s">
        <v>110</v>
      </c>
      <c r="B2" s="37"/>
      <c r="C2" s="37"/>
      <c r="D2" s="37"/>
      <c r="E2" s="666" t="s">
        <v>269</v>
      </c>
      <c r="F2" s="666"/>
      <c r="G2" s="666"/>
      <c r="H2" s="666"/>
      <c r="I2" s="666"/>
      <c r="J2" s="666"/>
      <c r="K2" s="666"/>
      <c r="L2" s="37"/>
      <c r="M2" s="37"/>
      <c r="N2" s="37"/>
      <c r="O2" s="37"/>
      <c r="P2" s="37"/>
      <c r="Q2" s="37"/>
      <c r="R2" s="37"/>
      <c r="T2" s="37"/>
      <c r="U2" s="37"/>
      <c r="V2" s="37"/>
      <c r="W2" s="37"/>
      <c r="X2" s="37"/>
      <c r="Y2" s="37"/>
      <c r="Z2" s="37"/>
      <c r="AA2" s="37"/>
      <c r="AB2" s="37"/>
      <c r="AC2" s="37"/>
      <c r="AD2" s="37"/>
      <c r="AE2" s="37"/>
      <c r="AF2" s="37"/>
      <c r="AG2" s="37"/>
      <c r="AH2" s="37"/>
      <c r="AI2" s="37"/>
      <c r="AJ2" s="37"/>
      <c r="AK2" s="37"/>
      <c r="AL2" s="37"/>
      <c r="AM2" s="37"/>
      <c r="AN2" s="37"/>
      <c r="AO2" s="37"/>
      <c r="AP2" s="37"/>
      <c r="AQ2" s="37"/>
      <c r="AR2" s="37"/>
      <c r="AS2" s="37"/>
      <c r="AT2" s="37"/>
      <c r="AU2" s="37"/>
      <c r="AV2" s="37"/>
      <c r="AW2" s="37"/>
      <c r="AX2" s="37"/>
      <c r="AY2" s="37"/>
      <c r="AZ2" s="37"/>
      <c r="BA2" s="37"/>
      <c r="BB2" s="37"/>
      <c r="BC2" s="37"/>
      <c r="BD2" s="37"/>
      <c r="BE2" s="37"/>
      <c r="BF2" s="37"/>
      <c r="BG2" s="37"/>
      <c r="BH2" s="37"/>
      <c r="BI2" s="37"/>
      <c r="BJ2" s="37"/>
      <c r="BK2" s="37"/>
      <c r="BL2" s="37"/>
      <c r="BM2" s="37"/>
      <c r="BN2" s="37"/>
      <c r="BO2" s="37"/>
      <c r="BP2" s="37"/>
      <c r="BQ2" s="37"/>
      <c r="BR2" s="37"/>
      <c r="BS2" s="37"/>
      <c r="BT2" s="37"/>
      <c r="BU2" s="37"/>
      <c r="BV2" s="37"/>
      <c r="BW2" s="37"/>
      <c r="BX2" s="37"/>
      <c r="BY2" s="37"/>
      <c r="BZ2" s="37"/>
      <c r="CA2" s="37"/>
      <c r="CB2" s="37"/>
      <c r="CC2" s="37"/>
      <c r="CD2" s="37"/>
      <c r="CE2" s="37"/>
      <c r="CF2" s="37"/>
      <c r="CG2" s="37"/>
      <c r="CH2" s="37"/>
      <c r="CI2" s="37"/>
      <c r="CJ2" s="37"/>
      <c r="CK2" s="37"/>
      <c r="CL2" s="37"/>
      <c r="CM2" s="37"/>
      <c r="CN2" s="37"/>
      <c r="CO2" s="37"/>
      <c r="CP2" s="37"/>
      <c r="CQ2" s="37"/>
      <c r="CR2" s="37"/>
      <c r="CS2" s="37"/>
      <c r="CT2" s="37"/>
      <c r="CU2" s="37"/>
      <c r="CV2" s="37"/>
      <c r="CW2" s="37"/>
      <c r="CX2" s="37"/>
      <c r="CY2" s="37"/>
      <c r="CZ2" s="37"/>
      <c r="DA2" s="37"/>
      <c r="DB2" s="37"/>
      <c r="DC2" s="37"/>
      <c r="DD2" s="37"/>
      <c r="DE2" s="41"/>
      <c r="DF2" s="37"/>
      <c r="DG2" s="37"/>
      <c r="DH2" s="37"/>
      <c r="DI2" s="37"/>
      <c r="DJ2" s="37"/>
      <c r="DK2" s="37"/>
      <c r="DL2" s="37"/>
      <c r="DM2" s="37"/>
      <c r="DN2" s="37"/>
      <c r="DO2" s="37"/>
      <c r="DP2" s="37"/>
      <c r="DQ2" s="37"/>
      <c r="DR2" s="37"/>
      <c r="DS2" s="37"/>
      <c r="DT2" s="37"/>
      <c r="DU2" s="37"/>
      <c r="DV2" s="37"/>
      <c r="DW2" s="41"/>
      <c r="DX2" s="37"/>
      <c r="DY2" s="37"/>
      <c r="DZ2" s="37"/>
      <c r="EA2" s="37"/>
      <c r="EB2" s="37"/>
      <c r="EC2" s="37"/>
      <c r="ED2" s="37"/>
      <c r="EE2" s="37"/>
      <c r="EF2" s="37"/>
      <c r="EG2" s="37"/>
      <c r="EH2" s="37"/>
      <c r="EI2" s="37"/>
      <c r="EJ2" s="37"/>
      <c r="EK2" s="37"/>
      <c r="EL2" s="37"/>
      <c r="EM2" s="37"/>
      <c r="EN2" s="37"/>
      <c r="EO2" s="41"/>
      <c r="EP2" s="37"/>
      <c r="EQ2" s="37"/>
      <c r="ER2" s="37"/>
      <c r="ES2" s="37"/>
      <c r="ET2" s="37"/>
      <c r="EU2" s="37"/>
      <c r="EV2" s="37"/>
      <c r="EW2" s="37"/>
      <c r="EX2" s="37"/>
      <c r="EY2" s="37"/>
      <c r="EZ2" s="37"/>
      <c r="FA2" s="37"/>
      <c r="FB2" s="37"/>
      <c r="FC2" s="37"/>
      <c r="FD2" s="37"/>
      <c r="FE2" s="37"/>
      <c r="FF2" s="37"/>
      <c r="FG2" s="41"/>
      <c r="FH2" s="37"/>
      <c r="FI2" s="37"/>
      <c r="FJ2" s="37"/>
      <c r="FK2" s="37"/>
      <c r="FL2" s="37"/>
      <c r="FM2" s="37"/>
      <c r="FN2" s="37"/>
      <c r="FO2" s="37"/>
      <c r="FP2" s="37"/>
      <c r="FQ2" s="37"/>
      <c r="FR2" s="37"/>
      <c r="FS2" s="37"/>
      <c r="FT2" s="37"/>
      <c r="FU2" s="37"/>
      <c r="FV2" s="37"/>
      <c r="FW2" s="37"/>
      <c r="FX2" s="37"/>
      <c r="FY2" s="41"/>
      <c r="FZ2" s="37"/>
      <c r="GA2" s="37"/>
      <c r="GB2" s="37"/>
      <c r="GC2" s="37"/>
      <c r="GD2" s="37"/>
      <c r="GE2" s="37"/>
      <c r="GF2" s="37"/>
      <c r="GG2" s="37"/>
      <c r="GH2" s="37"/>
      <c r="GI2" s="37"/>
      <c r="GJ2" s="37"/>
      <c r="GK2" s="37"/>
      <c r="GL2" s="37"/>
      <c r="GM2" s="37"/>
      <c r="GN2" s="37"/>
      <c r="GO2" s="37"/>
      <c r="GP2" s="37"/>
      <c r="GQ2" s="41"/>
      <c r="GR2" s="37"/>
      <c r="GS2" s="37"/>
      <c r="GT2" s="37"/>
      <c r="GU2" s="37"/>
      <c r="GV2" s="37"/>
      <c r="GW2" s="37"/>
      <c r="GX2" s="37"/>
      <c r="GY2" s="37"/>
      <c r="GZ2" s="37"/>
      <c r="HA2" s="37"/>
      <c r="HB2" s="37"/>
      <c r="HC2" s="37"/>
      <c r="HD2" s="37"/>
      <c r="HE2" s="37"/>
      <c r="HF2" s="37"/>
      <c r="HG2" s="37"/>
      <c r="HH2" s="37"/>
      <c r="HJ2" s="37"/>
      <c r="HK2" s="37"/>
      <c r="HL2" s="37"/>
      <c r="HM2" s="37"/>
      <c r="HN2" s="37"/>
      <c r="HO2" s="37"/>
      <c r="HP2" s="37"/>
      <c r="HQ2" s="37"/>
      <c r="HR2" s="37"/>
      <c r="HS2" s="37"/>
      <c r="HT2" s="37"/>
      <c r="HU2" s="37"/>
      <c r="HV2" s="37"/>
      <c r="HW2" s="37"/>
      <c r="HX2" s="37"/>
      <c r="HY2" s="37"/>
      <c r="HZ2" s="37"/>
      <c r="IA2" s="37"/>
      <c r="IB2" s="37"/>
      <c r="IC2" s="37"/>
      <c r="ID2" s="37"/>
      <c r="IE2" s="37"/>
      <c r="IF2" s="37"/>
      <c r="IG2" s="37"/>
      <c r="IH2" s="37"/>
      <c r="II2" s="37"/>
      <c r="IJ2" s="37"/>
      <c r="IK2" s="37"/>
      <c r="IL2" s="37"/>
      <c r="IM2" s="37"/>
      <c r="IN2" s="37"/>
      <c r="IO2" s="37"/>
      <c r="IP2" s="37"/>
    </row>
    <row r="3" spans="1:250" ht="30" x14ac:dyDescent="0.3">
      <c r="A3" s="42"/>
      <c r="B3" s="43"/>
      <c r="C3" s="37"/>
      <c r="D3" s="27"/>
      <c r="E3" s="27"/>
      <c r="F3" s="27"/>
      <c r="G3" s="27"/>
      <c r="H3" s="27"/>
      <c r="I3" s="44"/>
      <c r="J3" s="45"/>
      <c r="K3" s="27"/>
      <c r="L3" s="27"/>
      <c r="M3" s="27"/>
      <c r="N3" s="27"/>
      <c r="O3" s="27"/>
      <c r="P3" s="27"/>
      <c r="Q3" s="27"/>
      <c r="R3" s="27"/>
      <c r="T3" s="37"/>
      <c r="U3" s="42"/>
      <c r="V3" s="43"/>
      <c r="W3" s="37"/>
      <c r="X3" s="37"/>
      <c r="Y3" s="37"/>
      <c r="Z3" s="37"/>
      <c r="AA3" s="37"/>
      <c r="AB3" s="37"/>
      <c r="AC3" s="37"/>
      <c r="AD3" s="37"/>
      <c r="AE3" s="37"/>
      <c r="AF3" s="37"/>
      <c r="AG3" s="37"/>
      <c r="AH3" s="37"/>
      <c r="AI3" s="37"/>
      <c r="AJ3" s="37"/>
      <c r="AK3" s="37"/>
      <c r="AL3" s="37"/>
      <c r="AM3" s="42"/>
      <c r="AN3" s="43"/>
      <c r="AO3" s="37"/>
      <c r="AP3" s="37"/>
      <c r="AQ3" s="37"/>
      <c r="AR3" s="37"/>
      <c r="AS3" s="37"/>
      <c r="AT3" s="37"/>
      <c r="AU3" s="37"/>
      <c r="AV3" s="37"/>
      <c r="AW3" s="37"/>
      <c r="AX3" s="37"/>
      <c r="AY3" s="37"/>
      <c r="AZ3" s="37"/>
      <c r="BA3" s="37"/>
      <c r="BB3" s="37"/>
      <c r="BC3" s="37"/>
      <c r="BD3" s="37"/>
      <c r="BE3" s="42"/>
      <c r="BF3" s="43"/>
      <c r="BG3" s="37"/>
      <c r="BH3" s="37"/>
      <c r="BI3" s="37"/>
      <c r="BJ3" s="37"/>
      <c r="BK3" s="37"/>
      <c r="BL3" s="37"/>
      <c r="BM3" s="37"/>
      <c r="BN3" s="37"/>
      <c r="BO3" s="37"/>
      <c r="BP3" s="37"/>
      <c r="BQ3" s="37"/>
      <c r="BR3" s="37"/>
      <c r="BS3" s="37"/>
      <c r="BT3" s="37"/>
      <c r="BU3" s="37"/>
      <c r="BV3" s="37"/>
      <c r="BW3" s="42"/>
      <c r="BX3" s="43"/>
      <c r="BY3" s="37"/>
      <c r="BZ3" s="37"/>
      <c r="CA3" s="37"/>
      <c r="CB3" s="37"/>
      <c r="CC3" s="37"/>
      <c r="CD3" s="37"/>
      <c r="CE3" s="37"/>
      <c r="CF3" s="37"/>
      <c r="CG3" s="37"/>
      <c r="CH3" s="37"/>
      <c r="CI3" s="37"/>
      <c r="CJ3" s="37"/>
      <c r="CK3" s="37"/>
      <c r="CL3" s="37"/>
      <c r="CM3" s="37"/>
      <c r="CN3" s="37"/>
      <c r="CO3" s="42"/>
      <c r="CP3" s="43"/>
      <c r="CQ3" s="37"/>
      <c r="CR3" s="37"/>
      <c r="CS3" s="37"/>
      <c r="CT3" s="37"/>
      <c r="CU3" s="37"/>
      <c r="CV3" s="37"/>
      <c r="CW3" s="37"/>
      <c r="CX3" s="37"/>
      <c r="CY3" s="37"/>
      <c r="CZ3" s="37"/>
      <c r="DA3" s="37"/>
      <c r="DB3" s="37"/>
      <c r="DC3" s="37"/>
      <c r="DD3" s="37"/>
      <c r="DE3" s="41"/>
      <c r="DF3" s="37"/>
      <c r="DG3" s="42"/>
      <c r="DH3" s="43"/>
      <c r="DI3" s="37"/>
      <c r="DJ3" s="37"/>
      <c r="DK3" s="37"/>
      <c r="DL3" s="37"/>
      <c r="DM3" s="37"/>
      <c r="DN3" s="37"/>
      <c r="DO3" s="37"/>
      <c r="DP3" s="37"/>
      <c r="DQ3" s="37"/>
      <c r="DR3" s="37"/>
      <c r="DS3" s="37"/>
      <c r="DT3" s="37"/>
      <c r="DU3" s="37"/>
      <c r="DV3" s="37"/>
      <c r="DW3" s="41"/>
      <c r="DX3" s="37"/>
      <c r="DY3" s="42"/>
      <c r="DZ3" s="43"/>
      <c r="EA3" s="37"/>
      <c r="EB3" s="37"/>
      <c r="EC3" s="37"/>
      <c r="ED3" s="37"/>
      <c r="EE3" s="37"/>
      <c r="EF3" s="37"/>
      <c r="EG3" s="37"/>
      <c r="EH3" s="37"/>
      <c r="EI3" s="37"/>
      <c r="EJ3" s="37"/>
      <c r="EK3" s="37"/>
      <c r="EL3" s="37"/>
      <c r="EM3" s="37"/>
      <c r="EN3" s="37"/>
      <c r="EO3" s="41"/>
      <c r="EP3" s="37"/>
      <c r="EQ3" s="42"/>
      <c r="ER3" s="43"/>
      <c r="ES3" s="37"/>
      <c r="ET3" s="37"/>
      <c r="EU3" s="37"/>
      <c r="EV3" s="37"/>
      <c r="EW3" s="37"/>
      <c r="EX3" s="37"/>
      <c r="EY3" s="37"/>
      <c r="EZ3" s="37"/>
      <c r="FA3" s="37"/>
      <c r="FB3" s="37"/>
      <c r="FC3" s="37"/>
      <c r="FD3" s="37"/>
      <c r="FE3" s="37"/>
      <c r="FF3" s="37"/>
      <c r="FG3" s="41"/>
      <c r="FH3" s="37"/>
      <c r="FI3" s="42"/>
      <c r="FJ3" s="43"/>
      <c r="FK3" s="37"/>
      <c r="FL3" s="37"/>
      <c r="FM3" s="37"/>
      <c r="FN3" s="37"/>
      <c r="FO3" s="37"/>
      <c r="FP3" s="37"/>
      <c r="FQ3" s="37"/>
      <c r="FR3" s="37"/>
      <c r="FS3" s="37"/>
      <c r="FT3" s="37"/>
      <c r="FU3" s="37"/>
      <c r="FV3" s="37"/>
      <c r="FW3" s="37"/>
      <c r="FX3" s="37"/>
      <c r="FY3" s="41"/>
      <c r="FZ3" s="37"/>
      <c r="GA3" s="42"/>
      <c r="GB3" s="43"/>
      <c r="GC3" s="37"/>
      <c r="GD3" s="37"/>
      <c r="GE3" s="37"/>
      <c r="GF3" s="37"/>
      <c r="GG3" s="37"/>
      <c r="GH3" s="37"/>
      <c r="GI3" s="37"/>
      <c r="GJ3" s="37"/>
      <c r="GK3" s="37"/>
      <c r="GL3" s="37"/>
      <c r="GM3" s="37"/>
      <c r="GN3" s="37"/>
      <c r="GO3" s="37"/>
      <c r="GP3" s="37"/>
      <c r="GQ3" s="41"/>
      <c r="GR3" s="37"/>
      <c r="GS3" s="42"/>
      <c r="GT3" s="43"/>
      <c r="GU3" s="37"/>
      <c r="GV3" s="37"/>
      <c r="GW3" s="37"/>
      <c r="GX3" s="37"/>
      <c r="GY3" s="37"/>
      <c r="GZ3" s="37"/>
      <c r="HA3" s="37"/>
      <c r="HB3" s="37"/>
      <c r="HC3" s="37"/>
      <c r="HD3" s="37"/>
      <c r="HE3" s="37"/>
      <c r="HF3" s="37"/>
      <c r="HG3" s="37"/>
      <c r="HH3" s="37"/>
      <c r="HJ3" s="37"/>
      <c r="HK3" s="37"/>
      <c r="HL3" s="37"/>
      <c r="HM3" s="37"/>
      <c r="HN3" s="37"/>
      <c r="HO3" s="37"/>
      <c r="HP3" s="37"/>
      <c r="HQ3" s="37"/>
      <c r="HR3" s="37"/>
      <c r="HS3" s="37"/>
      <c r="HT3" s="37"/>
      <c r="HU3" s="37"/>
      <c r="HV3" s="37"/>
      <c r="HW3" s="37"/>
      <c r="HX3" s="37"/>
      <c r="HY3" s="37"/>
      <c r="HZ3" s="37"/>
      <c r="IA3" s="37"/>
      <c r="IB3" s="37"/>
      <c r="IC3" s="37"/>
      <c r="ID3" s="37"/>
      <c r="IE3" s="37"/>
      <c r="IF3" s="37"/>
      <c r="IG3" s="37"/>
      <c r="IH3" s="37"/>
      <c r="II3" s="37"/>
      <c r="IJ3" s="37"/>
      <c r="IK3" s="37"/>
      <c r="IL3" s="37"/>
      <c r="IM3" s="37"/>
      <c r="IN3" s="37"/>
      <c r="IO3" s="37"/>
      <c r="IP3" s="37"/>
    </row>
    <row r="4" spans="1:250" x14ac:dyDescent="0.3">
      <c r="A4" s="46">
        <v>220</v>
      </c>
      <c r="B4" s="46" t="s">
        <v>18</v>
      </c>
      <c r="C4" s="47"/>
      <c r="D4" s="47"/>
      <c r="E4" s="47"/>
      <c r="F4" s="47"/>
      <c r="G4" s="47"/>
      <c r="H4" s="47"/>
      <c r="I4" s="47"/>
      <c r="J4" s="47"/>
      <c r="K4" s="47"/>
      <c r="L4" s="47"/>
      <c r="M4" s="47"/>
      <c r="N4" s="47"/>
      <c r="O4" s="47"/>
      <c r="P4" s="47"/>
      <c r="Q4" s="47"/>
      <c r="R4" s="47"/>
      <c r="T4" s="37"/>
      <c r="U4" s="43">
        <v>220</v>
      </c>
      <c r="V4" s="43" t="s">
        <v>18</v>
      </c>
      <c r="W4" s="37"/>
      <c r="X4" s="37"/>
      <c r="Y4" s="37"/>
      <c r="Z4" s="37"/>
      <c r="AA4" s="37"/>
      <c r="AB4" s="37"/>
      <c r="AC4" s="37"/>
      <c r="AD4" s="37"/>
      <c r="AE4" s="37"/>
      <c r="AF4" s="37"/>
      <c r="AG4" s="37"/>
      <c r="AH4" s="37"/>
      <c r="AI4" s="37"/>
      <c r="AJ4" s="37"/>
      <c r="AK4" s="37"/>
      <c r="AL4" s="37"/>
      <c r="AM4" s="43">
        <v>220</v>
      </c>
      <c r="AN4" s="43" t="s">
        <v>18</v>
      </c>
      <c r="AO4" s="37"/>
      <c r="AP4" s="37"/>
      <c r="AQ4" s="37"/>
      <c r="AR4" s="37"/>
      <c r="AS4" s="37"/>
      <c r="AT4" s="37"/>
      <c r="AU4" s="37"/>
      <c r="AV4" s="37"/>
      <c r="AW4" s="37"/>
      <c r="AX4" s="37"/>
      <c r="AY4" s="37"/>
      <c r="AZ4" s="37"/>
      <c r="BA4" s="37"/>
      <c r="BB4" s="37"/>
      <c r="BC4" s="37"/>
      <c r="BD4" s="37"/>
      <c r="BE4" s="43">
        <v>220</v>
      </c>
      <c r="BF4" s="43" t="s">
        <v>18</v>
      </c>
      <c r="BG4" s="37"/>
      <c r="BH4" s="37"/>
      <c r="BI4" s="37"/>
      <c r="BJ4" s="37"/>
      <c r="BK4" s="37"/>
      <c r="BL4" s="37"/>
      <c r="BM4" s="37"/>
      <c r="BN4" s="37"/>
      <c r="BO4" s="37"/>
      <c r="BP4" s="37"/>
      <c r="BQ4" s="37"/>
      <c r="BR4" s="37"/>
      <c r="BS4" s="37"/>
      <c r="BT4" s="37"/>
      <c r="BU4" s="37"/>
      <c r="BV4" s="37"/>
      <c r="BW4" s="43">
        <v>220</v>
      </c>
      <c r="BX4" s="43" t="s">
        <v>18</v>
      </c>
      <c r="BY4" s="37"/>
      <c r="BZ4" s="37"/>
      <c r="CA4" s="37"/>
      <c r="CB4" s="37"/>
      <c r="CC4" s="37"/>
      <c r="CD4" s="37"/>
      <c r="CE4" s="37"/>
      <c r="CF4" s="37"/>
      <c r="CG4" s="37"/>
      <c r="CH4" s="37"/>
      <c r="CI4" s="37"/>
      <c r="CJ4" s="37"/>
      <c r="CK4" s="37"/>
      <c r="CL4" s="37"/>
      <c r="CM4" s="37"/>
      <c r="CN4" s="37"/>
      <c r="CO4" s="43">
        <v>220</v>
      </c>
      <c r="CP4" s="43" t="s">
        <v>18</v>
      </c>
      <c r="CQ4" s="37"/>
      <c r="CR4" s="37"/>
      <c r="CS4" s="37"/>
      <c r="CT4" s="37"/>
      <c r="CU4" s="37"/>
      <c r="CV4" s="37"/>
      <c r="CW4" s="37"/>
      <c r="CX4" s="37"/>
      <c r="CY4" s="37"/>
      <c r="CZ4" s="37"/>
      <c r="DA4" s="37"/>
      <c r="DB4" s="37"/>
      <c r="DC4" s="37"/>
      <c r="DD4" s="37"/>
      <c r="DE4" s="41"/>
      <c r="DF4" s="37"/>
      <c r="DG4" s="43">
        <v>220</v>
      </c>
      <c r="DH4" s="43" t="s">
        <v>18</v>
      </c>
      <c r="DI4" s="37"/>
      <c r="DJ4" s="37"/>
      <c r="DK4" s="37"/>
      <c r="DL4" s="37"/>
      <c r="DM4" s="37"/>
      <c r="DN4" s="37"/>
      <c r="DO4" s="37"/>
      <c r="DP4" s="37"/>
      <c r="DQ4" s="37"/>
      <c r="DR4" s="37"/>
      <c r="DS4" s="37"/>
      <c r="DT4" s="37"/>
      <c r="DU4" s="37"/>
      <c r="DV4" s="37"/>
      <c r="DW4" s="41"/>
      <c r="DX4" s="37"/>
      <c r="DY4" s="43">
        <v>220</v>
      </c>
      <c r="DZ4" s="43" t="s">
        <v>18</v>
      </c>
      <c r="EA4" s="37"/>
      <c r="EB4" s="37"/>
      <c r="EC4" s="37"/>
      <c r="ED4" s="37"/>
      <c r="EE4" s="37"/>
      <c r="EF4" s="37"/>
      <c r="EG4" s="37"/>
      <c r="EH4" s="37"/>
      <c r="EI4" s="37"/>
      <c r="EJ4" s="37"/>
      <c r="EK4" s="37"/>
      <c r="EL4" s="37"/>
      <c r="EM4" s="37"/>
      <c r="EN4" s="37"/>
      <c r="EO4" s="41"/>
      <c r="EP4" s="37"/>
      <c r="EQ4" s="43">
        <v>220</v>
      </c>
      <c r="ER4" s="43" t="s">
        <v>18</v>
      </c>
      <c r="ES4" s="37"/>
      <c r="ET4" s="37"/>
      <c r="EU4" s="37"/>
      <c r="EV4" s="37"/>
      <c r="EW4" s="37"/>
      <c r="EX4" s="37"/>
      <c r="EY4" s="37"/>
      <c r="EZ4" s="37"/>
      <c r="FA4" s="37"/>
      <c r="FB4" s="37"/>
      <c r="FC4" s="37"/>
      <c r="FD4" s="37"/>
      <c r="FE4" s="37"/>
      <c r="FF4" s="37"/>
      <c r="FG4" s="41"/>
      <c r="FH4" s="37"/>
      <c r="FI4" s="43">
        <v>220</v>
      </c>
      <c r="FJ4" s="43" t="s">
        <v>18</v>
      </c>
      <c r="FK4" s="37"/>
      <c r="FL4" s="37"/>
      <c r="FM4" s="37"/>
      <c r="FN4" s="37"/>
      <c r="FO4" s="37"/>
      <c r="FP4" s="37"/>
      <c r="FQ4" s="37"/>
      <c r="FR4" s="37"/>
      <c r="FS4" s="37"/>
      <c r="FT4" s="37"/>
      <c r="FU4" s="37"/>
      <c r="FV4" s="37"/>
      <c r="FW4" s="37"/>
      <c r="FX4" s="37"/>
      <c r="FY4" s="41"/>
      <c r="FZ4" s="37"/>
      <c r="GA4" s="43">
        <v>220</v>
      </c>
      <c r="GB4" s="43" t="s">
        <v>18</v>
      </c>
      <c r="GC4" s="37"/>
      <c r="GD4" s="37"/>
      <c r="GE4" s="37"/>
      <c r="GF4" s="37"/>
      <c r="GG4" s="37"/>
      <c r="GH4" s="37"/>
      <c r="GI4" s="37"/>
      <c r="GJ4" s="37"/>
      <c r="GK4" s="37"/>
      <c r="GL4" s="37"/>
      <c r="GM4" s="37"/>
      <c r="GN4" s="37"/>
      <c r="GO4" s="37"/>
      <c r="GP4" s="37"/>
      <c r="GQ4" s="41"/>
      <c r="GR4" s="37"/>
      <c r="GS4" s="43">
        <v>220</v>
      </c>
      <c r="GT4" s="43" t="s">
        <v>18</v>
      </c>
      <c r="GU4" s="37"/>
      <c r="GV4" s="37"/>
      <c r="GW4" s="37"/>
      <c r="GX4" s="37"/>
      <c r="GY4" s="37"/>
      <c r="GZ4" s="37"/>
      <c r="HA4" s="37"/>
      <c r="HB4" s="37"/>
      <c r="HC4" s="37"/>
      <c r="HD4" s="37"/>
      <c r="HE4" s="37"/>
      <c r="HF4" s="37"/>
      <c r="HG4" s="37"/>
      <c r="HH4" s="37"/>
      <c r="HJ4" s="37"/>
      <c r="HK4" s="37"/>
      <c r="HL4" s="37"/>
      <c r="HM4" s="37"/>
      <c r="HN4" s="37"/>
      <c r="HO4" s="37"/>
      <c r="HP4" s="37"/>
      <c r="HQ4" s="37"/>
      <c r="HR4" s="37"/>
      <c r="HS4" s="37"/>
      <c r="HT4" s="37"/>
      <c r="HU4" s="37"/>
      <c r="HV4" s="37"/>
      <c r="HW4" s="37"/>
      <c r="HX4" s="37"/>
      <c r="HY4" s="37"/>
      <c r="HZ4" s="37"/>
      <c r="IA4" s="37"/>
      <c r="IB4" s="37"/>
      <c r="IC4" s="37"/>
      <c r="ID4" s="37"/>
      <c r="IE4" s="37"/>
      <c r="IF4" s="37"/>
      <c r="IG4" s="37"/>
      <c r="IH4" s="37"/>
      <c r="II4" s="37"/>
      <c r="IJ4" s="37"/>
      <c r="IK4" s="37"/>
      <c r="IL4" s="37"/>
      <c r="IM4" s="37"/>
      <c r="IN4" s="37"/>
      <c r="IO4" s="37"/>
      <c r="IP4" s="37"/>
    </row>
    <row r="5" spans="1:250" ht="77.400000000000006" x14ac:dyDescent="0.3">
      <c r="A5" s="48"/>
      <c r="B5" s="101" t="s">
        <v>19</v>
      </c>
      <c r="C5" s="49"/>
      <c r="D5" s="100" t="s">
        <v>20</v>
      </c>
      <c r="E5" s="50" t="s">
        <v>21</v>
      </c>
      <c r="F5" s="50" t="s">
        <v>22</v>
      </c>
      <c r="G5" s="50" t="s">
        <v>23</v>
      </c>
      <c r="H5" s="50" t="s">
        <v>24</v>
      </c>
      <c r="I5" s="50" t="s">
        <v>25</v>
      </c>
      <c r="J5" s="50" t="s">
        <v>8</v>
      </c>
      <c r="K5" s="50" t="s">
        <v>26</v>
      </c>
      <c r="L5" s="50" t="s">
        <v>26</v>
      </c>
      <c r="M5" s="50" t="s">
        <v>27</v>
      </c>
      <c r="N5" s="50" t="s">
        <v>27</v>
      </c>
      <c r="O5" s="50" t="s">
        <v>28</v>
      </c>
      <c r="P5" s="51" t="s">
        <v>29</v>
      </c>
      <c r="Q5" s="51" t="s">
        <v>30</v>
      </c>
      <c r="R5" s="301" t="s">
        <v>31</v>
      </c>
      <c r="S5" s="52"/>
      <c r="T5" s="53" t="s">
        <v>19</v>
      </c>
      <c r="U5" s="54"/>
      <c r="V5" s="55" t="s">
        <v>32</v>
      </c>
      <c r="W5" s="56" t="s">
        <v>21</v>
      </c>
      <c r="X5" s="56" t="s">
        <v>22</v>
      </c>
      <c r="Y5" s="56" t="s">
        <v>23</v>
      </c>
      <c r="Z5" s="56" t="s">
        <v>24</v>
      </c>
      <c r="AA5" s="56" t="s">
        <v>25</v>
      </c>
      <c r="AB5" s="56" t="s">
        <v>8</v>
      </c>
      <c r="AC5" s="56" t="s">
        <v>26</v>
      </c>
      <c r="AD5" s="56" t="s">
        <v>26</v>
      </c>
      <c r="AE5" s="56" t="s">
        <v>27</v>
      </c>
      <c r="AF5" s="56" t="s">
        <v>27</v>
      </c>
      <c r="AG5" s="56" t="s">
        <v>28</v>
      </c>
      <c r="AH5" s="57" t="s">
        <v>29</v>
      </c>
      <c r="AI5" s="57" t="s">
        <v>30</v>
      </c>
      <c r="AJ5" s="308" t="s">
        <v>31</v>
      </c>
      <c r="AL5" s="53" t="s">
        <v>19</v>
      </c>
      <c r="AM5" s="54"/>
      <c r="AN5" s="55" t="s">
        <v>33</v>
      </c>
      <c r="AO5" s="56" t="s">
        <v>21</v>
      </c>
      <c r="AP5" s="56" t="s">
        <v>22</v>
      </c>
      <c r="AQ5" s="56" t="s">
        <v>23</v>
      </c>
      <c r="AR5" s="56" t="s">
        <v>24</v>
      </c>
      <c r="AS5" s="56" t="s">
        <v>25</v>
      </c>
      <c r="AT5" s="56" t="s">
        <v>8</v>
      </c>
      <c r="AU5" s="56" t="s">
        <v>26</v>
      </c>
      <c r="AV5" s="56" t="s">
        <v>26</v>
      </c>
      <c r="AW5" s="56" t="s">
        <v>27</v>
      </c>
      <c r="AX5" s="56" t="s">
        <v>27</v>
      </c>
      <c r="AY5" s="56" t="s">
        <v>28</v>
      </c>
      <c r="AZ5" s="57" t="s">
        <v>29</v>
      </c>
      <c r="BA5" s="57" t="s">
        <v>30</v>
      </c>
      <c r="BB5" s="308" t="s">
        <v>31</v>
      </c>
      <c r="BD5" s="53" t="s">
        <v>19</v>
      </c>
      <c r="BE5" s="54"/>
      <c r="BF5" s="55" t="s">
        <v>34</v>
      </c>
      <c r="BG5" s="56" t="s">
        <v>21</v>
      </c>
      <c r="BH5" s="56" t="s">
        <v>22</v>
      </c>
      <c r="BI5" s="56" t="s">
        <v>23</v>
      </c>
      <c r="BJ5" s="56" t="s">
        <v>24</v>
      </c>
      <c r="BK5" s="56" t="s">
        <v>25</v>
      </c>
      <c r="BL5" s="56" t="s">
        <v>8</v>
      </c>
      <c r="BM5" s="56" t="s">
        <v>26</v>
      </c>
      <c r="BN5" s="56" t="s">
        <v>26</v>
      </c>
      <c r="BO5" s="56" t="s">
        <v>27</v>
      </c>
      <c r="BP5" s="56" t="s">
        <v>27</v>
      </c>
      <c r="BQ5" s="56" t="s">
        <v>28</v>
      </c>
      <c r="BR5" s="57" t="s">
        <v>29</v>
      </c>
      <c r="BS5" s="57" t="s">
        <v>30</v>
      </c>
      <c r="BT5" s="308" t="s">
        <v>31</v>
      </c>
      <c r="BV5" s="53" t="s">
        <v>19</v>
      </c>
      <c r="BW5" s="54"/>
      <c r="BX5" s="55" t="s">
        <v>35</v>
      </c>
      <c r="BY5" s="56" t="s">
        <v>21</v>
      </c>
      <c r="BZ5" s="56" t="s">
        <v>22</v>
      </c>
      <c r="CA5" s="56" t="s">
        <v>23</v>
      </c>
      <c r="CB5" s="56" t="s">
        <v>24</v>
      </c>
      <c r="CC5" s="56" t="s">
        <v>25</v>
      </c>
      <c r="CD5" s="56" t="s">
        <v>8</v>
      </c>
      <c r="CE5" s="56" t="s">
        <v>26</v>
      </c>
      <c r="CF5" s="56" t="s">
        <v>26</v>
      </c>
      <c r="CG5" s="56" t="s">
        <v>27</v>
      </c>
      <c r="CH5" s="56" t="s">
        <v>27</v>
      </c>
      <c r="CI5" s="56" t="s">
        <v>28</v>
      </c>
      <c r="CJ5" s="57" t="s">
        <v>29</v>
      </c>
      <c r="CK5" s="57" t="s">
        <v>30</v>
      </c>
      <c r="CL5" s="309" t="s">
        <v>31</v>
      </c>
      <c r="CN5" s="99" t="s">
        <v>19</v>
      </c>
      <c r="CO5" s="54"/>
      <c r="CP5" s="98" t="s">
        <v>36</v>
      </c>
      <c r="CQ5" s="56" t="s">
        <v>21</v>
      </c>
      <c r="CR5" s="56" t="s">
        <v>22</v>
      </c>
      <c r="CS5" s="56" t="s">
        <v>23</v>
      </c>
      <c r="CT5" s="56" t="s">
        <v>24</v>
      </c>
      <c r="CU5" s="56" t="s">
        <v>25</v>
      </c>
      <c r="CV5" s="56" t="s">
        <v>8</v>
      </c>
      <c r="CW5" s="56" t="s">
        <v>26</v>
      </c>
      <c r="CX5" s="56" t="s">
        <v>26</v>
      </c>
      <c r="CY5" s="56" t="s">
        <v>27</v>
      </c>
      <c r="CZ5" s="56" t="s">
        <v>27</v>
      </c>
      <c r="DA5" s="56" t="s">
        <v>28</v>
      </c>
      <c r="DB5" s="57" t="s">
        <v>29</v>
      </c>
      <c r="DC5" s="57" t="s">
        <v>30</v>
      </c>
      <c r="DD5" s="309" t="s">
        <v>31</v>
      </c>
      <c r="DF5" s="99" t="s">
        <v>19</v>
      </c>
      <c r="DG5" s="54"/>
      <c r="DH5" s="98" t="s">
        <v>37</v>
      </c>
      <c r="DI5" s="56" t="s">
        <v>21</v>
      </c>
      <c r="DJ5" s="56" t="s">
        <v>22</v>
      </c>
      <c r="DK5" s="56" t="s">
        <v>23</v>
      </c>
      <c r="DL5" s="56" t="s">
        <v>24</v>
      </c>
      <c r="DM5" s="56" t="s">
        <v>25</v>
      </c>
      <c r="DN5" s="56" t="s">
        <v>8</v>
      </c>
      <c r="DO5" s="56" t="s">
        <v>26</v>
      </c>
      <c r="DP5" s="56" t="s">
        <v>26</v>
      </c>
      <c r="DQ5" s="56" t="s">
        <v>27</v>
      </c>
      <c r="DR5" s="56" t="s">
        <v>27</v>
      </c>
      <c r="DS5" s="56" t="s">
        <v>28</v>
      </c>
      <c r="DT5" s="57" t="s">
        <v>29</v>
      </c>
      <c r="DU5" s="57" t="s">
        <v>30</v>
      </c>
      <c r="DV5" s="309" t="s">
        <v>31</v>
      </c>
      <c r="DX5" s="99" t="s">
        <v>19</v>
      </c>
      <c r="DY5" s="54"/>
      <c r="DZ5" s="98" t="s">
        <v>38</v>
      </c>
      <c r="EA5" s="56" t="s">
        <v>21</v>
      </c>
      <c r="EB5" s="56" t="s">
        <v>22</v>
      </c>
      <c r="EC5" s="56" t="s">
        <v>23</v>
      </c>
      <c r="ED5" s="56" t="s">
        <v>24</v>
      </c>
      <c r="EE5" s="56" t="s">
        <v>25</v>
      </c>
      <c r="EF5" s="56" t="s">
        <v>8</v>
      </c>
      <c r="EG5" s="56" t="s">
        <v>26</v>
      </c>
      <c r="EH5" s="56" t="s">
        <v>26</v>
      </c>
      <c r="EI5" s="56" t="s">
        <v>27</v>
      </c>
      <c r="EJ5" s="56" t="s">
        <v>27</v>
      </c>
      <c r="EK5" s="56" t="s">
        <v>28</v>
      </c>
      <c r="EL5" s="57" t="s">
        <v>29</v>
      </c>
      <c r="EM5" s="57" t="s">
        <v>30</v>
      </c>
      <c r="EN5" s="309" t="s">
        <v>31</v>
      </c>
      <c r="EP5" s="99" t="s">
        <v>19</v>
      </c>
      <c r="EQ5" s="54"/>
      <c r="ER5" s="98" t="s">
        <v>39</v>
      </c>
      <c r="ES5" s="56" t="s">
        <v>21</v>
      </c>
      <c r="ET5" s="56" t="s">
        <v>22</v>
      </c>
      <c r="EU5" s="56" t="s">
        <v>23</v>
      </c>
      <c r="EV5" s="56" t="s">
        <v>24</v>
      </c>
      <c r="EW5" s="56" t="s">
        <v>25</v>
      </c>
      <c r="EX5" s="56" t="s">
        <v>8</v>
      </c>
      <c r="EY5" s="56" t="s">
        <v>26</v>
      </c>
      <c r="EZ5" s="56" t="s">
        <v>26</v>
      </c>
      <c r="FA5" s="56" t="s">
        <v>27</v>
      </c>
      <c r="FB5" s="56" t="s">
        <v>27</v>
      </c>
      <c r="FC5" s="56" t="s">
        <v>28</v>
      </c>
      <c r="FD5" s="57" t="s">
        <v>29</v>
      </c>
      <c r="FE5" s="57" t="s">
        <v>30</v>
      </c>
      <c r="FF5" s="309" t="s">
        <v>31</v>
      </c>
      <c r="FH5" s="99" t="s">
        <v>19</v>
      </c>
      <c r="FI5" s="54"/>
      <c r="FJ5" s="98" t="s">
        <v>40</v>
      </c>
      <c r="FK5" s="56" t="s">
        <v>21</v>
      </c>
      <c r="FL5" s="56" t="s">
        <v>22</v>
      </c>
      <c r="FM5" s="56" t="s">
        <v>23</v>
      </c>
      <c r="FN5" s="56" t="s">
        <v>24</v>
      </c>
      <c r="FO5" s="56" t="s">
        <v>25</v>
      </c>
      <c r="FP5" s="56" t="s">
        <v>8</v>
      </c>
      <c r="FQ5" s="56" t="s">
        <v>26</v>
      </c>
      <c r="FR5" s="56" t="s">
        <v>26</v>
      </c>
      <c r="FS5" s="56" t="s">
        <v>27</v>
      </c>
      <c r="FT5" s="56" t="s">
        <v>27</v>
      </c>
      <c r="FU5" s="56" t="s">
        <v>28</v>
      </c>
      <c r="FV5" s="57" t="s">
        <v>29</v>
      </c>
      <c r="FW5" s="57" t="s">
        <v>30</v>
      </c>
      <c r="FX5" s="309" t="s">
        <v>31</v>
      </c>
      <c r="FZ5" s="99" t="s">
        <v>19</v>
      </c>
      <c r="GA5" s="54"/>
      <c r="GB5" s="98" t="s">
        <v>41</v>
      </c>
      <c r="GC5" s="56" t="s">
        <v>21</v>
      </c>
      <c r="GD5" s="56" t="s">
        <v>22</v>
      </c>
      <c r="GE5" s="56" t="s">
        <v>23</v>
      </c>
      <c r="GF5" s="56" t="s">
        <v>24</v>
      </c>
      <c r="GG5" s="56" t="s">
        <v>25</v>
      </c>
      <c r="GH5" s="56" t="s">
        <v>8</v>
      </c>
      <c r="GI5" s="56" t="s">
        <v>26</v>
      </c>
      <c r="GJ5" s="56" t="s">
        <v>26</v>
      </c>
      <c r="GK5" s="56" t="s">
        <v>27</v>
      </c>
      <c r="GL5" s="56" t="s">
        <v>27</v>
      </c>
      <c r="GM5" s="56" t="s">
        <v>28</v>
      </c>
      <c r="GN5" s="57" t="s">
        <v>29</v>
      </c>
      <c r="GO5" s="57" t="s">
        <v>30</v>
      </c>
      <c r="GP5" s="309" t="s">
        <v>31</v>
      </c>
      <c r="GR5" s="53" t="s">
        <v>19</v>
      </c>
      <c r="GS5" s="54"/>
      <c r="GT5" s="55" t="s">
        <v>42</v>
      </c>
      <c r="GU5" s="56" t="s">
        <v>21</v>
      </c>
      <c r="GV5" s="56" t="s">
        <v>22</v>
      </c>
      <c r="GW5" s="56" t="s">
        <v>23</v>
      </c>
      <c r="GX5" s="56" t="s">
        <v>24</v>
      </c>
      <c r="GY5" s="56" t="s">
        <v>25</v>
      </c>
      <c r="GZ5" s="56" t="s">
        <v>8</v>
      </c>
      <c r="HA5" s="56" t="s">
        <v>26</v>
      </c>
      <c r="HB5" s="56" t="s">
        <v>26</v>
      </c>
      <c r="HC5" s="56" t="s">
        <v>27</v>
      </c>
      <c r="HD5" s="56" t="s">
        <v>27</v>
      </c>
      <c r="HE5" s="56" t="s">
        <v>28</v>
      </c>
      <c r="HF5" s="57" t="s">
        <v>29</v>
      </c>
      <c r="HG5" s="57" t="s">
        <v>30</v>
      </c>
      <c r="HH5" s="308" t="s">
        <v>31</v>
      </c>
      <c r="HJ5" s="37"/>
      <c r="HK5" s="37"/>
      <c r="HL5" s="37"/>
      <c r="HM5" s="37"/>
      <c r="HN5" s="37"/>
      <c r="HO5" s="37"/>
      <c r="HP5" s="37"/>
      <c r="HQ5" s="37"/>
      <c r="HR5" s="37"/>
      <c r="HS5" s="37"/>
      <c r="HT5" s="37"/>
      <c r="HU5" s="37"/>
      <c r="HV5" s="37"/>
      <c r="HW5" s="37"/>
      <c r="HX5" s="37"/>
      <c r="HY5" s="37"/>
      <c r="HZ5" s="37"/>
      <c r="IA5" s="37"/>
      <c r="IB5" s="37"/>
      <c r="IC5" s="37"/>
      <c r="ID5" s="37"/>
      <c r="IE5" s="37"/>
      <c r="IF5" s="37"/>
      <c r="IG5" s="37"/>
      <c r="IH5" s="37"/>
      <c r="II5" s="37"/>
      <c r="IJ5" s="37"/>
      <c r="IK5" s="37"/>
      <c r="IL5" s="37"/>
      <c r="IM5" s="37"/>
      <c r="IN5" s="37"/>
      <c r="IO5" s="37"/>
      <c r="IP5" s="37"/>
    </row>
    <row r="6" spans="1:250" ht="28.8" x14ac:dyDescent="0.3">
      <c r="A6" s="39"/>
      <c r="B6" s="59" t="s">
        <v>43</v>
      </c>
      <c r="C6" s="60" t="s">
        <v>44</v>
      </c>
      <c r="D6" s="60" t="s">
        <v>45</v>
      </c>
      <c r="E6" s="61">
        <v>0.1</v>
      </c>
      <c r="F6" s="61">
        <v>0.08</v>
      </c>
      <c r="G6" s="62" t="s">
        <v>46</v>
      </c>
      <c r="H6" s="60">
        <v>3</v>
      </c>
      <c r="I6" s="63">
        <v>12</v>
      </c>
      <c r="J6" s="64" t="s">
        <v>47</v>
      </c>
      <c r="K6" s="64">
        <v>0.5</v>
      </c>
      <c r="L6" s="64">
        <v>1</v>
      </c>
      <c r="M6" s="65">
        <v>1.5</v>
      </c>
      <c r="N6" s="66">
        <v>2</v>
      </c>
      <c r="O6" s="64" t="s">
        <v>47</v>
      </c>
      <c r="P6" s="64" t="s">
        <v>47</v>
      </c>
      <c r="Q6" s="64">
        <v>0.2</v>
      </c>
      <c r="R6" s="302" t="s">
        <v>47</v>
      </c>
      <c r="S6" s="39"/>
      <c r="T6" s="59" t="s">
        <v>43</v>
      </c>
      <c r="U6" s="60" t="s">
        <v>44</v>
      </c>
      <c r="V6" s="60" t="s">
        <v>45</v>
      </c>
      <c r="W6" s="61">
        <v>0.1</v>
      </c>
      <c r="X6" s="61">
        <v>0.08</v>
      </c>
      <c r="Y6" s="62" t="s">
        <v>46</v>
      </c>
      <c r="Z6" s="60">
        <v>3</v>
      </c>
      <c r="AA6" s="63">
        <v>12</v>
      </c>
      <c r="AB6" s="64" t="s">
        <v>47</v>
      </c>
      <c r="AC6" s="64">
        <v>0.5</v>
      </c>
      <c r="AD6" s="64">
        <v>1</v>
      </c>
      <c r="AE6" s="65">
        <v>1.5</v>
      </c>
      <c r="AF6" s="66">
        <v>2</v>
      </c>
      <c r="AG6" s="64" t="s">
        <v>47</v>
      </c>
      <c r="AH6" s="64" t="s">
        <v>47</v>
      </c>
      <c r="AI6" s="64">
        <v>0.2</v>
      </c>
      <c r="AJ6" s="302" t="s">
        <v>47</v>
      </c>
      <c r="AL6" s="59" t="s">
        <v>43</v>
      </c>
      <c r="AM6" s="60" t="s">
        <v>44</v>
      </c>
      <c r="AN6" s="60" t="s">
        <v>45</v>
      </c>
      <c r="AO6" s="61">
        <v>0.1</v>
      </c>
      <c r="AP6" s="61">
        <v>0.08</v>
      </c>
      <c r="AQ6" s="62" t="s">
        <v>46</v>
      </c>
      <c r="AR6" s="60">
        <v>3</v>
      </c>
      <c r="AS6" s="63">
        <v>12</v>
      </c>
      <c r="AT6" s="64" t="s">
        <v>47</v>
      </c>
      <c r="AU6" s="64">
        <v>0.5</v>
      </c>
      <c r="AV6" s="64">
        <v>1</v>
      </c>
      <c r="AW6" s="65">
        <v>1.5</v>
      </c>
      <c r="AX6" s="66">
        <v>2</v>
      </c>
      <c r="AY6" s="64" t="s">
        <v>47</v>
      </c>
      <c r="AZ6" s="64" t="s">
        <v>47</v>
      </c>
      <c r="BA6" s="64">
        <v>0.2</v>
      </c>
      <c r="BB6" s="302" t="s">
        <v>47</v>
      </c>
      <c r="BD6" s="59" t="s">
        <v>43</v>
      </c>
      <c r="BE6" s="60" t="s">
        <v>44</v>
      </c>
      <c r="BF6" s="60" t="s">
        <v>45</v>
      </c>
      <c r="BG6" s="61">
        <v>0.1</v>
      </c>
      <c r="BH6" s="61">
        <v>0.08</v>
      </c>
      <c r="BI6" s="62" t="s">
        <v>46</v>
      </c>
      <c r="BJ6" s="60">
        <v>3</v>
      </c>
      <c r="BK6" s="63">
        <v>12</v>
      </c>
      <c r="BL6" s="64" t="s">
        <v>47</v>
      </c>
      <c r="BM6" s="64">
        <v>0.5</v>
      </c>
      <c r="BN6" s="64">
        <v>1</v>
      </c>
      <c r="BO6" s="65">
        <v>1.5</v>
      </c>
      <c r="BP6" s="66">
        <v>2</v>
      </c>
      <c r="BQ6" s="64" t="s">
        <v>47</v>
      </c>
      <c r="BR6" s="64" t="s">
        <v>47</v>
      </c>
      <c r="BS6" s="64">
        <v>0.2</v>
      </c>
      <c r="BT6" s="302" t="s">
        <v>47</v>
      </c>
      <c r="BV6" s="59" t="s">
        <v>43</v>
      </c>
      <c r="BW6" s="60" t="s">
        <v>44</v>
      </c>
      <c r="BX6" s="60" t="s">
        <v>45</v>
      </c>
      <c r="BY6" s="61">
        <v>0.1</v>
      </c>
      <c r="BZ6" s="61">
        <v>0.08</v>
      </c>
      <c r="CA6" s="62" t="s">
        <v>46</v>
      </c>
      <c r="CB6" s="60">
        <v>3</v>
      </c>
      <c r="CC6" s="63">
        <v>12</v>
      </c>
      <c r="CD6" s="64" t="s">
        <v>47</v>
      </c>
      <c r="CE6" s="64">
        <v>0.5</v>
      </c>
      <c r="CF6" s="64">
        <v>1</v>
      </c>
      <c r="CG6" s="65">
        <v>1.5</v>
      </c>
      <c r="CH6" s="66">
        <v>2</v>
      </c>
      <c r="CI6" s="64" t="s">
        <v>47</v>
      </c>
      <c r="CJ6" s="64" t="s">
        <v>47</v>
      </c>
      <c r="CK6" s="64">
        <v>0.2</v>
      </c>
      <c r="CL6" s="302" t="s">
        <v>47</v>
      </c>
      <c r="CN6" s="59" t="s">
        <v>43</v>
      </c>
      <c r="CO6" s="60" t="s">
        <v>44</v>
      </c>
      <c r="CP6" s="60" t="s">
        <v>45</v>
      </c>
      <c r="CQ6" s="61">
        <v>0.1</v>
      </c>
      <c r="CR6" s="61">
        <v>0.08</v>
      </c>
      <c r="CS6" s="62" t="s">
        <v>46</v>
      </c>
      <c r="CT6" s="60">
        <v>3</v>
      </c>
      <c r="CU6" s="63">
        <v>12</v>
      </c>
      <c r="CV6" s="64" t="s">
        <v>47</v>
      </c>
      <c r="CW6" s="64">
        <v>0.5</v>
      </c>
      <c r="CX6" s="64">
        <v>1</v>
      </c>
      <c r="CY6" s="65">
        <v>1.5</v>
      </c>
      <c r="CZ6" s="66">
        <v>2</v>
      </c>
      <c r="DA6" s="64" t="s">
        <v>47</v>
      </c>
      <c r="DB6" s="64" t="s">
        <v>47</v>
      </c>
      <c r="DC6" s="64">
        <v>0.2</v>
      </c>
      <c r="DD6" s="302" t="s">
        <v>47</v>
      </c>
      <c r="DE6" s="39"/>
      <c r="DF6" s="59" t="s">
        <v>43</v>
      </c>
      <c r="DG6" s="60" t="s">
        <v>44</v>
      </c>
      <c r="DH6" s="60" t="s">
        <v>45</v>
      </c>
      <c r="DI6" s="61">
        <v>0.1</v>
      </c>
      <c r="DJ6" s="61">
        <v>0.08</v>
      </c>
      <c r="DK6" s="62" t="s">
        <v>46</v>
      </c>
      <c r="DL6" s="60">
        <v>3</v>
      </c>
      <c r="DM6" s="63">
        <v>12</v>
      </c>
      <c r="DN6" s="64" t="s">
        <v>47</v>
      </c>
      <c r="DO6" s="64">
        <v>0.5</v>
      </c>
      <c r="DP6" s="64">
        <v>1</v>
      </c>
      <c r="DQ6" s="65">
        <v>1.5</v>
      </c>
      <c r="DR6" s="66">
        <v>2</v>
      </c>
      <c r="DS6" s="64" t="s">
        <v>47</v>
      </c>
      <c r="DT6" s="64" t="s">
        <v>47</v>
      </c>
      <c r="DU6" s="64">
        <v>0.2</v>
      </c>
      <c r="DV6" s="302" t="s">
        <v>47</v>
      </c>
      <c r="DW6" s="39"/>
      <c r="DX6" s="59" t="s">
        <v>43</v>
      </c>
      <c r="DY6" s="60" t="s">
        <v>44</v>
      </c>
      <c r="DZ6" s="60" t="s">
        <v>45</v>
      </c>
      <c r="EA6" s="61">
        <v>0.1</v>
      </c>
      <c r="EB6" s="61">
        <v>0.08</v>
      </c>
      <c r="EC6" s="62" t="s">
        <v>46</v>
      </c>
      <c r="ED6" s="60">
        <v>3</v>
      </c>
      <c r="EE6" s="63">
        <v>12</v>
      </c>
      <c r="EF6" s="64" t="s">
        <v>47</v>
      </c>
      <c r="EG6" s="64">
        <v>0.5</v>
      </c>
      <c r="EH6" s="64">
        <v>1</v>
      </c>
      <c r="EI6" s="65">
        <v>1.5</v>
      </c>
      <c r="EJ6" s="66">
        <v>2</v>
      </c>
      <c r="EK6" s="64" t="s">
        <v>47</v>
      </c>
      <c r="EL6" s="64" t="s">
        <v>47</v>
      </c>
      <c r="EM6" s="64">
        <v>0.2</v>
      </c>
      <c r="EN6" s="302" t="s">
        <v>47</v>
      </c>
      <c r="EO6" s="39"/>
      <c r="EP6" s="59" t="s">
        <v>43</v>
      </c>
      <c r="EQ6" s="60" t="s">
        <v>44</v>
      </c>
      <c r="ER6" s="60" t="s">
        <v>45</v>
      </c>
      <c r="ES6" s="61">
        <v>0.1</v>
      </c>
      <c r="ET6" s="61">
        <v>0.08</v>
      </c>
      <c r="EU6" s="62" t="s">
        <v>46</v>
      </c>
      <c r="EV6" s="60">
        <v>3</v>
      </c>
      <c r="EW6" s="63">
        <v>12</v>
      </c>
      <c r="EX6" s="64" t="s">
        <v>47</v>
      </c>
      <c r="EY6" s="64">
        <v>0.5</v>
      </c>
      <c r="EZ6" s="64">
        <v>1</v>
      </c>
      <c r="FA6" s="65">
        <v>1.5</v>
      </c>
      <c r="FB6" s="66">
        <v>2</v>
      </c>
      <c r="FC6" s="64" t="s">
        <v>47</v>
      </c>
      <c r="FD6" s="64" t="s">
        <v>47</v>
      </c>
      <c r="FE6" s="64">
        <v>0.2</v>
      </c>
      <c r="FF6" s="302" t="s">
        <v>47</v>
      </c>
      <c r="FG6" s="39"/>
      <c r="FH6" s="59" t="s">
        <v>43</v>
      </c>
      <c r="FI6" s="60" t="s">
        <v>44</v>
      </c>
      <c r="FJ6" s="60" t="s">
        <v>45</v>
      </c>
      <c r="FK6" s="61">
        <v>0.1</v>
      </c>
      <c r="FL6" s="61">
        <v>0.08</v>
      </c>
      <c r="FM6" s="62" t="s">
        <v>46</v>
      </c>
      <c r="FN6" s="60">
        <v>3</v>
      </c>
      <c r="FO6" s="63">
        <v>12</v>
      </c>
      <c r="FP6" s="64" t="s">
        <v>47</v>
      </c>
      <c r="FQ6" s="64">
        <v>0.5</v>
      </c>
      <c r="FR6" s="64">
        <v>1</v>
      </c>
      <c r="FS6" s="65">
        <v>1.5</v>
      </c>
      <c r="FT6" s="66">
        <v>2</v>
      </c>
      <c r="FU6" s="64" t="s">
        <v>47</v>
      </c>
      <c r="FV6" s="64" t="s">
        <v>47</v>
      </c>
      <c r="FW6" s="64">
        <v>0.2</v>
      </c>
      <c r="FX6" s="302" t="s">
        <v>47</v>
      </c>
      <c r="FY6" s="39"/>
      <c r="FZ6" s="59" t="s">
        <v>43</v>
      </c>
      <c r="GA6" s="60" t="s">
        <v>44</v>
      </c>
      <c r="GB6" s="60" t="s">
        <v>45</v>
      </c>
      <c r="GC6" s="61">
        <v>0.1</v>
      </c>
      <c r="GD6" s="61">
        <v>0.08</v>
      </c>
      <c r="GE6" s="62" t="s">
        <v>46</v>
      </c>
      <c r="GF6" s="60">
        <v>3</v>
      </c>
      <c r="GG6" s="63">
        <v>12</v>
      </c>
      <c r="GH6" s="64" t="s">
        <v>47</v>
      </c>
      <c r="GI6" s="64">
        <v>0.5</v>
      </c>
      <c r="GJ6" s="64">
        <v>1</v>
      </c>
      <c r="GK6" s="65">
        <v>1.5</v>
      </c>
      <c r="GL6" s="66">
        <v>2</v>
      </c>
      <c r="GM6" s="64" t="s">
        <v>47</v>
      </c>
      <c r="GN6" s="64" t="s">
        <v>47</v>
      </c>
      <c r="GO6" s="64">
        <v>0.2</v>
      </c>
      <c r="GP6" s="302" t="s">
        <v>47</v>
      </c>
      <c r="GQ6" s="39"/>
      <c r="GR6" s="59" t="s">
        <v>43</v>
      </c>
      <c r="GS6" s="60" t="s">
        <v>44</v>
      </c>
      <c r="GT6" s="60" t="s">
        <v>45</v>
      </c>
      <c r="GU6" s="61">
        <v>0.1</v>
      </c>
      <c r="GV6" s="61">
        <v>0.08</v>
      </c>
      <c r="GW6" s="62" t="s">
        <v>46</v>
      </c>
      <c r="GX6" s="60">
        <v>3</v>
      </c>
      <c r="GY6" s="63">
        <v>12</v>
      </c>
      <c r="GZ6" s="64" t="s">
        <v>47</v>
      </c>
      <c r="HA6" s="64">
        <v>0.5</v>
      </c>
      <c r="HB6" s="64">
        <v>1</v>
      </c>
      <c r="HC6" s="65">
        <v>1.5</v>
      </c>
      <c r="HD6" s="66">
        <v>2</v>
      </c>
      <c r="HE6" s="64" t="s">
        <v>47</v>
      </c>
      <c r="HF6" s="64" t="s">
        <v>47</v>
      </c>
      <c r="HG6" s="64">
        <v>0.2</v>
      </c>
      <c r="HH6" s="302" t="s">
        <v>47</v>
      </c>
      <c r="HJ6" s="37"/>
      <c r="HK6" s="37"/>
      <c r="HL6" s="37"/>
      <c r="HM6" s="37"/>
      <c r="HN6" s="37"/>
      <c r="HO6" s="37"/>
      <c r="HP6" s="37"/>
      <c r="HQ6" s="37"/>
      <c r="HR6" s="37"/>
      <c r="HS6" s="37"/>
      <c r="HT6" s="37"/>
      <c r="HU6" s="37"/>
      <c r="HV6" s="37"/>
      <c r="HW6" s="37"/>
      <c r="HX6" s="37"/>
      <c r="HY6" s="37"/>
      <c r="HZ6" s="37"/>
      <c r="IA6" s="37"/>
      <c r="IB6" s="37"/>
      <c r="IC6" s="37"/>
      <c r="ID6" s="37"/>
      <c r="IE6" s="37"/>
      <c r="IF6" s="37"/>
      <c r="IG6" s="37"/>
      <c r="IH6" s="37"/>
      <c r="II6" s="37"/>
      <c r="IJ6" s="37"/>
      <c r="IK6" s="37"/>
      <c r="IL6" s="37"/>
      <c r="IM6" s="37"/>
      <c r="IN6" s="37"/>
      <c r="IO6" s="37"/>
      <c r="IP6" s="37"/>
    </row>
    <row r="7" spans="1:250" ht="15.6" x14ac:dyDescent="0.3">
      <c r="A7" s="543"/>
      <c r="B7" s="544"/>
      <c r="C7" s="544"/>
      <c r="D7" s="544"/>
      <c r="E7" s="742" t="s">
        <v>267</v>
      </c>
      <c r="F7" s="742"/>
      <c r="G7" s="742"/>
      <c r="H7" s="742"/>
      <c r="I7" s="742"/>
      <c r="J7" s="742"/>
      <c r="K7" s="742"/>
      <c r="L7" s="742"/>
      <c r="M7" s="742"/>
      <c r="N7" s="544"/>
      <c r="O7" s="544"/>
      <c r="P7" s="544"/>
      <c r="Q7" s="544"/>
      <c r="R7" s="545"/>
      <c r="S7" s="543"/>
      <c r="T7" s="544"/>
      <c r="U7" s="544"/>
      <c r="V7" s="544"/>
      <c r="W7" s="742" t="s">
        <v>267</v>
      </c>
      <c r="X7" s="742"/>
      <c r="Y7" s="742"/>
      <c r="Z7" s="742"/>
      <c r="AA7" s="742"/>
      <c r="AB7" s="742"/>
      <c r="AC7" s="742"/>
      <c r="AD7" s="742"/>
      <c r="AE7" s="742"/>
      <c r="AF7" s="544"/>
      <c r="AG7" s="544"/>
      <c r="AH7" s="544"/>
      <c r="AI7" s="544"/>
      <c r="AJ7" s="545"/>
      <c r="AK7" s="543"/>
      <c r="AL7" s="544"/>
      <c r="AM7" s="544"/>
      <c r="AN7" s="544"/>
      <c r="AO7" s="742" t="s">
        <v>267</v>
      </c>
      <c r="AP7" s="742"/>
      <c r="AQ7" s="742"/>
      <c r="AR7" s="742"/>
      <c r="AS7" s="742"/>
      <c r="AT7" s="742"/>
      <c r="AU7" s="742"/>
      <c r="AV7" s="742"/>
      <c r="AW7" s="742"/>
      <c r="AX7" s="544"/>
      <c r="AY7" s="544"/>
      <c r="AZ7" s="544"/>
      <c r="BA7" s="544"/>
      <c r="BB7" s="545"/>
      <c r="BC7" s="543"/>
      <c r="BD7" s="544"/>
      <c r="BE7" s="544"/>
      <c r="BF7" s="544"/>
      <c r="BG7" s="742" t="s">
        <v>267</v>
      </c>
      <c r="BH7" s="742"/>
      <c r="BI7" s="742"/>
      <c r="BJ7" s="742"/>
      <c r="BK7" s="742"/>
      <c r="BL7" s="742"/>
      <c r="BM7" s="742"/>
      <c r="BN7" s="742"/>
      <c r="BO7" s="742"/>
      <c r="BP7" s="544"/>
      <c r="BQ7" s="544"/>
      <c r="BR7" s="544"/>
      <c r="BS7" s="544"/>
      <c r="BT7" s="545"/>
      <c r="BU7" s="543"/>
      <c r="BV7" s="544"/>
      <c r="BW7" s="544"/>
      <c r="BX7" s="544"/>
      <c r="BY7" s="742" t="s">
        <v>267</v>
      </c>
      <c r="BZ7" s="742"/>
      <c r="CA7" s="742"/>
      <c r="CB7" s="742"/>
      <c r="CC7" s="742"/>
      <c r="CD7" s="742"/>
      <c r="CE7" s="742"/>
      <c r="CF7" s="742"/>
      <c r="CG7" s="742"/>
      <c r="CH7" s="544"/>
      <c r="CI7" s="544"/>
      <c r="CJ7" s="544"/>
      <c r="CK7" s="544"/>
      <c r="CL7" s="545"/>
      <c r="CM7" s="543"/>
      <c r="CN7" s="544"/>
      <c r="CO7" s="544"/>
      <c r="CP7" s="544"/>
      <c r="CQ7" s="742" t="s">
        <v>267</v>
      </c>
      <c r="CR7" s="742"/>
      <c r="CS7" s="742"/>
      <c r="CT7" s="742"/>
      <c r="CU7" s="742"/>
      <c r="CV7" s="742"/>
      <c r="CW7" s="742"/>
      <c r="CX7" s="742"/>
      <c r="CY7" s="742"/>
      <c r="CZ7" s="544"/>
      <c r="DA7" s="544"/>
      <c r="DB7" s="544"/>
      <c r="DC7" s="544"/>
      <c r="DD7" s="545"/>
      <c r="DE7" s="543"/>
      <c r="DF7" s="544"/>
      <c r="DG7" s="544"/>
      <c r="DH7" s="544"/>
      <c r="DI7" s="742" t="s">
        <v>267</v>
      </c>
      <c r="DJ7" s="742"/>
      <c r="DK7" s="742"/>
      <c r="DL7" s="742"/>
      <c r="DM7" s="742"/>
      <c r="DN7" s="742"/>
      <c r="DO7" s="742"/>
      <c r="DP7" s="742"/>
      <c r="DQ7" s="742"/>
      <c r="DR7" s="544"/>
      <c r="DS7" s="544"/>
      <c r="DT7" s="544"/>
      <c r="DU7" s="544"/>
      <c r="DV7" s="545"/>
      <c r="DW7" s="543"/>
      <c r="DX7" s="544"/>
      <c r="DY7" s="544"/>
      <c r="DZ7" s="544"/>
      <c r="EA7" s="742" t="s">
        <v>267</v>
      </c>
      <c r="EB7" s="742"/>
      <c r="EC7" s="742"/>
      <c r="ED7" s="742"/>
      <c r="EE7" s="742"/>
      <c r="EF7" s="742"/>
      <c r="EG7" s="742"/>
      <c r="EH7" s="742"/>
      <c r="EI7" s="742"/>
      <c r="EJ7" s="544"/>
      <c r="EK7" s="544"/>
      <c r="EL7" s="544"/>
      <c r="EM7" s="544"/>
      <c r="EN7" s="545"/>
      <c r="EO7" s="543"/>
      <c r="EP7" s="544"/>
      <c r="EQ7" s="544"/>
      <c r="ER7" s="544"/>
      <c r="ES7" s="742" t="s">
        <v>267</v>
      </c>
      <c r="ET7" s="742"/>
      <c r="EU7" s="742"/>
      <c r="EV7" s="742"/>
      <c r="EW7" s="742"/>
      <c r="EX7" s="742"/>
      <c r="EY7" s="742"/>
      <c r="EZ7" s="742"/>
      <c r="FA7" s="742"/>
      <c r="FB7" s="544"/>
      <c r="FC7" s="544"/>
      <c r="FD7" s="544"/>
      <c r="FE7" s="544"/>
      <c r="FF7" s="545"/>
      <c r="FG7" s="543"/>
      <c r="FH7" s="544"/>
      <c r="FI7" s="544"/>
      <c r="FJ7" s="544"/>
      <c r="FK7" s="742" t="s">
        <v>267</v>
      </c>
      <c r="FL7" s="742"/>
      <c r="FM7" s="742"/>
      <c r="FN7" s="742"/>
      <c r="FO7" s="742"/>
      <c r="FP7" s="742"/>
      <c r="FQ7" s="742"/>
      <c r="FR7" s="742"/>
      <c r="FS7" s="742"/>
      <c r="FT7" s="544"/>
      <c r="FU7" s="544"/>
      <c r="FV7" s="544"/>
      <c r="FW7" s="544"/>
      <c r="FX7" s="545"/>
      <c r="FY7" s="543"/>
      <c r="FZ7" s="544"/>
      <c r="GA7" s="544"/>
      <c r="GB7" s="544"/>
      <c r="GC7" s="742" t="s">
        <v>267</v>
      </c>
      <c r="GD7" s="742"/>
      <c r="GE7" s="742"/>
      <c r="GF7" s="742"/>
      <c r="GG7" s="742"/>
      <c r="GH7" s="742"/>
      <c r="GI7" s="742"/>
      <c r="GJ7" s="742"/>
      <c r="GK7" s="742"/>
      <c r="GL7" s="544"/>
      <c r="GM7" s="544"/>
      <c r="GN7" s="544"/>
      <c r="GO7" s="544"/>
      <c r="GP7" s="545"/>
      <c r="GQ7" s="543"/>
      <c r="GR7" s="544"/>
      <c r="GS7" s="544"/>
      <c r="GT7" s="544"/>
      <c r="GU7" s="742" t="s">
        <v>267</v>
      </c>
      <c r="GV7" s="742"/>
      <c r="GW7" s="742"/>
      <c r="GX7" s="742"/>
      <c r="GY7" s="742"/>
      <c r="GZ7" s="742"/>
      <c r="HA7" s="742"/>
      <c r="HB7" s="742"/>
      <c r="HC7" s="742"/>
      <c r="HD7" s="544"/>
      <c r="HE7" s="544"/>
      <c r="HF7" s="544"/>
      <c r="HG7" s="544"/>
      <c r="HH7" s="545"/>
      <c r="HJ7" s="37"/>
      <c r="HK7" s="37"/>
      <c r="HL7" s="37"/>
      <c r="HM7" s="37"/>
      <c r="HN7" s="37"/>
      <c r="HO7" s="37"/>
      <c r="HP7" s="37"/>
      <c r="HQ7" s="37"/>
      <c r="HR7" s="37"/>
      <c r="HS7" s="37"/>
      <c r="HT7" s="37"/>
      <c r="HU7" s="37"/>
      <c r="HV7" s="37"/>
      <c r="HW7" s="37"/>
      <c r="HX7" s="37"/>
      <c r="HY7" s="37"/>
      <c r="HZ7" s="37"/>
      <c r="IA7" s="37"/>
      <c r="IB7" s="37"/>
      <c r="IC7" s="37"/>
      <c r="ID7" s="37"/>
      <c r="IE7" s="37"/>
      <c r="IF7" s="37"/>
      <c r="IG7" s="37"/>
      <c r="IH7" s="37"/>
      <c r="II7" s="37"/>
      <c r="IJ7" s="37"/>
      <c r="IK7" s="37"/>
      <c r="IL7" s="37"/>
      <c r="IM7" s="37"/>
      <c r="IN7" s="37"/>
      <c r="IO7" s="37"/>
      <c r="IP7" s="37"/>
    </row>
    <row r="8" spans="1:250" x14ac:dyDescent="0.3">
      <c r="A8" s="58">
        <v>1</v>
      </c>
      <c r="B8" s="68" t="s">
        <v>285</v>
      </c>
      <c r="C8" s="28">
        <f>D8/$AM$4</f>
        <v>10.677999999999999</v>
      </c>
      <c r="D8" s="69">
        <v>2349.16</v>
      </c>
      <c r="E8" s="28">
        <f>D8*E$6</f>
        <v>234.916</v>
      </c>
      <c r="F8" s="28">
        <f>D8*F$6</f>
        <v>187.93279999999999</v>
      </c>
      <c r="G8" s="28">
        <f>D8/G$6</f>
        <v>195.76333333333332</v>
      </c>
      <c r="H8" s="28">
        <f>G8/H$6</f>
        <v>65.254444444444445</v>
      </c>
      <c r="I8" s="70">
        <f>D8/I$6</f>
        <v>195.76333333333332</v>
      </c>
      <c r="J8" s="70">
        <f>SUM(D8:I8)</f>
        <v>3228.789911111111</v>
      </c>
      <c r="K8" s="71">
        <v>0</v>
      </c>
      <c r="L8" s="71">
        <v>0</v>
      </c>
      <c r="M8" s="72">
        <f>((C8*M$6)+(C8*$AO$6)+(C8*$AP$6))*K8</f>
        <v>0</v>
      </c>
      <c r="N8" s="72">
        <f>((C8*N$6)+(C8*$AO$6)+(C8*$AP$6))*L8</f>
        <v>0</v>
      </c>
      <c r="O8" s="70">
        <f>SUM(M8:N8)</f>
        <v>0</v>
      </c>
      <c r="P8" s="73">
        <v>0</v>
      </c>
      <c r="Q8" s="74">
        <f>IF(A8=1,($C$1*$Q$6),0)</f>
        <v>282.40000000000003</v>
      </c>
      <c r="R8" s="303">
        <f>J8+O8+P8+Q8</f>
        <v>3511.1899111111111</v>
      </c>
      <c r="S8" s="58">
        <v>1</v>
      </c>
      <c r="T8" s="68" t="s">
        <v>285</v>
      </c>
      <c r="U8" s="28">
        <f>V8/$AM$4</f>
        <v>10.677999999999999</v>
      </c>
      <c r="V8" s="69">
        <v>2349.16</v>
      </c>
      <c r="W8" s="28">
        <f>V8*W$6</f>
        <v>234.916</v>
      </c>
      <c r="X8" s="28">
        <f>V8*X$6</f>
        <v>187.93279999999999</v>
      </c>
      <c r="Y8" s="28">
        <f>V8/Y$6</f>
        <v>195.76333333333332</v>
      </c>
      <c r="Z8" s="28">
        <f>Y8/Z$6</f>
        <v>65.254444444444445</v>
      </c>
      <c r="AA8" s="70">
        <f>V8/AA$6</f>
        <v>195.76333333333332</v>
      </c>
      <c r="AB8" s="70">
        <f>SUM(V8:AA8)</f>
        <v>3228.789911111111</v>
      </c>
      <c r="AC8" s="71">
        <v>0</v>
      </c>
      <c r="AD8" s="71">
        <v>0</v>
      </c>
      <c r="AE8" s="72">
        <f>((U8*AE$6)+(U8*$AO$6)+(U8*$AP$6))*AC8</f>
        <v>0</v>
      </c>
      <c r="AF8" s="72">
        <f>((U8*AF$6)+(U8*$AO$6)+(U8*$AP$6))*AD8</f>
        <v>0</v>
      </c>
      <c r="AG8" s="70">
        <f>SUM(AE8:AF8)</f>
        <v>0</v>
      </c>
      <c r="AH8" s="73">
        <v>0</v>
      </c>
      <c r="AI8" s="74">
        <f>IF(S8=1,($C$1*$Q$6),0)</f>
        <v>282.40000000000003</v>
      </c>
      <c r="AJ8" s="303">
        <f>AB8+AG8+AH8+AI8</f>
        <v>3511.1899111111111</v>
      </c>
      <c r="AK8" s="58">
        <v>1</v>
      </c>
      <c r="AL8" s="68" t="s">
        <v>285</v>
      </c>
      <c r="AM8" s="28">
        <f>AN8/$AM$4</f>
        <v>10.677999999999999</v>
      </c>
      <c r="AN8" s="69">
        <v>2349.16</v>
      </c>
      <c r="AO8" s="28">
        <f>AN8*AO$6</f>
        <v>234.916</v>
      </c>
      <c r="AP8" s="28">
        <f>AN8*AP$6</f>
        <v>187.93279999999999</v>
      </c>
      <c r="AQ8" s="28">
        <f>AN8/AQ$6</f>
        <v>195.76333333333332</v>
      </c>
      <c r="AR8" s="28">
        <f>AQ8/AR$6</f>
        <v>65.254444444444445</v>
      </c>
      <c r="AS8" s="70">
        <f>AN8/AS$6</f>
        <v>195.76333333333332</v>
      </c>
      <c r="AT8" s="70">
        <f>SUM(AN8:AS8)</f>
        <v>3228.789911111111</v>
      </c>
      <c r="AU8" s="71">
        <v>0</v>
      </c>
      <c r="AV8" s="71">
        <v>0</v>
      </c>
      <c r="AW8" s="72">
        <f>((AM8*AW$6)+(AM8*$AO$6)+(AM8*$AP$6))*AU8</f>
        <v>0</v>
      </c>
      <c r="AX8" s="72">
        <f>((AM8*AX$6)+(AM8*$AO$6)+(AM8*$AP$6))*AV8</f>
        <v>0</v>
      </c>
      <c r="AY8" s="70">
        <f>SUM(AW8:AX8)</f>
        <v>0</v>
      </c>
      <c r="AZ8" s="73">
        <v>0</v>
      </c>
      <c r="BA8" s="74">
        <f>IF(AK8=1,($C$1*$Q$6),0)</f>
        <v>282.40000000000003</v>
      </c>
      <c r="BB8" s="303">
        <f>AT8+AY8+AZ8+BA8</f>
        <v>3511.1899111111111</v>
      </c>
      <c r="BC8" s="58">
        <v>1</v>
      </c>
      <c r="BD8" s="68" t="s">
        <v>285</v>
      </c>
      <c r="BE8" s="28">
        <f>BF8/$AM$4</f>
        <v>10.677999999999999</v>
      </c>
      <c r="BF8" s="69">
        <v>2349.16</v>
      </c>
      <c r="BG8" s="28">
        <f>BF8*BG$6</f>
        <v>234.916</v>
      </c>
      <c r="BH8" s="28">
        <f>BF8*BH$6</f>
        <v>187.93279999999999</v>
      </c>
      <c r="BI8" s="28">
        <f>BF8/BI$6</f>
        <v>195.76333333333332</v>
      </c>
      <c r="BJ8" s="28">
        <f>BI8/BJ$6</f>
        <v>65.254444444444445</v>
      </c>
      <c r="BK8" s="70">
        <f>BF8/BK$6</f>
        <v>195.76333333333332</v>
      </c>
      <c r="BL8" s="70">
        <f>SUM(BF8:BK8)</f>
        <v>3228.789911111111</v>
      </c>
      <c r="BM8" s="71">
        <v>0</v>
      </c>
      <c r="BN8" s="71">
        <v>0</v>
      </c>
      <c r="BO8" s="72">
        <f>((BE8*BO$6)+(BE8*$AO$6)+(BE8*$AP$6))*BM8</f>
        <v>0</v>
      </c>
      <c r="BP8" s="72">
        <f>((BE8*BP$6)+(BE8*$AO$6)+(BE8*$AP$6))*BN8</f>
        <v>0</v>
      </c>
      <c r="BQ8" s="70">
        <f>SUM(BO8:BP8)</f>
        <v>0</v>
      </c>
      <c r="BR8" s="73">
        <v>0</v>
      </c>
      <c r="BS8" s="74">
        <f>IF(BC8=1,($C$1*$Q$6),0)</f>
        <v>282.40000000000003</v>
      </c>
      <c r="BT8" s="303">
        <f>BL8+BQ8+BR8+BS8</f>
        <v>3511.1899111111111</v>
      </c>
      <c r="BU8" s="58">
        <v>1</v>
      </c>
      <c r="BV8" s="68" t="s">
        <v>285</v>
      </c>
      <c r="BW8" s="28">
        <f>BX8/$AM$4</f>
        <v>10.677999999999999</v>
      </c>
      <c r="BX8" s="69">
        <v>2349.16</v>
      </c>
      <c r="BY8" s="28">
        <f>BX8*BY$6</f>
        <v>234.916</v>
      </c>
      <c r="BZ8" s="28">
        <f>BX8*BZ$6</f>
        <v>187.93279999999999</v>
      </c>
      <c r="CA8" s="28">
        <f>BX8/CA$6</f>
        <v>195.76333333333332</v>
      </c>
      <c r="CB8" s="28">
        <f>CA8/CB$6</f>
        <v>65.254444444444445</v>
      </c>
      <c r="CC8" s="70">
        <f>BX8/CC$6</f>
        <v>195.76333333333332</v>
      </c>
      <c r="CD8" s="70">
        <f>SUM(BX8:CC8)</f>
        <v>3228.789911111111</v>
      </c>
      <c r="CE8" s="71">
        <v>0</v>
      </c>
      <c r="CF8" s="71">
        <v>0</v>
      </c>
      <c r="CG8" s="72">
        <f>((BW8*CG$6)+(BW8*$AO$6)+(BW8*$AP$6))*CE8</f>
        <v>0</v>
      </c>
      <c r="CH8" s="72">
        <f>((BW8*CH$6)+(BW8*$AO$6)+(BW8*$AP$6))*CF8</f>
        <v>0</v>
      </c>
      <c r="CI8" s="70">
        <f>SUM(CG8:CH8)</f>
        <v>0</v>
      </c>
      <c r="CJ8" s="73">
        <v>0</v>
      </c>
      <c r="CK8" s="74">
        <f>IF(BU8=1,($C$1*$Q$6),0)</f>
        <v>282.40000000000003</v>
      </c>
      <c r="CL8" s="303">
        <f>CD8+CI8+CJ8+CK8</f>
        <v>3511.1899111111111</v>
      </c>
      <c r="CM8" s="58">
        <v>1</v>
      </c>
      <c r="CN8" s="68" t="s">
        <v>285</v>
      </c>
      <c r="CO8" s="28">
        <f>CP8/$AM$4</f>
        <v>10.677999999999999</v>
      </c>
      <c r="CP8" s="69">
        <v>2349.16</v>
      </c>
      <c r="CQ8" s="28">
        <f>CP8*CQ$6</f>
        <v>234.916</v>
      </c>
      <c r="CR8" s="28">
        <f>CP8*CR$6</f>
        <v>187.93279999999999</v>
      </c>
      <c r="CS8" s="28">
        <f>CP8/CS$6</f>
        <v>195.76333333333332</v>
      </c>
      <c r="CT8" s="28">
        <f>CS8/CT$6</f>
        <v>65.254444444444445</v>
      </c>
      <c r="CU8" s="70">
        <f>CP8/CU$6</f>
        <v>195.76333333333332</v>
      </c>
      <c r="CV8" s="70">
        <f>SUM(CP8:CU8)</f>
        <v>3228.789911111111</v>
      </c>
      <c r="CW8" s="71">
        <v>0</v>
      </c>
      <c r="CX8" s="71">
        <v>0</v>
      </c>
      <c r="CY8" s="72">
        <f>((CO8*CY$6)+(CO8*$AO$6)+(CO8*$AP$6))*CW8</f>
        <v>0</v>
      </c>
      <c r="CZ8" s="72">
        <f>((CO8*CZ$6)+(CO8*$AO$6)+(CO8*$AP$6))*CX8</f>
        <v>0</v>
      </c>
      <c r="DA8" s="70">
        <f>SUM(CY8:CZ8)</f>
        <v>0</v>
      </c>
      <c r="DB8" s="73">
        <v>0</v>
      </c>
      <c r="DC8" s="74">
        <f>IF(CM8=1,($C$1*$Q$6),0)</f>
        <v>282.40000000000003</v>
      </c>
      <c r="DD8" s="303">
        <f>CV8+DA8+DB8+DC8</f>
        <v>3511.1899111111111</v>
      </c>
      <c r="DE8" s="58">
        <v>1</v>
      </c>
      <c r="DF8" s="68" t="s">
        <v>285</v>
      </c>
      <c r="DG8" s="28">
        <f>DH8/$AM$4</f>
        <v>10.677999999999999</v>
      </c>
      <c r="DH8" s="69">
        <v>2349.16</v>
      </c>
      <c r="DI8" s="28">
        <f>DH8*DI$6</f>
        <v>234.916</v>
      </c>
      <c r="DJ8" s="28">
        <f>DH8*DJ$6</f>
        <v>187.93279999999999</v>
      </c>
      <c r="DK8" s="28">
        <f>DH8/DK$6</f>
        <v>195.76333333333332</v>
      </c>
      <c r="DL8" s="28">
        <f>DK8/DL$6</f>
        <v>65.254444444444445</v>
      </c>
      <c r="DM8" s="70">
        <f>DH8/DM$6</f>
        <v>195.76333333333332</v>
      </c>
      <c r="DN8" s="70">
        <f>SUM(DH8:DM8)</f>
        <v>3228.789911111111</v>
      </c>
      <c r="DO8" s="71">
        <v>0</v>
      </c>
      <c r="DP8" s="71">
        <v>0</v>
      </c>
      <c r="DQ8" s="72">
        <f>((DG8*DQ$6)+(DG8*$AO$6)+(DG8*$AP$6))*DO8</f>
        <v>0</v>
      </c>
      <c r="DR8" s="72">
        <f>((DG8*DR$6)+(DG8*$AO$6)+(DG8*$AP$6))*DP8</f>
        <v>0</v>
      </c>
      <c r="DS8" s="70">
        <f>SUM(DQ8:DR8)</f>
        <v>0</v>
      </c>
      <c r="DT8" s="73">
        <v>0</v>
      </c>
      <c r="DU8" s="74">
        <f>IF(DE8=1,($C$1*$Q$6),0)</f>
        <v>282.40000000000003</v>
      </c>
      <c r="DV8" s="303">
        <f>DN8+DS8+DT8+DU8</f>
        <v>3511.1899111111111</v>
      </c>
      <c r="DW8" s="58">
        <v>1</v>
      </c>
      <c r="DX8" s="68" t="s">
        <v>285</v>
      </c>
      <c r="DY8" s="28">
        <f>DZ8/$AM$4</f>
        <v>10.677999999999999</v>
      </c>
      <c r="DZ8" s="69">
        <v>2349.16</v>
      </c>
      <c r="EA8" s="28">
        <f>DZ8*EA$6</f>
        <v>234.916</v>
      </c>
      <c r="EB8" s="28">
        <f>DZ8*EB$6</f>
        <v>187.93279999999999</v>
      </c>
      <c r="EC8" s="28">
        <f>DZ8/EC$6</f>
        <v>195.76333333333332</v>
      </c>
      <c r="ED8" s="28">
        <f>EC8/ED$6</f>
        <v>65.254444444444445</v>
      </c>
      <c r="EE8" s="70">
        <f>DZ8/EE$6</f>
        <v>195.76333333333332</v>
      </c>
      <c r="EF8" s="70">
        <f>SUM(DZ8:EE8)</f>
        <v>3228.789911111111</v>
      </c>
      <c r="EG8" s="71">
        <v>0</v>
      </c>
      <c r="EH8" s="71">
        <v>0</v>
      </c>
      <c r="EI8" s="72">
        <f>((DY8*EI$6)+(DY8*$AO$6)+(DY8*$AP$6))*EG8</f>
        <v>0</v>
      </c>
      <c r="EJ8" s="72">
        <f>((DY8*EJ$6)+(DY8*$AO$6)+(DY8*$AP$6))*EH8</f>
        <v>0</v>
      </c>
      <c r="EK8" s="70">
        <f>SUM(EI8:EJ8)</f>
        <v>0</v>
      </c>
      <c r="EL8" s="73">
        <v>0</v>
      </c>
      <c r="EM8" s="74">
        <f>IF(DW8=1,($C$1*$Q$6),0)</f>
        <v>282.40000000000003</v>
      </c>
      <c r="EN8" s="303">
        <f>EF8+EK8+EL8+EM8</f>
        <v>3511.1899111111111</v>
      </c>
      <c r="EO8" s="58">
        <v>1</v>
      </c>
      <c r="EP8" s="68" t="s">
        <v>285</v>
      </c>
      <c r="EQ8" s="28">
        <f>ER8/$AM$4</f>
        <v>10.677999999999999</v>
      </c>
      <c r="ER8" s="69">
        <v>2349.16</v>
      </c>
      <c r="ES8" s="28">
        <f>ER8*ES$6</f>
        <v>234.916</v>
      </c>
      <c r="ET8" s="28">
        <f>ER8*ET$6</f>
        <v>187.93279999999999</v>
      </c>
      <c r="EU8" s="28">
        <f>ER8/EU$6</f>
        <v>195.76333333333332</v>
      </c>
      <c r="EV8" s="28">
        <f>EU8/EV$6</f>
        <v>65.254444444444445</v>
      </c>
      <c r="EW8" s="70">
        <f>ER8/EW$6</f>
        <v>195.76333333333332</v>
      </c>
      <c r="EX8" s="70">
        <f>SUM(ER8:EW8)</f>
        <v>3228.789911111111</v>
      </c>
      <c r="EY8" s="71">
        <v>0</v>
      </c>
      <c r="EZ8" s="71">
        <v>0</v>
      </c>
      <c r="FA8" s="72">
        <f>((EQ8*FA$6)+(EQ8*$AO$6)+(EQ8*$AP$6))*EY8</f>
        <v>0</v>
      </c>
      <c r="FB8" s="72">
        <f>((EQ8*FB$6)+(EQ8*$AO$6)+(EQ8*$AP$6))*EZ8</f>
        <v>0</v>
      </c>
      <c r="FC8" s="70">
        <f>SUM(FA8:FB8)</f>
        <v>0</v>
      </c>
      <c r="FD8" s="73">
        <v>0</v>
      </c>
      <c r="FE8" s="74">
        <f>IF(EO8=1,($C$1*$Q$6),0)</f>
        <v>282.40000000000003</v>
      </c>
      <c r="FF8" s="303">
        <f>EX8+FC8+FD8+FE8</f>
        <v>3511.1899111111111</v>
      </c>
      <c r="FG8" s="58">
        <v>1</v>
      </c>
      <c r="FH8" s="68" t="s">
        <v>285</v>
      </c>
      <c r="FI8" s="28">
        <f>FJ8/$AM$4</f>
        <v>10.677999999999999</v>
      </c>
      <c r="FJ8" s="69">
        <v>2349.16</v>
      </c>
      <c r="FK8" s="28">
        <f>FJ8*FK$6</f>
        <v>234.916</v>
      </c>
      <c r="FL8" s="28">
        <f>FJ8*FL$6</f>
        <v>187.93279999999999</v>
      </c>
      <c r="FM8" s="28">
        <f>FJ8/FM$6</f>
        <v>195.76333333333332</v>
      </c>
      <c r="FN8" s="28">
        <f>FM8/FN$6</f>
        <v>65.254444444444445</v>
      </c>
      <c r="FO8" s="70">
        <f>FJ8/FO$6</f>
        <v>195.76333333333332</v>
      </c>
      <c r="FP8" s="70">
        <f>SUM(FJ8:FO8)</f>
        <v>3228.789911111111</v>
      </c>
      <c r="FQ8" s="71">
        <v>0</v>
      </c>
      <c r="FR8" s="71">
        <v>0</v>
      </c>
      <c r="FS8" s="72">
        <f>((FI8*FS$6)+(FI8*$AO$6)+(FI8*$AP$6))*FQ8</f>
        <v>0</v>
      </c>
      <c r="FT8" s="72">
        <f>((FI8*FT$6)+(FI8*$AO$6)+(FI8*$AP$6))*FR8</f>
        <v>0</v>
      </c>
      <c r="FU8" s="70">
        <f>SUM(FS8:FT8)</f>
        <v>0</v>
      </c>
      <c r="FV8" s="73">
        <v>0</v>
      </c>
      <c r="FW8" s="74">
        <f>IF(FG8=1,($C$1*$Q$6),0)</f>
        <v>282.40000000000003</v>
      </c>
      <c r="FX8" s="303">
        <f>FP8+FU8+FV8+FW8</f>
        <v>3511.1899111111111</v>
      </c>
      <c r="FY8" s="58">
        <v>1</v>
      </c>
      <c r="FZ8" s="68" t="s">
        <v>285</v>
      </c>
      <c r="GA8" s="28">
        <f>GB8/$AM$4</f>
        <v>10.677999999999999</v>
      </c>
      <c r="GB8" s="69">
        <v>2349.16</v>
      </c>
      <c r="GC8" s="28">
        <f>GB8*GC$6</f>
        <v>234.916</v>
      </c>
      <c r="GD8" s="28">
        <f>GB8*GD$6</f>
        <v>187.93279999999999</v>
      </c>
      <c r="GE8" s="28">
        <f>GB8/GE$6</f>
        <v>195.76333333333332</v>
      </c>
      <c r="GF8" s="28">
        <f>GE8/GF$6</f>
        <v>65.254444444444445</v>
      </c>
      <c r="GG8" s="70">
        <f>GB8/GG$6</f>
        <v>195.76333333333332</v>
      </c>
      <c r="GH8" s="70">
        <f>SUM(GB8:GG8)</f>
        <v>3228.789911111111</v>
      </c>
      <c r="GI8" s="71">
        <v>0</v>
      </c>
      <c r="GJ8" s="71">
        <v>0</v>
      </c>
      <c r="GK8" s="72">
        <f>((GA8*GK$6)+(GA8*$AO$6)+(GA8*$AP$6))*GI8</f>
        <v>0</v>
      </c>
      <c r="GL8" s="72">
        <f>((GA8*GL$6)+(GA8*$AO$6)+(GA8*$AP$6))*GJ8</f>
        <v>0</v>
      </c>
      <c r="GM8" s="70">
        <f>SUM(GK8:GL8)</f>
        <v>0</v>
      </c>
      <c r="GN8" s="73">
        <v>0</v>
      </c>
      <c r="GO8" s="74">
        <f>IF(FY8=1,($C$1*$Q$6),0)</f>
        <v>282.40000000000003</v>
      </c>
      <c r="GP8" s="303">
        <f>GH8+GM8+GN8+GO8</f>
        <v>3511.1899111111111</v>
      </c>
      <c r="GQ8" s="58">
        <v>1</v>
      </c>
      <c r="GR8" s="68" t="s">
        <v>285</v>
      </c>
      <c r="GS8" s="28">
        <f>GT8/$AM$4</f>
        <v>10.677999999999999</v>
      </c>
      <c r="GT8" s="69">
        <v>2349.16</v>
      </c>
      <c r="GU8" s="28">
        <f>GT8*GU$6</f>
        <v>234.916</v>
      </c>
      <c r="GV8" s="28">
        <f>GT8*GV$6</f>
        <v>187.93279999999999</v>
      </c>
      <c r="GW8" s="28">
        <f>GT8/GW$6</f>
        <v>195.76333333333332</v>
      </c>
      <c r="GX8" s="28">
        <f>GW8/GX$6</f>
        <v>65.254444444444445</v>
      </c>
      <c r="GY8" s="70">
        <f>GT8/GY$6</f>
        <v>195.76333333333332</v>
      </c>
      <c r="GZ8" s="70">
        <f>SUM(GT8:GY8)</f>
        <v>3228.789911111111</v>
      </c>
      <c r="HA8" s="71">
        <v>0</v>
      </c>
      <c r="HB8" s="71">
        <v>0</v>
      </c>
      <c r="HC8" s="72">
        <f>((GS8*HC$6)+(GS8*$AO$6)+(GS8*$AP$6))*HA8</f>
        <v>0</v>
      </c>
      <c r="HD8" s="72">
        <f>((GS8*HD$6)+(GS8*$AO$6)+(GS8*$AP$6))*HB8</f>
        <v>0</v>
      </c>
      <c r="HE8" s="70">
        <f>SUM(HC8:HD8)</f>
        <v>0</v>
      </c>
      <c r="HF8" s="73">
        <v>0</v>
      </c>
      <c r="HG8" s="74">
        <f>IF(GQ8=1,($C$1*$Q$6),0)</f>
        <v>282.40000000000003</v>
      </c>
      <c r="HH8" s="303">
        <f>GZ8+HE8+HF8+HG8</f>
        <v>3511.1899111111111</v>
      </c>
      <c r="HJ8" s="37"/>
      <c r="HK8" s="37"/>
      <c r="HL8" s="37"/>
      <c r="HM8" s="37"/>
      <c r="HN8" s="37"/>
      <c r="HO8" s="37"/>
      <c r="HP8" s="37"/>
      <c r="HQ8" s="37"/>
      <c r="HR8" s="37"/>
      <c r="HS8" s="37"/>
      <c r="HT8" s="37"/>
      <c r="HU8" s="37"/>
      <c r="HV8" s="37"/>
      <c r="HW8" s="37"/>
      <c r="HX8" s="37"/>
      <c r="HY8" s="37"/>
      <c r="HZ8" s="37"/>
      <c r="IA8" s="37"/>
      <c r="IB8" s="37"/>
      <c r="IC8" s="37"/>
      <c r="ID8" s="37"/>
      <c r="IE8" s="37"/>
      <c r="IF8" s="37"/>
      <c r="IG8" s="37"/>
      <c r="IH8" s="37"/>
      <c r="II8" s="37"/>
      <c r="IJ8" s="37"/>
      <c r="IK8" s="37"/>
      <c r="IL8" s="37"/>
      <c r="IM8" s="37"/>
      <c r="IN8" s="37"/>
      <c r="IO8" s="37"/>
      <c r="IP8" s="37"/>
    </row>
    <row r="9" spans="1:250" x14ac:dyDescent="0.3">
      <c r="A9" s="58">
        <v>0</v>
      </c>
      <c r="B9" s="68"/>
      <c r="C9" s="28">
        <f t="shared" ref="C9:C10" si="0">D9/$AM$4</f>
        <v>0</v>
      </c>
      <c r="D9" s="69">
        <v>0</v>
      </c>
      <c r="E9" s="28">
        <f>D9*E$6</f>
        <v>0</v>
      </c>
      <c r="F9" s="28">
        <f>D9*F$6</f>
        <v>0</v>
      </c>
      <c r="G9" s="28">
        <f>D9/G$6</f>
        <v>0</v>
      </c>
      <c r="H9" s="28">
        <f>G9/H$6</f>
        <v>0</v>
      </c>
      <c r="I9" s="70">
        <f>D9/I$6</f>
        <v>0</v>
      </c>
      <c r="J9" s="70">
        <f>SUM(D9:I9)</f>
        <v>0</v>
      </c>
      <c r="K9" s="71">
        <v>0</v>
      </c>
      <c r="L9" s="71">
        <v>0</v>
      </c>
      <c r="M9" s="72">
        <f t="shared" ref="M9:M10" si="1">((C9*M$6)+(C9*$AO$6)+(C9*$AP$6))*K9</f>
        <v>0</v>
      </c>
      <c r="N9" s="72">
        <f t="shared" ref="N9:N10" si="2">((C9*N$6)+(C9*$AO$6)+(C9*$AP$6))*L9</f>
        <v>0</v>
      </c>
      <c r="O9" s="70">
        <f>SUM(M9:N9)</f>
        <v>0</v>
      </c>
      <c r="P9" s="73">
        <v>0</v>
      </c>
      <c r="Q9" s="74">
        <f t="shared" ref="Q9:Q10" si="3">IF(A9=1,($C$1*$Q$6),0)</f>
        <v>0</v>
      </c>
      <c r="R9" s="303">
        <f>J9+O9+P9+Q9</f>
        <v>0</v>
      </c>
      <c r="S9" s="58">
        <v>0</v>
      </c>
      <c r="T9" s="68"/>
      <c r="U9" s="28">
        <f t="shared" ref="U9:U10" si="4">V9/$AM$4</f>
        <v>0</v>
      </c>
      <c r="V9" s="69">
        <v>0</v>
      </c>
      <c r="W9" s="28">
        <f>V9*W$6</f>
        <v>0</v>
      </c>
      <c r="X9" s="28">
        <f>V9*X$6</f>
        <v>0</v>
      </c>
      <c r="Y9" s="28">
        <f>V9/Y$6</f>
        <v>0</v>
      </c>
      <c r="Z9" s="28">
        <f>Y9/Z$6</f>
        <v>0</v>
      </c>
      <c r="AA9" s="70">
        <f>V9/AA$6</f>
        <v>0</v>
      </c>
      <c r="AB9" s="70">
        <f>SUM(V9:AA9)</f>
        <v>0</v>
      </c>
      <c r="AC9" s="71">
        <v>0</v>
      </c>
      <c r="AD9" s="71">
        <v>0</v>
      </c>
      <c r="AE9" s="72">
        <f t="shared" ref="AE9:AE10" si="5">((U9*AE$6)+(U9*$AO$6)+(U9*$AP$6))*AC9</f>
        <v>0</v>
      </c>
      <c r="AF9" s="72">
        <f t="shared" ref="AF9:AF10" si="6">((U9*AF$6)+(U9*$AO$6)+(U9*$AP$6))*AD9</f>
        <v>0</v>
      </c>
      <c r="AG9" s="70">
        <f>SUM(AE9:AF9)</f>
        <v>0</v>
      </c>
      <c r="AH9" s="73">
        <v>0</v>
      </c>
      <c r="AI9" s="74">
        <f t="shared" ref="AI9:AI10" si="7">IF(S9=1,($C$1*$Q$6),0)</f>
        <v>0</v>
      </c>
      <c r="AJ9" s="303">
        <f>AB9+AG9+AH9+AI9</f>
        <v>0</v>
      </c>
      <c r="AK9" s="58">
        <v>0</v>
      </c>
      <c r="AL9" s="68"/>
      <c r="AM9" s="28">
        <f t="shared" ref="AM9:AM10" si="8">AN9/$AM$4</f>
        <v>0</v>
      </c>
      <c r="AN9" s="69">
        <v>0</v>
      </c>
      <c r="AO9" s="28">
        <f>AN9*AO$6</f>
        <v>0</v>
      </c>
      <c r="AP9" s="28">
        <f>AN9*AP$6</f>
        <v>0</v>
      </c>
      <c r="AQ9" s="28">
        <f>AN9/AQ$6</f>
        <v>0</v>
      </c>
      <c r="AR9" s="28">
        <f>AQ9/AR$6</f>
        <v>0</v>
      </c>
      <c r="AS9" s="70">
        <f>AN9/AS$6</f>
        <v>0</v>
      </c>
      <c r="AT9" s="70">
        <f>SUM(AN9:AS9)</f>
        <v>0</v>
      </c>
      <c r="AU9" s="71">
        <v>0</v>
      </c>
      <c r="AV9" s="71">
        <v>0</v>
      </c>
      <c r="AW9" s="72">
        <f t="shared" ref="AW9:AW10" si="9">((AM9*AW$6)+(AM9*$AO$6)+(AM9*$AP$6))*AU9</f>
        <v>0</v>
      </c>
      <c r="AX9" s="72">
        <f t="shared" ref="AX9:AX10" si="10">((AM9*AX$6)+(AM9*$AO$6)+(AM9*$AP$6))*AV9</f>
        <v>0</v>
      </c>
      <c r="AY9" s="70">
        <f>SUM(AW9:AX9)</f>
        <v>0</v>
      </c>
      <c r="AZ9" s="73">
        <v>0</v>
      </c>
      <c r="BA9" s="74">
        <f t="shared" ref="BA9:BA10" si="11">IF(AK9=1,($C$1*$Q$6),0)</f>
        <v>0</v>
      </c>
      <c r="BB9" s="303">
        <f>AT9+AY9+AZ9+BA9</f>
        <v>0</v>
      </c>
      <c r="BC9" s="58">
        <v>0</v>
      </c>
      <c r="BD9" s="68"/>
      <c r="BE9" s="28">
        <f t="shared" ref="BE9:BE10" si="12">BF9/$AM$4</f>
        <v>0</v>
      </c>
      <c r="BF9" s="69">
        <v>0</v>
      </c>
      <c r="BG9" s="28">
        <f>BF9*BG$6</f>
        <v>0</v>
      </c>
      <c r="BH9" s="28">
        <f>BF9*BH$6</f>
        <v>0</v>
      </c>
      <c r="BI9" s="28">
        <f>BF9/BI$6</f>
        <v>0</v>
      </c>
      <c r="BJ9" s="28">
        <f>BI9/BJ$6</f>
        <v>0</v>
      </c>
      <c r="BK9" s="70">
        <f>BF9/BK$6</f>
        <v>0</v>
      </c>
      <c r="BL9" s="70">
        <f>SUM(BF9:BK9)</f>
        <v>0</v>
      </c>
      <c r="BM9" s="71">
        <v>0</v>
      </c>
      <c r="BN9" s="71">
        <v>0</v>
      </c>
      <c r="BO9" s="72">
        <f t="shared" ref="BO9:BO10" si="13">((BE9*BO$6)+(BE9*$AO$6)+(BE9*$AP$6))*BM9</f>
        <v>0</v>
      </c>
      <c r="BP9" s="72">
        <f t="shared" ref="BP9:BP10" si="14">((BE9*BP$6)+(BE9*$AO$6)+(BE9*$AP$6))*BN9</f>
        <v>0</v>
      </c>
      <c r="BQ9" s="70">
        <f>SUM(BO9:BP9)</f>
        <v>0</v>
      </c>
      <c r="BR9" s="73">
        <v>0</v>
      </c>
      <c r="BS9" s="74">
        <f t="shared" ref="BS9:BS10" si="15">IF(BC9=1,($C$1*$Q$6),0)</f>
        <v>0</v>
      </c>
      <c r="BT9" s="303">
        <f>BL9+BQ9+BR9+BS9</f>
        <v>0</v>
      </c>
      <c r="BU9" s="58">
        <v>0</v>
      </c>
      <c r="BV9" s="68"/>
      <c r="BW9" s="28">
        <f t="shared" ref="BW9:BW10" si="16">BX9/$AM$4</f>
        <v>0</v>
      </c>
      <c r="BX9" s="69">
        <v>0</v>
      </c>
      <c r="BY9" s="28">
        <f>BX9*BY$6</f>
        <v>0</v>
      </c>
      <c r="BZ9" s="28">
        <f>BX9*BZ$6</f>
        <v>0</v>
      </c>
      <c r="CA9" s="28">
        <f>BX9/CA$6</f>
        <v>0</v>
      </c>
      <c r="CB9" s="28">
        <f>CA9/CB$6</f>
        <v>0</v>
      </c>
      <c r="CC9" s="70">
        <f>BX9/CC$6</f>
        <v>0</v>
      </c>
      <c r="CD9" s="70">
        <f>SUM(BX9:CC9)</f>
        <v>0</v>
      </c>
      <c r="CE9" s="71">
        <v>0</v>
      </c>
      <c r="CF9" s="71">
        <v>0</v>
      </c>
      <c r="CG9" s="72">
        <f t="shared" ref="CG9:CG10" si="17">((BW9*CG$6)+(BW9*$AO$6)+(BW9*$AP$6))*CE9</f>
        <v>0</v>
      </c>
      <c r="CH9" s="72">
        <f t="shared" ref="CH9:CH10" si="18">((BW9*CH$6)+(BW9*$AO$6)+(BW9*$AP$6))*CF9</f>
        <v>0</v>
      </c>
      <c r="CI9" s="70">
        <f>SUM(CG9:CH9)</f>
        <v>0</v>
      </c>
      <c r="CJ9" s="73">
        <v>0</v>
      </c>
      <c r="CK9" s="74">
        <f t="shared" ref="CK9:CK10" si="19">IF(BU9=1,($C$1*$Q$6),0)</f>
        <v>0</v>
      </c>
      <c r="CL9" s="303">
        <f>CD9+CI9+CJ9+CK9</f>
        <v>0</v>
      </c>
      <c r="CM9" s="58">
        <v>0</v>
      </c>
      <c r="CN9" s="68"/>
      <c r="CO9" s="28">
        <f t="shared" ref="CO9:CO10" si="20">CP9/$AM$4</f>
        <v>0</v>
      </c>
      <c r="CP9" s="69">
        <v>0</v>
      </c>
      <c r="CQ9" s="28">
        <f>CP9*CQ$6</f>
        <v>0</v>
      </c>
      <c r="CR9" s="28">
        <f>CP9*CR$6</f>
        <v>0</v>
      </c>
      <c r="CS9" s="28">
        <f>CP9/CS$6</f>
        <v>0</v>
      </c>
      <c r="CT9" s="28">
        <f>CS9/CT$6</f>
        <v>0</v>
      </c>
      <c r="CU9" s="70">
        <f>CP9/CU$6</f>
        <v>0</v>
      </c>
      <c r="CV9" s="70">
        <f>SUM(CP9:CU9)</f>
        <v>0</v>
      </c>
      <c r="CW9" s="71">
        <v>0</v>
      </c>
      <c r="CX9" s="71">
        <v>0</v>
      </c>
      <c r="CY9" s="72">
        <f t="shared" ref="CY9:CY10" si="21">((CO9*CY$6)+(CO9*$AO$6)+(CO9*$AP$6))*CW9</f>
        <v>0</v>
      </c>
      <c r="CZ9" s="72">
        <f t="shared" ref="CZ9:CZ10" si="22">((CO9*CZ$6)+(CO9*$AO$6)+(CO9*$AP$6))*CX9</f>
        <v>0</v>
      </c>
      <c r="DA9" s="70">
        <f>SUM(CY9:CZ9)</f>
        <v>0</v>
      </c>
      <c r="DB9" s="73">
        <v>0</v>
      </c>
      <c r="DC9" s="74">
        <f t="shared" ref="DC9:DC10" si="23">IF(CM9=1,($C$1*$Q$6),0)</f>
        <v>0</v>
      </c>
      <c r="DD9" s="303">
        <f>CV9+DA9+DB9+DC9</f>
        <v>0</v>
      </c>
      <c r="DE9" s="58">
        <v>0</v>
      </c>
      <c r="DF9" s="68"/>
      <c r="DG9" s="28">
        <f t="shared" ref="DG9:DG10" si="24">DH9/$AM$4</f>
        <v>0</v>
      </c>
      <c r="DH9" s="69">
        <v>0</v>
      </c>
      <c r="DI9" s="28">
        <f>DH9*DI$6</f>
        <v>0</v>
      </c>
      <c r="DJ9" s="28">
        <f>DH9*DJ$6</f>
        <v>0</v>
      </c>
      <c r="DK9" s="28">
        <f>DH9/DK$6</f>
        <v>0</v>
      </c>
      <c r="DL9" s="28">
        <f>DK9/DL$6</f>
        <v>0</v>
      </c>
      <c r="DM9" s="70">
        <f>DH9/DM$6</f>
        <v>0</v>
      </c>
      <c r="DN9" s="70">
        <f>SUM(DH9:DM9)</f>
        <v>0</v>
      </c>
      <c r="DO9" s="71">
        <v>0</v>
      </c>
      <c r="DP9" s="71">
        <v>0</v>
      </c>
      <c r="DQ9" s="72">
        <f t="shared" ref="DQ9:DQ10" si="25">((DG9*DQ$6)+(DG9*$AO$6)+(DG9*$AP$6))*DO9</f>
        <v>0</v>
      </c>
      <c r="DR9" s="72">
        <f t="shared" ref="DR9:DR10" si="26">((DG9*DR$6)+(DG9*$AO$6)+(DG9*$AP$6))*DP9</f>
        <v>0</v>
      </c>
      <c r="DS9" s="70">
        <f>SUM(DQ9:DR9)</f>
        <v>0</v>
      </c>
      <c r="DT9" s="73">
        <v>0</v>
      </c>
      <c r="DU9" s="74">
        <f t="shared" ref="DU9:DU10" si="27">IF(DE9=1,($C$1*$Q$6),0)</f>
        <v>0</v>
      </c>
      <c r="DV9" s="303">
        <f>DN9+DS9+DT9+DU9</f>
        <v>0</v>
      </c>
      <c r="DW9" s="58">
        <v>0</v>
      </c>
      <c r="DX9" s="68"/>
      <c r="DY9" s="28">
        <f t="shared" ref="DY9:DY10" si="28">DZ9/$AM$4</f>
        <v>0</v>
      </c>
      <c r="DZ9" s="69">
        <v>0</v>
      </c>
      <c r="EA9" s="28">
        <f>DZ9*EA$6</f>
        <v>0</v>
      </c>
      <c r="EB9" s="28">
        <f>DZ9*EB$6</f>
        <v>0</v>
      </c>
      <c r="EC9" s="28">
        <f>DZ9/EC$6</f>
        <v>0</v>
      </c>
      <c r="ED9" s="28">
        <f>EC9/ED$6</f>
        <v>0</v>
      </c>
      <c r="EE9" s="70">
        <f>DZ9/EE$6</f>
        <v>0</v>
      </c>
      <c r="EF9" s="70">
        <f>SUM(DZ9:EE9)</f>
        <v>0</v>
      </c>
      <c r="EG9" s="71">
        <v>0</v>
      </c>
      <c r="EH9" s="71">
        <v>0</v>
      </c>
      <c r="EI9" s="72">
        <f t="shared" ref="EI9:EI10" si="29">((DY9*EI$6)+(DY9*$AO$6)+(DY9*$AP$6))*EG9</f>
        <v>0</v>
      </c>
      <c r="EJ9" s="72">
        <f t="shared" ref="EJ9:EJ10" si="30">((DY9*EJ$6)+(DY9*$AO$6)+(DY9*$AP$6))*EH9</f>
        <v>0</v>
      </c>
      <c r="EK9" s="70">
        <f>SUM(EI9:EJ9)</f>
        <v>0</v>
      </c>
      <c r="EL9" s="73">
        <v>0</v>
      </c>
      <c r="EM9" s="74">
        <f t="shared" ref="EM9:EM10" si="31">IF(DW9=1,($C$1*$Q$6),0)</f>
        <v>0</v>
      </c>
      <c r="EN9" s="303">
        <f>EF9+EK9+EL9+EM9</f>
        <v>0</v>
      </c>
      <c r="EO9" s="58">
        <v>0</v>
      </c>
      <c r="EP9" s="68"/>
      <c r="EQ9" s="28">
        <f t="shared" ref="EQ9:EQ10" si="32">ER9/$AM$4</f>
        <v>0</v>
      </c>
      <c r="ER9" s="69">
        <v>0</v>
      </c>
      <c r="ES9" s="28">
        <f>ER9*ES$6</f>
        <v>0</v>
      </c>
      <c r="ET9" s="28">
        <f>ER9*ET$6</f>
        <v>0</v>
      </c>
      <c r="EU9" s="28">
        <f>ER9/EU$6</f>
        <v>0</v>
      </c>
      <c r="EV9" s="28">
        <f>EU9/EV$6</f>
        <v>0</v>
      </c>
      <c r="EW9" s="70">
        <f>ER9/EW$6</f>
        <v>0</v>
      </c>
      <c r="EX9" s="70">
        <f>SUM(ER9:EW9)</f>
        <v>0</v>
      </c>
      <c r="EY9" s="71">
        <v>0</v>
      </c>
      <c r="EZ9" s="71">
        <v>0</v>
      </c>
      <c r="FA9" s="72">
        <f t="shared" ref="FA9:FA10" si="33">((EQ9*FA$6)+(EQ9*$AO$6)+(EQ9*$AP$6))*EY9</f>
        <v>0</v>
      </c>
      <c r="FB9" s="72">
        <f t="shared" ref="FB9:FB10" si="34">((EQ9*FB$6)+(EQ9*$AO$6)+(EQ9*$AP$6))*EZ9</f>
        <v>0</v>
      </c>
      <c r="FC9" s="70">
        <f>SUM(FA9:FB9)</f>
        <v>0</v>
      </c>
      <c r="FD9" s="73">
        <v>0</v>
      </c>
      <c r="FE9" s="74">
        <f t="shared" ref="FE9:FE10" si="35">IF(EO9=1,($C$1*$Q$6),0)</f>
        <v>0</v>
      </c>
      <c r="FF9" s="303">
        <f>EX9+FC9+FD9+FE9</f>
        <v>0</v>
      </c>
      <c r="FG9" s="58">
        <v>0</v>
      </c>
      <c r="FH9" s="68"/>
      <c r="FI9" s="28">
        <f t="shared" ref="FI9:FI10" si="36">FJ9/$AM$4</f>
        <v>0</v>
      </c>
      <c r="FJ9" s="69">
        <v>0</v>
      </c>
      <c r="FK9" s="28">
        <f>FJ9*FK$6</f>
        <v>0</v>
      </c>
      <c r="FL9" s="28">
        <f>FJ9*FL$6</f>
        <v>0</v>
      </c>
      <c r="FM9" s="28">
        <f>FJ9/FM$6</f>
        <v>0</v>
      </c>
      <c r="FN9" s="28">
        <f>FM9/FN$6</f>
        <v>0</v>
      </c>
      <c r="FO9" s="70">
        <f>FJ9/FO$6</f>
        <v>0</v>
      </c>
      <c r="FP9" s="70">
        <f>SUM(FJ9:FO9)</f>
        <v>0</v>
      </c>
      <c r="FQ9" s="71">
        <v>0</v>
      </c>
      <c r="FR9" s="71">
        <v>0</v>
      </c>
      <c r="FS9" s="72">
        <f t="shared" ref="FS9:FS10" si="37">((FI9*FS$6)+(FI9*$AO$6)+(FI9*$AP$6))*FQ9</f>
        <v>0</v>
      </c>
      <c r="FT9" s="72">
        <f t="shared" ref="FT9:FT10" si="38">((FI9*FT$6)+(FI9*$AO$6)+(FI9*$AP$6))*FR9</f>
        <v>0</v>
      </c>
      <c r="FU9" s="70">
        <f>SUM(FS9:FT9)</f>
        <v>0</v>
      </c>
      <c r="FV9" s="73">
        <v>0</v>
      </c>
      <c r="FW9" s="74">
        <f t="shared" ref="FW9:FW10" si="39">IF(FG9=1,($C$1*$Q$6),0)</f>
        <v>0</v>
      </c>
      <c r="FX9" s="303">
        <f>FP9+FU9+FV9+FW9</f>
        <v>0</v>
      </c>
      <c r="FY9" s="58">
        <v>0</v>
      </c>
      <c r="FZ9" s="68"/>
      <c r="GA9" s="28">
        <f t="shared" ref="GA9:GA10" si="40">GB9/$AM$4</f>
        <v>0</v>
      </c>
      <c r="GB9" s="69">
        <v>0</v>
      </c>
      <c r="GC9" s="28">
        <f>GB9*GC$6</f>
        <v>0</v>
      </c>
      <c r="GD9" s="28">
        <f>GB9*GD$6</f>
        <v>0</v>
      </c>
      <c r="GE9" s="28">
        <f>GB9/GE$6</f>
        <v>0</v>
      </c>
      <c r="GF9" s="28">
        <f>GE9/GF$6</f>
        <v>0</v>
      </c>
      <c r="GG9" s="70">
        <f>GB9/GG$6</f>
        <v>0</v>
      </c>
      <c r="GH9" s="70">
        <f>SUM(GB9:GG9)</f>
        <v>0</v>
      </c>
      <c r="GI9" s="71">
        <v>0</v>
      </c>
      <c r="GJ9" s="71">
        <v>0</v>
      </c>
      <c r="GK9" s="72">
        <f t="shared" ref="GK9:GK10" si="41">((GA9*GK$6)+(GA9*$AO$6)+(GA9*$AP$6))*GI9</f>
        <v>0</v>
      </c>
      <c r="GL9" s="72">
        <f t="shared" ref="GL9:GL10" si="42">((GA9*GL$6)+(GA9*$AO$6)+(GA9*$AP$6))*GJ9</f>
        <v>0</v>
      </c>
      <c r="GM9" s="70">
        <f>SUM(GK9:GL9)</f>
        <v>0</v>
      </c>
      <c r="GN9" s="73">
        <v>0</v>
      </c>
      <c r="GO9" s="74">
        <f t="shared" ref="GO9:GO10" si="43">IF(FY9=1,($C$1*$Q$6),0)</f>
        <v>0</v>
      </c>
      <c r="GP9" s="303">
        <f>GH9+GM9+GN9+GO9</f>
        <v>0</v>
      </c>
      <c r="GQ9" s="58">
        <v>0</v>
      </c>
      <c r="GR9" s="68"/>
      <c r="GS9" s="28">
        <f t="shared" ref="GS9:GS10" si="44">GT9/$AM$4</f>
        <v>0</v>
      </c>
      <c r="GT9" s="69">
        <v>0</v>
      </c>
      <c r="GU9" s="28">
        <f>GT9*GU$6</f>
        <v>0</v>
      </c>
      <c r="GV9" s="28">
        <f>GT9*GV$6</f>
        <v>0</v>
      </c>
      <c r="GW9" s="28">
        <f>GT9/GW$6</f>
        <v>0</v>
      </c>
      <c r="GX9" s="28">
        <f>GW9/GX$6</f>
        <v>0</v>
      </c>
      <c r="GY9" s="70">
        <f>GT9/GY$6</f>
        <v>0</v>
      </c>
      <c r="GZ9" s="70">
        <f>SUM(GT9:GY9)</f>
        <v>0</v>
      </c>
      <c r="HA9" s="71">
        <v>0</v>
      </c>
      <c r="HB9" s="71">
        <v>0</v>
      </c>
      <c r="HC9" s="72">
        <f t="shared" ref="HC9:HC10" si="45">((GS9*HC$6)+(GS9*$AO$6)+(GS9*$AP$6))*HA9</f>
        <v>0</v>
      </c>
      <c r="HD9" s="72">
        <f t="shared" ref="HD9:HD10" si="46">((GS9*HD$6)+(GS9*$AO$6)+(GS9*$AP$6))*HB9</f>
        <v>0</v>
      </c>
      <c r="HE9" s="70">
        <f>SUM(HC9:HD9)</f>
        <v>0</v>
      </c>
      <c r="HF9" s="73">
        <v>0</v>
      </c>
      <c r="HG9" s="74">
        <f t="shared" ref="HG9:HG10" si="47">IF(GQ9=1,($C$1*$Q$6),0)</f>
        <v>0</v>
      </c>
      <c r="HH9" s="303">
        <f>GZ9+HE9+HF9+HG9</f>
        <v>0</v>
      </c>
      <c r="HJ9" s="37"/>
      <c r="HK9" s="37"/>
      <c r="HL9" s="37"/>
      <c r="HM9" s="37"/>
      <c r="HN9" s="37"/>
      <c r="HO9" s="37"/>
      <c r="HP9" s="37"/>
      <c r="HQ9" s="37"/>
      <c r="HR9" s="37"/>
      <c r="HS9" s="37"/>
      <c r="HT9" s="37"/>
      <c r="HU9" s="37"/>
      <c r="HV9" s="37"/>
      <c r="HW9" s="37"/>
      <c r="HX9" s="37"/>
      <c r="HY9" s="37"/>
      <c r="HZ9" s="37"/>
      <c r="IA9" s="37"/>
      <c r="IB9" s="37"/>
      <c r="IC9" s="37"/>
      <c r="ID9" s="37"/>
      <c r="IE9" s="37"/>
      <c r="IF9" s="37"/>
      <c r="IG9" s="37"/>
      <c r="IH9" s="37"/>
      <c r="II9" s="37"/>
      <c r="IJ9" s="37"/>
      <c r="IK9" s="37"/>
      <c r="IL9" s="37"/>
      <c r="IM9" s="37"/>
      <c r="IN9" s="37"/>
      <c r="IO9" s="37"/>
      <c r="IP9" s="37"/>
    </row>
    <row r="10" spans="1:250" x14ac:dyDescent="0.3">
      <c r="A10" s="58">
        <v>0</v>
      </c>
      <c r="B10" s="68"/>
      <c r="C10" s="28">
        <f t="shared" si="0"/>
        <v>0</v>
      </c>
      <c r="D10" s="69">
        <v>0</v>
      </c>
      <c r="E10" s="28">
        <f>D10*E$6</f>
        <v>0</v>
      </c>
      <c r="F10" s="28">
        <f>D10*F$6</f>
        <v>0</v>
      </c>
      <c r="G10" s="28">
        <f>D10/G$6</f>
        <v>0</v>
      </c>
      <c r="H10" s="28">
        <f>G10/H$6</f>
        <v>0</v>
      </c>
      <c r="I10" s="70">
        <f>D10/I$6</f>
        <v>0</v>
      </c>
      <c r="J10" s="70">
        <f>SUM(D10:I10)</f>
        <v>0</v>
      </c>
      <c r="K10" s="71">
        <v>0</v>
      </c>
      <c r="L10" s="71">
        <v>0</v>
      </c>
      <c r="M10" s="72">
        <f t="shared" si="1"/>
        <v>0</v>
      </c>
      <c r="N10" s="72">
        <f t="shared" si="2"/>
        <v>0</v>
      </c>
      <c r="O10" s="70">
        <f>SUM(M10:N10)</f>
        <v>0</v>
      </c>
      <c r="P10" s="73">
        <v>0</v>
      </c>
      <c r="Q10" s="74">
        <f t="shared" si="3"/>
        <v>0</v>
      </c>
      <c r="R10" s="303">
        <f>J10+O10+P10+Q10</f>
        <v>0</v>
      </c>
      <c r="S10" s="58">
        <v>0</v>
      </c>
      <c r="T10" s="68"/>
      <c r="U10" s="28">
        <f t="shared" si="4"/>
        <v>0</v>
      </c>
      <c r="V10" s="69">
        <v>0</v>
      </c>
      <c r="W10" s="28">
        <f>V10*W$6</f>
        <v>0</v>
      </c>
      <c r="X10" s="28">
        <f>V10*X$6</f>
        <v>0</v>
      </c>
      <c r="Y10" s="28">
        <f>V10/Y$6</f>
        <v>0</v>
      </c>
      <c r="Z10" s="28">
        <f>Y10/Z$6</f>
        <v>0</v>
      </c>
      <c r="AA10" s="70">
        <f>V10/AA$6</f>
        <v>0</v>
      </c>
      <c r="AB10" s="70">
        <f>SUM(V10:AA10)</f>
        <v>0</v>
      </c>
      <c r="AC10" s="71">
        <v>0</v>
      </c>
      <c r="AD10" s="71">
        <v>0</v>
      </c>
      <c r="AE10" s="72">
        <f t="shared" si="5"/>
        <v>0</v>
      </c>
      <c r="AF10" s="72">
        <f t="shared" si="6"/>
        <v>0</v>
      </c>
      <c r="AG10" s="70">
        <f>SUM(AE10:AF10)</f>
        <v>0</v>
      </c>
      <c r="AH10" s="73">
        <v>0</v>
      </c>
      <c r="AI10" s="74">
        <f t="shared" si="7"/>
        <v>0</v>
      </c>
      <c r="AJ10" s="303">
        <f>AB10+AG10+AH10+AI10</f>
        <v>0</v>
      </c>
      <c r="AK10" s="58">
        <v>0</v>
      </c>
      <c r="AL10" s="68"/>
      <c r="AM10" s="28">
        <f t="shared" si="8"/>
        <v>0</v>
      </c>
      <c r="AN10" s="69">
        <v>0</v>
      </c>
      <c r="AO10" s="28">
        <f>AN10*AO$6</f>
        <v>0</v>
      </c>
      <c r="AP10" s="28">
        <f>AN10*AP$6</f>
        <v>0</v>
      </c>
      <c r="AQ10" s="28">
        <f>AN10/AQ$6</f>
        <v>0</v>
      </c>
      <c r="AR10" s="28">
        <f>AQ10/AR$6</f>
        <v>0</v>
      </c>
      <c r="AS10" s="70">
        <f>AN10/AS$6</f>
        <v>0</v>
      </c>
      <c r="AT10" s="70">
        <f>SUM(AN10:AS10)</f>
        <v>0</v>
      </c>
      <c r="AU10" s="71">
        <v>0</v>
      </c>
      <c r="AV10" s="71">
        <v>0</v>
      </c>
      <c r="AW10" s="72">
        <f t="shared" si="9"/>
        <v>0</v>
      </c>
      <c r="AX10" s="72">
        <f t="shared" si="10"/>
        <v>0</v>
      </c>
      <c r="AY10" s="70">
        <f>SUM(AW10:AX10)</f>
        <v>0</v>
      </c>
      <c r="AZ10" s="73">
        <v>0</v>
      </c>
      <c r="BA10" s="74">
        <f t="shared" si="11"/>
        <v>0</v>
      </c>
      <c r="BB10" s="303">
        <f>AT10+AY10+AZ10+BA10</f>
        <v>0</v>
      </c>
      <c r="BC10" s="58">
        <v>0</v>
      </c>
      <c r="BD10" s="68"/>
      <c r="BE10" s="28">
        <f t="shared" si="12"/>
        <v>0</v>
      </c>
      <c r="BF10" s="69">
        <v>0</v>
      </c>
      <c r="BG10" s="28">
        <f>BF10*BG$6</f>
        <v>0</v>
      </c>
      <c r="BH10" s="28">
        <f>BF10*BH$6</f>
        <v>0</v>
      </c>
      <c r="BI10" s="28">
        <f>BF10/BI$6</f>
        <v>0</v>
      </c>
      <c r="BJ10" s="28">
        <f>BI10/BJ$6</f>
        <v>0</v>
      </c>
      <c r="BK10" s="70">
        <f>BF10/BK$6</f>
        <v>0</v>
      </c>
      <c r="BL10" s="70">
        <f>SUM(BF10:BK10)</f>
        <v>0</v>
      </c>
      <c r="BM10" s="71">
        <v>0</v>
      </c>
      <c r="BN10" s="71">
        <v>0</v>
      </c>
      <c r="BO10" s="72">
        <f t="shared" si="13"/>
        <v>0</v>
      </c>
      <c r="BP10" s="72">
        <f t="shared" si="14"/>
        <v>0</v>
      </c>
      <c r="BQ10" s="70">
        <f>SUM(BO10:BP10)</f>
        <v>0</v>
      </c>
      <c r="BR10" s="73">
        <v>0</v>
      </c>
      <c r="BS10" s="74">
        <f t="shared" si="15"/>
        <v>0</v>
      </c>
      <c r="BT10" s="303">
        <f>BL10+BQ10+BR10+BS10</f>
        <v>0</v>
      </c>
      <c r="BU10" s="58">
        <v>0</v>
      </c>
      <c r="BV10" s="68"/>
      <c r="BW10" s="28">
        <f t="shared" si="16"/>
        <v>0</v>
      </c>
      <c r="BX10" s="69">
        <v>0</v>
      </c>
      <c r="BY10" s="28">
        <f>BX10*BY$6</f>
        <v>0</v>
      </c>
      <c r="BZ10" s="28">
        <f>BX10*BZ$6</f>
        <v>0</v>
      </c>
      <c r="CA10" s="28">
        <f>BX10/CA$6</f>
        <v>0</v>
      </c>
      <c r="CB10" s="28">
        <f>CA10/CB$6</f>
        <v>0</v>
      </c>
      <c r="CC10" s="70">
        <f>BX10/CC$6</f>
        <v>0</v>
      </c>
      <c r="CD10" s="70">
        <f>SUM(BX10:CC10)</f>
        <v>0</v>
      </c>
      <c r="CE10" s="71">
        <v>0</v>
      </c>
      <c r="CF10" s="71">
        <v>0</v>
      </c>
      <c r="CG10" s="72">
        <f t="shared" si="17"/>
        <v>0</v>
      </c>
      <c r="CH10" s="72">
        <f t="shared" si="18"/>
        <v>0</v>
      </c>
      <c r="CI10" s="70">
        <f>SUM(CG10:CH10)</f>
        <v>0</v>
      </c>
      <c r="CJ10" s="73">
        <v>0</v>
      </c>
      <c r="CK10" s="74">
        <f t="shared" si="19"/>
        <v>0</v>
      </c>
      <c r="CL10" s="303">
        <f>CD10+CI10+CJ10+CK10</f>
        <v>0</v>
      </c>
      <c r="CM10" s="58">
        <v>0</v>
      </c>
      <c r="CN10" s="68"/>
      <c r="CO10" s="28">
        <f t="shared" si="20"/>
        <v>0</v>
      </c>
      <c r="CP10" s="69">
        <v>0</v>
      </c>
      <c r="CQ10" s="28">
        <f>CP10*CQ$6</f>
        <v>0</v>
      </c>
      <c r="CR10" s="28">
        <f>CP10*CR$6</f>
        <v>0</v>
      </c>
      <c r="CS10" s="28">
        <f>CP10/CS$6</f>
        <v>0</v>
      </c>
      <c r="CT10" s="28">
        <f>CS10/CT$6</f>
        <v>0</v>
      </c>
      <c r="CU10" s="70">
        <f>CP10/CU$6</f>
        <v>0</v>
      </c>
      <c r="CV10" s="70">
        <f>SUM(CP10:CU10)</f>
        <v>0</v>
      </c>
      <c r="CW10" s="71">
        <v>0</v>
      </c>
      <c r="CX10" s="71">
        <v>0</v>
      </c>
      <c r="CY10" s="72">
        <f t="shared" si="21"/>
        <v>0</v>
      </c>
      <c r="CZ10" s="72">
        <f t="shared" si="22"/>
        <v>0</v>
      </c>
      <c r="DA10" s="70">
        <f>SUM(CY10:CZ10)</f>
        <v>0</v>
      </c>
      <c r="DB10" s="73">
        <v>0</v>
      </c>
      <c r="DC10" s="74">
        <f t="shared" si="23"/>
        <v>0</v>
      </c>
      <c r="DD10" s="303">
        <f>CV10+DA10+DB10+DC10</f>
        <v>0</v>
      </c>
      <c r="DE10" s="58">
        <v>0</v>
      </c>
      <c r="DF10" s="68"/>
      <c r="DG10" s="28">
        <f t="shared" si="24"/>
        <v>0</v>
      </c>
      <c r="DH10" s="69">
        <v>0</v>
      </c>
      <c r="DI10" s="28">
        <f>DH10*DI$6</f>
        <v>0</v>
      </c>
      <c r="DJ10" s="28">
        <f>DH10*DJ$6</f>
        <v>0</v>
      </c>
      <c r="DK10" s="28">
        <f>DH10/DK$6</f>
        <v>0</v>
      </c>
      <c r="DL10" s="28">
        <f>DK10/DL$6</f>
        <v>0</v>
      </c>
      <c r="DM10" s="70">
        <f>DH10/DM$6</f>
        <v>0</v>
      </c>
      <c r="DN10" s="70">
        <f>SUM(DH10:DM10)</f>
        <v>0</v>
      </c>
      <c r="DO10" s="71">
        <v>0</v>
      </c>
      <c r="DP10" s="71">
        <v>0</v>
      </c>
      <c r="DQ10" s="72">
        <f t="shared" si="25"/>
        <v>0</v>
      </c>
      <c r="DR10" s="72">
        <f t="shared" si="26"/>
        <v>0</v>
      </c>
      <c r="DS10" s="70">
        <f>SUM(DQ10:DR10)</f>
        <v>0</v>
      </c>
      <c r="DT10" s="73">
        <v>0</v>
      </c>
      <c r="DU10" s="74">
        <f t="shared" si="27"/>
        <v>0</v>
      </c>
      <c r="DV10" s="303">
        <f>DN10+DS10+DT10+DU10</f>
        <v>0</v>
      </c>
      <c r="DW10" s="58">
        <v>0</v>
      </c>
      <c r="DX10" s="68"/>
      <c r="DY10" s="28">
        <f t="shared" si="28"/>
        <v>0</v>
      </c>
      <c r="DZ10" s="69">
        <v>0</v>
      </c>
      <c r="EA10" s="28">
        <f>DZ10*EA$6</f>
        <v>0</v>
      </c>
      <c r="EB10" s="28">
        <f>DZ10*EB$6</f>
        <v>0</v>
      </c>
      <c r="EC10" s="28">
        <f>DZ10/EC$6</f>
        <v>0</v>
      </c>
      <c r="ED10" s="28">
        <f>EC10/ED$6</f>
        <v>0</v>
      </c>
      <c r="EE10" s="70">
        <f>DZ10/EE$6</f>
        <v>0</v>
      </c>
      <c r="EF10" s="70">
        <f>SUM(DZ10:EE10)</f>
        <v>0</v>
      </c>
      <c r="EG10" s="71">
        <v>0</v>
      </c>
      <c r="EH10" s="71">
        <v>0</v>
      </c>
      <c r="EI10" s="72">
        <f t="shared" si="29"/>
        <v>0</v>
      </c>
      <c r="EJ10" s="72">
        <f t="shared" si="30"/>
        <v>0</v>
      </c>
      <c r="EK10" s="70">
        <f>SUM(EI10:EJ10)</f>
        <v>0</v>
      </c>
      <c r="EL10" s="73">
        <v>0</v>
      </c>
      <c r="EM10" s="74">
        <f t="shared" si="31"/>
        <v>0</v>
      </c>
      <c r="EN10" s="303">
        <f>EF10+EK10+EL10+EM10</f>
        <v>0</v>
      </c>
      <c r="EO10" s="58">
        <v>0</v>
      </c>
      <c r="EP10" s="68"/>
      <c r="EQ10" s="28">
        <f t="shared" si="32"/>
        <v>0</v>
      </c>
      <c r="ER10" s="69">
        <v>0</v>
      </c>
      <c r="ES10" s="28">
        <f>ER10*ES$6</f>
        <v>0</v>
      </c>
      <c r="ET10" s="28">
        <f>ER10*ET$6</f>
        <v>0</v>
      </c>
      <c r="EU10" s="28">
        <f>ER10/EU$6</f>
        <v>0</v>
      </c>
      <c r="EV10" s="28">
        <f>EU10/EV$6</f>
        <v>0</v>
      </c>
      <c r="EW10" s="70">
        <f>ER10/EW$6</f>
        <v>0</v>
      </c>
      <c r="EX10" s="70">
        <f>SUM(ER10:EW10)</f>
        <v>0</v>
      </c>
      <c r="EY10" s="71">
        <v>0</v>
      </c>
      <c r="EZ10" s="71">
        <v>0</v>
      </c>
      <c r="FA10" s="72">
        <f t="shared" si="33"/>
        <v>0</v>
      </c>
      <c r="FB10" s="72">
        <f t="shared" si="34"/>
        <v>0</v>
      </c>
      <c r="FC10" s="70">
        <f>SUM(FA10:FB10)</f>
        <v>0</v>
      </c>
      <c r="FD10" s="73">
        <v>0</v>
      </c>
      <c r="FE10" s="74">
        <f t="shared" si="35"/>
        <v>0</v>
      </c>
      <c r="FF10" s="303">
        <f>EX10+FC10+FD10+FE10</f>
        <v>0</v>
      </c>
      <c r="FG10" s="58">
        <v>0</v>
      </c>
      <c r="FH10" s="68"/>
      <c r="FI10" s="28">
        <f t="shared" si="36"/>
        <v>0</v>
      </c>
      <c r="FJ10" s="69">
        <v>0</v>
      </c>
      <c r="FK10" s="28">
        <f>FJ10*FK$6</f>
        <v>0</v>
      </c>
      <c r="FL10" s="28">
        <f>FJ10*FL$6</f>
        <v>0</v>
      </c>
      <c r="FM10" s="28">
        <f>FJ10/FM$6</f>
        <v>0</v>
      </c>
      <c r="FN10" s="28">
        <f>FM10/FN$6</f>
        <v>0</v>
      </c>
      <c r="FO10" s="70">
        <f>FJ10/FO$6</f>
        <v>0</v>
      </c>
      <c r="FP10" s="70">
        <f>SUM(FJ10:FO10)</f>
        <v>0</v>
      </c>
      <c r="FQ10" s="71">
        <v>0</v>
      </c>
      <c r="FR10" s="71">
        <v>0</v>
      </c>
      <c r="FS10" s="72">
        <f t="shared" si="37"/>
        <v>0</v>
      </c>
      <c r="FT10" s="72">
        <f t="shared" si="38"/>
        <v>0</v>
      </c>
      <c r="FU10" s="70">
        <f>SUM(FS10:FT10)</f>
        <v>0</v>
      </c>
      <c r="FV10" s="73">
        <v>0</v>
      </c>
      <c r="FW10" s="74">
        <f t="shared" si="39"/>
        <v>0</v>
      </c>
      <c r="FX10" s="303">
        <f>FP10+FU10+FV10+FW10</f>
        <v>0</v>
      </c>
      <c r="FY10" s="58">
        <v>0</v>
      </c>
      <c r="FZ10" s="68"/>
      <c r="GA10" s="28">
        <f t="shared" si="40"/>
        <v>0</v>
      </c>
      <c r="GB10" s="69">
        <v>0</v>
      </c>
      <c r="GC10" s="28">
        <f>GB10*GC$6</f>
        <v>0</v>
      </c>
      <c r="GD10" s="28">
        <f>GB10*GD$6</f>
        <v>0</v>
      </c>
      <c r="GE10" s="28">
        <f>GB10/GE$6</f>
        <v>0</v>
      </c>
      <c r="GF10" s="28">
        <f>GE10/GF$6</f>
        <v>0</v>
      </c>
      <c r="GG10" s="70">
        <f>GB10/GG$6</f>
        <v>0</v>
      </c>
      <c r="GH10" s="70">
        <f>SUM(GB10:GG10)</f>
        <v>0</v>
      </c>
      <c r="GI10" s="71">
        <v>0</v>
      </c>
      <c r="GJ10" s="71">
        <v>0</v>
      </c>
      <c r="GK10" s="72">
        <f t="shared" si="41"/>
        <v>0</v>
      </c>
      <c r="GL10" s="72">
        <f t="shared" si="42"/>
        <v>0</v>
      </c>
      <c r="GM10" s="70">
        <f>SUM(GK10:GL10)</f>
        <v>0</v>
      </c>
      <c r="GN10" s="73">
        <v>0</v>
      </c>
      <c r="GO10" s="74">
        <f t="shared" si="43"/>
        <v>0</v>
      </c>
      <c r="GP10" s="303">
        <f>GH10+GM10+GN10+GO10</f>
        <v>0</v>
      </c>
      <c r="GQ10" s="58">
        <v>0</v>
      </c>
      <c r="GR10" s="68"/>
      <c r="GS10" s="28">
        <f t="shared" si="44"/>
        <v>0</v>
      </c>
      <c r="GT10" s="69">
        <v>0</v>
      </c>
      <c r="GU10" s="28">
        <f>GT10*GU$6</f>
        <v>0</v>
      </c>
      <c r="GV10" s="28">
        <f>GT10*GV$6</f>
        <v>0</v>
      </c>
      <c r="GW10" s="28">
        <f>GT10/GW$6</f>
        <v>0</v>
      </c>
      <c r="GX10" s="28">
        <f>GW10/GX$6</f>
        <v>0</v>
      </c>
      <c r="GY10" s="70">
        <f>GT10/GY$6</f>
        <v>0</v>
      </c>
      <c r="GZ10" s="70">
        <f>SUM(GT10:GY10)</f>
        <v>0</v>
      </c>
      <c r="HA10" s="71">
        <v>0</v>
      </c>
      <c r="HB10" s="71">
        <v>0</v>
      </c>
      <c r="HC10" s="72">
        <f t="shared" si="45"/>
        <v>0</v>
      </c>
      <c r="HD10" s="72">
        <f t="shared" si="46"/>
        <v>0</v>
      </c>
      <c r="HE10" s="70">
        <f>SUM(HC10:HD10)</f>
        <v>0</v>
      </c>
      <c r="HF10" s="73">
        <v>0</v>
      </c>
      <c r="HG10" s="74">
        <f t="shared" si="47"/>
        <v>0</v>
      </c>
      <c r="HH10" s="303">
        <f>GZ10+HE10+HF10+HG10</f>
        <v>0</v>
      </c>
      <c r="HJ10" s="37"/>
      <c r="HK10" s="37"/>
      <c r="HL10" s="37"/>
      <c r="HM10" s="37"/>
      <c r="HN10" s="37"/>
      <c r="HO10" s="37"/>
      <c r="HP10" s="37"/>
      <c r="HQ10" s="37"/>
      <c r="HR10" s="37"/>
      <c r="HS10" s="37"/>
      <c r="HT10" s="37"/>
      <c r="HU10" s="37"/>
      <c r="HV10" s="37"/>
      <c r="HW10" s="37"/>
      <c r="HX10" s="37"/>
      <c r="HY10" s="37"/>
      <c r="HZ10" s="37"/>
      <c r="IA10" s="37"/>
      <c r="IB10" s="37"/>
      <c r="IC10" s="37"/>
      <c r="ID10" s="37"/>
      <c r="IE10" s="37"/>
      <c r="IF10" s="37"/>
      <c r="IG10" s="37"/>
      <c r="IH10" s="37"/>
      <c r="II10" s="37"/>
      <c r="IJ10" s="37"/>
      <c r="IK10" s="37"/>
      <c r="IL10" s="37"/>
      <c r="IM10" s="37"/>
      <c r="IN10" s="37"/>
      <c r="IO10" s="37"/>
      <c r="IP10" s="37"/>
    </row>
    <row r="11" spans="1:250" ht="15.6" x14ac:dyDescent="0.3">
      <c r="A11" s="541"/>
      <c r="B11" s="537"/>
      <c r="C11" s="537"/>
      <c r="D11" s="537"/>
      <c r="E11" s="537"/>
      <c r="F11" s="537"/>
      <c r="G11" s="537"/>
      <c r="H11" s="537"/>
      <c r="I11" s="537"/>
      <c r="J11" s="537"/>
      <c r="K11" s="537"/>
      <c r="L11" s="537"/>
      <c r="M11" s="537"/>
      <c r="N11" s="537"/>
      <c r="O11" s="537"/>
      <c r="P11" s="538"/>
      <c r="Q11" s="423" t="s">
        <v>8</v>
      </c>
      <c r="R11" s="304">
        <f>SUM(R8:R10)</f>
        <v>3511.1899111111111</v>
      </c>
      <c r="S11" s="541"/>
      <c r="T11" s="537"/>
      <c r="U11" s="537"/>
      <c r="V11" s="537"/>
      <c r="W11" s="537"/>
      <c r="X11" s="537"/>
      <c r="Y11" s="537"/>
      <c r="Z11" s="537"/>
      <c r="AA11" s="537"/>
      <c r="AB11" s="537"/>
      <c r="AC11" s="537"/>
      <c r="AD11" s="537"/>
      <c r="AE11" s="537"/>
      <c r="AF11" s="537"/>
      <c r="AG11" s="537"/>
      <c r="AH11" s="538"/>
      <c r="AI11" s="423" t="s">
        <v>8</v>
      </c>
      <c r="AJ11" s="304">
        <f>SUM(AJ8:AJ10)</f>
        <v>3511.1899111111111</v>
      </c>
      <c r="AK11" s="541"/>
      <c r="AL11" s="537"/>
      <c r="AM11" s="537"/>
      <c r="AN11" s="537"/>
      <c r="AO11" s="537"/>
      <c r="AP11" s="537"/>
      <c r="AQ11" s="537"/>
      <c r="AR11" s="537"/>
      <c r="AS11" s="537"/>
      <c r="AT11" s="537"/>
      <c r="AU11" s="537"/>
      <c r="AV11" s="537"/>
      <c r="AW11" s="537"/>
      <c r="AX11" s="537"/>
      <c r="AY11" s="537"/>
      <c r="AZ11" s="538"/>
      <c r="BA11" s="423" t="s">
        <v>8</v>
      </c>
      <c r="BB11" s="304">
        <f>SUM(BB8:BB10)</f>
        <v>3511.1899111111111</v>
      </c>
      <c r="BC11" s="541"/>
      <c r="BD11" s="537"/>
      <c r="BE11" s="537"/>
      <c r="BF11" s="537"/>
      <c r="BG11" s="537"/>
      <c r="BH11" s="537"/>
      <c r="BI11" s="537"/>
      <c r="BJ11" s="537"/>
      <c r="BK11" s="537"/>
      <c r="BL11" s="537"/>
      <c r="BM11" s="537"/>
      <c r="BN11" s="537"/>
      <c r="BO11" s="537"/>
      <c r="BP11" s="537"/>
      <c r="BQ11" s="537"/>
      <c r="BR11" s="538"/>
      <c r="BS11" s="423" t="s">
        <v>8</v>
      </c>
      <c r="BT11" s="304">
        <f>SUM(BT8:BT10)</f>
        <v>3511.1899111111111</v>
      </c>
      <c r="BU11" s="541"/>
      <c r="BV11" s="537"/>
      <c r="BW11" s="537"/>
      <c r="BX11" s="537"/>
      <c r="BY11" s="537"/>
      <c r="BZ11" s="537"/>
      <c r="CA11" s="537"/>
      <c r="CB11" s="537"/>
      <c r="CC11" s="537"/>
      <c r="CD11" s="537"/>
      <c r="CE11" s="537"/>
      <c r="CF11" s="537"/>
      <c r="CG11" s="537"/>
      <c r="CH11" s="537"/>
      <c r="CI11" s="537"/>
      <c r="CJ11" s="538"/>
      <c r="CK11" s="423" t="s">
        <v>8</v>
      </c>
      <c r="CL11" s="304">
        <f>SUM(CL8:CL10)</f>
        <v>3511.1899111111111</v>
      </c>
      <c r="CM11" s="541"/>
      <c r="CN11" s="537"/>
      <c r="CO11" s="537"/>
      <c r="CP11" s="537"/>
      <c r="CQ11" s="537"/>
      <c r="CR11" s="537"/>
      <c r="CS11" s="537"/>
      <c r="CT11" s="537"/>
      <c r="CU11" s="537"/>
      <c r="CV11" s="537"/>
      <c r="CW11" s="537"/>
      <c r="CX11" s="537"/>
      <c r="CY11" s="537"/>
      <c r="CZ11" s="537"/>
      <c r="DA11" s="537"/>
      <c r="DB11" s="538"/>
      <c r="DC11" s="423" t="s">
        <v>8</v>
      </c>
      <c r="DD11" s="304">
        <f>SUM(DD8:DD10)</f>
        <v>3511.1899111111111</v>
      </c>
      <c r="DE11" s="541"/>
      <c r="DF11" s="537"/>
      <c r="DG11" s="537"/>
      <c r="DH11" s="537"/>
      <c r="DI11" s="537"/>
      <c r="DJ11" s="537"/>
      <c r="DK11" s="537"/>
      <c r="DL11" s="537"/>
      <c r="DM11" s="537"/>
      <c r="DN11" s="537"/>
      <c r="DO11" s="537"/>
      <c r="DP11" s="537"/>
      <c r="DQ11" s="537"/>
      <c r="DR11" s="537"/>
      <c r="DS11" s="537"/>
      <c r="DT11" s="538"/>
      <c r="DU11" s="423" t="s">
        <v>8</v>
      </c>
      <c r="DV11" s="304">
        <f>SUM(DV8:DV10)</f>
        <v>3511.1899111111111</v>
      </c>
      <c r="DW11" s="541"/>
      <c r="DX11" s="537"/>
      <c r="DY11" s="537"/>
      <c r="DZ11" s="537"/>
      <c r="EA11" s="537"/>
      <c r="EB11" s="537"/>
      <c r="EC11" s="537"/>
      <c r="ED11" s="537"/>
      <c r="EE11" s="537"/>
      <c r="EF11" s="537"/>
      <c r="EG11" s="537"/>
      <c r="EH11" s="537"/>
      <c r="EI11" s="537"/>
      <c r="EJ11" s="537"/>
      <c r="EK11" s="537"/>
      <c r="EL11" s="538"/>
      <c r="EM11" s="423" t="s">
        <v>8</v>
      </c>
      <c r="EN11" s="304">
        <f>SUM(EN8:EN10)</f>
        <v>3511.1899111111111</v>
      </c>
      <c r="EO11" s="541"/>
      <c r="EP11" s="537"/>
      <c r="EQ11" s="537"/>
      <c r="ER11" s="537"/>
      <c r="ES11" s="537"/>
      <c r="ET11" s="537"/>
      <c r="EU11" s="537"/>
      <c r="EV11" s="537"/>
      <c r="EW11" s="537"/>
      <c r="EX11" s="537"/>
      <c r="EY11" s="537"/>
      <c r="EZ11" s="537"/>
      <c r="FA11" s="537"/>
      <c r="FB11" s="537"/>
      <c r="FC11" s="537"/>
      <c r="FD11" s="538"/>
      <c r="FE11" s="423" t="s">
        <v>8</v>
      </c>
      <c r="FF11" s="304">
        <f>SUM(FF8:FF10)</f>
        <v>3511.1899111111111</v>
      </c>
      <c r="FG11" s="541"/>
      <c r="FH11" s="537"/>
      <c r="FI11" s="537"/>
      <c r="FJ11" s="537"/>
      <c r="FK11" s="537"/>
      <c r="FL11" s="537"/>
      <c r="FM11" s="537"/>
      <c r="FN11" s="537"/>
      <c r="FO11" s="537"/>
      <c r="FP11" s="537"/>
      <c r="FQ11" s="537"/>
      <c r="FR11" s="537"/>
      <c r="FS11" s="537"/>
      <c r="FT11" s="537"/>
      <c r="FU11" s="537"/>
      <c r="FV11" s="538"/>
      <c r="FW11" s="423" t="s">
        <v>8</v>
      </c>
      <c r="FX11" s="304">
        <f>SUM(FX8:FX10)</f>
        <v>3511.1899111111111</v>
      </c>
      <c r="FY11" s="541"/>
      <c r="FZ11" s="537"/>
      <c r="GA11" s="537"/>
      <c r="GB11" s="537"/>
      <c r="GC11" s="537"/>
      <c r="GD11" s="537"/>
      <c r="GE11" s="537"/>
      <c r="GF11" s="537"/>
      <c r="GG11" s="537"/>
      <c r="GH11" s="537"/>
      <c r="GI11" s="537"/>
      <c r="GJ11" s="537"/>
      <c r="GK11" s="537"/>
      <c r="GL11" s="537"/>
      <c r="GM11" s="537"/>
      <c r="GN11" s="538"/>
      <c r="GO11" s="423" t="s">
        <v>8</v>
      </c>
      <c r="GP11" s="304">
        <f>SUM(GP8:GP10)</f>
        <v>3511.1899111111111</v>
      </c>
      <c r="GQ11" s="541"/>
      <c r="GR11" s="537"/>
      <c r="GS11" s="537"/>
      <c r="GT11" s="537"/>
      <c r="GU11" s="537"/>
      <c r="GV11" s="537"/>
      <c r="GW11" s="537"/>
      <c r="GX11" s="537"/>
      <c r="GY11" s="537"/>
      <c r="GZ11" s="537"/>
      <c r="HA11" s="537"/>
      <c r="HB11" s="537"/>
      <c r="HC11" s="537"/>
      <c r="HD11" s="537"/>
      <c r="HE11" s="537"/>
      <c r="HF11" s="538"/>
      <c r="HG11" s="423" t="s">
        <v>8</v>
      </c>
      <c r="HH11" s="304">
        <f>SUM(HH8:HH10)</f>
        <v>3511.1899111111111</v>
      </c>
      <c r="HJ11" s="37"/>
      <c r="HK11" s="37"/>
      <c r="HL11" s="37"/>
      <c r="HM11" s="37"/>
      <c r="HN11" s="37"/>
      <c r="HO11" s="37"/>
      <c r="HP11" s="37"/>
      <c r="HQ11" s="37"/>
      <c r="HR11" s="37"/>
      <c r="HS11" s="37"/>
      <c r="HT11" s="37"/>
      <c r="HU11" s="37"/>
      <c r="HV11" s="37"/>
      <c r="HW11" s="37"/>
      <c r="HX11" s="37"/>
      <c r="HY11" s="37"/>
      <c r="HZ11" s="37"/>
      <c r="IA11" s="37"/>
      <c r="IB11" s="37"/>
      <c r="IC11" s="37"/>
      <c r="ID11" s="37"/>
      <c r="IE11" s="37"/>
      <c r="IF11" s="37"/>
      <c r="IG11" s="37"/>
      <c r="IH11" s="37"/>
      <c r="II11" s="37"/>
      <c r="IJ11" s="37"/>
      <c r="IK11" s="37"/>
      <c r="IL11" s="37"/>
      <c r="IM11" s="37"/>
      <c r="IN11" s="37"/>
      <c r="IO11" s="37"/>
      <c r="IP11" s="37"/>
    </row>
    <row r="12" spans="1:250" ht="15.6" x14ac:dyDescent="0.3">
      <c r="A12" s="543"/>
      <c r="B12" s="544"/>
      <c r="C12" s="544"/>
      <c r="D12" s="544"/>
      <c r="E12" s="742" t="s">
        <v>111</v>
      </c>
      <c r="F12" s="742"/>
      <c r="G12" s="742"/>
      <c r="H12" s="742"/>
      <c r="I12" s="742"/>
      <c r="J12" s="742"/>
      <c r="K12" s="742"/>
      <c r="L12" s="742"/>
      <c r="M12" s="742"/>
      <c r="N12" s="544"/>
      <c r="O12" s="544"/>
      <c r="P12" s="544"/>
      <c r="Q12" s="544"/>
      <c r="R12" s="545"/>
      <c r="S12" s="543"/>
      <c r="T12" s="544"/>
      <c r="U12" s="544"/>
      <c r="V12" s="544"/>
      <c r="W12" s="742" t="s">
        <v>111</v>
      </c>
      <c r="X12" s="742"/>
      <c r="Y12" s="742"/>
      <c r="Z12" s="742"/>
      <c r="AA12" s="742"/>
      <c r="AB12" s="742"/>
      <c r="AC12" s="742"/>
      <c r="AD12" s="742"/>
      <c r="AE12" s="742"/>
      <c r="AF12" s="544"/>
      <c r="AG12" s="544"/>
      <c r="AH12" s="544"/>
      <c r="AI12" s="544"/>
      <c r="AJ12" s="545"/>
      <c r="AK12" s="543"/>
      <c r="AL12" s="544"/>
      <c r="AM12" s="544"/>
      <c r="AN12" s="544"/>
      <c r="AO12" s="742" t="s">
        <v>111</v>
      </c>
      <c r="AP12" s="742"/>
      <c r="AQ12" s="742"/>
      <c r="AR12" s="742"/>
      <c r="AS12" s="742"/>
      <c r="AT12" s="742"/>
      <c r="AU12" s="742"/>
      <c r="AV12" s="742"/>
      <c r="AW12" s="742"/>
      <c r="AX12" s="544"/>
      <c r="AY12" s="544"/>
      <c r="AZ12" s="544"/>
      <c r="BA12" s="544"/>
      <c r="BB12" s="545"/>
      <c r="BC12" s="543"/>
      <c r="BD12" s="544"/>
      <c r="BE12" s="544"/>
      <c r="BF12" s="544"/>
      <c r="BG12" s="742" t="s">
        <v>111</v>
      </c>
      <c r="BH12" s="742"/>
      <c r="BI12" s="742"/>
      <c r="BJ12" s="742"/>
      <c r="BK12" s="742"/>
      <c r="BL12" s="742"/>
      <c r="BM12" s="742"/>
      <c r="BN12" s="742"/>
      <c r="BO12" s="742"/>
      <c r="BP12" s="544"/>
      <c r="BQ12" s="544"/>
      <c r="BR12" s="544"/>
      <c r="BS12" s="544"/>
      <c r="BT12" s="545"/>
      <c r="BU12" s="543"/>
      <c r="BV12" s="544"/>
      <c r="BW12" s="544"/>
      <c r="BX12" s="544"/>
      <c r="BY12" s="742" t="s">
        <v>111</v>
      </c>
      <c r="BZ12" s="742"/>
      <c r="CA12" s="742"/>
      <c r="CB12" s="742"/>
      <c r="CC12" s="742"/>
      <c r="CD12" s="742"/>
      <c r="CE12" s="742"/>
      <c r="CF12" s="742"/>
      <c r="CG12" s="742"/>
      <c r="CH12" s="544"/>
      <c r="CI12" s="544"/>
      <c r="CJ12" s="544"/>
      <c r="CK12" s="544"/>
      <c r="CL12" s="545"/>
      <c r="CM12" s="543"/>
      <c r="CN12" s="544"/>
      <c r="CO12" s="544"/>
      <c r="CP12" s="544"/>
      <c r="CQ12" s="742" t="s">
        <v>111</v>
      </c>
      <c r="CR12" s="742"/>
      <c r="CS12" s="742"/>
      <c r="CT12" s="742"/>
      <c r="CU12" s="742"/>
      <c r="CV12" s="742"/>
      <c r="CW12" s="742"/>
      <c r="CX12" s="742"/>
      <c r="CY12" s="742"/>
      <c r="CZ12" s="544"/>
      <c r="DA12" s="544"/>
      <c r="DB12" s="544"/>
      <c r="DC12" s="544"/>
      <c r="DD12" s="545"/>
      <c r="DE12" s="543"/>
      <c r="DF12" s="544"/>
      <c r="DG12" s="544"/>
      <c r="DH12" s="544"/>
      <c r="DI12" s="742" t="s">
        <v>111</v>
      </c>
      <c r="DJ12" s="742"/>
      <c r="DK12" s="742"/>
      <c r="DL12" s="742"/>
      <c r="DM12" s="742"/>
      <c r="DN12" s="742"/>
      <c r="DO12" s="742"/>
      <c r="DP12" s="742"/>
      <c r="DQ12" s="742"/>
      <c r="DR12" s="544"/>
      <c r="DS12" s="544"/>
      <c r="DT12" s="544"/>
      <c r="DU12" s="544"/>
      <c r="DV12" s="545"/>
      <c r="DW12" s="543"/>
      <c r="DX12" s="544"/>
      <c r="DY12" s="544"/>
      <c r="DZ12" s="544"/>
      <c r="EA12" s="742" t="s">
        <v>111</v>
      </c>
      <c r="EB12" s="742"/>
      <c r="EC12" s="742"/>
      <c r="ED12" s="742"/>
      <c r="EE12" s="742"/>
      <c r="EF12" s="742"/>
      <c r="EG12" s="742"/>
      <c r="EH12" s="742"/>
      <c r="EI12" s="742"/>
      <c r="EJ12" s="544"/>
      <c r="EK12" s="544"/>
      <c r="EL12" s="544"/>
      <c r="EM12" s="544"/>
      <c r="EN12" s="545"/>
      <c r="EO12" s="543"/>
      <c r="EP12" s="544"/>
      <c r="EQ12" s="544"/>
      <c r="ER12" s="544"/>
      <c r="ES12" s="742" t="s">
        <v>111</v>
      </c>
      <c r="ET12" s="742"/>
      <c r="EU12" s="742"/>
      <c r="EV12" s="742"/>
      <c r="EW12" s="742"/>
      <c r="EX12" s="742"/>
      <c r="EY12" s="742"/>
      <c r="EZ12" s="742"/>
      <c r="FA12" s="742"/>
      <c r="FB12" s="544"/>
      <c r="FC12" s="544"/>
      <c r="FD12" s="544"/>
      <c r="FE12" s="544"/>
      <c r="FF12" s="545"/>
      <c r="FG12" s="543"/>
      <c r="FH12" s="544"/>
      <c r="FI12" s="544"/>
      <c r="FJ12" s="544"/>
      <c r="FK12" s="742" t="s">
        <v>111</v>
      </c>
      <c r="FL12" s="742"/>
      <c r="FM12" s="742"/>
      <c r="FN12" s="742"/>
      <c r="FO12" s="742"/>
      <c r="FP12" s="742"/>
      <c r="FQ12" s="742"/>
      <c r="FR12" s="742"/>
      <c r="FS12" s="742"/>
      <c r="FT12" s="544"/>
      <c r="FU12" s="544"/>
      <c r="FV12" s="544"/>
      <c r="FW12" s="544"/>
      <c r="FX12" s="545"/>
      <c r="FY12" s="543"/>
      <c r="FZ12" s="544"/>
      <c r="GA12" s="544"/>
      <c r="GB12" s="544"/>
      <c r="GC12" s="742" t="s">
        <v>111</v>
      </c>
      <c r="GD12" s="742"/>
      <c r="GE12" s="742"/>
      <c r="GF12" s="742"/>
      <c r="GG12" s="742"/>
      <c r="GH12" s="742"/>
      <c r="GI12" s="742"/>
      <c r="GJ12" s="742"/>
      <c r="GK12" s="742"/>
      <c r="GL12" s="544"/>
      <c r="GM12" s="544"/>
      <c r="GN12" s="544"/>
      <c r="GO12" s="544"/>
      <c r="GP12" s="545"/>
      <c r="GQ12" s="543"/>
      <c r="GR12" s="544"/>
      <c r="GS12" s="544"/>
      <c r="GT12" s="544"/>
      <c r="GU12" s="742" t="s">
        <v>111</v>
      </c>
      <c r="GV12" s="742"/>
      <c r="GW12" s="742"/>
      <c r="GX12" s="742"/>
      <c r="GY12" s="742"/>
      <c r="GZ12" s="742"/>
      <c r="HA12" s="742"/>
      <c r="HB12" s="742"/>
      <c r="HC12" s="742"/>
      <c r="HD12" s="544"/>
      <c r="HE12" s="544"/>
      <c r="HF12" s="544"/>
      <c r="HG12" s="544"/>
      <c r="HH12" s="545"/>
      <c r="HJ12" s="37"/>
      <c r="HK12" s="37"/>
      <c r="HL12" s="37"/>
      <c r="HM12" s="37"/>
      <c r="HN12" s="37"/>
      <c r="HO12" s="37"/>
      <c r="HP12" s="37"/>
      <c r="HQ12" s="37"/>
      <c r="HR12" s="37"/>
      <c r="HS12" s="37"/>
      <c r="HT12" s="37"/>
      <c r="HU12" s="37"/>
      <c r="HV12" s="37"/>
      <c r="HW12" s="37"/>
      <c r="HX12" s="37"/>
      <c r="HY12" s="37"/>
      <c r="HZ12" s="37"/>
      <c r="IA12" s="37"/>
      <c r="IB12" s="37"/>
      <c r="IC12" s="37"/>
      <c r="ID12" s="37"/>
      <c r="IE12" s="37"/>
      <c r="IF12" s="37"/>
      <c r="IG12" s="37"/>
      <c r="IH12" s="37"/>
      <c r="II12" s="37"/>
      <c r="IJ12" s="37"/>
      <c r="IK12" s="37"/>
      <c r="IL12" s="37"/>
      <c r="IM12" s="37"/>
      <c r="IN12" s="37"/>
      <c r="IO12" s="37"/>
      <c r="IP12" s="37"/>
    </row>
    <row r="13" spans="1:250" x14ac:dyDescent="0.3">
      <c r="A13" s="58">
        <v>1</v>
      </c>
      <c r="B13" s="68" t="s">
        <v>286</v>
      </c>
      <c r="C13" s="28">
        <f t="shared" ref="C13:C18" si="48">D13/$AM$4</f>
        <v>11.887454545454544</v>
      </c>
      <c r="D13" s="69">
        <v>2615.2399999999998</v>
      </c>
      <c r="E13" s="28">
        <f t="shared" ref="E13:E18" si="49">D13*E$6</f>
        <v>261.524</v>
      </c>
      <c r="F13" s="28">
        <f t="shared" ref="F13:F18" si="50">D13*F$6</f>
        <v>209.2192</v>
      </c>
      <c r="G13" s="28">
        <f t="shared" ref="G13:G18" si="51">D13/G$6</f>
        <v>217.93666666666664</v>
      </c>
      <c r="H13" s="28">
        <f t="shared" ref="H13:H18" si="52">G13/H$6</f>
        <v>72.645555555555546</v>
      </c>
      <c r="I13" s="70">
        <f t="shared" ref="I13:I18" si="53">D13/I$6</f>
        <v>217.93666666666664</v>
      </c>
      <c r="J13" s="70">
        <f t="shared" ref="J13:J18" si="54">SUM(D13:I13)</f>
        <v>3594.502088888888</v>
      </c>
      <c r="K13" s="71">
        <v>0</v>
      </c>
      <c r="L13" s="71">
        <v>0</v>
      </c>
      <c r="M13" s="72">
        <f t="shared" ref="M13:M18" si="55">((C13*M$6)+(C13*$AO$6)+(C13*$AP$6))*K13</f>
        <v>0</v>
      </c>
      <c r="N13" s="72">
        <f t="shared" ref="N13:N18" si="56">((C13*N$6)+(C13*$AO$6)+(C13*$AP$6))*L13</f>
        <v>0</v>
      </c>
      <c r="O13" s="70">
        <f t="shared" ref="O13:O18" si="57">SUM(M13:N13)</f>
        <v>0</v>
      </c>
      <c r="P13" s="73">
        <v>0</v>
      </c>
      <c r="Q13" s="74">
        <f t="shared" ref="Q13:Q18" si="58">IF(A13=1,($C$1*$Q$6),0)</f>
        <v>282.40000000000003</v>
      </c>
      <c r="R13" s="303">
        <f>J13+O13+P13+Q13</f>
        <v>3876.9020888888881</v>
      </c>
      <c r="S13" s="58">
        <v>1</v>
      </c>
      <c r="T13" s="68" t="s">
        <v>286</v>
      </c>
      <c r="U13" s="28">
        <f t="shared" ref="U13:U18" si="59">V13/$AM$4</f>
        <v>11.887454545454544</v>
      </c>
      <c r="V13" s="69">
        <v>2615.2399999999998</v>
      </c>
      <c r="W13" s="28">
        <f t="shared" ref="W13:W18" si="60">V13*W$6</f>
        <v>261.524</v>
      </c>
      <c r="X13" s="28">
        <f t="shared" ref="X13:X18" si="61">V13*X$6</f>
        <v>209.2192</v>
      </c>
      <c r="Y13" s="28">
        <f t="shared" ref="Y13:Y18" si="62">V13/Y$6</f>
        <v>217.93666666666664</v>
      </c>
      <c r="Z13" s="28">
        <f t="shared" ref="Z13:Z18" si="63">Y13/Z$6</f>
        <v>72.645555555555546</v>
      </c>
      <c r="AA13" s="70">
        <f t="shared" ref="AA13:AA18" si="64">V13/AA$6</f>
        <v>217.93666666666664</v>
      </c>
      <c r="AB13" s="70">
        <f t="shared" ref="AB13:AB18" si="65">SUM(V13:AA13)</f>
        <v>3594.502088888888</v>
      </c>
      <c r="AC13" s="71">
        <v>0</v>
      </c>
      <c r="AD13" s="71">
        <v>0</v>
      </c>
      <c r="AE13" s="72">
        <f t="shared" ref="AE13:AE18" si="66">((U13*AE$6)+(U13*$AO$6)+(U13*$AP$6))*AC13</f>
        <v>0</v>
      </c>
      <c r="AF13" s="72">
        <f t="shared" ref="AF13:AF18" si="67">((U13*AF$6)+(U13*$AO$6)+(U13*$AP$6))*AD13</f>
        <v>0</v>
      </c>
      <c r="AG13" s="70">
        <f t="shared" ref="AG13:AG18" si="68">SUM(AE13:AF13)</f>
        <v>0</v>
      </c>
      <c r="AH13" s="73">
        <v>0</v>
      </c>
      <c r="AI13" s="74">
        <f t="shared" ref="AI13:AI18" si="69">IF(S13=1,($C$1*$Q$6),0)</f>
        <v>282.40000000000003</v>
      </c>
      <c r="AJ13" s="303">
        <f>AB13+AG13+AH13+AI13</f>
        <v>3876.9020888888881</v>
      </c>
      <c r="AK13" s="58">
        <v>1</v>
      </c>
      <c r="AL13" s="68" t="s">
        <v>286</v>
      </c>
      <c r="AM13" s="28">
        <f t="shared" ref="AM13:AM18" si="70">AN13/$AM$4</f>
        <v>11.887454545454544</v>
      </c>
      <c r="AN13" s="69">
        <v>2615.2399999999998</v>
      </c>
      <c r="AO13" s="28">
        <f t="shared" ref="AO13:AO18" si="71">AN13*AO$6</f>
        <v>261.524</v>
      </c>
      <c r="AP13" s="28">
        <f t="shared" ref="AP13:AP18" si="72">AN13*AP$6</f>
        <v>209.2192</v>
      </c>
      <c r="AQ13" s="28">
        <f t="shared" ref="AQ13:AQ18" si="73">AN13/AQ$6</f>
        <v>217.93666666666664</v>
      </c>
      <c r="AR13" s="28">
        <f t="shared" ref="AR13:AR18" si="74">AQ13/AR$6</f>
        <v>72.645555555555546</v>
      </c>
      <c r="AS13" s="70">
        <f t="shared" ref="AS13:AS18" si="75">AN13/AS$6</f>
        <v>217.93666666666664</v>
      </c>
      <c r="AT13" s="70">
        <f t="shared" ref="AT13:AT18" si="76">SUM(AN13:AS13)</f>
        <v>3594.502088888888</v>
      </c>
      <c r="AU13" s="71">
        <v>0</v>
      </c>
      <c r="AV13" s="71">
        <v>0</v>
      </c>
      <c r="AW13" s="72">
        <f t="shared" ref="AW13:AW18" si="77">((AM13*AW$6)+(AM13*$AO$6)+(AM13*$AP$6))*AU13</f>
        <v>0</v>
      </c>
      <c r="AX13" s="72">
        <f t="shared" ref="AX13:AX18" si="78">((AM13*AX$6)+(AM13*$AO$6)+(AM13*$AP$6))*AV13</f>
        <v>0</v>
      </c>
      <c r="AY13" s="70">
        <f t="shared" ref="AY13:AY18" si="79">SUM(AW13:AX13)</f>
        <v>0</v>
      </c>
      <c r="AZ13" s="73">
        <v>0</v>
      </c>
      <c r="BA13" s="74">
        <f t="shared" ref="BA13:BA18" si="80">IF(AK13=1,($C$1*$Q$6),0)</f>
        <v>282.40000000000003</v>
      </c>
      <c r="BB13" s="303">
        <f>AT13+AY13+AZ13+BA13</f>
        <v>3876.9020888888881</v>
      </c>
      <c r="BC13" s="58">
        <v>1</v>
      </c>
      <c r="BD13" s="68" t="s">
        <v>286</v>
      </c>
      <c r="BE13" s="28">
        <f t="shared" ref="BE13:BE18" si="81">BF13/$AM$4</f>
        <v>11.887454545454544</v>
      </c>
      <c r="BF13" s="69">
        <v>2615.2399999999998</v>
      </c>
      <c r="BG13" s="28">
        <f t="shared" ref="BG13:BG18" si="82">BF13*BG$6</f>
        <v>261.524</v>
      </c>
      <c r="BH13" s="28">
        <f t="shared" ref="BH13:BH18" si="83">BF13*BH$6</f>
        <v>209.2192</v>
      </c>
      <c r="BI13" s="28">
        <f t="shared" ref="BI13:BI18" si="84">BF13/BI$6</f>
        <v>217.93666666666664</v>
      </c>
      <c r="BJ13" s="28">
        <f t="shared" ref="BJ13:BJ18" si="85">BI13/BJ$6</f>
        <v>72.645555555555546</v>
      </c>
      <c r="BK13" s="70">
        <f t="shared" ref="BK13:BK18" si="86">BF13/BK$6</f>
        <v>217.93666666666664</v>
      </c>
      <c r="BL13" s="70">
        <f t="shared" ref="BL13:BL18" si="87">SUM(BF13:BK13)</f>
        <v>3594.502088888888</v>
      </c>
      <c r="BM13" s="71">
        <v>0</v>
      </c>
      <c r="BN13" s="71">
        <v>0</v>
      </c>
      <c r="BO13" s="72">
        <f t="shared" ref="BO13:BO18" si="88">((BE13*BO$6)+(BE13*$AO$6)+(BE13*$AP$6))*BM13</f>
        <v>0</v>
      </c>
      <c r="BP13" s="72">
        <f t="shared" ref="BP13:BP18" si="89">((BE13*BP$6)+(BE13*$AO$6)+(BE13*$AP$6))*BN13</f>
        <v>0</v>
      </c>
      <c r="BQ13" s="70">
        <f t="shared" ref="BQ13:BQ18" si="90">SUM(BO13:BP13)</f>
        <v>0</v>
      </c>
      <c r="BR13" s="73">
        <v>0</v>
      </c>
      <c r="BS13" s="74">
        <f t="shared" ref="BS13:BS18" si="91">IF(BC13=1,($C$1*$Q$6),0)</f>
        <v>282.40000000000003</v>
      </c>
      <c r="BT13" s="303">
        <f>BL13+BQ13+BR13+BS13</f>
        <v>3876.9020888888881</v>
      </c>
      <c r="BU13" s="58">
        <v>1</v>
      </c>
      <c r="BV13" s="68" t="s">
        <v>286</v>
      </c>
      <c r="BW13" s="28">
        <f t="shared" ref="BW13:BW18" si="92">BX13/$AM$4</f>
        <v>11.887454545454544</v>
      </c>
      <c r="BX13" s="69">
        <v>2615.2399999999998</v>
      </c>
      <c r="BY13" s="28">
        <f t="shared" ref="BY13:BY18" si="93">BX13*BY$6</f>
        <v>261.524</v>
      </c>
      <c r="BZ13" s="28">
        <f t="shared" ref="BZ13:BZ18" si="94">BX13*BZ$6</f>
        <v>209.2192</v>
      </c>
      <c r="CA13" s="28">
        <f t="shared" ref="CA13:CA18" si="95">BX13/CA$6</f>
        <v>217.93666666666664</v>
      </c>
      <c r="CB13" s="28">
        <f t="shared" ref="CB13:CB18" si="96">CA13/CB$6</f>
        <v>72.645555555555546</v>
      </c>
      <c r="CC13" s="70">
        <f t="shared" ref="CC13:CC18" si="97">BX13/CC$6</f>
        <v>217.93666666666664</v>
      </c>
      <c r="CD13" s="70">
        <f t="shared" ref="CD13:CD18" si="98">SUM(BX13:CC13)</f>
        <v>3594.502088888888</v>
      </c>
      <c r="CE13" s="71">
        <v>0</v>
      </c>
      <c r="CF13" s="71">
        <v>0</v>
      </c>
      <c r="CG13" s="72">
        <f t="shared" ref="CG13:CG18" si="99">((BW13*CG$6)+(BW13*$AO$6)+(BW13*$AP$6))*CE13</f>
        <v>0</v>
      </c>
      <c r="CH13" s="72">
        <f t="shared" ref="CH13:CH18" si="100">((BW13*CH$6)+(BW13*$AO$6)+(BW13*$AP$6))*CF13</f>
        <v>0</v>
      </c>
      <c r="CI13" s="70">
        <f t="shared" ref="CI13:CI18" si="101">SUM(CG13:CH13)</f>
        <v>0</v>
      </c>
      <c r="CJ13" s="73">
        <v>0</v>
      </c>
      <c r="CK13" s="74">
        <f t="shared" ref="CK13:CK18" si="102">IF(BU13=1,($C$1*$Q$6),0)</f>
        <v>282.40000000000003</v>
      </c>
      <c r="CL13" s="303">
        <f>CD13+CI13+CJ13+CK13</f>
        <v>3876.9020888888881</v>
      </c>
      <c r="CM13" s="58">
        <v>1</v>
      </c>
      <c r="CN13" s="68" t="s">
        <v>286</v>
      </c>
      <c r="CO13" s="28">
        <f t="shared" ref="CO13:CO18" si="103">CP13/$AM$4</f>
        <v>11.887454545454544</v>
      </c>
      <c r="CP13" s="69">
        <v>2615.2399999999998</v>
      </c>
      <c r="CQ13" s="28">
        <f t="shared" ref="CQ13:CQ18" si="104">CP13*CQ$6</f>
        <v>261.524</v>
      </c>
      <c r="CR13" s="28">
        <f t="shared" ref="CR13:CR18" si="105">CP13*CR$6</f>
        <v>209.2192</v>
      </c>
      <c r="CS13" s="28">
        <f t="shared" ref="CS13:CS18" si="106">CP13/CS$6</f>
        <v>217.93666666666664</v>
      </c>
      <c r="CT13" s="28">
        <f t="shared" ref="CT13:CT18" si="107">CS13/CT$6</f>
        <v>72.645555555555546</v>
      </c>
      <c r="CU13" s="70">
        <f t="shared" ref="CU13:CU18" si="108">CP13/CU$6</f>
        <v>217.93666666666664</v>
      </c>
      <c r="CV13" s="70">
        <f t="shared" ref="CV13:CV18" si="109">SUM(CP13:CU13)</f>
        <v>3594.502088888888</v>
      </c>
      <c r="CW13" s="71">
        <v>0</v>
      </c>
      <c r="CX13" s="71">
        <v>0</v>
      </c>
      <c r="CY13" s="72">
        <f t="shared" ref="CY13:CY18" si="110">((CO13*CY$6)+(CO13*$AO$6)+(CO13*$AP$6))*CW13</f>
        <v>0</v>
      </c>
      <c r="CZ13" s="72">
        <f t="shared" ref="CZ13:CZ18" si="111">((CO13*CZ$6)+(CO13*$AO$6)+(CO13*$AP$6))*CX13</f>
        <v>0</v>
      </c>
      <c r="DA13" s="70">
        <f t="shared" ref="DA13:DA18" si="112">SUM(CY13:CZ13)</f>
        <v>0</v>
      </c>
      <c r="DB13" s="73">
        <v>0</v>
      </c>
      <c r="DC13" s="74">
        <f t="shared" ref="DC13:DC18" si="113">IF(CM13=1,($C$1*$Q$6),0)</f>
        <v>282.40000000000003</v>
      </c>
      <c r="DD13" s="303">
        <f>CV13+DA13+DB13+DC13</f>
        <v>3876.9020888888881</v>
      </c>
      <c r="DE13" s="58">
        <v>1</v>
      </c>
      <c r="DF13" s="68" t="s">
        <v>286</v>
      </c>
      <c r="DG13" s="28">
        <f t="shared" ref="DG13:DG18" si="114">DH13/$AM$4</f>
        <v>11.887454545454544</v>
      </c>
      <c r="DH13" s="69">
        <v>2615.2399999999998</v>
      </c>
      <c r="DI13" s="28">
        <f t="shared" ref="DI13:DI18" si="115">DH13*DI$6</f>
        <v>261.524</v>
      </c>
      <c r="DJ13" s="28">
        <f t="shared" ref="DJ13:DJ18" si="116">DH13*DJ$6</f>
        <v>209.2192</v>
      </c>
      <c r="DK13" s="28">
        <f t="shared" ref="DK13:DK18" si="117">DH13/DK$6</f>
        <v>217.93666666666664</v>
      </c>
      <c r="DL13" s="28">
        <f t="shared" ref="DL13:DL18" si="118">DK13/DL$6</f>
        <v>72.645555555555546</v>
      </c>
      <c r="DM13" s="70">
        <f t="shared" ref="DM13:DM18" si="119">DH13/DM$6</f>
        <v>217.93666666666664</v>
      </c>
      <c r="DN13" s="70">
        <f t="shared" ref="DN13:DN18" si="120">SUM(DH13:DM13)</f>
        <v>3594.502088888888</v>
      </c>
      <c r="DO13" s="71">
        <v>0</v>
      </c>
      <c r="DP13" s="71">
        <v>0</v>
      </c>
      <c r="DQ13" s="72">
        <f t="shared" ref="DQ13:DQ18" si="121">((DG13*DQ$6)+(DG13*$AO$6)+(DG13*$AP$6))*DO13</f>
        <v>0</v>
      </c>
      <c r="DR13" s="72">
        <f t="shared" ref="DR13:DR18" si="122">((DG13*DR$6)+(DG13*$AO$6)+(DG13*$AP$6))*DP13</f>
        <v>0</v>
      </c>
      <c r="DS13" s="70">
        <f t="shared" ref="DS13:DS18" si="123">SUM(DQ13:DR13)</f>
        <v>0</v>
      </c>
      <c r="DT13" s="73">
        <v>0</v>
      </c>
      <c r="DU13" s="74">
        <f t="shared" ref="DU13:DU18" si="124">IF(DE13=1,($C$1*$Q$6),0)</f>
        <v>282.40000000000003</v>
      </c>
      <c r="DV13" s="303">
        <f>DN13+DS13+DT13+DU13</f>
        <v>3876.9020888888881</v>
      </c>
      <c r="DW13" s="58">
        <v>1</v>
      </c>
      <c r="DX13" s="68" t="s">
        <v>286</v>
      </c>
      <c r="DY13" s="28">
        <f t="shared" ref="DY13:DY18" si="125">DZ13/$AM$4</f>
        <v>11.887454545454544</v>
      </c>
      <c r="DZ13" s="69">
        <v>2615.2399999999998</v>
      </c>
      <c r="EA13" s="28">
        <f t="shared" ref="EA13:EA18" si="126">DZ13*EA$6</f>
        <v>261.524</v>
      </c>
      <c r="EB13" s="28">
        <f t="shared" ref="EB13:EB18" si="127">DZ13*EB$6</f>
        <v>209.2192</v>
      </c>
      <c r="EC13" s="28">
        <f t="shared" ref="EC13:EC18" si="128">DZ13/EC$6</f>
        <v>217.93666666666664</v>
      </c>
      <c r="ED13" s="28">
        <f t="shared" ref="ED13:ED18" si="129">EC13/ED$6</f>
        <v>72.645555555555546</v>
      </c>
      <c r="EE13" s="70">
        <f t="shared" ref="EE13:EE18" si="130">DZ13/EE$6</f>
        <v>217.93666666666664</v>
      </c>
      <c r="EF13" s="70">
        <f t="shared" ref="EF13:EF18" si="131">SUM(DZ13:EE13)</f>
        <v>3594.502088888888</v>
      </c>
      <c r="EG13" s="71">
        <v>0</v>
      </c>
      <c r="EH13" s="71">
        <v>0</v>
      </c>
      <c r="EI13" s="72">
        <f t="shared" ref="EI13:EI18" si="132">((DY13*EI$6)+(DY13*$AO$6)+(DY13*$AP$6))*EG13</f>
        <v>0</v>
      </c>
      <c r="EJ13" s="72">
        <f t="shared" ref="EJ13:EJ18" si="133">((DY13*EJ$6)+(DY13*$AO$6)+(DY13*$AP$6))*EH13</f>
        <v>0</v>
      </c>
      <c r="EK13" s="70">
        <f t="shared" ref="EK13:EK18" si="134">SUM(EI13:EJ13)</f>
        <v>0</v>
      </c>
      <c r="EL13" s="73">
        <v>0</v>
      </c>
      <c r="EM13" s="74">
        <f t="shared" ref="EM13:EM18" si="135">IF(DW13=1,($C$1*$Q$6),0)</f>
        <v>282.40000000000003</v>
      </c>
      <c r="EN13" s="303">
        <f>EF13+EK13+EL13+EM13</f>
        <v>3876.9020888888881</v>
      </c>
      <c r="EO13" s="58">
        <v>1</v>
      </c>
      <c r="EP13" s="68" t="s">
        <v>286</v>
      </c>
      <c r="EQ13" s="28">
        <f t="shared" ref="EQ13:EQ18" si="136">ER13/$AM$4</f>
        <v>11.887454545454544</v>
      </c>
      <c r="ER13" s="69">
        <v>2615.2399999999998</v>
      </c>
      <c r="ES13" s="28">
        <f t="shared" ref="ES13:ES18" si="137">ER13*ES$6</f>
        <v>261.524</v>
      </c>
      <c r="ET13" s="28">
        <f t="shared" ref="ET13:ET18" si="138">ER13*ET$6</f>
        <v>209.2192</v>
      </c>
      <c r="EU13" s="28">
        <f t="shared" ref="EU13:EU18" si="139">ER13/EU$6</f>
        <v>217.93666666666664</v>
      </c>
      <c r="EV13" s="28">
        <f t="shared" ref="EV13:EV18" si="140">EU13/EV$6</f>
        <v>72.645555555555546</v>
      </c>
      <c r="EW13" s="70">
        <f t="shared" ref="EW13:EW18" si="141">ER13/EW$6</f>
        <v>217.93666666666664</v>
      </c>
      <c r="EX13" s="70">
        <f t="shared" ref="EX13:EX18" si="142">SUM(ER13:EW13)</f>
        <v>3594.502088888888</v>
      </c>
      <c r="EY13" s="71">
        <v>0</v>
      </c>
      <c r="EZ13" s="71">
        <v>0</v>
      </c>
      <c r="FA13" s="72">
        <f t="shared" ref="FA13:FA18" si="143">((EQ13*FA$6)+(EQ13*$AO$6)+(EQ13*$AP$6))*EY13</f>
        <v>0</v>
      </c>
      <c r="FB13" s="72">
        <f t="shared" ref="FB13:FB18" si="144">((EQ13*FB$6)+(EQ13*$AO$6)+(EQ13*$AP$6))*EZ13</f>
        <v>0</v>
      </c>
      <c r="FC13" s="70">
        <f t="shared" ref="FC13:FC18" si="145">SUM(FA13:FB13)</f>
        <v>0</v>
      </c>
      <c r="FD13" s="73">
        <v>0</v>
      </c>
      <c r="FE13" s="74">
        <f t="shared" ref="FE13:FE18" si="146">IF(EO13=1,($C$1*$Q$6),0)</f>
        <v>282.40000000000003</v>
      </c>
      <c r="FF13" s="303">
        <f>EX13+FC13+FD13+FE13</f>
        <v>3876.9020888888881</v>
      </c>
      <c r="FG13" s="58">
        <v>1</v>
      </c>
      <c r="FH13" s="68" t="s">
        <v>286</v>
      </c>
      <c r="FI13" s="28">
        <f t="shared" ref="FI13:FI18" si="147">FJ13/$AM$4</f>
        <v>11.887454545454544</v>
      </c>
      <c r="FJ13" s="69">
        <v>2615.2399999999998</v>
      </c>
      <c r="FK13" s="28">
        <f t="shared" ref="FK13:FK18" si="148">FJ13*FK$6</f>
        <v>261.524</v>
      </c>
      <c r="FL13" s="28">
        <f t="shared" ref="FL13:FL18" si="149">FJ13*FL$6</f>
        <v>209.2192</v>
      </c>
      <c r="FM13" s="28">
        <f t="shared" ref="FM13:FM18" si="150">FJ13/FM$6</f>
        <v>217.93666666666664</v>
      </c>
      <c r="FN13" s="28">
        <f t="shared" ref="FN13:FN18" si="151">FM13/FN$6</f>
        <v>72.645555555555546</v>
      </c>
      <c r="FO13" s="70">
        <f t="shared" ref="FO13:FO18" si="152">FJ13/FO$6</f>
        <v>217.93666666666664</v>
      </c>
      <c r="FP13" s="70">
        <f t="shared" ref="FP13:FP18" si="153">SUM(FJ13:FO13)</f>
        <v>3594.502088888888</v>
      </c>
      <c r="FQ13" s="71">
        <v>0</v>
      </c>
      <c r="FR13" s="71">
        <v>0</v>
      </c>
      <c r="FS13" s="72">
        <f t="shared" ref="FS13:FS18" si="154">((FI13*FS$6)+(FI13*$AO$6)+(FI13*$AP$6))*FQ13</f>
        <v>0</v>
      </c>
      <c r="FT13" s="72">
        <f t="shared" ref="FT13:FT18" si="155">((FI13*FT$6)+(FI13*$AO$6)+(FI13*$AP$6))*FR13</f>
        <v>0</v>
      </c>
      <c r="FU13" s="70">
        <f t="shared" ref="FU13:FU18" si="156">SUM(FS13:FT13)</f>
        <v>0</v>
      </c>
      <c r="FV13" s="73">
        <v>0</v>
      </c>
      <c r="FW13" s="74">
        <f t="shared" ref="FW13:FW18" si="157">IF(FG13=1,($C$1*$Q$6),0)</f>
        <v>282.40000000000003</v>
      </c>
      <c r="FX13" s="303">
        <f>FP13+FU13+FV13+FW13</f>
        <v>3876.9020888888881</v>
      </c>
      <c r="FY13" s="58">
        <v>1</v>
      </c>
      <c r="FZ13" s="68" t="s">
        <v>286</v>
      </c>
      <c r="GA13" s="28">
        <f t="shared" ref="GA13:GA18" si="158">GB13/$AM$4</f>
        <v>11.887454545454544</v>
      </c>
      <c r="GB13" s="69">
        <v>2615.2399999999998</v>
      </c>
      <c r="GC13" s="28">
        <f t="shared" ref="GC13:GC18" si="159">GB13*GC$6</f>
        <v>261.524</v>
      </c>
      <c r="GD13" s="28">
        <f t="shared" ref="GD13:GD18" si="160">GB13*GD$6</f>
        <v>209.2192</v>
      </c>
      <c r="GE13" s="28">
        <f t="shared" ref="GE13:GE18" si="161">GB13/GE$6</f>
        <v>217.93666666666664</v>
      </c>
      <c r="GF13" s="28">
        <f t="shared" ref="GF13:GF18" si="162">GE13/GF$6</f>
        <v>72.645555555555546</v>
      </c>
      <c r="GG13" s="70">
        <f t="shared" ref="GG13:GG18" si="163">GB13/GG$6</f>
        <v>217.93666666666664</v>
      </c>
      <c r="GH13" s="70">
        <f t="shared" ref="GH13:GH18" si="164">SUM(GB13:GG13)</f>
        <v>3594.502088888888</v>
      </c>
      <c r="GI13" s="71">
        <v>0</v>
      </c>
      <c r="GJ13" s="71">
        <v>0</v>
      </c>
      <c r="GK13" s="72">
        <f t="shared" ref="GK13:GK18" si="165">((GA13*GK$6)+(GA13*$AO$6)+(GA13*$AP$6))*GI13</f>
        <v>0</v>
      </c>
      <c r="GL13" s="72">
        <f t="shared" ref="GL13:GL18" si="166">((GA13*GL$6)+(GA13*$AO$6)+(GA13*$AP$6))*GJ13</f>
        <v>0</v>
      </c>
      <c r="GM13" s="70">
        <f t="shared" ref="GM13:GM18" si="167">SUM(GK13:GL13)</f>
        <v>0</v>
      </c>
      <c r="GN13" s="73">
        <v>0</v>
      </c>
      <c r="GO13" s="74">
        <f t="shared" ref="GO13:GO18" si="168">IF(FY13=1,($C$1*$Q$6),0)</f>
        <v>282.40000000000003</v>
      </c>
      <c r="GP13" s="303">
        <f>GH13+GM13+GN13+GO13</f>
        <v>3876.9020888888881</v>
      </c>
      <c r="GQ13" s="58">
        <v>1</v>
      </c>
      <c r="GR13" s="68" t="s">
        <v>286</v>
      </c>
      <c r="GS13" s="28">
        <f t="shared" ref="GS13:GS18" si="169">GT13/$AM$4</f>
        <v>11.887454545454544</v>
      </c>
      <c r="GT13" s="69">
        <v>2615.2399999999998</v>
      </c>
      <c r="GU13" s="28">
        <f t="shared" ref="GU13:GU18" si="170">GT13*GU$6</f>
        <v>261.524</v>
      </c>
      <c r="GV13" s="28">
        <f t="shared" ref="GV13:GV18" si="171">GT13*GV$6</f>
        <v>209.2192</v>
      </c>
      <c r="GW13" s="28">
        <f t="shared" ref="GW13:GW18" si="172">GT13/GW$6</f>
        <v>217.93666666666664</v>
      </c>
      <c r="GX13" s="28">
        <f t="shared" ref="GX13:GX18" si="173">GW13/GX$6</f>
        <v>72.645555555555546</v>
      </c>
      <c r="GY13" s="70">
        <f t="shared" ref="GY13:GY18" si="174">GT13/GY$6</f>
        <v>217.93666666666664</v>
      </c>
      <c r="GZ13" s="70">
        <f t="shared" ref="GZ13:GZ18" si="175">SUM(GT13:GY13)</f>
        <v>3594.502088888888</v>
      </c>
      <c r="HA13" s="71">
        <v>0</v>
      </c>
      <c r="HB13" s="71">
        <v>0</v>
      </c>
      <c r="HC13" s="72">
        <f t="shared" ref="HC13:HC18" si="176">((GS13*HC$6)+(GS13*$AO$6)+(GS13*$AP$6))*HA13</f>
        <v>0</v>
      </c>
      <c r="HD13" s="72">
        <f t="shared" ref="HD13:HD18" si="177">((GS13*HD$6)+(GS13*$AO$6)+(GS13*$AP$6))*HB13</f>
        <v>0</v>
      </c>
      <c r="HE13" s="70">
        <f t="shared" ref="HE13:HE18" si="178">SUM(HC13:HD13)</f>
        <v>0</v>
      </c>
      <c r="HF13" s="73">
        <v>0</v>
      </c>
      <c r="HG13" s="74">
        <f t="shared" ref="HG13:HG18" si="179">IF(GQ13=1,($C$1*$Q$6),0)</f>
        <v>282.40000000000003</v>
      </c>
      <c r="HH13" s="303">
        <f>GZ13+HE13+HF13+HG13</f>
        <v>3876.9020888888881</v>
      </c>
      <c r="HJ13" s="37"/>
      <c r="HK13" s="37"/>
      <c r="HL13" s="37"/>
      <c r="HM13" s="37"/>
      <c r="HN13" s="37"/>
      <c r="HO13" s="37"/>
      <c r="HP13" s="37"/>
      <c r="HQ13" s="37"/>
      <c r="HR13" s="37"/>
      <c r="HS13" s="37"/>
      <c r="HT13" s="37"/>
      <c r="HU13" s="37"/>
      <c r="HV13" s="37"/>
      <c r="HW13" s="37"/>
      <c r="HX13" s="37"/>
      <c r="HY13" s="37"/>
      <c r="HZ13" s="37"/>
      <c r="IA13" s="37"/>
      <c r="IB13" s="37"/>
      <c r="IC13" s="37"/>
      <c r="ID13" s="37"/>
      <c r="IE13" s="37"/>
      <c r="IF13" s="37"/>
      <c r="IG13" s="37"/>
      <c r="IH13" s="37"/>
      <c r="II13" s="37"/>
      <c r="IJ13" s="37"/>
      <c r="IK13" s="37"/>
      <c r="IL13" s="37"/>
      <c r="IM13" s="37"/>
      <c r="IN13" s="37"/>
      <c r="IO13" s="37"/>
      <c r="IP13" s="37"/>
    </row>
    <row r="14" spans="1:250" x14ac:dyDescent="0.3">
      <c r="A14" s="58">
        <v>0</v>
      </c>
      <c r="B14" s="68"/>
      <c r="C14" s="28">
        <f t="shared" si="48"/>
        <v>0</v>
      </c>
      <c r="D14" s="69">
        <v>0</v>
      </c>
      <c r="E14" s="28">
        <f t="shared" si="49"/>
        <v>0</v>
      </c>
      <c r="F14" s="28">
        <f t="shared" si="50"/>
        <v>0</v>
      </c>
      <c r="G14" s="28">
        <f t="shared" si="51"/>
        <v>0</v>
      </c>
      <c r="H14" s="28">
        <f t="shared" si="52"/>
        <v>0</v>
      </c>
      <c r="I14" s="70">
        <f t="shared" si="53"/>
        <v>0</v>
      </c>
      <c r="J14" s="70">
        <f t="shared" si="54"/>
        <v>0</v>
      </c>
      <c r="K14" s="71">
        <v>0</v>
      </c>
      <c r="L14" s="71">
        <v>0</v>
      </c>
      <c r="M14" s="72">
        <f t="shared" si="55"/>
        <v>0</v>
      </c>
      <c r="N14" s="72">
        <f t="shared" si="56"/>
        <v>0</v>
      </c>
      <c r="O14" s="70">
        <f t="shared" si="57"/>
        <v>0</v>
      </c>
      <c r="P14" s="73">
        <v>0</v>
      </c>
      <c r="Q14" s="74">
        <f t="shared" si="58"/>
        <v>0</v>
      </c>
      <c r="R14" s="303">
        <f t="shared" ref="R14:R18" si="180">J14+O14+P14+Q14</f>
        <v>0</v>
      </c>
      <c r="S14" s="58">
        <v>0</v>
      </c>
      <c r="T14" s="68"/>
      <c r="U14" s="28">
        <f t="shared" si="59"/>
        <v>0</v>
      </c>
      <c r="V14" s="69">
        <v>0</v>
      </c>
      <c r="W14" s="28">
        <f t="shared" si="60"/>
        <v>0</v>
      </c>
      <c r="X14" s="28">
        <f t="shared" si="61"/>
        <v>0</v>
      </c>
      <c r="Y14" s="28">
        <f t="shared" si="62"/>
        <v>0</v>
      </c>
      <c r="Z14" s="28">
        <f t="shared" si="63"/>
        <v>0</v>
      </c>
      <c r="AA14" s="70">
        <f t="shared" si="64"/>
        <v>0</v>
      </c>
      <c r="AB14" s="70">
        <f t="shared" si="65"/>
        <v>0</v>
      </c>
      <c r="AC14" s="71">
        <v>0</v>
      </c>
      <c r="AD14" s="71">
        <v>0</v>
      </c>
      <c r="AE14" s="72">
        <f t="shared" si="66"/>
        <v>0</v>
      </c>
      <c r="AF14" s="72">
        <f t="shared" si="67"/>
        <v>0</v>
      </c>
      <c r="AG14" s="70">
        <f t="shared" si="68"/>
        <v>0</v>
      </c>
      <c r="AH14" s="73">
        <v>0</v>
      </c>
      <c r="AI14" s="74">
        <f t="shared" si="69"/>
        <v>0</v>
      </c>
      <c r="AJ14" s="303">
        <f t="shared" ref="AJ14:AJ18" si="181">AB14+AG14+AH14+AI14</f>
        <v>0</v>
      </c>
      <c r="AK14" s="58">
        <v>0</v>
      </c>
      <c r="AL14" s="68"/>
      <c r="AM14" s="28">
        <f t="shared" si="70"/>
        <v>0</v>
      </c>
      <c r="AN14" s="69">
        <v>0</v>
      </c>
      <c r="AO14" s="28">
        <f t="shared" si="71"/>
        <v>0</v>
      </c>
      <c r="AP14" s="28">
        <f t="shared" si="72"/>
        <v>0</v>
      </c>
      <c r="AQ14" s="28">
        <f t="shared" si="73"/>
        <v>0</v>
      </c>
      <c r="AR14" s="28">
        <f t="shared" si="74"/>
        <v>0</v>
      </c>
      <c r="AS14" s="70">
        <f t="shared" si="75"/>
        <v>0</v>
      </c>
      <c r="AT14" s="70">
        <f t="shared" si="76"/>
        <v>0</v>
      </c>
      <c r="AU14" s="71">
        <v>0</v>
      </c>
      <c r="AV14" s="71">
        <v>0</v>
      </c>
      <c r="AW14" s="72">
        <f t="shared" si="77"/>
        <v>0</v>
      </c>
      <c r="AX14" s="72">
        <f t="shared" si="78"/>
        <v>0</v>
      </c>
      <c r="AY14" s="70">
        <f t="shared" si="79"/>
        <v>0</v>
      </c>
      <c r="AZ14" s="73">
        <v>0</v>
      </c>
      <c r="BA14" s="74">
        <f t="shared" si="80"/>
        <v>0</v>
      </c>
      <c r="BB14" s="303">
        <f t="shared" ref="BB14:BB18" si="182">AT14+AY14+AZ14+BA14</f>
        <v>0</v>
      </c>
      <c r="BC14" s="58">
        <v>0</v>
      </c>
      <c r="BD14" s="68"/>
      <c r="BE14" s="28">
        <f t="shared" si="81"/>
        <v>0</v>
      </c>
      <c r="BF14" s="69">
        <v>0</v>
      </c>
      <c r="BG14" s="28">
        <f t="shared" si="82"/>
        <v>0</v>
      </c>
      <c r="BH14" s="28">
        <f t="shared" si="83"/>
        <v>0</v>
      </c>
      <c r="BI14" s="28">
        <f t="shared" si="84"/>
        <v>0</v>
      </c>
      <c r="BJ14" s="28">
        <f t="shared" si="85"/>
        <v>0</v>
      </c>
      <c r="BK14" s="70">
        <f t="shared" si="86"/>
        <v>0</v>
      </c>
      <c r="BL14" s="70">
        <f t="shared" si="87"/>
        <v>0</v>
      </c>
      <c r="BM14" s="71">
        <v>0</v>
      </c>
      <c r="BN14" s="71">
        <v>0</v>
      </c>
      <c r="BO14" s="72">
        <f t="shared" si="88"/>
        <v>0</v>
      </c>
      <c r="BP14" s="72">
        <f t="shared" si="89"/>
        <v>0</v>
      </c>
      <c r="BQ14" s="70">
        <f t="shared" si="90"/>
        <v>0</v>
      </c>
      <c r="BR14" s="73">
        <v>0</v>
      </c>
      <c r="BS14" s="74">
        <f t="shared" si="91"/>
        <v>0</v>
      </c>
      <c r="BT14" s="303">
        <f t="shared" ref="BT14:BT18" si="183">BL14+BQ14+BR14+BS14</f>
        <v>0</v>
      </c>
      <c r="BU14" s="58">
        <v>0</v>
      </c>
      <c r="BV14" s="68"/>
      <c r="BW14" s="28">
        <f t="shared" si="92"/>
        <v>0</v>
      </c>
      <c r="BX14" s="69">
        <v>0</v>
      </c>
      <c r="BY14" s="28">
        <f t="shared" si="93"/>
        <v>0</v>
      </c>
      <c r="BZ14" s="28">
        <f t="shared" si="94"/>
        <v>0</v>
      </c>
      <c r="CA14" s="28">
        <f t="shared" si="95"/>
        <v>0</v>
      </c>
      <c r="CB14" s="28">
        <f t="shared" si="96"/>
        <v>0</v>
      </c>
      <c r="CC14" s="70">
        <f t="shared" si="97"/>
        <v>0</v>
      </c>
      <c r="CD14" s="70">
        <f t="shared" si="98"/>
        <v>0</v>
      </c>
      <c r="CE14" s="71">
        <v>0</v>
      </c>
      <c r="CF14" s="71">
        <v>0</v>
      </c>
      <c r="CG14" s="72">
        <f t="shared" si="99"/>
        <v>0</v>
      </c>
      <c r="CH14" s="72">
        <f t="shared" si="100"/>
        <v>0</v>
      </c>
      <c r="CI14" s="70">
        <f t="shared" si="101"/>
        <v>0</v>
      </c>
      <c r="CJ14" s="73">
        <v>0</v>
      </c>
      <c r="CK14" s="74">
        <f t="shared" si="102"/>
        <v>0</v>
      </c>
      <c r="CL14" s="303">
        <f t="shared" ref="CL14:CL18" si="184">CD14+CI14+CJ14+CK14</f>
        <v>0</v>
      </c>
      <c r="CM14" s="58">
        <v>0</v>
      </c>
      <c r="CN14" s="68"/>
      <c r="CO14" s="28">
        <f t="shared" si="103"/>
        <v>0</v>
      </c>
      <c r="CP14" s="69">
        <v>0</v>
      </c>
      <c r="CQ14" s="28">
        <f t="shared" si="104"/>
        <v>0</v>
      </c>
      <c r="CR14" s="28">
        <f t="shared" si="105"/>
        <v>0</v>
      </c>
      <c r="CS14" s="28">
        <f t="shared" si="106"/>
        <v>0</v>
      </c>
      <c r="CT14" s="28">
        <f t="shared" si="107"/>
        <v>0</v>
      </c>
      <c r="CU14" s="70">
        <f t="shared" si="108"/>
        <v>0</v>
      </c>
      <c r="CV14" s="70">
        <f t="shared" si="109"/>
        <v>0</v>
      </c>
      <c r="CW14" s="71">
        <v>0</v>
      </c>
      <c r="CX14" s="71">
        <v>0</v>
      </c>
      <c r="CY14" s="72">
        <f t="shared" si="110"/>
        <v>0</v>
      </c>
      <c r="CZ14" s="72">
        <f t="shared" si="111"/>
        <v>0</v>
      </c>
      <c r="DA14" s="70">
        <f t="shared" si="112"/>
        <v>0</v>
      </c>
      <c r="DB14" s="73">
        <v>0</v>
      </c>
      <c r="DC14" s="74">
        <f t="shared" si="113"/>
        <v>0</v>
      </c>
      <c r="DD14" s="303">
        <f t="shared" ref="DD14:DD18" si="185">CV14+DA14+DB14+DC14</f>
        <v>0</v>
      </c>
      <c r="DE14" s="58">
        <v>0</v>
      </c>
      <c r="DF14" s="68"/>
      <c r="DG14" s="28">
        <f t="shared" si="114"/>
        <v>0</v>
      </c>
      <c r="DH14" s="69">
        <v>0</v>
      </c>
      <c r="DI14" s="28">
        <f t="shared" si="115"/>
        <v>0</v>
      </c>
      <c r="DJ14" s="28">
        <f t="shared" si="116"/>
        <v>0</v>
      </c>
      <c r="DK14" s="28">
        <f t="shared" si="117"/>
        <v>0</v>
      </c>
      <c r="DL14" s="28">
        <f t="shared" si="118"/>
        <v>0</v>
      </c>
      <c r="DM14" s="70">
        <f t="shared" si="119"/>
        <v>0</v>
      </c>
      <c r="DN14" s="70">
        <f t="shared" si="120"/>
        <v>0</v>
      </c>
      <c r="DO14" s="71">
        <v>0</v>
      </c>
      <c r="DP14" s="71">
        <v>0</v>
      </c>
      <c r="DQ14" s="72">
        <f t="shared" si="121"/>
        <v>0</v>
      </c>
      <c r="DR14" s="72">
        <f t="shared" si="122"/>
        <v>0</v>
      </c>
      <c r="DS14" s="70">
        <f t="shared" si="123"/>
        <v>0</v>
      </c>
      <c r="DT14" s="73">
        <v>0</v>
      </c>
      <c r="DU14" s="74">
        <f t="shared" si="124"/>
        <v>0</v>
      </c>
      <c r="DV14" s="303">
        <f t="shared" ref="DV14:DV18" si="186">DN14+DS14+DT14+DU14</f>
        <v>0</v>
      </c>
      <c r="DW14" s="58">
        <v>0</v>
      </c>
      <c r="DX14" s="68"/>
      <c r="DY14" s="28">
        <f t="shared" si="125"/>
        <v>0</v>
      </c>
      <c r="DZ14" s="69">
        <v>0</v>
      </c>
      <c r="EA14" s="28">
        <f t="shared" si="126"/>
        <v>0</v>
      </c>
      <c r="EB14" s="28">
        <f t="shared" si="127"/>
        <v>0</v>
      </c>
      <c r="EC14" s="28">
        <f t="shared" si="128"/>
        <v>0</v>
      </c>
      <c r="ED14" s="28">
        <f t="shared" si="129"/>
        <v>0</v>
      </c>
      <c r="EE14" s="70">
        <f t="shared" si="130"/>
        <v>0</v>
      </c>
      <c r="EF14" s="70">
        <f t="shared" si="131"/>
        <v>0</v>
      </c>
      <c r="EG14" s="71">
        <v>0</v>
      </c>
      <c r="EH14" s="71">
        <v>0</v>
      </c>
      <c r="EI14" s="72">
        <f t="shared" si="132"/>
        <v>0</v>
      </c>
      <c r="EJ14" s="72">
        <f t="shared" si="133"/>
        <v>0</v>
      </c>
      <c r="EK14" s="70">
        <f t="shared" si="134"/>
        <v>0</v>
      </c>
      <c r="EL14" s="73">
        <v>0</v>
      </c>
      <c r="EM14" s="74">
        <f t="shared" si="135"/>
        <v>0</v>
      </c>
      <c r="EN14" s="303">
        <f t="shared" ref="EN14:EN18" si="187">EF14+EK14+EL14+EM14</f>
        <v>0</v>
      </c>
      <c r="EO14" s="58">
        <v>0</v>
      </c>
      <c r="EP14" s="68"/>
      <c r="EQ14" s="28">
        <f t="shared" si="136"/>
        <v>0</v>
      </c>
      <c r="ER14" s="69">
        <v>0</v>
      </c>
      <c r="ES14" s="28">
        <f t="shared" si="137"/>
        <v>0</v>
      </c>
      <c r="ET14" s="28">
        <f t="shared" si="138"/>
        <v>0</v>
      </c>
      <c r="EU14" s="28">
        <f t="shared" si="139"/>
        <v>0</v>
      </c>
      <c r="EV14" s="28">
        <f t="shared" si="140"/>
        <v>0</v>
      </c>
      <c r="EW14" s="70">
        <f t="shared" si="141"/>
        <v>0</v>
      </c>
      <c r="EX14" s="70">
        <f t="shared" si="142"/>
        <v>0</v>
      </c>
      <c r="EY14" s="71">
        <v>0</v>
      </c>
      <c r="EZ14" s="71">
        <v>0</v>
      </c>
      <c r="FA14" s="72">
        <f t="shared" si="143"/>
        <v>0</v>
      </c>
      <c r="FB14" s="72">
        <f t="shared" si="144"/>
        <v>0</v>
      </c>
      <c r="FC14" s="70">
        <f t="shared" si="145"/>
        <v>0</v>
      </c>
      <c r="FD14" s="73">
        <v>0</v>
      </c>
      <c r="FE14" s="74">
        <f t="shared" si="146"/>
        <v>0</v>
      </c>
      <c r="FF14" s="303">
        <f t="shared" ref="FF14:FF18" si="188">EX14+FC14+FD14+FE14</f>
        <v>0</v>
      </c>
      <c r="FG14" s="58">
        <v>0</v>
      </c>
      <c r="FH14" s="68"/>
      <c r="FI14" s="28">
        <f t="shared" si="147"/>
        <v>0</v>
      </c>
      <c r="FJ14" s="69">
        <v>0</v>
      </c>
      <c r="FK14" s="28">
        <f t="shared" si="148"/>
        <v>0</v>
      </c>
      <c r="FL14" s="28">
        <f t="shared" si="149"/>
        <v>0</v>
      </c>
      <c r="FM14" s="28">
        <f t="shared" si="150"/>
        <v>0</v>
      </c>
      <c r="FN14" s="28">
        <f t="shared" si="151"/>
        <v>0</v>
      </c>
      <c r="FO14" s="70">
        <f t="shared" si="152"/>
        <v>0</v>
      </c>
      <c r="FP14" s="70">
        <f t="shared" si="153"/>
        <v>0</v>
      </c>
      <c r="FQ14" s="71">
        <v>0</v>
      </c>
      <c r="FR14" s="71">
        <v>0</v>
      </c>
      <c r="FS14" s="72">
        <f t="shared" si="154"/>
        <v>0</v>
      </c>
      <c r="FT14" s="72">
        <f t="shared" si="155"/>
        <v>0</v>
      </c>
      <c r="FU14" s="70">
        <f t="shared" si="156"/>
        <v>0</v>
      </c>
      <c r="FV14" s="73">
        <v>0</v>
      </c>
      <c r="FW14" s="74">
        <f t="shared" si="157"/>
        <v>0</v>
      </c>
      <c r="FX14" s="303">
        <f t="shared" ref="FX14:FX18" si="189">FP14+FU14+FV14+FW14</f>
        <v>0</v>
      </c>
      <c r="FY14" s="58">
        <v>0</v>
      </c>
      <c r="FZ14" s="68"/>
      <c r="GA14" s="28">
        <f t="shared" si="158"/>
        <v>0</v>
      </c>
      <c r="GB14" s="69">
        <v>0</v>
      </c>
      <c r="GC14" s="28">
        <f t="shared" si="159"/>
        <v>0</v>
      </c>
      <c r="GD14" s="28">
        <f t="shared" si="160"/>
        <v>0</v>
      </c>
      <c r="GE14" s="28">
        <f t="shared" si="161"/>
        <v>0</v>
      </c>
      <c r="GF14" s="28">
        <f t="shared" si="162"/>
        <v>0</v>
      </c>
      <c r="GG14" s="70">
        <f t="shared" si="163"/>
        <v>0</v>
      </c>
      <c r="GH14" s="70">
        <f t="shared" si="164"/>
        <v>0</v>
      </c>
      <c r="GI14" s="71">
        <v>0</v>
      </c>
      <c r="GJ14" s="71">
        <v>0</v>
      </c>
      <c r="GK14" s="72">
        <f t="shared" si="165"/>
        <v>0</v>
      </c>
      <c r="GL14" s="72">
        <f t="shared" si="166"/>
        <v>0</v>
      </c>
      <c r="GM14" s="70">
        <f t="shared" si="167"/>
        <v>0</v>
      </c>
      <c r="GN14" s="73">
        <v>0</v>
      </c>
      <c r="GO14" s="74">
        <f t="shared" si="168"/>
        <v>0</v>
      </c>
      <c r="GP14" s="303">
        <f t="shared" ref="GP14:GP18" si="190">GH14+GM14+GN14+GO14</f>
        <v>0</v>
      </c>
      <c r="GQ14" s="58">
        <v>0</v>
      </c>
      <c r="GR14" s="68"/>
      <c r="GS14" s="28">
        <f t="shared" si="169"/>
        <v>0</v>
      </c>
      <c r="GT14" s="69">
        <v>0</v>
      </c>
      <c r="GU14" s="28">
        <f t="shared" si="170"/>
        <v>0</v>
      </c>
      <c r="GV14" s="28">
        <f t="shared" si="171"/>
        <v>0</v>
      </c>
      <c r="GW14" s="28">
        <f t="shared" si="172"/>
        <v>0</v>
      </c>
      <c r="GX14" s="28">
        <f t="shared" si="173"/>
        <v>0</v>
      </c>
      <c r="GY14" s="70">
        <f t="shared" si="174"/>
        <v>0</v>
      </c>
      <c r="GZ14" s="70">
        <f t="shared" si="175"/>
        <v>0</v>
      </c>
      <c r="HA14" s="71">
        <v>0</v>
      </c>
      <c r="HB14" s="71">
        <v>0</v>
      </c>
      <c r="HC14" s="72">
        <f t="shared" si="176"/>
        <v>0</v>
      </c>
      <c r="HD14" s="72">
        <f t="shared" si="177"/>
        <v>0</v>
      </c>
      <c r="HE14" s="70">
        <f t="shared" si="178"/>
        <v>0</v>
      </c>
      <c r="HF14" s="73">
        <v>0</v>
      </c>
      <c r="HG14" s="74">
        <f t="shared" si="179"/>
        <v>0</v>
      </c>
      <c r="HH14" s="303">
        <f t="shared" ref="HH14:HH18" si="191">GZ14+HE14+HF14+HG14</f>
        <v>0</v>
      </c>
      <c r="HJ14" s="37"/>
      <c r="HK14" s="37"/>
      <c r="HL14" s="37"/>
      <c r="HM14" s="37"/>
      <c r="HN14" s="37"/>
      <c r="HO14" s="37"/>
      <c r="HP14" s="37"/>
      <c r="HQ14" s="37"/>
      <c r="HR14" s="37"/>
      <c r="HS14" s="37"/>
      <c r="HT14" s="37"/>
      <c r="HU14" s="37"/>
      <c r="HV14" s="37"/>
      <c r="HW14" s="37"/>
      <c r="HX14" s="37"/>
      <c r="HY14" s="37"/>
      <c r="HZ14" s="37"/>
      <c r="IA14" s="37"/>
      <c r="IB14" s="37"/>
      <c r="IC14" s="37"/>
      <c r="ID14" s="37"/>
      <c r="IE14" s="37"/>
      <c r="IF14" s="37"/>
      <c r="IG14" s="37"/>
      <c r="IH14" s="37"/>
      <c r="II14" s="37"/>
      <c r="IJ14" s="37"/>
      <c r="IK14" s="37"/>
      <c r="IL14" s="37"/>
      <c r="IM14" s="37"/>
      <c r="IN14" s="37"/>
      <c r="IO14" s="37"/>
      <c r="IP14" s="37"/>
    </row>
    <row r="15" spans="1:250" x14ac:dyDescent="0.3">
      <c r="A15" s="58">
        <v>0</v>
      </c>
      <c r="B15" s="68"/>
      <c r="C15" s="28">
        <f t="shared" si="48"/>
        <v>0</v>
      </c>
      <c r="D15" s="69">
        <v>0</v>
      </c>
      <c r="E15" s="28">
        <f t="shared" si="49"/>
        <v>0</v>
      </c>
      <c r="F15" s="28">
        <f t="shared" si="50"/>
        <v>0</v>
      </c>
      <c r="G15" s="28">
        <f t="shared" si="51"/>
        <v>0</v>
      </c>
      <c r="H15" s="28">
        <f t="shared" si="52"/>
        <v>0</v>
      </c>
      <c r="I15" s="70">
        <f t="shared" si="53"/>
        <v>0</v>
      </c>
      <c r="J15" s="70">
        <f t="shared" si="54"/>
        <v>0</v>
      </c>
      <c r="K15" s="71">
        <v>0</v>
      </c>
      <c r="L15" s="71">
        <v>0</v>
      </c>
      <c r="M15" s="72">
        <f t="shared" si="55"/>
        <v>0</v>
      </c>
      <c r="N15" s="72">
        <f t="shared" si="56"/>
        <v>0</v>
      </c>
      <c r="O15" s="70">
        <f t="shared" si="57"/>
        <v>0</v>
      </c>
      <c r="P15" s="73">
        <v>0</v>
      </c>
      <c r="Q15" s="74">
        <f t="shared" si="58"/>
        <v>0</v>
      </c>
      <c r="R15" s="303">
        <f t="shared" si="180"/>
        <v>0</v>
      </c>
      <c r="S15" s="58">
        <v>0</v>
      </c>
      <c r="T15" s="68"/>
      <c r="U15" s="28">
        <f t="shared" si="59"/>
        <v>0</v>
      </c>
      <c r="V15" s="69">
        <v>0</v>
      </c>
      <c r="W15" s="28">
        <f t="shared" si="60"/>
        <v>0</v>
      </c>
      <c r="X15" s="28">
        <f t="shared" si="61"/>
        <v>0</v>
      </c>
      <c r="Y15" s="28">
        <f t="shared" si="62"/>
        <v>0</v>
      </c>
      <c r="Z15" s="28">
        <f t="shared" si="63"/>
        <v>0</v>
      </c>
      <c r="AA15" s="70">
        <f t="shared" si="64"/>
        <v>0</v>
      </c>
      <c r="AB15" s="70">
        <f t="shared" si="65"/>
        <v>0</v>
      </c>
      <c r="AC15" s="71">
        <v>0</v>
      </c>
      <c r="AD15" s="71">
        <v>0</v>
      </c>
      <c r="AE15" s="72">
        <f t="shared" si="66"/>
        <v>0</v>
      </c>
      <c r="AF15" s="72">
        <f t="shared" si="67"/>
        <v>0</v>
      </c>
      <c r="AG15" s="70">
        <f t="shared" si="68"/>
        <v>0</v>
      </c>
      <c r="AH15" s="73">
        <v>0</v>
      </c>
      <c r="AI15" s="74">
        <f t="shared" si="69"/>
        <v>0</v>
      </c>
      <c r="AJ15" s="303">
        <f t="shared" si="181"/>
        <v>0</v>
      </c>
      <c r="AK15" s="58">
        <v>0</v>
      </c>
      <c r="AL15" s="68"/>
      <c r="AM15" s="28">
        <f t="shared" si="70"/>
        <v>0</v>
      </c>
      <c r="AN15" s="69">
        <v>0</v>
      </c>
      <c r="AO15" s="28">
        <f t="shared" si="71"/>
        <v>0</v>
      </c>
      <c r="AP15" s="28">
        <f t="shared" si="72"/>
        <v>0</v>
      </c>
      <c r="AQ15" s="28">
        <f t="shared" si="73"/>
        <v>0</v>
      </c>
      <c r="AR15" s="28">
        <f t="shared" si="74"/>
        <v>0</v>
      </c>
      <c r="AS15" s="70">
        <f t="shared" si="75"/>
        <v>0</v>
      </c>
      <c r="AT15" s="70">
        <f t="shared" si="76"/>
        <v>0</v>
      </c>
      <c r="AU15" s="71">
        <v>0</v>
      </c>
      <c r="AV15" s="71">
        <v>0</v>
      </c>
      <c r="AW15" s="72">
        <f t="shared" si="77"/>
        <v>0</v>
      </c>
      <c r="AX15" s="72">
        <f t="shared" si="78"/>
        <v>0</v>
      </c>
      <c r="AY15" s="70">
        <f t="shared" si="79"/>
        <v>0</v>
      </c>
      <c r="AZ15" s="73">
        <v>0</v>
      </c>
      <c r="BA15" s="74">
        <f t="shared" si="80"/>
        <v>0</v>
      </c>
      <c r="BB15" s="303">
        <f t="shared" si="182"/>
        <v>0</v>
      </c>
      <c r="BC15" s="58">
        <v>0</v>
      </c>
      <c r="BD15" s="68"/>
      <c r="BE15" s="28">
        <f t="shared" si="81"/>
        <v>0</v>
      </c>
      <c r="BF15" s="69">
        <v>0</v>
      </c>
      <c r="BG15" s="28">
        <f t="shared" si="82"/>
        <v>0</v>
      </c>
      <c r="BH15" s="28">
        <f t="shared" si="83"/>
        <v>0</v>
      </c>
      <c r="BI15" s="28">
        <f t="shared" si="84"/>
        <v>0</v>
      </c>
      <c r="BJ15" s="28">
        <f t="shared" si="85"/>
        <v>0</v>
      </c>
      <c r="BK15" s="70">
        <f t="shared" si="86"/>
        <v>0</v>
      </c>
      <c r="BL15" s="70">
        <f t="shared" si="87"/>
        <v>0</v>
      </c>
      <c r="BM15" s="71">
        <v>0</v>
      </c>
      <c r="BN15" s="71">
        <v>0</v>
      </c>
      <c r="BO15" s="72">
        <f t="shared" si="88"/>
        <v>0</v>
      </c>
      <c r="BP15" s="72">
        <f t="shared" si="89"/>
        <v>0</v>
      </c>
      <c r="BQ15" s="70">
        <f t="shared" si="90"/>
        <v>0</v>
      </c>
      <c r="BR15" s="73">
        <v>0</v>
      </c>
      <c r="BS15" s="74">
        <f t="shared" si="91"/>
        <v>0</v>
      </c>
      <c r="BT15" s="303">
        <f t="shared" si="183"/>
        <v>0</v>
      </c>
      <c r="BU15" s="58">
        <v>0</v>
      </c>
      <c r="BV15" s="68"/>
      <c r="BW15" s="28">
        <f t="shared" si="92"/>
        <v>0</v>
      </c>
      <c r="BX15" s="69">
        <v>0</v>
      </c>
      <c r="BY15" s="28">
        <f t="shared" si="93"/>
        <v>0</v>
      </c>
      <c r="BZ15" s="28">
        <f t="shared" si="94"/>
        <v>0</v>
      </c>
      <c r="CA15" s="28">
        <f t="shared" si="95"/>
        <v>0</v>
      </c>
      <c r="CB15" s="28">
        <f t="shared" si="96"/>
        <v>0</v>
      </c>
      <c r="CC15" s="70">
        <f t="shared" si="97"/>
        <v>0</v>
      </c>
      <c r="CD15" s="70">
        <f t="shared" si="98"/>
        <v>0</v>
      </c>
      <c r="CE15" s="71">
        <v>0</v>
      </c>
      <c r="CF15" s="71">
        <v>0</v>
      </c>
      <c r="CG15" s="72">
        <f t="shared" si="99"/>
        <v>0</v>
      </c>
      <c r="CH15" s="72">
        <f t="shared" si="100"/>
        <v>0</v>
      </c>
      <c r="CI15" s="70">
        <f t="shared" si="101"/>
        <v>0</v>
      </c>
      <c r="CJ15" s="73">
        <v>0</v>
      </c>
      <c r="CK15" s="74">
        <f t="shared" si="102"/>
        <v>0</v>
      </c>
      <c r="CL15" s="303">
        <f t="shared" si="184"/>
        <v>0</v>
      </c>
      <c r="CM15" s="58">
        <v>0</v>
      </c>
      <c r="CN15" s="68"/>
      <c r="CO15" s="28">
        <f t="shared" si="103"/>
        <v>0</v>
      </c>
      <c r="CP15" s="69">
        <v>0</v>
      </c>
      <c r="CQ15" s="28">
        <f t="shared" si="104"/>
        <v>0</v>
      </c>
      <c r="CR15" s="28">
        <f t="shared" si="105"/>
        <v>0</v>
      </c>
      <c r="CS15" s="28">
        <f t="shared" si="106"/>
        <v>0</v>
      </c>
      <c r="CT15" s="28">
        <f t="shared" si="107"/>
        <v>0</v>
      </c>
      <c r="CU15" s="70">
        <f t="shared" si="108"/>
        <v>0</v>
      </c>
      <c r="CV15" s="70">
        <f t="shared" si="109"/>
        <v>0</v>
      </c>
      <c r="CW15" s="71">
        <v>0</v>
      </c>
      <c r="CX15" s="71">
        <v>0</v>
      </c>
      <c r="CY15" s="72">
        <f t="shared" si="110"/>
        <v>0</v>
      </c>
      <c r="CZ15" s="72">
        <f t="shared" si="111"/>
        <v>0</v>
      </c>
      <c r="DA15" s="70">
        <f t="shared" si="112"/>
        <v>0</v>
      </c>
      <c r="DB15" s="73">
        <v>0</v>
      </c>
      <c r="DC15" s="74">
        <f t="shared" si="113"/>
        <v>0</v>
      </c>
      <c r="DD15" s="303">
        <f t="shared" si="185"/>
        <v>0</v>
      </c>
      <c r="DE15" s="58">
        <v>0</v>
      </c>
      <c r="DF15" s="68"/>
      <c r="DG15" s="28">
        <f t="shared" si="114"/>
        <v>0</v>
      </c>
      <c r="DH15" s="69">
        <v>0</v>
      </c>
      <c r="DI15" s="28">
        <f t="shared" si="115"/>
        <v>0</v>
      </c>
      <c r="DJ15" s="28">
        <f t="shared" si="116"/>
        <v>0</v>
      </c>
      <c r="DK15" s="28">
        <f t="shared" si="117"/>
        <v>0</v>
      </c>
      <c r="DL15" s="28">
        <f t="shared" si="118"/>
        <v>0</v>
      </c>
      <c r="DM15" s="70">
        <f t="shared" si="119"/>
        <v>0</v>
      </c>
      <c r="DN15" s="70">
        <f t="shared" si="120"/>
        <v>0</v>
      </c>
      <c r="DO15" s="71">
        <v>0</v>
      </c>
      <c r="DP15" s="71">
        <v>0</v>
      </c>
      <c r="DQ15" s="72">
        <f t="shared" si="121"/>
        <v>0</v>
      </c>
      <c r="DR15" s="72">
        <f t="shared" si="122"/>
        <v>0</v>
      </c>
      <c r="DS15" s="70">
        <f t="shared" si="123"/>
        <v>0</v>
      </c>
      <c r="DT15" s="73">
        <v>0</v>
      </c>
      <c r="DU15" s="74">
        <f t="shared" si="124"/>
        <v>0</v>
      </c>
      <c r="DV15" s="303">
        <f t="shared" si="186"/>
        <v>0</v>
      </c>
      <c r="DW15" s="58">
        <v>0</v>
      </c>
      <c r="DX15" s="68"/>
      <c r="DY15" s="28">
        <f t="shared" si="125"/>
        <v>0</v>
      </c>
      <c r="DZ15" s="69">
        <v>0</v>
      </c>
      <c r="EA15" s="28">
        <f t="shared" si="126"/>
        <v>0</v>
      </c>
      <c r="EB15" s="28">
        <f t="shared" si="127"/>
        <v>0</v>
      </c>
      <c r="EC15" s="28">
        <f t="shared" si="128"/>
        <v>0</v>
      </c>
      <c r="ED15" s="28">
        <f t="shared" si="129"/>
        <v>0</v>
      </c>
      <c r="EE15" s="70">
        <f t="shared" si="130"/>
        <v>0</v>
      </c>
      <c r="EF15" s="70">
        <f t="shared" si="131"/>
        <v>0</v>
      </c>
      <c r="EG15" s="71">
        <v>0</v>
      </c>
      <c r="EH15" s="71">
        <v>0</v>
      </c>
      <c r="EI15" s="72">
        <f t="shared" si="132"/>
        <v>0</v>
      </c>
      <c r="EJ15" s="72">
        <f t="shared" si="133"/>
        <v>0</v>
      </c>
      <c r="EK15" s="70">
        <f t="shared" si="134"/>
        <v>0</v>
      </c>
      <c r="EL15" s="73">
        <v>0</v>
      </c>
      <c r="EM15" s="74">
        <f t="shared" si="135"/>
        <v>0</v>
      </c>
      <c r="EN15" s="303">
        <f t="shared" si="187"/>
        <v>0</v>
      </c>
      <c r="EO15" s="58">
        <v>0</v>
      </c>
      <c r="EP15" s="68"/>
      <c r="EQ15" s="28">
        <f t="shared" si="136"/>
        <v>0</v>
      </c>
      <c r="ER15" s="69">
        <v>0</v>
      </c>
      <c r="ES15" s="28">
        <f t="shared" si="137"/>
        <v>0</v>
      </c>
      <c r="ET15" s="28">
        <f t="shared" si="138"/>
        <v>0</v>
      </c>
      <c r="EU15" s="28">
        <f t="shared" si="139"/>
        <v>0</v>
      </c>
      <c r="EV15" s="28">
        <f t="shared" si="140"/>
        <v>0</v>
      </c>
      <c r="EW15" s="70">
        <f t="shared" si="141"/>
        <v>0</v>
      </c>
      <c r="EX15" s="70">
        <f t="shared" si="142"/>
        <v>0</v>
      </c>
      <c r="EY15" s="71">
        <v>0</v>
      </c>
      <c r="EZ15" s="71">
        <v>0</v>
      </c>
      <c r="FA15" s="72">
        <f t="shared" si="143"/>
        <v>0</v>
      </c>
      <c r="FB15" s="72">
        <f t="shared" si="144"/>
        <v>0</v>
      </c>
      <c r="FC15" s="70">
        <f t="shared" si="145"/>
        <v>0</v>
      </c>
      <c r="FD15" s="73">
        <v>0</v>
      </c>
      <c r="FE15" s="74">
        <f t="shared" si="146"/>
        <v>0</v>
      </c>
      <c r="FF15" s="303">
        <f t="shared" si="188"/>
        <v>0</v>
      </c>
      <c r="FG15" s="58">
        <v>0</v>
      </c>
      <c r="FH15" s="68"/>
      <c r="FI15" s="28">
        <f t="shared" si="147"/>
        <v>0</v>
      </c>
      <c r="FJ15" s="69">
        <v>0</v>
      </c>
      <c r="FK15" s="28">
        <f t="shared" si="148"/>
        <v>0</v>
      </c>
      <c r="FL15" s="28">
        <f t="shared" si="149"/>
        <v>0</v>
      </c>
      <c r="FM15" s="28">
        <f t="shared" si="150"/>
        <v>0</v>
      </c>
      <c r="FN15" s="28">
        <f t="shared" si="151"/>
        <v>0</v>
      </c>
      <c r="FO15" s="70">
        <f t="shared" si="152"/>
        <v>0</v>
      </c>
      <c r="FP15" s="70">
        <f t="shared" si="153"/>
        <v>0</v>
      </c>
      <c r="FQ15" s="71">
        <v>0</v>
      </c>
      <c r="FR15" s="71">
        <v>0</v>
      </c>
      <c r="FS15" s="72">
        <f t="shared" si="154"/>
        <v>0</v>
      </c>
      <c r="FT15" s="72">
        <f t="shared" si="155"/>
        <v>0</v>
      </c>
      <c r="FU15" s="70">
        <f t="shared" si="156"/>
        <v>0</v>
      </c>
      <c r="FV15" s="73">
        <v>0</v>
      </c>
      <c r="FW15" s="74">
        <f t="shared" si="157"/>
        <v>0</v>
      </c>
      <c r="FX15" s="303">
        <f t="shared" si="189"/>
        <v>0</v>
      </c>
      <c r="FY15" s="58">
        <v>0</v>
      </c>
      <c r="FZ15" s="68"/>
      <c r="GA15" s="28">
        <f t="shared" si="158"/>
        <v>0</v>
      </c>
      <c r="GB15" s="69">
        <v>0</v>
      </c>
      <c r="GC15" s="28">
        <f t="shared" si="159"/>
        <v>0</v>
      </c>
      <c r="GD15" s="28">
        <f t="shared" si="160"/>
        <v>0</v>
      </c>
      <c r="GE15" s="28">
        <f t="shared" si="161"/>
        <v>0</v>
      </c>
      <c r="GF15" s="28">
        <f t="shared" si="162"/>
        <v>0</v>
      </c>
      <c r="GG15" s="70">
        <f t="shared" si="163"/>
        <v>0</v>
      </c>
      <c r="GH15" s="70">
        <f t="shared" si="164"/>
        <v>0</v>
      </c>
      <c r="GI15" s="71">
        <v>0</v>
      </c>
      <c r="GJ15" s="71">
        <v>0</v>
      </c>
      <c r="GK15" s="72">
        <f t="shared" si="165"/>
        <v>0</v>
      </c>
      <c r="GL15" s="72">
        <f t="shared" si="166"/>
        <v>0</v>
      </c>
      <c r="GM15" s="70">
        <f t="shared" si="167"/>
        <v>0</v>
      </c>
      <c r="GN15" s="73">
        <v>0</v>
      </c>
      <c r="GO15" s="74">
        <f t="shared" si="168"/>
        <v>0</v>
      </c>
      <c r="GP15" s="303">
        <f t="shared" si="190"/>
        <v>0</v>
      </c>
      <c r="GQ15" s="58">
        <v>0</v>
      </c>
      <c r="GR15" s="68"/>
      <c r="GS15" s="28">
        <f t="shared" si="169"/>
        <v>0</v>
      </c>
      <c r="GT15" s="69">
        <v>0</v>
      </c>
      <c r="GU15" s="28">
        <f t="shared" si="170"/>
        <v>0</v>
      </c>
      <c r="GV15" s="28">
        <f t="shared" si="171"/>
        <v>0</v>
      </c>
      <c r="GW15" s="28">
        <f t="shared" si="172"/>
        <v>0</v>
      </c>
      <c r="GX15" s="28">
        <f t="shared" si="173"/>
        <v>0</v>
      </c>
      <c r="GY15" s="70">
        <f t="shared" si="174"/>
        <v>0</v>
      </c>
      <c r="GZ15" s="70">
        <f t="shared" si="175"/>
        <v>0</v>
      </c>
      <c r="HA15" s="71">
        <v>0</v>
      </c>
      <c r="HB15" s="71">
        <v>0</v>
      </c>
      <c r="HC15" s="72">
        <f t="shared" si="176"/>
        <v>0</v>
      </c>
      <c r="HD15" s="72">
        <f t="shared" si="177"/>
        <v>0</v>
      </c>
      <c r="HE15" s="70">
        <f t="shared" si="178"/>
        <v>0</v>
      </c>
      <c r="HF15" s="73">
        <v>0</v>
      </c>
      <c r="HG15" s="74">
        <f t="shared" si="179"/>
        <v>0</v>
      </c>
      <c r="HH15" s="303">
        <f t="shared" si="191"/>
        <v>0</v>
      </c>
      <c r="HJ15" s="37"/>
      <c r="HK15" s="37"/>
      <c r="HL15" s="37"/>
      <c r="HM15" s="37"/>
      <c r="HN15" s="37"/>
      <c r="HO15" s="37"/>
      <c r="HP15" s="37"/>
      <c r="HQ15" s="37"/>
      <c r="HR15" s="37"/>
      <c r="HS15" s="37"/>
      <c r="HT15" s="37"/>
      <c r="HU15" s="37"/>
      <c r="HV15" s="37"/>
      <c r="HW15" s="37"/>
      <c r="HX15" s="37"/>
      <c r="HY15" s="37"/>
      <c r="HZ15" s="37"/>
      <c r="IA15" s="37"/>
      <c r="IB15" s="37"/>
      <c r="IC15" s="37"/>
      <c r="ID15" s="37"/>
      <c r="IE15" s="37"/>
      <c r="IF15" s="37"/>
      <c r="IG15" s="37"/>
      <c r="IH15" s="37"/>
      <c r="II15" s="37"/>
      <c r="IJ15" s="37"/>
      <c r="IK15" s="37"/>
      <c r="IL15" s="37"/>
      <c r="IM15" s="37"/>
      <c r="IN15" s="37"/>
      <c r="IO15" s="37"/>
      <c r="IP15" s="37"/>
    </row>
    <row r="16" spans="1:250" x14ac:dyDescent="0.3">
      <c r="A16" s="58">
        <v>0</v>
      </c>
      <c r="B16" s="68"/>
      <c r="C16" s="28">
        <f t="shared" si="48"/>
        <v>0</v>
      </c>
      <c r="D16" s="69">
        <v>0</v>
      </c>
      <c r="E16" s="28">
        <f t="shared" si="49"/>
        <v>0</v>
      </c>
      <c r="F16" s="28">
        <f t="shared" si="50"/>
        <v>0</v>
      </c>
      <c r="G16" s="28">
        <f t="shared" si="51"/>
        <v>0</v>
      </c>
      <c r="H16" s="28">
        <f t="shared" si="52"/>
        <v>0</v>
      </c>
      <c r="I16" s="70">
        <f t="shared" si="53"/>
        <v>0</v>
      </c>
      <c r="J16" s="70">
        <f t="shared" si="54"/>
        <v>0</v>
      </c>
      <c r="K16" s="71">
        <v>0</v>
      </c>
      <c r="L16" s="63">
        <v>0</v>
      </c>
      <c r="M16" s="72">
        <f t="shared" si="55"/>
        <v>0</v>
      </c>
      <c r="N16" s="72">
        <f t="shared" si="56"/>
        <v>0</v>
      </c>
      <c r="O16" s="70">
        <f t="shared" si="57"/>
        <v>0</v>
      </c>
      <c r="P16" s="73">
        <v>0</v>
      </c>
      <c r="Q16" s="74">
        <f t="shared" si="58"/>
        <v>0</v>
      </c>
      <c r="R16" s="303">
        <f t="shared" si="180"/>
        <v>0</v>
      </c>
      <c r="S16" s="58">
        <v>0</v>
      </c>
      <c r="T16" s="68"/>
      <c r="U16" s="28">
        <f t="shared" si="59"/>
        <v>0</v>
      </c>
      <c r="V16" s="69">
        <v>0</v>
      </c>
      <c r="W16" s="28">
        <f t="shared" si="60"/>
        <v>0</v>
      </c>
      <c r="X16" s="28">
        <f t="shared" si="61"/>
        <v>0</v>
      </c>
      <c r="Y16" s="28">
        <f t="shared" si="62"/>
        <v>0</v>
      </c>
      <c r="Z16" s="28">
        <f t="shared" si="63"/>
        <v>0</v>
      </c>
      <c r="AA16" s="70">
        <f t="shared" si="64"/>
        <v>0</v>
      </c>
      <c r="AB16" s="70">
        <f t="shared" si="65"/>
        <v>0</v>
      </c>
      <c r="AC16" s="71">
        <v>0</v>
      </c>
      <c r="AD16" s="63">
        <v>0</v>
      </c>
      <c r="AE16" s="72">
        <f t="shared" si="66"/>
        <v>0</v>
      </c>
      <c r="AF16" s="72">
        <f t="shared" si="67"/>
        <v>0</v>
      </c>
      <c r="AG16" s="70">
        <f t="shared" si="68"/>
        <v>0</v>
      </c>
      <c r="AH16" s="73">
        <v>0</v>
      </c>
      <c r="AI16" s="74">
        <f t="shared" si="69"/>
        <v>0</v>
      </c>
      <c r="AJ16" s="303">
        <f t="shared" si="181"/>
        <v>0</v>
      </c>
      <c r="AK16" s="58">
        <v>0</v>
      </c>
      <c r="AL16" s="68"/>
      <c r="AM16" s="28">
        <f t="shared" si="70"/>
        <v>0</v>
      </c>
      <c r="AN16" s="69">
        <v>0</v>
      </c>
      <c r="AO16" s="28">
        <f t="shared" si="71"/>
        <v>0</v>
      </c>
      <c r="AP16" s="28">
        <f t="shared" si="72"/>
        <v>0</v>
      </c>
      <c r="AQ16" s="28">
        <f t="shared" si="73"/>
        <v>0</v>
      </c>
      <c r="AR16" s="28">
        <f t="shared" si="74"/>
        <v>0</v>
      </c>
      <c r="AS16" s="70">
        <f t="shared" si="75"/>
        <v>0</v>
      </c>
      <c r="AT16" s="70">
        <f t="shared" si="76"/>
        <v>0</v>
      </c>
      <c r="AU16" s="71">
        <v>0</v>
      </c>
      <c r="AV16" s="63">
        <v>0</v>
      </c>
      <c r="AW16" s="72">
        <f t="shared" si="77"/>
        <v>0</v>
      </c>
      <c r="AX16" s="72">
        <f t="shared" si="78"/>
        <v>0</v>
      </c>
      <c r="AY16" s="70">
        <f t="shared" si="79"/>
        <v>0</v>
      </c>
      <c r="AZ16" s="73">
        <v>0</v>
      </c>
      <c r="BA16" s="74">
        <f t="shared" si="80"/>
        <v>0</v>
      </c>
      <c r="BB16" s="303">
        <f t="shared" si="182"/>
        <v>0</v>
      </c>
      <c r="BC16" s="58">
        <v>0</v>
      </c>
      <c r="BD16" s="68"/>
      <c r="BE16" s="28">
        <f t="shared" si="81"/>
        <v>0</v>
      </c>
      <c r="BF16" s="69">
        <v>0</v>
      </c>
      <c r="BG16" s="28">
        <f t="shared" si="82"/>
        <v>0</v>
      </c>
      <c r="BH16" s="28">
        <f t="shared" si="83"/>
        <v>0</v>
      </c>
      <c r="BI16" s="28">
        <f t="shared" si="84"/>
        <v>0</v>
      </c>
      <c r="BJ16" s="28">
        <f t="shared" si="85"/>
        <v>0</v>
      </c>
      <c r="BK16" s="70">
        <f t="shared" si="86"/>
        <v>0</v>
      </c>
      <c r="BL16" s="70">
        <f t="shared" si="87"/>
        <v>0</v>
      </c>
      <c r="BM16" s="71">
        <v>0</v>
      </c>
      <c r="BN16" s="63">
        <v>0</v>
      </c>
      <c r="BO16" s="72">
        <f t="shared" si="88"/>
        <v>0</v>
      </c>
      <c r="BP16" s="72">
        <f t="shared" si="89"/>
        <v>0</v>
      </c>
      <c r="BQ16" s="70">
        <f t="shared" si="90"/>
        <v>0</v>
      </c>
      <c r="BR16" s="73">
        <v>0</v>
      </c>
      <c r="BS16" s="74">
        <f t="shared" si="91"/>
        <v>0</v>
      </c>
      <c r="BT16" s="303">
        <f t="shared" si="183"/>
        <v>0</v>
      </c>
      <c r="BU16" s="58">
        <v>0</v>
      </c>
      <c r="BV16" s="68"/>
      <c r="BW16" s="28">
        <f t="shared" si="92"/>
        <v>0</v>
      </c>
      <c r="BX16" s="69">
        <v>0</v>
      </c>
      <c r="BY16" s="28">
        <f t="shared" si="93"/>
        <v>0</v>
      </c>
      <c r="BZ16" s="28">
        <f t="shared" si="94"/>
        <v>0</v>
      </c>
      <c r="CA16" s="28">
        <f t="shared" si="95"/>
        <v>0</v>
      </c>
      <c r="CB16" s="28">
        <f t="shared" si="96"/>
        <v>0</v>
      </c>
      <c r="CC16" s="70">
        <f t="shared" si="97"/>
        <v>0</v>
      </c>
      <c r="CD16" s="70">
        <f t="shared" si="98"/>
        <v>0</v>
      </c>
      <c r="CE16" s="71">
        <v>0</v>
      </c>
      <c r="CF16" s="63">
        <v>0</v>
      </c>
      <c r="CG16" s="72">
        <f t="shared" si="99"/>
        <v>0</v>
      </c>
      <c r="CH16" s="72">
        <f t="shared" si="100"/>
        <v>0</v>
      </c>
      <c r="CI16" s="70">
        <f t="shared" si="101"/>
        <v>0</v>
      </c>
      <c r="CJ16" s="73">
        <v>0</v>
      </c>
      <c r="CK16" s="74">
        <f t="shared" si="102"/>
        <v>0</v>
      </c>
      <c r="CL16" s="303">
        <f t="shared" si="184"/>
        <v>0</v>
      </c>
      <c r="CM16" s="58">
        <v>0</v>
      </c>
      <c r="CN16" s="68"/>
      <c r="CO16" s="28">
        <f t="shared" si="103"/>
        <v>0</v>
      </c>
      <c r="CP16" s="69">
        <v>0</v>
      </c>
      <c r="CQ16" s="28">
        <f t="shared" si="104"/>
        <v>0</v>
      </c>
      <c r="CR16" s="28">
        <f t="shared" si="105"/>
        <v>0</v>
      </c>
      <c r="CS16" s="28">
        <f t="shared" si="106"/>
        <v>0</v>
      </c>
      <c r="CT16" s="28">
        <f t="shared" si="107"/>
        <v>0</v>
      </c>
      <c r="CU16" s="70">
        <f t="shared" si="108"/>
        <v>0</v>
      </c>
      <c r="CV16" s="70">
        <f t="shared" si="109"/>
        <v>0</v>
      </c>
      <c r="CW16" s="71">
        <v>0</v>
      </c>
      <c r="CX16" s="63">
        <v>0</v>
      </c>
      <c r="CY16" s="72">
        <f t="shared" si="110"/>
        <v>0</v>
      </c>
      <c r="CZ16" s="72">
        <f t="shared" si="111"/>
        <v>0</v>
      </c>
      <c r="DA16" s="70">
        <f t="shared" si="112"/>
        <v>0</v>
      </c>
      <c r="DB16" s="73">
        <v>0</v>
      </c>
      <c r="DC16" s="74">
        <f t="shared" si="113"/>
        <v>0</v>
      </c>
      <c r="DD16" s="303">
        <f t="shared" si="185"/>
        <v>0</v>
      </c>
      <c r="DE16" s="58">
        <v>0</v>
      </c>
      <c r="DF16" s="68"/>
      <c r="DG16" s="28">
        <f t="shared" si="114"/>
        <v>0</v>
      </c>
      <c r="DH16" s="69">
        <v>0</v>
      </c>
      <c r="DI16" s="28">
        <f t="shared" si="115"/>
        <v>0</v>
      </c>
      <c r="DJ16" s="28">
        <f t="shared" si="116"/>
        <v>0</v>
      </c>
      <c r="DK16" s="28">
        <f t="shared" si="117"/>
        <v>0</v>
      </c>
      <c r="DL16" s="28">
        <f t="shared" si="118"/>
        <v>0</v>
      </c>
      <c r="DM16" s="70">
        <f t="shared" si="119"/>
        <v>0</v>
      </c>
      <c r="DN16" s="70">
        <f t="shared" si="120"/>
        <v>0</v>
      </c>
      <c r="DO16" s="71">
        <v>0</v>
      </c>
      <c r="DP16" s="63">
        <v>0</v>
      </c>
      <c r="DQ16" s="72">
        <f t="shared" si="121"/>
        <v>0</v>
      </c>
      <c r="DR16" s="72">
        <f t="shared" si="122"/>
        <v>0</v>
      </c>
      <c r="DS16" s="70">
        <f t="shared" si="123"/>
        <v>0</v>
      </c>
      <c r="DT16" s="73">
        <v>0</v>
      </c>
      <c r="DU16" s="74">
        <f t="shared" si="124"/>
        <v>0</v>
      </c>
      <c r="DV16" s="303">
        <f t="shared" si="186"/>
        <v>0</v>
      </c>
      <c r="DW16" s="58">
        <v>0</v>
      </c>
      <c r="DX16" s="68"/>
      <c r="DY16" s="28">
        <f t="shared" si="125"/>
        <v>0</v>
      </c>
      <c r="DZ16" s="69">
        <v>0</v>
      </c>
      <c r="EA16" s="28">
        <f t="shared" si="126"/>
        <v>0</v>
      </c>
      <c r="EB16" s="28">
        <f t="shared" si="127"/>
        <v>0</v>
      </c>
      <c r="EC16" s="28">
        <f t="shared" si="128"/>
        <v>0</v>
      </c>
      <c r="ED16" s="28">
        <f t="shared" si="129"/>
        <v>0</v>
      </c>
      <c r="EE16" s="70">
        <f t="shared" si="130"/>
        <v>0</v>
      </c>
      <c r="EF16" s="70">
        <f t="shared" si="131"/>
        <v>0</v>
      </c>
      <c r="EG16" s="71">
        <v>0</v>
      </c>
      <c r="EH16" s="63">
        <v>0</v>
      </c>
      <c r="EI16" s="72">
        <f t="shared" si="132"/>
        <v>0</v>
      </c>
      <c r="EJ16" s="72">
        <f t="shared" si="133"/>
        <v>0</v>
      </c>
      <c r="EK16" s="70">
        <f t="shared" si="134"/>
        <v>0</v>
      </c>
      <c r="EL16" s="73">
        <v>0</v>
      </c>
      <c r="EM16" s="74">
        <f t="shared" si="135"/>
        <v>0</v>
      </c>
      <c r="EN16" s="303">
        <f t="shared" si="187"/>
        <v>0</v>
      </c>
      <c r="EO16" s="58">
        <v>0</v>
      </c>
      <c r="EP16" s="68"/>
      <c r="EQ16" s="28">
        <f t="shared" si="136"/>
        <v>0</v>
      </c>
      <c r="ER16" s="69">
        <v>0</v>
      </c>
      <c r="ES16" s="28">
        <f t="shared" si="137"/>
        <v>0</v>
      </c>
      <c r="ET16" s="28">
        <f t="shared" si="138"/>
        <v>0</v>
      </c>
      <c r="EU16" s="28">
        <f t="shared" si="139"/>
        <v>0</v>
      </c>
      <c r="EV16" s="28">
        <f t="shared" si="140"/>
        <v>0</v>
      </c>
      <c r="EW16" s="70">
        <f t="shared" si="141"/>
        <v>0</v>
      </c>
      <c r="EX16" s="70">
        <f t="shared" si="142"/>
        <v>0</v>
      </c>
      <c r="EY16" s="71">
        <v>0</v>
      </c>
      <c r="EZ16" s="63">
        <v>0</v>
      </c>
      <c r="FA16" s="72">
        <f t="shared" si="143"/>
        <v>0</v>
      </c>
      <c r="FB16" s="72">
        <f t="shared" si="144"/>
        <v>0</v>
      </c>
      <c r="FC16" s="70">
        <f t="shared" si="145"/>
        <v>0</v>
      </c>
      <c r="FD16" s="73">
        <v>0</v>
      </c>
      <c r="FE16" s="74">
        <f t="shared" si="146"/>
        <v>0</v>
      </c>
      <c r="FF16" s="303">
        <f t="shared" si="188"/>
        <v>0</v>
      </c>
      <c r="FG16" s="58">
        <v>0</v>
      </c>
      <c r="FH16" s="68"/>
      <c r="FI16" s="28">
        <f t="shared" si="147"/>
        <v>0</v>
      </c>
      <c r="FJ16" s="69">
        <v>0</v>
      </c>
      <c r="FK16" s="28">
        <f t="shared" si="148"/>
        <v>0</v>
      </c>
      <c r="FL16" s="28">
        <f t="shared" si="149"/>
        <v>0</v>
      </c>
      <c r="FM16" s="28">
        <f t="shared" si="150"/>
        <v>0</v>
      </c>
      <c r="FN16" s="28">
        <f t="shared" si="151"/>
        <v>0</v>
      </c>
      <c r="FO16" s="70">
        <f t="shared" si="152"/>
        <v>0</v>
      </c>
      <c r="FP16" s="70">
        <f t="shared" si="153"/>
        <v>0</v>
      </c>
      <c r="FQ16" s="71">
        <v>0</v>
      </c>
      <c r="FR16" s="63">
        <v>0</v>
      </c>
      <c r="FS16" s="72">
        <f t="shared" si="154"/>
        <v>0</v>
      </c>
      <c r="FT16" s="72">
        <f t="shared" si="155"/>
        <v>0</v>
      </c>
      <c r="FU16" s="70">
        <f t="shared" si="156"/>
        <v>0</v>
      </c>
      <c r="FV16" s="73">
        <v>0</v>
      </c>
      <c r="FW16" s="74">
        <f t="shared" si="157"/>
        <v>0</v>
      </c>
      <c r="FX16" s="303">
        <f t="shared" si="189"/>
        <v>0</v>
      </c>
      <c r="FY16" s="58">
        <v>0</v>
      </c>
      <c r="FZ16" s="68"/>
      <c r="GA16" s="28">
        <f t="shared" si="158"/>
        <v>0</v>
      </c>
      <c r="GB16" s="69">
        <v>0</v>
      </c>
      <c r="GC16" s="28">
        <f t="shared" si="159"/>
        <v>0</v>
      </c>
      <c r="GD16" s="28">
        <f t="shared" si="160"/>
        <v>0</v>
      </c>
      <c r="GE16" s="28">
        <f t="shared" si="161"/>
        <v>0</v>
      </c>
      <c r="GF16" s="28">
        <f t="shared" si="162"/>
        <v>0</v>
      </c>
      <c r="GG16" s="70">
        <f t="shared" si="163"/>
        <v>0</v>
      </c>
      <c r="GH16" s="70">
        <f t="shared" si="164"/>
        <v>0</v>
      </c>
      <c r="GI16" s="71">
        <v>0</v>
      </c>
      <c r="GJ16" s="63">
        <v>0</v>
      </c>
      <c r="GK16" s="72">
        <f t="shared" si="165"/>
        <v>0</v>
      </c>
      <c r="GL16" s="72">
        <f t="shared" si="166"/>
        <v>0</v>
      </c>
      <c r="GM16" s="70">
        <f t="shared" si="167"/>
        <v>0</v>
      </c>
      <c r="GN16" s="73">
        <v>0</v>
      </c>
      <c r="GO16" s="74">
        <f t="shared" si="168"/>
        <v>0</v>
      </c>
      <c r="GP16" s="303">
        <f t="shared" si="190"/>
        <v>0</v>
      </c>
      <c r="GQ16" s="58">
        <v>0</v>
      </c>
      <c r="GR16" s="68"/>
      <c r="GS16" s="28">
        <f t="shared" si="169"/>
        <v>0</v>
      </c>
      <c r="GT16" s="69">
        <v>0</v>
      </c>
      <c r="GU16" s="28">
        <f t="shared" si="170"/>
        <v>0</v>
      </c>
      <c r="GV16" s="28">
        <f t="shared" si="171"/>
        <v>0</v>
      </c>
      <c r="GW16" s="28">
        <f t="shared" si="172"/>
        <v>0</v>
      </c>
      <c r="GX16" s="28">
        <f t="shared" si="173"/>
        <v>0</v>
      </c>
      <c r="GY16" s="70">
        <f t="shared" si="174"/>
        <v>0</v>
      </c>
      <c r="GZ16" s="70">
        <f t="shared" si="175"/>
        <v>0</v>
      </c>
      <c r="HA16" s="71">
        <v>0</v>
      </c>
      <c r="HB16" s="63">
        <v>0</v>
      </c>
      <c r="HC16" s="72">
        <f t="shared" si="176"/>
        <v>0</v>
      </c>
      <c r="HD16" s="72">
        <f t="shared" si="177"/>
        <v>0</v>
      </c>
      <c r="HE16" s="70">
        <f t="shared" si="178"/>
        <v>0</v>
      </c>
      <c r="HF16" s="73">
        <v>0</v>
      </c>
      <c r="HG16" s="74">
        <f t="shared" si="179"/>
        <v>0</v>
      </c>
      <c r="HH16" s="303">
        <f t="shared" si="191"/>
        <v>0</v>
      </c>
      <c r="HJ16" s="37"/>
      <c r="HK16" s="37"/>
      <c r="HL16" s="37"/>
      <c r="HM16" s="37"/>
      <c r="HN16" s="37"/>
      <c r="HO16" s="37"/>
      <c r="HP16" s="37"/>
      <c r="HQ16" s="37"/>
      <c r="HR16" s="37"/>
      <c r="HS16" s="37"/>
      <c r="HT16" s="37"/>
      <c r="HU16" s="37"/>
      <c r="HV16" s="37"/>
      <c r="HW16" s="37"/>
      <c r="HX16" s="37"/>
      <c r="HY16" s="37"/>
      <c r="HZ16" s="37"/>
      <c r="IA16" s="37"/>
      <c r="IB16" s="37"/>
      <c r="IC16" s="37"/>
      <c r="ID16" s="37"/>
      <c r="IE16" s="37"/>
      <c r="IF16" s="37"/>
      <c r="IG16" s="37"/>
      <c r="IH16" s="37"/>
      <c r="II16" s="37"/>
      <c r="IJ16" s="37"/>
      <c r="IK16" s="37"/>
      <c r="IL16" s="37"/>
      <c r="IM16" s="37"/>
      <c r="IN16" s="37"/>
      <c r="IO16" s="37"/>
      <c r="IP16" s="37"/>
    </row>
    <row r="17" spans="1:250" x14ac:dyDescent="0.3">
      <c r="A17" s="58">
        <v>0</v>
      </c>
      <c r="B17" s="68"/>
      <c r="C17" s="28">
        <f t="shared" si="48"/>
        <v>0</v>
      </c>
      <c r="D17" s="69">
        <v>0</v>
      </c>
      <c r="E17" s="28">
        <f t="shared" si="49"/>
        <v>0</v>
      </c>
      <c r="F17" s="28">
        <f t="shared" si="50"/>
        <v>0</v>
      </c>
      <c r="G17" s="28">
        <f t="shared" si="51"/>
        <v>0</v>
      </c>
      <c r="H17" s="28">
        <f t="shared" si="52"/>
        <v>0</v>
      </c>
      <c r="I17" s="70">
        <f t="shared" si="53"/>
        <v>0</v>
      </c>
      <c r="J17" s="70">
        <f t="shared" si="54"/>
        <v>0</v>
      </c>
      <c r="K17" s="71">
        <v>0</v>
      </c>
      <c r="L17" s="71">
        <v>0</v>
      </c>
      <c r="M17" s="72">
        <f t="shared" si="55"/>
        <v>0</v>
      </c>
      <c r="N17" s="72">
        <f t="shared" si="56"/>
        <v>0</v>
      </c>
      <c r="O17" s="70">
        <f t="shared" si="57"/>
        <v>0</v>
      </c>
      <c r="P17" s="73">
        <v>0</v>
      </c>
      <c r="Q17" s="74">
        <f t="shared" si="58"/>
        <v>0</v>
      </c>
      <c r="R17" s="303">
        <f t="shared" si="180"/>
        <v>0</v>
      </c>
      <c r="S17" s="58">
        <v>0</v>
      </c>
      <c r="T17" s="68"/>
      <c r="U17" s="28">
        <f t="shared" si="59"/>
        <v>0</v>
      </c>
      <c r="V17" s="69">
        <v>0</v>
      </c>
      <c r="W17" s="28">
        <f t="shared" si="60"/>
        <v>0</v>
      </c>
      <c r="X17" s="28">
        <f t="shared" si="61"/>
        <v>0</v>
      </c>
      <c r="Y17" s="28">
        <f t="shared" si="62"/>
        <v>0</v>
      </c>
      <c r="Z17" s="28">
        <f t="shared" si="63"/>
        <v>0</v>
      </c>
      <c r="AA17" s="70">
        <f t="shared" si="64"/>
        <v>0</v>
      </c>
      <c r="AB17" s="70">
        <f t="shared" si="65"/>
        <v>0</v>
      </c>
      <c r="AC17" s="71">
        <v>0</v>
      </c>
      <c r="AD17" s="71">
        <v>0</v>
      </c>
      <c r="AE17" s="72">
        <f t="shared" si="66"/>
        <v>0</v>
      </c>
      <c r="AF17" s="72">
        <f t="shared" si="67"/>
        <v>0</v>
      </c>
      <c r="AG17" s="70">
        <f t="shared" si="68"/>
        <v>0</v>
      </c>
      <c r="AH17" s="73">
        <v>0</v>
      </c>
      <c r="AI17" s="74">
        <f t="shared" si="69"/>
        <v>0</v>
      </c>
      <c r="AJ17" s="303">
        <f t="shared" si="181"/>
        <v>0</v>
      </c>
      <c r="AK17" s="58">
        <v>0</v>
      </c>
      <c r="AL17" s="68"/>
      <c r="AM17" s="28">
        <f t="shared" si="70"/>
        <v>0</v>
      </c>
      <c r="AN17" s="69">
        <v>0</v>
      </c>
      <c r="AO17" s="28">
        <f t="shared" si="71"/>
        <v>0</v>
      </c>
      <c r="AP17" s="28">
        <f t="shared" si="72"/>
        <v>0</v>
      </c>
      <c r="AQ17" s="28">
        <f t="shared" si="73"/>
        <v>0</v>
      </c>
      <c r="AR17" s="28">
        <f t="shared" si="74"/>
        <v>0</v>
      </c>
      <c r="AS17" s="70">
        <f t="shared" si="75"/>
        <v>0</v>
      </c>
      <c r="AT17" s="70">
        <f t="shared" si="76"/>
        <v>0</v>
      </c>
      <c r="AU17" s="71">
        <v>0</v>
      </c>
      <c r="AV17" s="71">
        <v>0</v>
      </c>
      <c r="AW17" s="72">
        <f t="shared" si="77"/>
        <v>0</v>
      </c>
      <c r="AX17" s="72">
        <f t="shared" si="78"/>
        <v>0</v>
      </c>
      <c r="AY17" s="70">
        <f t="shared" si="79"/>
        <v>0</v>
      </c>
      <c r="AZ17" s="73">
        <v>0</v>
      </c>
      <c r="BA17" s="74">
        <f t="shared" si="80"/>
        <v>0</v>
      </c>
      <c r="BB17" s="303">
        <f t="shared" si="182"/>
        <v>0</v>
      </c>
      <c r="BC17" s="58">
        <v>0</v>
      </c>
      <c r="BD17" s="68"/>
      <c r="BE17" s="28">
        <f t="shared" si="81"/>
        <v>0</v>
      </c>
      <c r="BF17" s="69">
        <v>0</v>
      </c>
      <c r="BG17" s="28">
        <f t="shared" si="82"/>
        <v>0</v>
      </c>
      <c r="BH17" s="28">
        <f t="shared" si="83"/>
        <v>0</v>
      </c>
      <c r="BI17" s="28">
        <f t="shared" si="84"/>
        <v>0</v>
      </c>
      <c r="BJ17" s="28">
        <f t="shared" si="85"/>
        <v>0</v>
      </c>
      <c r="BK17" s="70">
        <f t="shared" si="86"/>
        <v>0</v>
      </c>
      <c r="BL17" s="70">
        <f t="shared" si="87"/>
        <v>0</v>
      </c>
      <c r="BM17" s="71">
        <v>0</v>
      </c>
      <c r="BN17" s="71">
        <v>0</v>
      </c>
      <c r="BO17" s="72">
        <f t="shared" si="88"/>
        <v>0</v>
      </c>
      <c r="BP17" s="72">
        <f t="shared" si="89"/>
        <v>0</v>
      </c>
      <c r="BQ17" s="70">
        <f t="shared" si="90"/>
        <v>0</v>
      </c>
      <c r="BR17" s="73">
        <v>0</v>
      </c>
      <c r="BS17" s="74">
        <f t="shared" si="91"/>
        <v>0</v>
      </c>
      <c r="BT17" s="303">
        <f t="shared" si="183"/>
        <v>0</v>
      </c>
      <c r="BU17" s="58">
        <v>0</v>
      </c>
      <c r="BV17" s="68"/>
      <c r="BW17" s="28">
        <f t="shared" si="92"/>
        <v>0</v>
      </c>
      <c r="BX17" s="69">
        <v>0</v>
      </c>
      <c r="BY17" s="28">
        <f t="shared" si="93"/>
        <v>0</v>
      </c>
      <c r="BZ17" s="28">
        <f t="shared" si="94"/>
        <v>0</v>
      </c>
      <c r="CA17" s="28">
        <f t="shared" si="95"/>
        <v>0</v>
      </c>
      <c r="CB17" s="28">
        <f t="shared" si="96"/>
        <v>0</v>
      </c>
      <c r="CC17" s="70">
        <f t="shared" si="97"/>
        <v>0</v>
      </c>
      <c r="CD17" s="70">
        <f t="shared" si="98"/>
        <v>0</v>
      </c>
      <c r="CE17" s="71">
        <v>0</v>
      </c>
      <c r="CF17" s="71">
        <v>0</v>
      </c>
      <c r="CG17" s="72">
        <f t="shared" si="99"/>
        <v>0</v>
      </c>
      <c r="CH17" s="72">
        <f t="shared" si="100"/>
        <v>0</v>
      </c>
      <c r="CI17" s="70">
        <f t="shared" si="101"/>
        <v>0</v>
      </c>
      <c r="CJ17" s="73">
        <v>0</v>
      </c>
      <c r="CK17" s="74">
        <f t="shared" si="102"/>
        <v>0</v>
      </c>
      <c r="CL17" s="303">
        <f t="shared" si="184"/>
        <v>0</v>
      </c>
      <c r="CM17" s="58">
        <v>0</v>
      </c>
      <c r="CN17" s="68"/>
      <c r="CO17" s="28">
        <f t="shared" si="103"/>
        <v>0</v>
      </c>
      <c r="CP17" s="69">
        <v>0</v>
      </c>
      <c r="CQ17" s="28">
        <f t="shared" si="104"/>
        <v>0</v>
      </c>
      <c r="CR17" s="28">
        <f t="shared" si="105"/>
        <v>0</v>
      </c>
      <c r="CS17" s="28">
        <f t="shared" si="106"/>
        <v>0</v>
      </c>
      <c r="CT17" s="28">
        <f t="shared" si="107"/>
        <v>0</v>
      </c>
      <c r="CU17" s="70">
        <f t="shared" si="108"/>
        <v>0</v>
      </c>
      <c r="CV17" s="70">
        <f t="shared" si="109"/>
        <v>0</v>
      </c>
      <c r="CW17" s="71">
        <v>0</v>
      </c>
      <c r="CX17" s="71">
        <v>0</v>
      </c>
      <c r="CY17" s="72">
        <f t="shared" si="110"/>
        <v>0</v>
      </c>
      <c r="CZ17" s="72">
        <f t="shared" si="111"/>
        <v>0</v>
      </c>
      <c r="DA17" s="70">
        <f t="shared" si="112"/>
        <v>0</v>
      </c>
      <c r="DB17" s="73">
        <v>0</v>
      </c>
      <c r="DC17" s="74">
        <f t="shared" si="113"/>
        <v>0</v>
      </c>
      <c r="DD17" s="303">
        <f t="shared" si="185"/>
        <v>0</v>
      </c>
      <c r="DE17" s="58">
        <v>0</v>
      </c>
      <c r="DF17" s="68"/>
      <c r="DG17" s="28">
        <f t="shared" si="114"/>
        <v>0</v>
      </c>
      <c r="DH17" s="69">
        <v>0</v>
      </c>
      <c r="DI17" s="28">
        <f t="shared" si="115"/>
        <v>0</v>
      </c>
      <c r="DJ17" s="28">
        <f t="shared" si="116"/>
        <v>0</v>
      </c>
      <c r="DK17" s="28">
        <f t="shared" si="117"/>
        <v>0</v>
      </c>
      <c r="DL17" s="28">
        <f t="shared" si="118"/>
        <v>0</v>
      </c>
      <c r="DM17" s="70">
        <f t="shared" si="119"/>
        <v>0</v>
      </c>
      <c r="DN17" s="70">
        <f t="shared" si="120"/>
        <v>0</v>
      </c>
      <c r="DO17" s="71">
        <v>0</v>
      </c>
      <c r="DP17" s="71">
        <v>0</v>
      </c>
      <c r="DQ17" s="72">
        <f t="shared" si="121"/>
        <v>0</v>
      </c>
      <c r="DR17" s="72">
        <f t="shared" si="122"/>
        <v>0</v>
      </c>
      <c r="DS17" s="70">
        <f t="shared" si="123"/>
        <v>0</v>
      </c>
      <c r="DT17" s="73">
        <v>0</v>
      </c>
      <c r="DU17" s="74">
        <f t="shared" si="124"/>
        <v>0</v>
      </c>
      <c r="DV17" s="303">
        <f t="shared" si="186"/>
        <v>0</v>
      </c>
      <c r="DW17" s="58">
        <v>0</v>
      </c>
      <c r="DX17" s="68"/>
      <c r="DY17" s="28">
        <f t="shared" si="125"/>
        <v>0</v>
      </c>
      <c r="DZ17" s="69">
        <v>0</v>
      </c>
      <c r="EA17" s="28">
        <f t="shared" si="126"/>
        <v>0</v>
      </c>
      <c r="EB17" s="28">
        <f t="shared" si="127"/>
        <v>0</v>
      </c>
      <c r="EC17" s="28">
        <f t="shared" si="128"/>
        <v>0</v>
      </c>
      <c r="ED17" s="28">
        <f t="shared" si="129"/>
        <v>0</v>
      </c>
      <c r="EE17" s="70">
        <f t="shared" si="130"/>
        <v>0</v>
      </c>
      <c r="EF17" s="70">
        <f t="shared" si="131"/>
        <v>0</v>
      </c>
      <c r="EG17" s="71">
        <v>0</v>
      </c>
      <c r="EH17" s="71">
        <v>0</v>
      </c>
      <c r="EI17" s="72">
        <f t="shared" si="132"/>
        <v>0</v>
      </c>
      <c r="EJ17" s="72">
        <f t="shared" si="133"/>
        <v>0</v>
      </c>
      <c r="EK17" s="70">
        <f t="shared" si="134"/>
        <v>0</v>
      </c>
      <c r="EL17" s="73">
        <v>0</v>
      </c>
      <c r="EM17" s="74">
        <f t="shared" si="135"/>
        <v>0</v>
      </c>
      <c r="EN17" s="303">
        <f t="shared" si="187"/>
        <v>0</v>
      </c>
      <c r="EO17" s="58">
        <v>0</v>
      </c>
      <c r="EP17" s="68"/>
      <c r="EQ17" s="28">
        <f t="shared" si="136"/>
        <v>0</v>
      </c>
      <c r="ER17" s="69">
        <v>0</v>
      </c>
      <c r="ES17" s="28">
        <f t="shared" si="137"/>
        <v>0</v>
      </c>
      <c r="ET17" s="28">
        <f t="shared" si="138"/>
        <v>0</v>
      </c>
      <c r="EU17" s="28">
        <f t="shared" si="139"/>
        <v>0</v>
      </c>
      <c r="EV17" s="28">
        <f t="shared" si="140"/>
        <v>0</v>
      </c>
      <c r="EW17" s="70">
        <f t="shared" si="141"/>
        <v>0</v>
      </c>
      <c r="EX17" s="70">
        <f t="shared" si="142"/>
        <v>0</v>
      </c>
      <c r="EY17" s="71">
        <v>0</v>
      </c>
      <c r="EZ17" s="71">
        <v>0</v>
      </c>
      <c r="FA17" s="72">
        <f t="shared" si="143"/>
        <v>0</v>
      </c>
      <c r="FB17" s="72">
        <f t="shared" si="144"/>
        <v>0</v>
      </c>
      <c r="FC17" s="70">
        <f t="shared" si="145"/>
        <v>0</v>
      </c>
      <c r="FD17" s="73">
        <v>0</v>
      </c>
      <c r="FE17" s="74">
        <f t="shared" si="146"/>
        <v>0</v>
      </c>
      <c r="FF17" s="303">
        <f t="shared" si="188"/>
        <v>0</v>
      </c>
      <c r="FG17" s="58">
        <v>0</v>
      </c>
      <c r="FH17" s="68"/>
      <c r="FI17" s="28">
        <f t="shared" si="147"/>
        <v>0</v>
      </c>
      <c r="FJ17" s="69">
        <v>0</v>
      </c>
      <c r="FK17" s="28">
        <f t="shared" si="148"/>
        <v>0</v>
      </c>
      <c r="FL17" s="28">
        <f t="shared" si="149"/>
        <v>0</v>
      </c>
      <c r="FM17" s="28">
        <f t="shared" si="150"/>
        <v>0</v>
      </c>
      <c r="FN17" s="28">
        <f t="shared" si="151"/>
        <v>0</v>
      </c>
      <c r="FO17" s="70">
        <f t="shared" si="152"/>
        <v>0</v>
      </c>
      <c r="FP17" s="70">
        <f t="shared" si="153"/>
        <v>0</v>
      </c>
      <c r="FQ17" s="71">
        <v>0</v>
      </c>
      <c r="FR17" s="71">
        <v>0</v>
      </c>
      <c r="FS17" s="72">
        <f t="shared" si="154"/>
        <v>0</v>
      </c>
      <c r="FT17" s="72">
        <f t="shared" si="155"/>
        <v>0</v>
      </c>
      <c r="FU17" s="70">
        <f t="shared" si="156"/>
        <v>0</v>
      </c>
      <c r="FV17" s="73">
        <v>0</v>
      </c>
      <c r="FW17" s="74">
        <f t="shared" si="157"/>
        <v>0</v>
      </c>
      <c r="FX17" s="303">
        <f t="shared" si="189"/>
        <v>0</v>
      </c>
      <c r="FY17" s="58">
        <v>0</v>
      </c>
      <c r="FZ17" s="68"/>
      <c r="GA17" s="28">
        <f t="shared" si="158"/>
        <v>0</v>
      </c>
      <c r="GB17" s="69">
        <v>0</v>
      </c>
      <c r="GC17" s="28">
        <f t="shared" si="159"/>
        <v>0</v>
      </c>
      <c r="GD17" s="28">
        <f t="shared" si="160"/>
        <v>0</v>
      </c>
      <c r="GE17" s="28">
        <f t="shared" si="161"/>
        <v>0</v>
      </c>
      <c r="GF17" s="28">
        <f t="shared" si="162"/>
        <v>0</v>
      </c>
      <c r="GG17" s="70">
        <f t="shared" si="163"/>
        <v>0</v>
      </c>
      <c r="GH17" s="70">
        <f t="shared" si="164"/>
        <v>0</v>
      </c>
      <c r="GI17" s="71">
        <v>0</v>
      </c>
      <c r="GJ17" s="71">
        <v>0</v>
      </c>
      <c r="GK17" s="72">
        <f t="shared" si="165"/>
        <v>0</v>
      </c>
      <c r="GL17" s="72">
        <f t="shared" si="166"/>
        <v>0</v>
      </c>
      <c r="GM17" s="70">
        <f t="shared" si="167"/>
        <v>0</v>
      </c>
      <c r="GN17" s="73">
        <v>0</v>
      </c>
      <c r="GO17" s="74">
        <f t="shared" si="168"/>
        <v>0</v>
      </c>
      <c r="GP17" s="303">
        <f t="shared" si="190"/>
        <v>0</v>
      </c>
      <c r="GQ17" s="58">
        <v>0</v>
      </c>
      <c r="GR17" s="68"/>
      <c r="GS17" s="28">
        <f t="shared" si="169"/>
        <v>0</v>
      </c>
      <c r="GT17" s="69">
        <v>0</v>
      </c>
      <c r="GU17" s="28">
        <f t="shared" si="170"/>
        <v>0</v>
      </c>
      <c r="GV17" s="28">
        <f t="shared" si="171"/>
        <v>0</v>
      </c>
      <c r="GW17" s="28">
        <f t="shared" si="172"/>
        <v>0</v>
      </c>
      <c r="GX17" s="28">
        <f t="shared" si="173"/>
        <v>0</v>
      </c>
      <c r="GY17" s="70">
        <f t="shared" si="174"/>
        <v>0</v>
      </c>
      <c r="GZ17" s="70">
        <f t="shared" si="175"/>
        <v>0</v>
      </c>
      <c r="HA17" s="71">
        <v>0</v>
      </c>
      <c r="HB17" s="71">
        <v>0</v>
      </c>
      <c r="HC17" s="72">
        <f t="shared" si="176"/>
        <v>0</v>
      </c>
      <c r="HD17" s="72">
        <f t="shared" si="177"/>
        <v>0</v>
      </c>
      <c r="HE17" s="70">
        <f t="shared" si="178"/>
        <v>0</v>
      </c>
      <c r="HF17" s="73">
        <v>0</v>
      </c>
      <c r="HG17" s="74">
        <f t="shared" si="179"/>
        <v>0</v>
      </c>
      <c r="HH17" s="303">
        <f t="shared" si="191"/>
        <v>0</v>
      </c>
      <c r="HJ17" s="37"/>
      <c r="HK17" s="37"/>
      <c r="HL17" s="37"/>
      <c r="HM17" s="37"/>
      <c r="HN17" s="37"/>
      <c r="HO17" s="37"/>
      <c r="HP17" s="37"/>
      <c r="HQ17" s="37"/>
      <c r="HR17" s="37"/>
      <c r="HS17" s="37"/>
      <c r="HT17" s="37"/>
      <c r="HU17" s="37"/>
      <c r="HV17" s="37"/>
      <c r="HW17" s="37"/>
      <c r="HX17" s="37"/>
      <c r="HY17" s="37"/>
      <c r="HZ17" s="37"/>
      <c r="IA17" s="37"/>
      <c r="IB17" s="37"/>
      <c r="IC17" s="37"/>
      <c r="ID17" s="37"/>
      <c r="IE17" s="37"/>
      <c r="IF17" s="37"/>
      <c r="IG17" s="37"/>
      <c r="IH17" s="37"/>
      <c r="II17" s="37"/>
      <c r="IJ17" s="37"/>
      <c r="IK17" s="37"/>
      <c r="IL17" s="37"/>
      <c r="IM17" s="37"/>
      <c r="IN17" s="37"/>
      <c r="IO17" s="37"/>
      <c r="IP17" s="37"/>
    </row>
    <row r="18" spans="1:250" x14ac:dyDescent="0.3">
      <c r="A18" s="58">
        <v>0</v>
      </c>
      <c r="B18" s="68"/>
      <c r="C18" s="28">
        <f t="shared" si="48"/>
        <v>0</v>
      </c>
      <c r="D18" s="69">
        <v>0</v>
      </c>
      <c r="E18" s="28">
        <f t="shared" si="49"/>
        <v>0</v>
      </c>
      <c r="F18" s="28">
        <f t="shared" si="50"/>
        <v>0</v>
      </c>
      <c r="G18" s="28">
        <f t="shared" si="51"/>
        <v>0</v>
      </c>
      <c r="H18" s="28">
        <f t="shared" si="52"/>
        <v>0</v>
      </c>
      <c r="I18" s="70">
        <f t="shared" si="53"/>
        <v>0</v>
      </c>
      <c r="J18" s="70">
        <f t="shared" si="54"/>
        <v>0</v>
      </c>
      <c r="K18" s="71">
        <v>0</v>
      </c>
      <c r="L18" s="71">
        <v>0</v>
      </c>
      <c r="M18" s="72">
        <f t="shared" si="55"/>
        <v>0</v>
      </c>
      <c r="N18" s="72">
        <f t="shared" si="56"/>
        <v>0</v>
      </c>
      <c r="O18" s="70">
        <f t="shared" si="57"/>
        <v>0</v>
      </c>
      <c r="P18" s="73">
        <v>0</v>
      </c>
      <c r="Q18" s="74">
        <f t="shared" si="58"/>
        <v>0</v>
      </c>
      <c r="R18" s="303">
        <f t="shared" si="180"/>
        <v>0</v>
      </c>
      <c r="S18" s="58">
        <v>0</v>
      </c>
      <c r="T18" s="68"/>
      <c r="U18" s="28">
        <f t="shared" si="59"/>
        <v>0</v>
      </c>
      <c r="V18" s="69">
        <v>0</v>
      </c>
      <c r="W18" s="28">
        <f t="shared" si="60"/>
        <v>0</v>
      </c>
      <c r="X18" s="28">
        <f t="shared" si="61"/>
        <v>0</v>
      </c>
      <c r="Y18" s="28">
        <f t="shared" si="62"/>
        <v>0</v>
      </c>
      <c r="Z18" s="28">
        <f t="shared" si="63"/>
        <v>0</v>
      </c>
      <c r="AA18" s="70">
        <f t="shared" si="64"/>
        <v>0</v>
      </c>
      <c r="AB18" s="70">
        <f t="shared" si="65"/>
        <v>0</v>
      </c>
      <c r="AC18" s="71">
        <v>0</v>
      </c>
      <c r="AD18" s="71">
        <v>0</v>
      </c>
      <c r="AE18" s="72">
        <f t="shared" si="66"/>
        <v>0</v>
      </c>
      <c r="AF18" s="72">
        <f t="shared" si="67"/>
        <v>0</v>
      </c>
      <c r="AG18" s="70">
        <f t="shared" si="68"/>
        <v>0</v>
      </c>
      <c r="AH18" s="73">
        <v>0</v>
      </c>
      <c r="AI18" s="74">
        <f t="shared" si="69"/>
        <v>0</v>
      </c>
      <c r="AJ18" s="303">
        <f t="shared" si="181"/>
        <v>0</v>
      </c>
      <c r="AK18" s="58">
        <v>0</v>
      </c>
      <c r="AL18" s="68"/>
      <c r="AM18" s="28">
        <f t="shared" si="70"/>
        <v>0</v>
      </c>
      <c r="AN18" s="69">
        <v>0</v>
      </c>
      <c r="AO18" s="28">
        <f t="shared" si="71"/>
        <v>0</v>
      </c>
      <c r="AP18" s="28">
        <f t="shared" si="72"/>
        <v>0</v>
      </c>
      <c r="AQ18" s="28">
        <f t="shared" si="73"/>
        <v>0</v>
      </c>
      <c r="AR18" s="28">
        <f t="shared" si="74"/>
        <v>0</v>
      </c>
      <c r="AS18" s="70">
        <f t="shared" si="75"/>
        <v>0</v>
      </c>
      <c r="AT18" s="70">
        <f t="shared" si="76"/>
        <v>0</v>
      </c>
      <c r="AU18" s="71">
        <v>0</v>
      </c>
      <c r="AV18" s="71">
        <v>0</v>
      </c>
      <c r="AW18" s="72">
        <f t="shared" si="77"/>
        <v>0</v>
      </c>
      <c r="AX18" s="72">
        <f t="shared" si="78"/>
        <v>0</v>
      </c>
      <c r="AY18" s="70">
        <f t="shared" si="79"/>
        <v>0</v>
      </c>
      <c r="AZ18" s="73">
        <v>0</v>
      </c>
      <c r="BA18" s="74">
        <f t="shared" si="80"/>
        <v>0</v>
      </c>
      <c r="BB18" s="303">
        <f t="shared" si="182"/>
        <v>0</v>
      </c>
      <c r="BC18" s="58">
        <v>0</v>
      </c>
      <c r="BD18" s="68"/>
      <c r="BE18" s="28">
        <f t="shared" si="81"/>
        <v>0</v>
      </c>
      <c r="BF18" s="69">
        <v>0</v>
      </c>
      <c r="BG18" s="28">
        <f t="shared" si="82"/>
        <v>0</v>
      </c>
      <c r="BH18" s="28">
        <f t="shared" si="83"/>
        <v>0</v>
      </c>
      <c r="BI18" s="28">
        <f t="shared" si="84"/>
        <v>0</v>
      </c>
      <c r="BJ18" s="28">
        <f t="shared" si="85"/>
        <v>0</v>
      </c>
      <c r="BK18" s="70">
        <f t="shared" si="86"/>
        <v>0</v>
      </c>
      <c r="BL18" s="70">
        <f t="shared" si="87"/>
        <v>0</v>
      </c>
      <c r="BM18" s="71">
        <v>0</v>
      </c>
      <c r="BN18" s="71">
        <v>0</v>
      </c>
      <c r="BO18" s="72">
        <f t="shared" si="88"/>
        <v>0</v>
      </c>
      <c r="BP18" s="72">
        <f t="shared" si="89"/>
        <v>0</v>
      </c>
      <c r="BQ18" s="70">
        <f t="shared" si="90"/>
        <v>0</v>
      </c>
      <c r="BR18" s="73">
        <v>0</v>
      </c>
      <c r="BS18" s="74">
        <f t="shared" si="91"/>
        <v>0</v>
      </c>
      <c r="BT18" s="303">
        <f t="shared" si="183"/>
        <v>0</v>
      </c>
      <c r="BU18" s="58">
        <v>0</v>
      </c>
      <c r="BV18" s="68"/>
      <c r="BW18" s="28">
        <f t="shared" si="92"/>
        <v>0</v>
      </c>
      <c r="BX18" s="69">
        <v>0</v>
      </c>
      <c r="BY18" s="28">
        <f t="shared" si="93"/>
        <v>0</v>
      </c>
      <c r="BZ18" s="28">
        <f t="shared" si="94"/>
        <v>0</v>
      </c>
      <c r="CA18" s="28">
        <f t="shared" si="95"/>
        <v>0</v>
      </c>
      <c r="CB18" s="28">
        <f t="shared" si="96"/>
        <v>0</v>
      </c>
      <c r="CC18" s="70">
        <f t="shared" si="97"/>
        <v>0</v>
      </c>
      <c r="CD18" s="70">
        <f t="shared" si="98"/>
        <v>0</v>
      </c>
      <c r="CE18" s="71">
        <v>0</v>
      </c>
      <c r="CF18" s="71">
        <v>0</v>
      </c>
      <c r="CG18" s="72">
        <f t="shared" si="99"/>
        <v>0</v>
      </c>
      <c r="CH18" s="72">
        <f t="shared" si="100"/>
        <v>0</v>
      </c>
      <c r="CI18" s="70">
        <f t="shared" si="101"/>
        <v>0</v>
      </c>
      <c r="CJ18" s="73">
        <v>0</v>
      </c>
      <c r="CK18" s="74">
        <f t="shared" si="102"/>
        <v>0</v>
      </c>
      <c r="CL18" s="303">
        <f t="shared" si="184"/>
        <v>0</v>
      </c>
      <c r="CM18" s="58">
        <v>0</v>
      </c>
      <c r="CN18" s="68"/>
      <c r="CO18" s="28">
        <f t="shared" si="103"/>
        <v>0</v>
      </c>
      <c r="CP18" s="69">
        <v>0</v>
      </c>
      <c r="CQ18" s="28">
        <f t="shared" si="104"/>
        <v>0</v>
      </c>
      <c r="CR18" s="28">
        <f t="shared" si="105"/>
        <v>0</v>
      </c>
      <c r="CS18" s="28">
        <f t="shared" si="106"/>
        <v>0</v>
      </c>
      <c r="CT18" s="28">
        <f t="shared" si="107"/>
        <v>0</v>
      </c>
      <c r="CU18" s="70">
        <f t="shared" si="108"/>
        <v>0</v>
      </c>
      <c r="CV18" s="70">
        <f t="shared" si="109"/>
        <v>0</v>
      </c>
      <c r="CW18" s="71">
        <v>0</v>
      </c>
      <c r="CX18" s="71">
        <v>0</v>
      </c>
      <c r="CY18" s="72">
        <f t="shared" si="110"/>
        <v>0</v>
      </c>
      <c r="CZ18" s="72">
        <f t="shared" si="111"/>
        <v>0</v>
      </c>
      <c r="DA18" s="70">
        <f t="shared" si="112"/>
        <v>0</v>
      </c>
      <c r="DB18" s="73">
        <v>0</v>
      </c>
      <c r="DC18" s="74">
        <f t="shared" si="113"/>
        <v>0</v>
      </c>
      <c r="DD18" s="303">
        <f t="shared" si="185"/>
        <v>0</v>
      </c>
      <c r="DE18" s="58">
        <v>0</v>
      </c>
      <c r="DF18" s="68"/>
      <c r="DG18" s="28">
        <f t="shared" si="114"/>
        <v>0</v>
      </c>
      <c r="DH18" s="69">
        <v>0</v>
      </c>
      <c r="DI18" s="28">
        <f t="shared" si="115"/>
        <v>0</v>
      </c>
      <c r="DJ18" s="28">
        <f t="shared" si="116"/>
        <v>0</v>
      </c>
      <c r="DK18" s="28">
        <f t="shared" si="117"/>
        <v>0</v>
      </c>
      <c r="DL18" s="28">
        <f t="shared" si="118"/>
        <v>0</v>
      </c>
      <c r="DM18" s="70">
        <f t="shared" si="119"/>
        <v>0</v>
      </c>
      <c r="DN18" s="70">
        <f t="shared" si="120"/>
        <v>0</v>
      </c>
      <c r="DO18" s="71">
        <v>0</v>
      </c>
      <c r="DP18" s="71">
        <v>0</v>
      </c>
      <c r="DQ18" s="72">
        <f t="shared" si="121"/>
        <v>0</v>
      </c>
      <c r="DR18" s="72">
        <f t="shared" si="122"/>
        <v>0</v>
      </c>
      <c r="DS18" s="70">
        <f t="shared" si="123"/>
        <v>0</v>
      </c>
      <c r="DT18" s="73">
        <v>0</v>
      </c>
      <c r="DU18" s="74">
        <f t="shared" si="124"/>
        <v>0</v>
      </c>
      <c r="DV18" s="303">
        <f t="shared" si="186"/>
        <v>0</v>
      </c>
      <c r="DW18" s="58">
        <v>0</v>
      </c>
      <c r="DX18" s="68"/>
      <c r="DY18" s="28">
        <f t="shared" si="125"/>
        <v>0</v>
      </c>
      <c r="DZ18" s="69">
        <v>0</v>
      </c>
      <c r="EA18" s="28">
        <f t="shared" si="126"/>
        <v>0</v>
      </c>
      <c r="EB18" s="28">
        <f t="shared" si="127"/>
        <v>0</v>
      </c>
      <c r="EC18" s="28">
        <f t="shared" si="128"/>
        <v>0</v>
      </c>
      <c r="ED18" s="28">
        <f t="shared" si="129"/>
        <v>0</v>
      </c>
      <c r="EE18" s="70">
        <f t="shared" si="130"/>
        <v>0</v>
      </c>
      <c r="EF18" s="70">
        <f t="shared" si="131"/>
        <v>0</v>
      </c>
      <c r="EG18" s="71">
        <v>0</v>
      </c>
      <c r="EH18" s="71">
        <v>0</v>
      </c>
      <c r="EI18" s="72">
        <f t="shared" si="132"/>
        <v>0</v>
      </c>
      <c r="EJ18" s="72">
        <f t="shared" si="133"/>
        <v>0</v>
      </c>
      <c r="EK18" s="70">
        <f t="shared" si="134"/>
        <v>0</v>
      </c>
      <c r="EL18" s="73">
        <v>0</v>
      </c>
      <c r="EM18" s="74">
        <f t="shared" si="135"/>
        <v>0</v>
      </c>
      <c r="EN18" s="303">
        <f t="shared" si="187"/>
        <v>0</v>
      </c>
      <c r="EO18" s="58">
        <v>0</v>
      </c>
      <c r="EP18" s="68"/>
      <c r="EQ18" s="28">
        <f t="shared" si="136"/>
        <v>0</v>
      </c>
      <c r="ER18" s="69">
        <v>0</v>
      </c>
      <c r="ES18" s="28">
        <f t="shared" si="137"/>
        <v>0</v>
      </c>
      <c r="ET18" s="28">
        <f t="shared" si="138"/>
        <v>0</v>
      </c>
      <c r="EU18" s="28">
        <f t="shared" si="139"/>
        <v>0</v>
      </c>
      <c r="EV18" s="28">
        <f t="shared" si="140"/>
        <v>0</v>
      </c>
      <c r="EW18" s="70">
        <f t="shared" si="141"/>
        <v>0</v>
      </c>
      <c r="EX18" s="70">
        <f t="shared" si="142"/>
        <v>0</v>
      </c>
      <c r="EY18" s="71">
        <v>0</v>
      </c>
      <c r="EZ18" s="71">
        <v>0</v>
      </c>
      <c r="FA18" s="72">
        <f t="shared" si="143"/>
        <v>0</v>
      </c>
      <c r="FB18" s="72">
        <f t="shared" si="144"/>
        <v>0</v>
      </c>
      <c r="FC18" s="70">
        <f t="shared" si="145"/>
        <v>0</v>
      </c>
      <c r="FD18" s="73">
        <v>0</v>
      </c>
      <c r="FE18" s="74">
        <f t="shared" si="146"/>
        <v>0</v>
      </c>
      <c r="FF18" s="303">
        <f t="shared" si="188"/>
        <v>0</v>
      </c>
      <c r="FG18" s="58">
        <v>0</v>
      </c>
      <c r="FH18" s="68"/>
      <c r="FI18" s="28">
        <f t="shared" si="147"/>
        <v>0</v>
      </c>
      <c r="FJ18" s="69">
        <v>0</v>
      </c>
      <c r="FK18" s="28">
        <f t="shared" si="148"/>
        <v>0</v>
      </c>
      <c r="FL18" s="28">
        <f t="shared" si="149"/>
        <v>0</v>
      </c>
      <c r="FM18" s="28">
        <f t="shared" si="150"/>
        <v>0</v>
      </c>
      <c r="FN18" s="28">
        <f t="shared" si="151"/>
        <v>0</v>
      </c>
      <c r="FO18" s="70">
        <f t="shared" si="152"/>
        <v>0</v>
      </c>
      <c r="FP18" s="70">
        <f t="shared" si="153"/>
        <v>0</v>
      </c>
      <c r="FQ18" s="71">
        <v>0</v>
      </c>
      <c r="FR18" s="71">
        <v>0</v>
      </c>
      <c r="FS18" s="72">
        <f t="shared" si="154"/>
        <v>0</v>
      </c>
      <c r="FT18" s="72">
        <f t="shared" si="155"/>
        <v>0</v>
      </c>
      <c r="FU18" s="70">
        <f t="shared" si="156"/>
        <v>0</v>
      </c>
      <c r="FV18" s="73">
        <v>0</v>
      </c>
      <c r="FW18" s="74">
        <f t="shared" si="157"/>
        <v>0</v>
      </c>
      <c r="FX18" s="303">
        <f t="shared" si="189"/>
        <v>0</v>
      </c>
      <c r="FY18" s="58">
        <v>0</v>
      </c>
      <c r="FZ18" s="68"/>
      <c r="GA18" s="28">
        <f t="shared" si="158"/>
        <v>0</v>
      </c>
      <c r="GB18" s="69">
        <v>0</v>
      </c>
      <c r="GC18" s="28">
        <f t="shared" si="159"/>
        <v>0</v>
      </c>
      <c r="GD18" s="28">
        <f t="shared" si="160"/>
        <v>0</v>
      </c>
      <c r="GE18" s="28">
        <f t="shared" si="161"/>
        <v>0</v>
      </c>
      <c r="GF18" s="28">
        <f t="shared" si="162"/>
        <v>0</v>
      </c>
      <c r="GG18" s="70">
        <f t="shared" si="163"/>
        <v>0</v>
      </c>
      <c r="GH18" s="70">
        <f t="shared" si="164"/>
        <v>0</v>
      </c>
      <c r="GI18" s="71">
        <v>0</v>
      </c>
      <c r="GJ18" s="71">
        <v>0</v>
      </c>
      <c r="GK18" s="72">
        <f t="shared" si="165"/>
        <v>0</v>
      </c>
      <c r="GL18" s="72">
        <f t="shared" si="166"/>
        <v>0</v>
      </c>
      <c r="GM18" s="70">
        <f t="shared" si="167"/>
        <v>0</v>
      </c>
      <c r="GN18" s="73">
        <v>0</v>
      </c>
      <c r="GO18" s="74">
        <f t="shared" si="168"/>
        <v>0</v>
      </c>
      <c r="GP18" s="303">
        <f t="shared" si="190"/>
        <v>0</v>
      </c>
      <c r="GQ18" s="58">
        <v>0</v>
      </c>
      <c r="GR18" s="68"/>
      <c r="GS18" s="28">
        <f t="shared" si="169"/>
        <v>0</v>
      </c>
      <c r="GT18" s="69">
        <v>0</v>
      </c>
      <c r="GU18" s="28">
        <f t="shared" si="170"/>
        <v>0</v>
      </c>
      <c r="GV18" s="28">
        <f t="shared" si="171"/>
        <v>0</v>
      </c>
      <c r="GW18" s="28">
        <f t="shared" si="172"/>
        <v>0</v>
      </c>
      <c r="GX18" s="28">
        <f t="shared" si="173"/>
        <v>0</v>
      </c>
      <c r="GY18" s="70">
        <f t="shared" si="174"/>
        <v>0</v>
      </c>
      <c r="GZ18" s="70">
        <f t="shared" si="175"/>
        <v>0</v>
      </c>
      <c r="HA18" s="71">
        <v>0</v>
      </c>
      <c r="HB18" s="71">
        <v>0</v>
      </c>
      <c r="HC18" s="72">
        <f t="shared" si="176"/>
        <v>0</v>
      </c>
      <c r="HD18" s="72">
        <f t="shared" si="177"/>
        <v>0</v>
      </c>
      <c r="HE18" s="70">
        <f t="shared" si="178"/>
        <v>0</v>
      </c>
      <c r="HF18" s="73">
        <v>0</v>
      </c>
      <c r="HG18" s="74">
        <f t="shared" si="179"/>
        <v>0</v>
      </c>
      <c r="HH18" s="303">
        <f t="shared" si="191"/>
        <v>0</v>
      </c>
      <c r="HJ18" s="37"/>
      <c r="HK18" s="37"/>
      <c r="HL18" s="37"/>
      <c r="HM18" s="37"/>
      <c r="HN18" s="37"/>
      <c r="HO18" s="37"/>
      <c r="HP18" s="37"/>
      <c r="HQ18" s="37"/>
      <c r="HR18" s="37"/>
      <c r="HS18" s="37"/>
      <c r="HT18" s="37"/>
      <c r="HU18" s="37"/>
      <c r="HV18" s="37"/>
      <c r="HW18" s="37"/>
      <c r="HX18" s="37"/>
      <c r="HY18" s="37"/>
      <c r="HZ18" s="37"/>
      <c r="IA18" s="37"/>
      <c r="IB18" s="37"/>
      <c r="IC18" s="37"/>
      <c r="ID18" s="37"/>
      <c r="IE18" s="37"/>
      <c r="IF18" s="37"/>
      <c r="IG18" s="37"/>
      <c r="IH18" s="37"/>
      <c r="II18" s="37"/>
      <c r="IJ18" s="37"/>
      <c r="IK18" s="37"/>
      <c r="IL18" s="37"/>
      <c r="IM18" s="37"/>
      <c r="IN18" s="37"/>
      <c r="IO18" s="37"/>
      <c r="IP18" s="37"/>
    </row>
    <row r="19" spans="1:250" ht="15.6" x14ac:dyDescent="0.3">
      <c r="A19" s="541"/>
      <c r="B19" s="537"/>
      <c r="C19" s="537"/>
      <c r="D19" s="537"/>
      <c r="E19" s="537"/>
      <c r="F19" s="537"/>
      <c r="G19" s="537"/>
      <c r="H19" s="537"/>
      <c r="I19" s="537"/>
      <c r="J19" s="537"/>
      <c r="K19" s="537"/>
      <c r="L19" s="537"/>
      <c r="M19" s="537"/>
      <c r="N19" s="537"/>
      <c r="O19" s="537"/>
      <c r="P19" s="538"/>
      <c r="Q19" s="423" t="s">
        <v>8</v>
      </c>
      <c r="R19" s="304">
        <f>SUM(R13:R18)</f>
        <v>3876.9020888888881</v>
      </c>
      <c r="S19" s="541"/>
      <c r="T19" s="537"/>
      <c r="U19" s="537"/>
      <c r="V19" s="537"/>
      <c r="W19" s="537"/>
      <c r="X19" s="537"/>
      <c r="Y19" s="537"/>
      <c r="Z19" s="537"/>
      <c r="AA19" s="537"/>
      <c r="AB19" s="537"/>
      <c r="AC19" s="537"/>
      <c r="AD19" s="537"/>
      <c r="AE19" s="537"/>
      <c r="AF19" s="537"/>
      <c r="AG19" s="537"/>
      <c r="AH19" s="538"/>
      <c r="AI19" s="423" t="s">
        <v>8</v>
      </c>
      <c r="AJ19" s="304">
        <f>SUM(AJ13:AJ18)</f>
        <v>3876.9020888888881</v>
      </c>
      <c r="AK19" s="541"/>
      <c r="AL19" s="537"/>
      <c r="AM19" s="537"/>
      <c r="AN19" s="537"/>
      <c r="AO19" s="537"/>
      <c r="AP19" s="537"/>
      <c r="AQ19" s="537"/>
      <c r="AR19" s="537"/>
      <c r="AS19" s="537"/>
      <c r="AT19" s="537"/>
      <c r="AU19" s="537"/>
      <c r="AV19" s="537"/>
      <c r="AW19" s="537"/>
      <c r="AX19" s="537"/>
      <c r="AY19" s="537"/>
      <c r="AZ19" s="538"/>
      <c r="BA19" s="423" t="s">
        <v>8</v>
      </c>
      <c r="BB19" s="304">
        <f>SUM(BB13:BB18)</f>
        <v>3876.9020888888881</v>
      </c>
      <c r="BC19" s="541"/>
      <c r="BD19" s="537"/>
      <c r="BE19" s="537"/>
      <c r="BF19" s="537"/>
      <c r="BG19" s="537"/>
      <c r="BH19" s="537"/>
      <c r="BI19" s="537"/>
      <c r="BJ19" s="537"/>
      <c r="BK19" s="537"/>
      <c r="BL19" s="537"/>
      <c r="BM19" s="537"/>
      <c r="BN19" s="537"/>
      <c r="BO19" s="537"/>
      <c r="BP19" s="537"/>
      <c r="BQ19" s="537"/>
      <c r="BR19" s="538"/>
      <c r="BS19" s="423" t="s">
        <v>8</v>
      </c>
      <c r="BT19" s="304">
        <f>SUM(BT13:BT18)</f>
        <v>3876.9020888888881</v>
      </c>
      <c r="BU19" s="541"/>
      <c r="BV19" s="537"/>
      <c r="BW19" s="537"/>
      <c r="BX19" s="537"/>
      <c r="BY19" s="537"/>
      <c r="BZ19" s="537"/>
      <c r="CA19" s="537"/>
      <c r="CB19" s="537"/>
      <c r="CC19" s="537"/>
      <c r="CD19" s="537"/>
      <c r="CE19" s="537"/>
      <c r="CF19" s="537"/>
      <c r="CG19" s="537"/>
      <c r="CH19" s="537"/>
      <c r="CI19" s="537"/>
      <c r="CJ19" s="538"/>
      <c r="CK19" s="423" t="s">
        <v>8</v>
      </c>
      <c r="CL19" s="304">
        <f>SUM(CL13:CL18)</f>
        <v>3876.9020888888881</v>
      </c>
      <c r="CM19" s="541"/>
      <c r="CN19" s="537"/>
      <c r="CO19" s="537"/>
      <c r="CP19" s="537"/>
      <c r="CQ19" s="537"/>
      <c r="CR19" s="537"/>
      <c r="CS19" s="537"/>
      <c r="CT19" s="537"/>
      <c r="CU19" s="537"/>
      <c r="CV19" s="537"/>
      <c r="CW19" s="537"/>
      <c r="CX19" s="537"/>
      <c r="CY19" s="537"/>
      <c r="CZ19" s="537"/>
      <c r="DA19" s="537"/>
      <c r="DB19" s="538"/>
      <c r="DC19" s="423" t="s">
        <v>8</v>
      </c>
      <c r="DD19" s="304">
        <f>SUM(DD13:DD18)</f>
        <v>3876.9020888888881</v>
      </c>
      <c r="DE19" s="541"/>
      <c r="DF19" s="537"/>
      <c r="DG19" s="537"/>
      <c r="DH19" s="537"/>
      <c r="DI19" s="537"/>
      <c r="DJ19" s="537"/>
      <c r="DK19" s="537"/>
      <c r="DL19" s="537"/>
      <c r="DM19" s="537"/>
      <c r="DN19" s="537"/>
      <c r="DO19" s="537"/>
      <c r="DP19" s="537"/>
      <c r="DQ19" s="537"/>
      <c r="DR19" s="537"/>
      <c r="DS19" s="537"/>
      <c r="DT19" s="538"/>
      <c r="DU19" s="423" t="s">
        <v>8</v>
      </c>
      <c r="DV19" s="304">
        <f>SUM(DV13:DV18)</f>
        <v>3876.9020888888881</v>
      </c>
      <c r="DW19" s="541"/>
      <c r="DX19" s="537"/>
      <c r="DY19" s="537"/>
      <c r="DZ19" s="537"/>
      <c r="EA19" s="537"/>
      <c r="EB19" s="537"/>
      <c r="EC19" s="537"/>
      <c r="ED19" s="537"/>
      <c r="EE19" s="537"/>
      <c r="EF19" s="537"/>
      <c r="EG19" s="537"/>
      <c r="EH19" s="537"/>
      <c r="EI19" s="537"/>
      <c r="EJ19" s="537"/>
      <c r="EK19" s="537"/>
      <c r="EL19" s="538"/>
      <c r="EM19" s="423" t="s">
        <v>8</v>
      </c>
      <c r="EN19" s="304">
        <f>SUM(EN13:EN18)</f>
        <v>3876.9020888888881</v>
      </c>
      <c r="EO19" s="541"/>
      <c r="EP19" s="537"/>
      <c r="EQ19" s="537"/>
      <c r="ER19" s="537"/>
      <c r="ES19" s="537"/>
      <c r="ET19" s="537"/>
      <c r="EU19" s="537"/>
      <c r="EV19" s="537"/>
      <c r="EW19" s="537"/>
      <c r="EX19" s="537"/>
      <c r="EY19" s="537"/>
      <c r="EZ19" s="537"/>
      <c r="FA19" s="537"/>
      <c r="FB19" s="537"/>
      <c r="FC19" s="537"/>
      <c r="FD19" s="538"/>
      <c r="FE19" s="423" t="s">
        <v>8</v>
      </c>
      <c r="FF19" s="304">
        <f>SUM(FF13:FF18)</f>
        <v>3876.9020888888881</v>
      </c>
      <c r="FG19" s="541"/>
      <c r="FH19" s="537"/>
      <c r="FI19" s="537"/>
      <c r="FJ19" s="537"/>
      <c r="FK19" s="537"/>
      <c r="FL19" s="537"/>
      <c r="FM19" s="537"/>
      <c r="FN19" s="537"/>
      <c r="FO19" s="537"/>
      <c r="FP19" s="537"/>
      <c r="FQ19" s="537"/>
      <c r="FR19" s="537"/>
      <c r="FS19" s="537"/>
      <c r="FT19" s="537"/>
      <c r="FU19" s="537"/>
      <c r="FV19" s="538"/>
      <c r="FW19" s="423" t="s">
        <v>8</v>
      </c>
      <c r="FX19" s="304">
        <f>SUM(FX13:FX18)</f>
        <v>3876.9020888888881</v>
      </c>
      <c r="FY19" s="541"/>
      <c r="FZ19" s="537"/>
      <c r="GA19" s="537"/>
      <c r="GB19" s="537"/>
      <c r="GC19" s="537"/>
      <c r="GD19" s="537"/>
      <c r="GE19" s="537"/>
      <c r="GF19" s="537"/>
      <c r="GG19" s="537"/>
      <c r="GH19" s="537"/>
      <c r="GI19" s="537"/>
      <c r="GJ19" s="537"/>
      <c r="GK19" s="537"/>
      <c r="GL19" s="537"/>
      <c r="GM19" s="537"/>
      <c r="GN19" s="538"/>
      <c r="GO19" s="423" t="s">
        <v>8</v>
      </c>
      <c r="GP19" s="304">
        <f>SUM(GP13:GP18)</f>
        <v>3876.9020888888881</v>
      </c>
      <c r="GQ19" s="541"/>
      <c r="GR19" s="537"/>
      <c r="GS19" s="537"/>
      <c r="GT19" s="537"/>
      <c r="GU19" s="537"/>
      <c r="GV19" s="537"/>
      <c r="GW19" s="537"/>
      <c r="GX19" s="537"/>
      <c r="GY19" s="537"/>
      <c r="GZ19" s="537"/>
      <c r="HA19" s="537"/>
      <c r="HB19" s="537"/>
      <c r="HC19" s="537"/>
      <c r="HD19" s="537"/>
      <c r="HE19" s="537"/>
      <c r="HF19" s="538"/>
      <c r="HG19" s="423" t="s">
        <v>8</v>
      </c>
      <c r="HH19" s="304">
        <f>SUM(HH13:HH18)</f>
        <v>3876.9020888888881</v>
      </c>
      <c r="HJ19" s="37"/>
      <c r="HK19" s="37"/>
      <c r="HL19" s="37"/>
      <c r="HM19" s="37"/>
      <c r="HN19" s="37"/>
      <c r="HO19" s="37"/>
      <c r="HP19" s="37"/>
      <c r="HQ19" s="37"/>
      <c r="HR19" s="37"/>
      <c r="HS19" s="37"/>
      <c r="HT19" s="37"/>
      <c r="HU19" s="37"/>
      <c r="HV19" s="37"/>
      <c r="HW19" s="37"/>
      <c r="HX19" s="37"/>
      <c r="HY19" s="37"/>
      <c r="HZ19" s="37"/>
      <c r="IA19" s="37"/>
      <c r="IB19" s="37"/>
      <c r="IC19" s="37"/>
      <c r="ID19" s="37"/>
      <c r="IE19" s="37"/>
      <c r="IF19" s="37"/>
      <c r="IG19" s="37"/>
      <c r="IH19" s="37"/>
      <c r="II19" s="37"/>
      <c r="IJ19" s="37"/>
      <c r="IK19" s="37"/>
      <c r="IL19" s="37"/>
      <c r="IM19" s="37"/>
      <c r="IN19" s="37"/>
      <c r="IO19" s="37"/>
      <c r="IP19" s="37"/>
    </row>
    <row r="20" spans="1:250" ht="15.6" x14ac:dyDescent="0.3">
      <c r="A20" s="543"/>
      <c r="B20" s="544"/>
      <c r="C20" s="544"/>
      <c r="D20" s="544"/>
      <c r="E20" s="742" t="s">
        <v>50</v>
      </c>
      <c r="F20" s="742"/>
      <c r="G20" s="742"/>
      <c r="H20" s="742"/>
      <c r="I20" s="742"/>
      <c r="J20" s="742"/>
      <c r="K20" s="742"/>
      <c r="L20" s="742"/>
      <c r="M20" s="742"/>
      <c r="N20" s="544"/>
      <c r="O20" s="544"/>
      <c r="P20" s="544"/>
      <c r="Q20" s="544"/>
      <c r="R20" s="545"/>
      <c r="S20" s="543"/>
      <c r="T20" s="544"/>
      <c r="U20" s="544"/>
      <c r="V20" s="544"/>
      <c r="W20" s="742" t="s">
        <v>50</v>
      </c>
      <c r="X20" s="742"/>
      <c r="Y20" s="742"/>
      <c r="Z20" s="742"/>
      <c r="AA20" s="742"/>
      <c r="AB20" s="742"/>
      <c r="AC20" s="742"/>
      <c r="AD20" s="742"/>
      <c r="AE20" s="742"/>
      <c r="AF20" s="544"/>
      <c r="AG20" s="544"/>
      <c r="AH20" s="544"/>
      <c r="AI20" s="544"/>
      <c r="AJ20" s="545"/>
      <c r="AK20" s="543"/>
      <c r="AL20" s="544"/>
      <c r="AM20" s="544"/>
      <c r="AN20" s="544"/>
      <c r="AO20" s="742" t="s">
        <v>50</v>
      </c>
      <c r="AP20" s="742"/>
      <c r="AQ20" s="742"/>
      <c r="AR20" s="742"/>
      <c r="AS20" s="742"/>
      <c r="AT20" s="742"/>
      <c r="AU20" s="742"/>
      <c r="AV20" s="742"/>
      <c r="AW20" s="742"/>
      <c r="AX20" s="544"/>
      <c r="AY20" s="544"/>
      <c r="AZ20" s="544"/>
      <c r="BA20" s="544"/>
      <c r="BB20" s="545"/>
      <c r="BC20" s="543"/>
      <c r="BD20" s="544"/>
      <c r="BE20" s="544"/>
      <c r="BF20" s="544"/>
      <c r="BG20" s="742" t="s">
        <v>50</v>
      </c>
      <c r="BH20" s="742"/>
      <c r="BI20" s="742"/>
      <c r="BJ20" s="742"/>
      <c r="BK20" s="742"/>
      <c r="BL20" s="742"/>
      <c r="BM20" s="742"/>
      <c r="BN20" s="742"/>
      <c r="BO20" s="742"/>
      <c r="BP20" s="544"/>
      <c r="BQ20" s="544"/>
      <c r="BR20" s="544"/>
      <c r="BS20" s="544"/>
      <c r="BT20" s="545"/>
      <c r="BU20" s="543"/>
      <c r="BV20" s="544"/>
      <c r="BW20" s="544"/>
      <c r="BX20" s="544"/>
      <c r="BY20" s="742" t="s">
        <v>50</v>
      </c>
      <c r="BZ20" s="742"/>
      <c r="CA20" s="742"/>
      <c r="CB20" s="742"/>
      <c r="CC20" s="742"/>
      <c r="CD20" s="742"/>
      <c r="CE20" s="742"/>
      <c r="CF20" s="742"/>
      <c r="CG20" s="742"/>
      <c r="CH20" s="544"/>
      <c r="CI20" s="544"/>
      <c r="CJ20" s="544"/>
      <c r="CK20" s="544"/>
      <c r="CL20" s="545"/>
      <c r="CM20" s="543"/>
      <c r="CN20" s="544"/>
      <c r="CO20" s="544"/>
      <c r="CP20" s="544"/>
      <c r="CQ20" s="742" t="s">
        <v>50</v>
      </c>
      <c r="CR20" s="742"/>
      <c r="CS20" s="742"/>
      <c r="CT20" s="742"/>
      <c r="CU20" s="742"/>
      <c r="CV20" s="742"/>
      <c r="CW20" s="742"/>
      <c r="CX20" s="742"/>
      <c r="CY20" s="742"/>
      <c r="CZ20" s="544"/>
      <c r="DA20" s="544"/>
      <c r="DB20" s="544"/>
      <c r="DC20" s="544"/>
      <c r="DD20" s="545"/>
      <c r="DE20" s="543"/>
      <c r="DF20" s="544"/>
      <c r="DG20" s="544"/>
      <c r="DH20" s="544"/>
      <c r="DI20" s="742" t="s">
        <v>50</v>
      </c>
      <c r="DJ20" s="742"/>
      <c r="DK20" s="742"/>
      <c r="DL20" s="742"/>
      <c r="DM20" s="742"/>
      <c r="DN20" s="742"/>
      <c r="DO20" s="742"/>
      <c r="DP20" s="742"/>
      <c r="DQ20" s="742"/>
      <c r="DR20" s="544"/>
      <c r="DS20" s="544"/>
      <c r="DT20" s="544"/>
      <c r="DU20" s="544"/>
      <c r="DV20" s="545"/>
      <c r="DW20" s="543"/>
      <c r="DX20" s="544"/>
      <c r="DY20" s="544"/>
      <c r="DZ20" s="544"/>
      <c r="EA20" s="742" t="s">
        <v>50</v>
      </c>
      <c r="EB20" s="742"/>
      <c r="EC20" s="742"/>
      <c r="ED20" s="742"/>
      <c r="EE20" s="742"/>
      <c r="EF20" s="742"/>
      <c r="EG20" s="742"/>
      <c r="EH20" s="742"/>
      <c r="EI20" s="742"/>
      <c r="EJ20" s="544"/>
      <c r="EK20" s="544"/>
      <c r="EL20" s="544"/>
      <c r="EM20" s="544"/>
      <c r="EN20" s="545"/>
      <c r="EO20" s="543"/>
      <c r="EP20" s="544"/>
      <c r="EQ20" s="544"/>
      <c r="ER20" s="544"/>
      <c r="ES20" s="742" t="s">
        <v>50</v>
      </c>
      <c r="ET20" s="742"/>
      <c r="EU20" s="742"/>
      <c r="EV20" s="742"/>
      <c r="EW20" s="742"/>
      <c r="EX20" s="742"/>
      <c r="EY20" s="742"/>
      <c r="EZ20" s="742"/>
      <c r="FA20" s="742"/>
      <c r="FB20" s="544"/>
      <c r="FC20" s="544"/>
      <c r="FD20" s="544"/>
      <c r="FE20" s="544"/>
      <c r="FF20" s="545"/>
      <c r="FG20" s="543"/>
      <c r="FH20" s="544"/>
      <c r="FI20" s="544"/>
      <c r="FJ20" s="544"/>
      <c r="FK20" s="742" t="s">
        <v>50</v>
      </c>
      <c r="FL20" s="742"/>
      <c r="FM20" s="742"/>
      <c r="FN20" s="742"/>
      <c r="FO20" s="742"/>
      <c r="FP20" s="742"/>
      <c r="FQ20" s="742"/>
      <c r="FR20" s="742"/>
      <c r="FS20" s="742"/>
      <c r="FT20" s="544"/>
      <c r="FU20" s="544"/>
      <c r="FV20" s="544"/>
      <c r="FW20" s="544"/>
      <c r="FX20" s="545"/>
      <c r="FY20" s="543"/>
      <c r="FZ20" s="544"/>
      <c r="GA20" s="544"/>
      <c r="GB20" s="544"/>
      <c r="GC20" s="742" t="s">
        <v>50</v>
      </c>
      <c r="GD20" s="742"/>
      <c r="GE20" s="742"/>
      <c r="GF20" s="742"/>
      <c r="GG20" s="742"/>
      <c r="GH20" s="742"/>
      <c r="GI20" s="742"/>
      <c r="GJ20" s="742"/>
      <c r="GK20" s="742"/>
      <c r="GL20" s="544"/>
      <c r="GM20" s="544"/>
      <c r="GN20" s="544"/>
      <c r="GO20" s="544"/>
      <c r="GP20" s="545"/>
      <c r="GQ20" s="543"/>
      <c r="GR20" s="544"/>
      <c r="GS20" s="544"/>
      <c r="GT20" s="544"/>
      <c r="GU20" s="742" t="s">
        <v>50</v>
      </c>
      <c r="GV20" s="742"/>
      <c r="GW20" s="742"/>
      <c r="GX20" s="742"/>
      <c r="GY20" s="742"/>
      <c r="GZ20" s="742"/>
      <c r="HA20" s="742"/>
      <c r="HB20" s="742"/>
      <c r="HC20" s="742"/>
      <c r="HD20" s="544"/>
      <c r="HE20" s="544"/>
      <c r="HF20" s="544"/>
      <c r="HG20" s="544"/>
      <c r="HH20" s="545"/>
      <c r="HJ20" s="37"/>
      <c r="HK20" s="37"/>
      <c r="HL20" s="37"/>
      <c r="HM20" s="37"/>
      <c r="HN20" s="37"/>
      <c r="HO20" s="37"/>
      <c r="HP20" s="37"/>
      <c r="HQ20" s="37"/>
      <c r="HR20" s="37"/>
      <c r="HS20" s="37"/>
      <c r="HT20" s="37"/>
      <c r="HU20" s="37"/>
      <c r="HV20" s="37"/>
      <c r="HW20" s="37"/>
      <c r="HX20" s="37"/>
      <c r="HY20" s="37"/>
      <c r="HZ20" s="37"/>
      <c r="IA20" s="37"/>
      <c r="IB20" s="37"/>
      <c r="IC20" s="37"/>
      <c r="ID20" s="37"/>
      <c r="IE20" s="37"/>
      <c r="IF20" s="37"/>
      <c r="IG20" s="37"/>
      <c r="IH20" s="37"/>
      <c r="II20" s="37"/>
      <c r="IJ20" s="37"/>
      <c r="IK20" s="37"/>
      <c r="IL20" s="37"/>
      <c r="IM20" s="37"/>
      <c r="IN20" s="37"/>
      <c r="IO20" s="37"/>
      <c r="IP20" s="37"/>
    </row>
    <row r="21" spans="1:250" x14ac:dyDescent="0.3">
      <c r="A21" s="58">
        <v>1</v>
      </c>
      <c r="B21" s="68" t="s">
        <v>287</v>
      </c>
      <c r="C21" s="28">
        <f t="shared" ref="C21:C24" si="192">D21/$AM$4</f>
        <v>9.4915454545454541</v>
      </c>
      <c r="D21" s="69">
        <v>2088.14</v>
      </c>
      <c r="E21" s="28">
        <f>D21*E$6</f>
        <v>208.81399999999999</v>
      </c>
      <c r="F21" s="28">
        <f>D21*F$6</f>
        <v>167.05119999999999</v>
      </c>
      <c r="G21" s="28">
        <f>D21/G$6</f>
        <v>174.01166666666666</v>
      </c>
      <c r="H21" s="28">
        <f>G21/H$6</f>
        <v>58.003888888888888</v>
      </c>
      <c r="I21" s="70">
        <f>D21/I$6</f>
        <v>174.01166666666666</v>
      </c>
      <c r="J21" s="70">
        <f>SUM(D21:I21)</f>
        <v>2870.0324222222221</v>
      </c>
      <c r="K21" s="71">
        <v>0</v>
      </c>
      <c r="L21" s="71">
        <v>0</v>
      </c>
      <c r="M21" s="72">
        <f t="shared" ref="M21:M24" si="193">((C21*M$6)+(C21*$AO$6)+(C21*$AP$6))*K21</f>
        <v>0</v>
      </c>
      <c r="N21" s="72">
        <f t="shared" ref="N21:N24" si="194">((C21*N$6)+(C21*$AO$6)+(C21*$AP$6))*L21</f>
        <v>0</v>
      </c>
      <c r="O21" s="70">
        <f>SUM(M21:N21)</f>
        <v>0</v>
      </c>
      <c r="P21" s="73">
        <v>0</v>
      </c>
      <c r="Q21" s="74">
        <f t="shared" ref="Q21:Q24" si="195">IF(A21=1,($C$1*$Q$6),0)</f>
        <v>282.40000000000003</v>
      </c>
      <c r="R21" s="303">
        <f t="shared" ref="R21:R24" si="196">J21+O21+P21+Q21</f>
        <v>3152.4324222222222</v>
      </c>
      <c r="S21" s="58">
        <v>1</v>
      </c>
      <c r="T21" s="68" t="s">
        <v>287</v>
      </c>
      <c r="U21" s="28">
        <f t="shared" ref="U21:U24" si="197">V21/$AM$4</f>
        <v>9.4915454545454541</v>
      </c>
      <c r="V21" s="69">
        <v>2088.14</v>
      </c>
      <c r="W21" s="28">
        <f>V21*W$6</f>
        <v>208.81399999999999</v>
      </c>
      <c r="X21" s="28">
        <f>V21*X$6</f>
        <v>167.05119999999999</v>
      </c>
      <c r="Y21" s="28">
        <f>V21/Y$6</f>
        <v>174.01166666666666</v>
      </c>
      <c r="Z21" s="28">
        <f>Y21/Z$6</f>
        <v>58.003888888888888</v>
      </c>
      <c r="AA21" s="70">
        <f>V21/AA$6</f>
        <v>174.01166666666666</v>
      </c>
      <c r="AB21" s="70">
        <f>SUM(V21:AA21)</f>
        <v>2870.0324222222221</v>
      </c>
      <c r="AC21" s="71">
        <v>0</v>
      </c>
      <c r="AD21" s="71">
        <v>0</v>
      </c>
      <c r="AE21" s="72">
        <f t="shared" ref="AE21:AE24" si="198">((U21*AE$6)+(U21*$AO$6)+(U21*$AP$6))*AC21</f>
        <v>0</v>
      </c>
      <c r="AF21" s="72">
        <f t="shared" ref="AF21:AF24" si="199">((U21*AF$6)+(U21*$AO$6)+(U21*$AP$6))*AD21</f>
        <v>0</v>
      </c>
      <c r="AG21" s="70">
        <f>SUM(AE21:AF21)</f>
        <v>0</v>
      </c>
      <c r="AH21" s="73">
        <v>0</v>
      </c>
      <c r="AI21" s="74">
        <f t="shared" ref="AI21:AI24" si="200">IF(S21=1,($C$1*$Q$6),0)</f>
        <v>282.40000000000003</v>
      </c>
      <c r="AJ21" s="303">
        <f t="shared" ref="AJ21:AJ24" si="201">AB21+AG21+AH21+AI21</f>
        <v>3152.4324222222222</v>
      </c>
      <c r="AK21" s="58">
        <v>1</v>
      </c>
      <c r="AL21" s="68" t="s">
        <v>287</v>
      </c>
      <c r="AM21" s="28">
        <f t="shared" ref="AM21:AM24" si="202">AN21/$AM$4</f>
        <v>9.4915454545454541</v>
      </c>
      <c r="AN21" s="69">
        <v>2088.14</v>
      </c>
      <c r="AO21" s="28">
        <f>AN21*AO$6</f>
        <v>208.81399999999999</v>
      </c>
      <c r="AP21" s="28">
        <f>AN21*AP$6</f>
        <v>167.05119999999999</v>
      </c>
      <c r="AQ21" s="28">
        <f>AN21/AQ$6</f>
        <v>174.01166666666666</v>
      </c>
      <c r="AR21" s="28">
        <f>AQ21/AR$6</f>
        <v>58.003888888888888</v>
      </c>
      <c r="AS21" s="70">
        <f>AN21/AS$6</f>
        <v>174.01166666666666</v>
      </c>
      <c r="AT21" s="70">
        <f>SUM(AN21:AS21)</f>
        <v>2870.0324222222221</v>
      </c>
      <c r="AU21" s="71">
        <v>0</v>
      </c>
      <c r="AV21" s="71">
        <v>0</v>
      </c>
      <c r="AW21" s="72">
        <f t="shared" ref="AW21:AW24" si="203">((AM21*AW$6)+(AM21*$AO$6)+(AM21*$AP$6))*AU21</f>
        <v>0</v>
      </c>
      <c r="AX21" s="72">
        <f t="shared" ref="AX21:AX24" si="204">((AM21*AX$6)+(AM21*$AO$6)+(AM21*$AP$6))*AV21</f>
        <v>0</v>
      </c>
      <c r="AY21" s="70">
        <f>SUM(AW21:AX21)</f>
        <v>0</v>
      </c>
      <c r="AZ21" s="73">
        <v>0</v>
      </c>
      <c r="BA21" s="74">
        <f t="shared" ref="BA21:BA24" si="205">IF(AK21=1,($C$1*$Q$6),0)</f>
        <v>282.40000000000003</v>
      </c>
      <c r="BB21" s="303">
        <f t="shared" ref="BB21:BB24" si="206">AT21+AY21+AZ21+BA21</f>
        <v>3152.4324222222222</v>
      </c>
      <c r="BC21" s="58">
        <v>1</v>
      </c>
      <c r="BD21" s="68" t="s">
        <v>287</v>
      </c>
      <c r="BE21" s="28">
        <f t="shared" ref="BE21:BE24" si="207">BF21/$AM$4</f>
        <v>9.4915454545454541</v>
      </c>
      <c r="BF21" s="69">
        <v>2088.14</v>
      </c>
      <c r="BG21" s="28">
        <f>BF21*BG$6</f>
        <v>208.81399999999999</v>
      </c>
      <c r="BH21" s="28">
        <f>BF21*BH$6</f>
        <v>167.05119999999999</v>
      </c>
      <c r="BI21" s="28">
        <f>BF21/BI$6</f>
        <v>174.01166666666666</v>
      </c>
      <c r="BJ21" s="28">
        <f>BI21/BJ$6</f>
        <v>58.003888888888888</v>
      </c>
      <c r="BK21" s="70">
        <f>BF21/BK$6</f>
        <v>174.01166666666666</v>
      </c>
      <c r="BL21" s="70">
        <f>SUM(BF21:BK21)</f>
        <v>2870.0324222222221</v>
      </c>
      <c r="BM21" s="71">
        <v>0</v>
      </c>
      <c r="BN21" s="71">
        <v>0</v>
      </c>
      <c r="BO21" s="72">
        <f t="shared" ref="BO21:BO24" si="208">((BE21*BO$6)+(BE21*$AO$6)+(BE21*$AP$6))*BM21</f>
        <v>0</v>
      </c>
      <c r="BP21" s="72">
        <f t="shared" ref="BP21:BP24" si="209">((BE21*BP$6)+(BE21*$AO$6)+(BE21*$AP$6))*BN21</f>
        <v>0</v>
      </c>
      <c r="BQ21" s="70">
        <f>SUM(BO21:BP21)</f>
        <v>0</v>
      </c>
      <c r="BR21" s="73">
        <v>0</v>
      </c>
      <c r="BS21" s="74">
        <f t="shared" ref="BS21:BS24" si="210">IF(BC21=1,($C$1*$Q$6),0)</f>
        <v>282.40000000000003</v>
      </c>
      <c r="BT21" s="303">
        <f t="shared" ref="BT21:BT24" si="211">BL21+BQ21+BR21+BS21</f>
        <v>3152.4324222222222</v>
      </c>
      <c r="BU21" s="58">
        <v>1</v>
      </c>
      <c r="BV21" s="68" t="s">
        <v>287</v>
      </c>
      <c r="BW21" s="28">
        <f t="shared" ref="BW21:BW24" si="212">BX21/$AM$4</f>
        <v>9.4915454545454541</v>
      </c>
      <c r="BX21" s="69">
        <v>2088.14</v>
      </c>
      <c r="BY21" s="28">
        <f>BX21*BY$6</f>
        <v>208.81399999999999</v>
      </c>
      <c r="BZ21" s="28">
        <f>BX21*BZ$6</f>
        <v>167.05119999999999</v>
      </c>
      <c r="CA21" s="28">
        <f>BX21/CA$6</f>
        <v>174.01166666666666</v>
      </c>
      <c r="CB21" s="28">
        <f>CA21/CB$6</f>
        <v>58.003888888888888</v>
      </c>
      <c r="CC21" s="70">
        <f>BX21/CC$6</f>
        <v>174.01166666666666</v>
      </c>
      <c r="CD21" s="70">
        <f>SUM(BX21:CC21)</f>
        <v>2870.0324222222221</v>
      </c>
      <c r="CE21" s="71">
        <v>0</v>
      </c>
      <c r="CF21" s="71">
        <v>0</v>
      </c>
      <c r="CG21" s="72">
        <f t="shared" ref="CG21:CG24" si="213">((BW21*CG$6)+(BW21*$AO$6)+(BW21*$AP$6))*CE21</f>
        <v>0</v>
      </c>
      <c r="CH21" s="72">
        <f t="shared" ref="CH21:CH24" si="214">((BW21*CH$6)+(BW21*$AO$6)+(BW21*$AP$6))*CF21</f>
        <v>0</v>
      </c>
      <c r="CI21" s="70">
        <f>SUM(CG21:CH21)</f>
        <v>0</v>
      </c>
      <c r="CJ21" s="73">
        <v>0</v>
      </c>
      <c r="CK21" s="74">
        <f t="shared" ref="CK21:CK24" si="215">IF(BU21=1,($C$1*$Q$6),0)</f>
        <v>282.40000000000003</v>
      </c>
      <c r="CL21" s="303">
        <f t="shared" ref="CL21:CL24" si="216">CD21+CI21+CJ21+CK21</f>
        <v>3152.4324222222222</v>
      </c>
      <c r="CM21" s="58">
        <v>1</v>
      </c>
      <c r="CN21" s="68" t="s">
        <v>287</v>
      </c>
      <c r="CO21" s="28">
        <f t="shared" ref="CO21:CO24" si="217">CP21/$AM$4</f>
        <v>9.4915454545454541</v>
      </c>
      <c r="CP21" s="69">
        <v>2088.14</v>
      </c>
      <c r="CQ21" s="28">
        <f>CP21*CQ$6</f>
        <v>208.81399999999999</v>
      </c>
      <c r="CR21" s="28">
        <f>CP21*CR$6</f>
        <v>167.05119999999999</v>
      </c>
      <c r="CS21" s="28">
        <f>CP21/CS$6</f>
        <v>174.01166666666666</v>
      </c>
      <c r="CT21" s="28">
        <f>CS21/CT$6</f>
        <v>58.003888888888888</v>
      </c>
      <c r="CU21" s="70">
        <f>CP21/CU$6</f>
        <v>174.01166666666666</v>
      </c>
      <c r="CV21" s="70">
        <f>SUM(CP21:CU21)</f>
        <v>2870.0324222222221</v>
      </c>
      <c r="CW21" s="71">
        <v>0</v>
      </c>
      <c r="CX21" s="71">
        <v>0</v>
      </c>
      <c r="CY21" s="72">
        <f t="shared" ref="CY21:CY24" si="218">((CO21*CY$6)+(CO21*$AO$6)+(CO21*$AP$6))*CW21</f>
        <v>0</v>
      </c>
      <c r="CZ21" s="72">
        <f t="shared" ref="CZ21:CZ24" si="219">((CO21*CZ$6)+(CO21*$AO$6)+(CO21*$AP$6))*CX21</f>
        <v>0</v>
      </c>
      <c r="DA21" s="70">
        <f>SUM(CY21:CZ21)</f>
        <v>0</v>
      </c>
      <c r="DB21" s="73">
        <v>0</v>
      </c>
      <c r="DC21" s="74">
        <f t="shared" ref="DC21:DC24" si="220">IF(CM21=1,($C$1*$Q$6),0)</f>
        <v>282.40000000000003</v>
      </c>
      <c r="DD21" s="303">
        <f t="shared" ref="DD21:DD24" si="221">CV21+DA21+DB21+DC21</f>
        <v>3152.4324222222222</v>
      </c>
      <c r="DE21" s="58">
        <v>1</v>
      </c>
      <c r="DF21" s="68" t="s">
        <v>287</v>
      </c>
      <c r="DG21" s="28">
        <f t="shared" ref="DG21:DG24" si="222">DH21/$AM$4</f>
        <v>9.4915454545454541</v>
      </c>
      <c r="DH21" s="69">
        <v>2088.14</v>
      </c>
      <c r="DI21" s="28">
        <f>DH21*DI$6</f>
        <v>208.81399999999999</v>
      </c>
      <c r="DJ21" s="28">
        <f>DH21*DJ$6</f>
        <v>167.05119999999999</v>
      </c>
      <c r="DK21" s="28">
        <f>DH21/DK$6</f>
        <v>174.01166666666666</v>
      </c>
      <c r="DL21" s="28">
        <f>DK21/DL$6</f>
        <v>58.003888888888888</v>
      </c>
      <c r="DM21" s="70">
        <f>DH21/DM$6</f>
        <v>174.01166666666666</v>
      </c>
      <c r="DN21" s="70">
        <f>SUM(DH21:DM21)</f>
        <v>2870.0324222222221</v>
      </c>
      <c r="DO21" s="71">
        <v>0</v>
      </c>
      <c r="DP21" s="71">
        <v>0</v>
      </c>
      <c r="DQ21" s="72">
        <f t="shared" ref="DQ21:DQ24" si="223">((DG21*DQ$6)+(DG21*$AO$6)+(DG21*$AP$6))*DO21</f>
        <v>0</v>
      </c>
      <c r="DR21" s="72">
        <f t="shared" ref="DR21:DR24" si="224">((DG21*DR$6)+(DG21*$AO$6)+(DG21*$AP$6))*DP21</f>
        <v>0</v>
      </c>
      <c r="DS21" s="70">
        <f>SUM(DQ21:DR21)</f>
        <v>0</v>
      </c>
      <c r="DT21" s="73">
        <v>0</v>
      </c>
      <c r="DU21" s="74">
        <f t="shared" ref="DU21:DU24" si="225">IF(DE21=1,($C$1*$Q$6),0)</f>
        <v>282.40000000000003</v>
      </c>
      <c r="DV21" s="303">
        <f t="shared" ref="DV21:DV24" si="226">DN21+DS21+DT21+DU21</f>
        <v>3152.4324222222222</v>
      </c>
      <c r="DW21" s="58">
        <v>1</v>
      </c>
      <c r="DX21" s="68" t="s">
        <v>287</v>
      </c>
      <c r="DY21" s="28">
        <f t="shared" ref="DY21:DY24" si="227">DZ21/$AM$4</f>
        <v>9.4915454545454541</v>
      </c>
      <c r="DZ21" s="69">
        <v>2088.14</v>
      </c>
      <c r="EA21" s="28">
        <f>DZ21*EA$6</f>
        <v>208.81399999999999</v>
      </c>
      <c r="EB21" s="28">
        <f>DZ21*EB$6</f>
        <v>167.05119999999999</v>
      </c>
      <c r="EC21" s="28">
        <f>DZ21/EC$6</f>
        <v>174.01166666666666</v>
      </c>
      <c r="ED21" s="28">
        <f>EC21/ED$6</f>
        <v>58.003888888888888</v>
      </c>
      <c r="EE21" s="70">
        <f>DZ21/EE$6</f>
        <v>174.01166666666666</v>
      </c>
      <c r="EF21" s="70">
        <f>SUM(DZ21:EE21)</f>
        <v>2870.0324222222221</v>
      </c>
      <c r="EG21" s="71">
        <v>0</v>
      </c>
      <c r="EH21" s="71">
        <v>0</v>
      </c>
      <c r="EI21" s="72">
        <f t="shared" ref="EI21:EI24" si="228">((DY21*EI$6)+(DY21*$AO$6)+(DY21*$AP$6))*EG21</f>
        <v>0</v>
      </c>
      <c r="EJ21" s="72">
        <f t="shared" ref="EJ21:EJ24" si="229">((DY21*EJ$6)+(DY21*$AO$6)+(DY21*$AP$6))*EH21</f>
        <v>0</v>
      </c>
      <c r="EK21" s="70">
        <f>SUM(EI21:EJ21)</f>
        <v>0</v>
      </c>
      <c r="EL21" s="73">
        <v>0</v>
      </c>
      <c r="EM21" s="74">
        <f t="shared" ref="EM21:EM24" si="230">IF(DW21=1,($C$1*$Q$6),0)</f>
        <v>282.40000000000003</v>
      </c>
      <c r="EN21" s="303">
        <f t="shared" ref="EN21:EN24" si="231">EF21+EK21+EL21+EM21</f>
        <v>3152.4324222222222</v>
      </c>
      <c r="EO21" s="58">
        <v>1</v>
      </c>
      <c r="EP21" s="68" t="s">
        <v>287</v>
      </c>
      <c r="EQ21" s="28">
        <f t="shared" ref="EQ21:EQ24" si="232">ER21/$AM$4</f>
        <v>9.4915454545454541</v>
      </c>
      <c r="ER21" s="69">
        <v>2088.14</v>
      </c>
      <c r="ES21" s="28">
        <f>ER21*ES$6</f>
        <v>208.81399999999999</v>
      </c>
      <c r="ET21" s="28">
        <f>ER21*ET$6</f>
        <v>167.05119999999999</v>
      </c>
      <c r="EU21" s="28">
        <f>ER21/EU$6</f>
        <v>174.01166666666666</v>
      </c>
      <c r="EV21" s="28">
        <f>EU21/EV$6</f>
        <v>58.003888888888888</v>
      </c>
      <c r="EW21" s="70">
        <f>ER21/EW$6</f>
        <v>174.01166666666666</v>
      </c>
      <c r="EX21" s="70">
        <f>SUM(ER21:EW21)</f>
        <v>2870.0324222222221</v>
      </c>
      <c r="EY21" s="71">
        <v>0</v>
      </c>
      <c r="EZ21" s="71">
        <v>0</v>
      </c>
      <c r="FA21" s="72">
        <f t="shared" ref="FA21:FA24" si="233">((EQ21*FA$6)+(EQ21*$AO$6)+(EQ21*$AP$6))*EY21</f>
        <v>0</v>
      </c>
      <c r="FB21" s="72">
        <f t="shared" ref="FB21:FB24" si="234">((EQ21*FB$6)+(EQ21*$AO$6)+(EQ21*$AP$6))*EZ21</f>
        <v>0</v>
      </c>
      <c r="FC21" s="70">
        <f>SUM(FA21:FB21)</f>
        <v>0</v>
      </c>
      <c r="FD21" s="73">
        <v>0</v>
      </c>
      <c r="FE21" s="74">
        <f t="shared" ref="FE21:FE24" si="235">IF(EO21=1,($C$1*$Q$6),0)</f>
        <v>282.40000000000003</v>
      </c>
      <c r="FF21" s="303">
        <f t="shared" ref="FF21:FF24" si="236">EX21+FC21+FD21+FE21</f>
        <v>3152.4324222222222</v>
      </c>
      <c r="FG21" s="58">
        <v>1</v>
      </c>
      <c r="FH21" s="68" t="s">
        <v>287</v>
      </c>
      <c r="FI21" s="28">
        <f t="shared" ref="FI21:FI24" si="237">FJ21/$AM$4</f>
        <v>9.4915454545454541</v>
      </c>
      <c r="FJ21" s="69">
        <v>2088.14</v>
      </c>
      <c r="FK21" s="28">
        <f>FJ21*FK$6</f>
        <v>208.81399999999999</v>
      </c>
      <c r="FL21" s="28">
        <f>FJ21*FL$6</f>
        <v>167.05119999999999</v>
      </c>
      <c r="FM21" s="28">
        <f>FJ21/FM$6</f>
        <v>174.01166666666666</v>
      </c>
      <c r="FN21" s="28">
        <f>FM21/FN$6</f>
        <v>58.003888888888888</v>
      </c>
      <c r="FO21" s="70">
        <f>FJ21/FO$6</f>
        <v>174.01166666666666</v>
      </c>
      <c r="FP21" s="70">
        <f>SUM(FJ21:FO21)</f>
        <v>2870.0324222222221</v>
      </c>
      <c r="FQ21" s="71">
        <v>0</v>
      </c>
      <c r="FR21" s="71">
        <v>0</v>
      </c>
      <c r="FS21" s="72">
        <f t="shared" ref="FS21:FS24" si="238">((FI21*FS$6)+(FI21*$AO$6)+(FI21*$AP$6))*FQ21</f>
        <v>0</v>
      </c>
      <c r="FT21" s="72">
        <f t="shared" ref="FT21:FT24" si="239">((FI21*FT$6)+(FI21*$AO$6)+(FI21*$AP$6))*FR21</f>
        <v>0</v>
      </c>
      <c r="FU21" s="70">
        <f>SUM(FS21:FT21)</f>
        <v>0</v>
      </c>
      <c r="FV21" s="73">
        <v>0</v>
      </c>
      <c r="FW21" s="74">
        <f t="shared" ref="FW21:FW24" si="240">IF(FG21=1,($C$1*$Q$6),0)</f>
        <v>282.40000000000003</v>
      </c>
      <c r="FX21" s="303">
        <f t="shared" ref="FX21:FX24" si="241">FP21+FU21+FV21+FW21</f>
        <v>3152.4324222222222</v>
      </c>
      <c r="FY21" s="58">
        <v>1</v>
      </c>
      <c r="FZ21" s="68" t="s">
        <v>287</v>
      </c>
      <c r="GA21" s="28">
        <f t="shared" ref="GA21:GA24" si="242">GB21/$AM$4</f>
        <v>9.4915454545454541</v>
      </c>
      <c r="GB21" s="69">
        <v>2088.14</v>
      </c>
      <c r="GC21" s="28">
        <f>GB21*GC$6</f>
        <v>208.81399999999999</v>
      </c>
      <c r="GD21" s="28">
        <f>GB21*GD$6</f>
        <v>167.05119999999999</v>
      </c>
      <c r="GE21" s="28">
        <f>GB21/GE$6</f>
        <v>174.01166666666666</v>
      </c>
      <c r="GF21" s="28">
        <f>GE21/GF$6</f>
        <v>58.003888888888888</v>
      </c>
      <c r="GG21" s="70">
        <f>GB21/GG$6</f>
        <v>174.01166666666666</v>
      </c>
      <c r="GH21" s="70">
        <f>SUM(GB21:GG21)</f>
        <v>2870.0324222222221</v>
      </c>
      <c r="GI21" s="71">
        <v>0</v>
      </c>
      <c r="GJ21" s="71">
        <v>0</v>
      </c>
      <c r="GK21" s="72">
        <f t="shared" ref="GK21:GK24" si="243">((GA21*GK$6)+(GA21*$AO$6)+(GA21*$AP$6))*GI21</f>
        <v>0</v>
      </c>
      <c r="GL21" s="72">
        <f t="shared" ref="GL21:GL24" si="244">((GA21*GL$6)+(GA21*$AO$6)+(GA21*$AP$6))*GJ21</f>
        <v>0</v>
      </c>
      <c r="GM21" s="70">
        <f>SUM(GK21:GL21)</f>
        <v>0</v>
      </c>
      <c r="GN21" s="73">
        <v>0</v>
      </c>
      <c r="GO21" s="74">
        <f t="shared" ref="GO21:GO24" si="245">IF(FY21=1,($C$1*$Q$6),0)</f>
        <v>282.40000000000003</v>
      </c>
      <c r="GP21" s="303">
        <f t="shared" ref="GP21:GP24" si="246">GH21+GM21+GN21+GO21</f>
        <v>3152.4324222222222</v>
      </c>
      <c r="GQ21" s="58">
        <v>1</v>
      </c>
      <c r="GR21" s="68" t="s">
        <v>287</v>
      </c>
      <c r="GS21" s="28">
        <f t="shared" ref="GS21:GS24" si="247">GT21/$AM$4</f>
        <v>9.4915454545454541</v>
      </c>
      <c r="GT21" s="69">
        <v>2088.14</v>
      </c>
      <c r="GU21" s="28">
        <f>GT21*GU$6</f>
        <v>208.81399999999999</v>
      </c>
      <c r="GV21" s="28">
        <f>GT21*GV$6</f>
        <v>167.05119999999999</v>
      </c>
      <c r="GW21" s="28">
        <f>GT21/GW$6</f>
        <v>174.01166666666666</v>
      </c>
      <c r="GX21" s="28">
        <f>GW21/GX$6</f>
        <v>58.003888888888888</v>
      </c>
      <c r="GY21" s="70">
        <f>GT21/GY$6</f>
        <v>174.01166666666666</v>
      </c>
      <c r="GZ21" s="70">
        <f>SUM(GT21:GY21)</f>
        <v>2870.0324222222221</v>
      </c>
      <c r="HA21" s="71">
        <v>0</v>
      </c>
      <c r="HB21" s="71">
        <v>0</v>
      </c>
      <c r="HC21" s="72">
        <f t="shared" ref="HC21:HC24" si="248">((GS21*HC$6)+(GS21*$AO$6)+(GS21*$AP$6))*HA21</f>
        <v>0</v>
      </c>
      <c r="HD21" s="72">
        <f t="shared" ref="HD21:HD24" si="249">((GS21*HD$6)+(GS21*$AO$6)+(GS21*$AP$6))*HB21</f>
        <v>0</v>
      </c>
      <c r="HE21" s="70">
        <f>SUM(HC21:HD21)</f>
        <v>0</v>
      </c>
      <c r="HF21" s="73">
        <v>0</v>
      </c>
      <c r="HG21" s="74">
        <f t="shared" ref="HG21:HG24" si="250">IF(GQ21=1,($C$1*$Q$6),0)</f>
        <v>282.40000000000003</v>
      </c>
      <c r="HH21" s="303">
        <f t="shared" ref="HH21:HH24" si="251">GZ21+HE21+HF21+HG21</f>
        <v>3152.4324222222222</v>
      </c>
      <c r="HJ21" s="37"/>
      <c r="HK21" s="37"/>
      <c r="HL21" s="37"/>
      <c r="HM21" s="37"/>
      <c r="HN21" s="37"/>
      <c r="HO21" s="37"/>
      <c r="HP21" s="37"/>
      <c r="HQ21" s="37"/>
      <c r="HR21" s="37"/>
      <c r="HS21" s="37"/>
      <c r="HT21" s="37"/>
      <c r="HU21" s="37"/>
      <c r="HV21" s="37"/>
      <c r="HW21" s="37"/>
      <c r="HX21" s="37"/>
      <c r="HY21" s="37"/>
      <c r="HZ21" s="37"/>
      <c r="IA21" s="37"/>
      <c r="IB21" s="37"/>
      <c r="IC21" s="37"/>
      <c r="ID21" s="37"/>
      <c r="IE21" s="37"/>
      <c r="IF21" s="37"/>
      <c r="IG21" s="37"/>
      <c r="IH21" s="37"/>
      <c r="II21" s="37"/>
      <c r="IJ21" s="37"/>
      <c r="IK21" s="37"/>
      <c r="IL21" s="37"/>
      <c r="IM21" s="37"/>
      <c r="IN21" s="37"/>
      <c r="IO21" s="37"/>
      <c r="IP21" s="37"/>
    </row>
    <row r="22" spans="1:250" x14ac:dyDescent="0.3">
      <c r="A22" s="58">
        <v>0</v>
      </c>
      <c r="B22" s="68"/>
      <c r="C22" s="28">
        <f t="shared" si="192"/>
        <v>0</v>
      </c>
      <c r="D22" s="69">
        <v>0</v>
      </c>
      <c r="E22" s="28">
        <f>D22*E$6</f>
        <v>0</v>
      </c>
      <c r="F22" s="28">
        <f>D22*F$6</f>
        <v>0</v>
      </c>
      <c r="G22" s="28">
        <f>D22/G$6</f>
        <v>0</v>
      </c>
      <c r="H22" s="28">
        <f>G22/H$6</f>
        <v>0</v>
      </c>
      <c r="I22" s="70">
        <f>D22/I$6</f>
        <v>0</v>
      </c>
      <c r="J22" s="70">
        <f>SUM(D22:I22)</f>
        <v>0</v>
      </c>
      <c r="K22" s="71">
        <v>0</v>
      </c>
      <c r="L22" s="71">
        <v>0</v>
      </c>
      <c r="M22" s="72">
        <f t="shared" si="193"/>
        <v>0</v>
      </c>
      <c r="N22" s="72">
        <f t="shared" si="194"/>
        <v>0</v>
      </c>
      <c r="O22" s="70">
        <f>SUM(M22:N22)</f>
        <v>0</v>
      </c>
      <c r="P22" s="73">
        <v>0</v>
      </c>
      <c r="Q22" s="74">
        <f t="shared" si="195"/>
        <v>0</v>
      </c>
      <c r="R22" s="303">
        <f t="shared" si="196"/>
        <v>0</v>
      </c>
      <c r="S22" s="58">
        <v>0</v>
      </c>
      <c r="T22" s="68"/>
      <c r="U22" s="28">
        <f t="shared" si="197"/>
        <v>0</v>
      </c>
      <c r="V22" s="69">
        <v>0</v>
      </c>
      <c r="W22" s="28">
        <f>V22*W$6</f>
        <v>0</v>
      </c>
      <c r="X22" s="28">
        <f>V22*X$6</f>
        <v>0</v>
      </c>
      <c r="Y22" s="28">
        <f>V22/Y$6</f>
        <v>0</v>
      </c>
      <c r="Z22" s="28">
        <f>Y22/Z$6</f>
        <v>0</v>
      </c>
      <c r="AA22" s="70">
        <f>V22/AA$6</f>
        <v>0</v>
      </c>
      <c r="AB22" s="70">
        <f>SUM(V22:AA22)</f>
        <v>0</v>
      </c>
      <c r="AC22" s="71">
        <v>0</v>
      </c>
      <c r="AD22" s="71">
        <v>0</v>
      </c>
      <c r="AE22" s="72">
        <f t="shared" si="198"/>
        <v>0</v>
      </c>
      <c r="AF22" s="72">
        <f t="shared" si="199"/>
        <v>0</v>
      </c>
      <c r="AG22" s="70">
        <f>SUM(AE22:AF22)</f>
        <v>0</v>
      </c>
      <c r="AH22" s="73">
        <v>0</v>
      </c>
      <c r="AI22" s="74">
        <f t="shared" si="200"/>
        <v>0</v>
      </c>
      <c r="AJ22" s="303">
        <f t="shared" si="201"/>
        <v>0</v>
      </c>
      <c r="AK22" s="58">
        <v>0</v>
      </c>
      <c r="AL22" s="68"/>
      <c r="AM22" s="28">
        <f t="shared" si="202"/>
        <v>0</v>
      </c>
      <c r="AN22" s="69">
        <v>0</v>
      </c>
      <c r="AO22" s="28">
        <f>AN22*AO$6</f>
        <v>0</v>
      </c>
      <c r="AP22" s="28">
        <f>AN22*AP$6</f>
        <v>0</v>
      </c>
      <c r="AQ22" s="28">
        <f>AN22/AQ$6</f>
        <v>0</v>
      </c>
      <c r="AR22" s="28">
        <f>AQ22/AR$6</f>
        <v>0</v>
      </c>
      <c r="AS22" s="70">
        <f>AN22/AS$6</f>
        <v>0</v>
      </c>
      <c r="AT22" s="70">
        <f>SUM(AN22:AS22)</f>
        <v>0</v>
      </c>
      <c r="AU22" s="71">
        <v>0</v>
      </c>
      <c r="AV22" s="71">
        <v>0</v>
      </c>
      <c r="AW22" s="72">
        <f t="shared" si="203"/>
        <v>0</v>
      </c>
      <c r="AX22" s="72">
        <f t="shared" si="204"/>
        <v>0</v>
      </c>
      <c r="AY22" s="70">
        <f>SUM(AW22:AX22)</f>
        <v>0</v>
      </c>
      <c r="AZ22" s="73">
        <v>0</v>
      </c>
      <c r="BA22" s="74">
        <f t="shared" si="205"/>
        <v>0</v>
      </c>
      <c r="BB22" s="303">
        <f t="shared" si="206"/>
        <v>0</v>
      </c>
      <c r="BC22" s="58">
        <v>0</v>
      </c>
      <c r="BD22" s="68"/>
      <c r="BE22" s="28">
        <f t="shared" si="207"/>
        <v>0</v>
      </c>
      <c r="BF22" s="69">
        <v>0</v>
      </c>
      <c r="BG22" s="28">
        <f>BF22*BG$6</f>
        <v>0</v>
      </c>
      <c r="BH22" s="28">
        <f>BF22*BH$6</f>
        <v>0</v>
      </c>
      <c r="BI22" s="28">
        <f>BF22/BI$6</f>
        <v>0</v>
      </c>
      <c r="BJ22" s="28">
        <f>BI22/BJ$6</f>
        <v>0</v>
      </c>
      <c r="BK22" s="70">
        <f>BF22/BK$6</f>
        <v>0</v>
      </c>
      <c r="BL22" s="70">
        <f>SUM(BF22:BK22)</f>
        <v>0</v>
      </c>
      <c r="BM22" s="71">
        <v>0</v>
      </c>
      <c r="BN22" s="71">
        <v>0</v>
      </c>
      <c r="BO22" s="72">
        <f t="shared" si="208"/>
        <v>0</v>
      </c>
      <c r="BP22" s="72">
        <f t="shared" si="209"/>
        <v>0</v>
      </c>
      <c r="BQ22" s="70">
        <f>SUM(BO22:BP22)</f>
        <v>0</v>
      </c>
      <c r="BR22" s="73">
        <v>0</v>
      </c>
      <c r="BS22" s="74">
        <f t="shared" si="210"/>
        <v>0</v>
      </c>
      <c r="BT22" s="303">
        <f t="shared" si="211"/>
        <v>0</v>
      </c>
      <c r="BU22" s="58">
        <v>0</v>
      </c>
      <c r="BV22" s="68"/>
      <c r="BW22" s="28">
        <f t="shared" si="212"/>
        <v>0</v>
      </c>
      <c r="BX22" s="69">
        <v>0</v>
      </c>
      <c r="BY22" s="28">
        <f>BX22*BY$6</f>
        <v>0</v>
      </c>
      <c r="BZ22" s="28">
        <f>BX22*BZ$6</f>
        <v>0</v>
      </c>
      <c r="CA22" s="28">
        <f>BX22/CA$6</f>
        <v>0</v>
      </c>
      <c r="CB22" s="28">
        <f>CA22/CB$6</f>
        <v>0</v>
      </c>
      <c r="CC22" s="70">
        <f>BX22/CC$6</f>
        <v>0</v>
      </c>
      <c r="CD22" s="70">
        <f>SUM(BX22:CC22)</f>
        <v>0</v>
      </c>
      <c r="CE22" s="71">
        <v>0</v>
      </c>
      <c r="CF22" s="71">
        <v>0</v>
      </c>
      <c r="CG22" s="72">
        <f t="shared" si="213"/>
        <v>0</v>
      </c>
      <c r="CH22" s="72">
        <f t="shared" si="214"/>
        <v>0</v>
      </c>
      <c r="CI22" s="70">
        <f>SUM(CG22:CH22)</f>
        <v>0</v>
      </c>
      <c r="CJ22" s="73">
        <v>0</v>
      </c>
      <c r="CK22" s="74">
        <f t="shared" si="215"/>
        <v>0</v>
      </c>
      <c r="CL22" s="303">
        <f t="shared" si="216"/>
        <v>0</v>
      </c>
      <c r="CM22" s="58">
        <v>0</v>
      </c>
      <c r="CN22" s="68"/>
      <c r="CO22" s="28">
        <f t="shared" si="217"/>
        <v>0</v>
      </c>
      <c r="CP22" s="69">
        <v>0</v>
      </c>
      <c r="CQ22" s="28">
        <f>CP22*CQ$6</f>
        <v>0</v>
      </c>
      <c r="CR22" s="28">
        <f>CP22*CR$6</f>
        <v>0</v>
      </c>
      <c r="CS22" s="28">
        <f>CP22/CS$6</f>
        <v>0</v>
      </c>
      <c r="CT22" s="28">
        <f>CS22/CT$6</f>
        <v>0</v>
      </c>
      <c r="CU22" s="70">
        <f>CP22/CU$6</f>
        <v>0</v>
      </c>
      <c r="CV22" s="70">
        <f>SUM(CP22:CU22)</f>
        <v>0</v>
      </c>
      <c r="CW22" s="71">
        <v>0</v>
      </c>
      <c r="CX22" s="71">
        <v>0</v>
      </c>
      <c r="CY22" s="72">
        <f t="shared" si="218"/>
        <v>0</v>
      </c>
      <c r="CZ22" s="72">
        <f t="shared" si="219"/>
        <v>0</v>
      </c>
      <c r="DA22" s="70">
        <f>SUM(CY22:CZ22)</f>
        <v>0</v>
      </c>
      <c r="DB22" s="73">
        <v>0</v>
      </c>
      <c r="DC22" s="74">
        <f t="shared" si="220"/>
        <v>0</v>
      </c>
      <c r="DD22" s="303">
        <f t="shared" si="221"/>
        <v>0</v>
      </c>
      <c r="DE22" s="58">
        <v>0</v>
      </c>
      <c r="DF22" s="68"/>
      <c r="DG22" s="28">
        <f t="shared" si="222"/>
        <v>0</v>
      </c>
      <c r="DH22" s="69">
        <v>0</v>
      </c>
      <c r="DI22" s="28">
        <f>DH22*DI$6</f>
        <v>0</v>
      </c>
      <c r="DJ22" s="28">
        <f>DH22*DJ$6</f>
        <v>0</v>
      </c>
      <c r="DK22" s="28">
        <f>DH22/DK$6</f>
        <v>0</v>
      </c>
      <c r="DL22" s="28">
        <f>DK22/DL$6</f>
        <v>0</v>
      </c>
      <c r="DM22" s="70">
        <f>DH22/DM$6</f>
        <v>0</v>
      </c>
      <c r="DN22" s="70">
        <f>SUM(DH22:DM22)</f>
        <v>0</v>
      </c>
      <c r="DO22" s="71">
        <v>0</v>
      </c>
      <c r="DP22" s="71">
        <v>0</v>
      </c>
      <c r="DQ22" s="72">
        <f t="shared" si="223"/>
        <v>0</v>
      </c>
      <c r="DR22" s="72">
        <f t="shared" si="224"/>
        <v>0</v>
      </c>
      <c r="DS22" s="70">
        <f>SUM(DQ22:DR22)</f>
        <v>0</v>
      </c>
      <c r="DT22" s="73">
        <v>0</v>
      </c>
      <c r="DU22" s="74">
        <f t="shared" si="225"/>
        <v>0</v>
      </c>
      <c r="DV22" s="303">
        <f t="shared" si="226"/>
        <v>0</v>
      </c>
      <c r="DW22" s="58">
        <v>0</v>
      </c>
      <c r="DX22" s="68"/>
      <c r="DY22" s="28">
        <f t="shared" si="227"/>
        <v>0</v>
      </c>
      <c r="DZ22" s="69">
        <v>0</v>
      </c>
      <c r="EA22" s="28">
        <f>DZ22*EA$6</f>
        <v>0</v>
      </c>
      <c r="EB22" s="28">
        <f>DZ22*EB$6</f>
        <v>0</v>
      </c>
      <c r="EC22" s="28">
        <f>DZ22/EC$6</f>
        <v>0</v>
      </c>
      <c r="ED22" s="28">
        <f>EC22/ED$6</f>
        <v>0</v>
      </c>
      <c r="EE22" s="70">
        <f>DZ22/EE$6</f>
        <v>0</v>
      </c>
      <c r="EF22" s="70">
        <f>SUM(DZ22:EE22)</f>
        <v>0</v>
      </c>
      <c r="EG22" s="71">
        <v>0</v>
      </c>
      <c r="EH22" s="71">
        <v>0</v>
      </c>
      <c r="EI22" s="72">
        <f t="shared" si="228"/>
        <v>0</v>
      </c>
      <c r="EJ22" s="72">
        <f t="shared" si="229"/>
        <v>0</v>
      </c>
      <c r="EK22" s="70">
        <f>SUM(EI22:EJ22)</f>
        <v>0</v>
      </c>
      <c r="EL22" s="73">
        <v>0</v>
      </c>
      <c r="EM22" s="74">
        <f t="shared" si="230"/>
        <v>0</v>
      </c>
      <c r="EN22" s="303">
        <f t="shared" si="231"/>
        <v>0</v>
      </c>
      <c r="EO22" s="58">
        <v>0</v>
      </c>
      <c r="EP22" s="68"/>
      <c r="EQ22" s="28">
        <f t="shared" si="232"/>
        <v>0</v>
      </c>
      <c r="ER22" s="69">
        <v>0</v>
      </c>
      <c r="ES22" s="28">
        <f>ER22*ES$6</f>
        <v>0</v>
      </c>
      <c r="ET22" s="28">
        <f>ER22*ET$6</f>
        <v>0</v>
      </c>
      <c r="EU22" s="28">
        <f>ER22/EU$6</f>
        <v>0</v>
      </c>
      <c r="EV22" s="28">
        <f>EU22/EV$6</f>
        <v>0</v>
      </c>
      <c r="EW22" s="70">
        <f>ER22/EW$6</f>
        <v>0</v>
      </c>
      <c r="EX22" s="70">
        <f>SUM(ER22:EW22)</f>
        <v>0</v>
      </c>
      <c r="EY22" s="71">
        <v>0</v>
      </c>
      <c r="EZ22" s="71">
        <v>0</v>
      </c>
      <c r="FA22" s="72">
        <f t="shared" si="233"/>
        <v>0</v>
      </c>
      <c r="FB22" s="72">
        <f t="shared" si="234"/>
        <v>0</v>
      </c>
      <c r="FC22" s="70">
        <f>SUM(FA22:FB22)</f>
        <v>0</v>
      </c>
      <c r="FD22" s="73">
        <v>0</v>
      </c>
      <c r="FE22" s="74">
        <f t="shared" si="235"/>
        <v>0</v>
      </c>
      <c r="FF22" s="303">
        <f t="shared" si="236"/>
        <v>0</v>
      </c>
      <c r="FG22" s="58">
        <v>0</v>
      </c>
      <c r="FH22" s="68"/>
      <c r="FI22" s="28">
        <f t="shared" si="237"/>
        <v>0</v>
      </c>
      <c r="FJ22" s="69">
        <v>0</v>
      </c>
      <c r="FK22" s="28">
        <f>FJ22*FK$6</f>
        <v>0</v>
      </c>
      <c r="FL22" s="28">
        <f>FJ22*FL$6</f>
        <v>0</v>
      </c>
      <c r="FM22" s="28">
        <f>FJ22/FM$6</f>
        <v>0</v>
      </c>
      <c r="FN22" s="28">
        <f>FM22/FN$6</f>
        <v>0</v>
      </c>
      <c r="FO22" s="70">
        <f>FJ22/FO$6</f>
        <v>0</v>
      </c>
      <c r="FP22" s="70">
        <f>SUM(FJ22:FO22)</f>
        <v>0</v>
      </c>
      <c r="FQ22" s="71">
        <v>0</v>
      </c>
      <c r="FR22" s="71">
        <v>0</v>
      </c>
      <c r="FS22" s="72">
        <f t="shared" si="238"/>
        <v>0</v>
      </c>
      <c r="FT22" s="72">
        <f t="shared" si="239"/>
        <v>0</v>
      </c>
      <c r="FU22" s="70">
        <f>SUM(FS22:FT22)</f>
        <v>0</v>
      </c>
      <c r="FV22" s="73">
        <v>0</v>
      </c>
      <c r="FW22" s="74">
        <f t="shared" si="240"/>
        <v>0</v>
      </c>
      <c r="FX22" s="303">
        <f t="shared" si="241"/>
        <v>0</v>
      </c>
      <c r="FY22" s="58">
        <v>0</v>
      </c>
      <c r="FZ22" s="68"/>
      <c r="GA22" s="28">
        <f t="shared" si="242"/>
        <v>0</v>
      </c>
      <c r="GB22" s="69">
        <v>0</v>
      </c>
      <c r="GC22" s="28">
        <f>GB22*GC$6</f>
        <v>0</v>
      </c>
      <c r="GD22" s="28">
        <f>GB22*GD$6</f>
        <v>0</v>
      </c>
      <c r="GE22" s="28">
        <f>GB22/GE$6</f>
        <v>0</v>
      </c>
      <c r="GF22" s="28">
        <f>GE22/GF$6</f>
        <v>0</v>
      </c>
      <c r="GG22" s="70">
        <f>GB22/GG$6</f>
        <v>0</v>
      </c>
      <c r="GH22" s="70">
        <f>SUM(GB22:GG22)</f>
        <v>0</v>
      </c>
      <c r="GI22" s="71">
        <v>0</v>
      </c>
      <c r="GJ22" s="71">
        <v>0</v>
      </c>
      <c r="GK22" s="72">
        <f t="shared" si="243"/>
        <v>0</v>
      </c>
      <c r="GL22" s="72">
        <f t="shared" si="244"/>
        <v>0</v>
      </c>
      <c r="GM22" s="70">
        <f>SUM(GK22:GL22)</f>
        <v>0</v>
      </c>
      <c r="GN22" s="73">
        <v>0</v>
      </c>
      <c r="GO22" s="74">
        <f t="shared" si="245"/>
        <v>0</v>
      </c>
      <c r="GP22" s="303">
        <f t="shared" si="246"/>
        <v>0</v>
      </c>
      <c r="GQ22" s="58">
        <v>0</v>
      </c>
      <c r="GR22" s="68"/>
      <c r="GS22" s="28">
        <f t="shared" si="247"/>
        <v>0</v>
      </c>
      <c r="GT22" s="69">
        <v>0</v>
      </c>
      <c r="GU22" s="28">
        <f>GT22*GU$6</f>
        <v>0</v>
      </c>
      <c r="GV22" s="28">
        <f>GT22*GV$6</f>
        <v>0</v>
      </c>
      <c r="GW22" s="28">
        <f>GT22/GW$6</f>
        <v>0</v>
      </c>
      <c r="GX22" s="28">
        <f>GW22/GX$6</f>
        <v>0</v>
      </c>
      <c r="GY22" s="70">
        <f>GT22/GY$6</f>
        <v>0</v>
      </c>
      <c r="GZ22" s="70">
        <f>SUM(GT22:GY22)</f>
        <v>0</v>
      </c>
      <c r="HA22" s="71">
        <v>0</v>
      </c>
      <c r="HB22" s="71">
        <v>0</v>
      </c>
      <c r="HC22" s="72">
        <f t="shared" si="248"/>
        <v>0</v>
      </c>
      <c r="HD22" s="72">
        <f t="shared" si="249"/>
        <v>0</v>
      </c>
      <c r="HE22" s="70">
        <f>SUM(HC22:HD22)</f>
        <v>0</v>
      </c>
      <c r="HF22" s="73">
        <v>0</v>
      </c>
      <c r="HG22" s="74">
        <f t="shared" si="250"/>
        <v>0</v>
      </c>
      <c r="HH22" s="303">
        <f t="shared" si="251"/>
        <v>0</v>
      </c>
      <c r="HJ22" s="37"/>
      <c r="HK22" s="37"/>
      <c r="HL22" s="37"/>
      <c r="HM22" s="37"/>
      <c r="HN22" s="37"/>
      <c r="HO22" s="37"/>
      <c r="HP22" s="37"/>
      <c r="HQ22" s="37"/>
      <c r="HR22" s="37"/>
      <c r="HS22" s="37"/>
      <c r="HT22" s="37"/>
      <c r="HU22" s="37"/>
      <c r="HV22" s="37"/>
      <c r="HW22" s="37"/>
      <c r="HX22" s="37"/>
      <c r="HY22" s="37"/>
      <c r="HZ22" s="37"/>
      <c r="IA22" s="37"/>
      <c r="IB22" s="37"/>
      <c r="IC22" s="37"/>
      <c r="ID22" s="37"/>
      <c r="IE22" s="37"/>
      <c r="IF22" s="37"/>
      <c r="IG22" s="37"/>
      <c r="IH22" s="37"/>
      <c r="II22" s="37"/>
      <c r="IJ22" s="37"/>
      <c r="IK22" s="37"/>
      <c r="IL22" s="37"/>
      <c r="IM22" s="37"/>
      <c r="IN22" s="37"/>
      <c r="IO22" s="37"/>
      <c r="IP22" s="37"/>
    </row>
    <row r="23" spans="1:250" x14ac:dyDescent="0.3">
      <c r="A23" s="58">
        <v>0</v>
      </c>
      <c r="B23" s="68"/>
      <c r="C23" s="28">
        <f t="shared" si="192"/>
        <v>0</v>
      </c>
      <c r="D23" s="69">
        <v>0</v>
      </c>
      <c r="E23" s="28">
        <f>D23*E$6</f>
        <v>0</v>
      </c>
      <c r="F23" s="28">
        <f>D23*F$6</f>
        <v>0</v>
      </c>
      <c r="G23" s="28">
        <f>D23/G$6</f>
        <v>0</v>
      </c>
      <c r="H23" s="28">
        <f>G23/H$6</f>
        <v>0</v>
      </c>
      <c r="I23" s="70">
        <f>D23/I$6</f>
        <v>0</v>
      </c>
      <c r="J23" s="70">
        <f>SUM(D23:I23)</f>
        <v>0</v>
      </c>
      <c r="K23" s="71">
        <v>0</v>
      </c>
      <c r="L23" s="71">
        <v>0</v>
      </c>
      <c r="M23" s="72">
        <f t="shared" si="193"/>
        <v>0</v>
      </c>
      <c r="N23" s="72">
        <f t="shared" si="194"/>
        <v>0</v>
      </c>
      <c r="O23" s="70">
        <f>SUM(M23:N23)</f>
        <v>0</v>
      </c>
      <c r="P23" s="73">
        <v>0</v>
      </c>
      <c r="Q23" s="74">
        <f t="shared" si="195"/>
        <v>0</v>
      </c>
      <c r="R23" s="303">
        <f t="shared" si="196"/>
        <v>0</v>
      </c>
      <c r="S23" s="58">
        <v>0</v>
      </c>
      <c r="T23" s="68"/>
      <c r="U23" s="28">
        <f t="shared" si="197"/>
        <v>0</v>
      </c>
      <c r="V23" s="69">
        <v>0</v>
      </c>
      <c r="W23" s="28">
        <f>V23*W$6</f>
        <v>0</v>
      </c>
      <c r="X23" s="28">
        <f>V23*X$6</f>
        <v>0</v>
      </c>
      <c r="Y23" s="28">
        <f>V23/Y$6</f>
        <v>0</v>
      </c>
      <c r="Z23" s="28">
        <f>Y23/Z$6</f>
        <v>0</v>
      </c>
      <c r="AA23" s="70">
        <f>V23/AA$6</f>
        <v>0</v>
      </c>
      <c r="AB23" s="70">
        <f>SUM(V23:AA23)</f>
        <v>0</v>
      </c>
      <c r="AC23" s="71">
        <v>0</v>
      </c>
      <c r="AD23" s="71">
        <v>0</v>
      </c>
      <c r="AE23" s="72">
        <f t="shared" si="198"/>
        <v>0</v>
      </c>
      <c r="AF23" s="72">
        <f t="shared" si="199"/>
        <v>0</v>
      </c>
      <c r="AG23" s="70">
        <f>SUM(AE23:AF23)</f>
        <v>0</v>
      </c>
      <c r="AH23" s="73">
        <v>0</v>
      </c>
      <c r="AI23" s="74">
        <f t="shared" si="200"/>
        <v>0</v>
      </c>
      <c r="AJ23" s="303">
        <f t="shared" si="201"/>
        <v>0</v>
      </c>
      <c r="AK23" s="58">
        <v>0</v>
      </c>
      <c r="AL23" s="68"/>
      <c r="AM23" s="28">
        <f t="shared" si="202"/>
        <v>0</v>
      </c>
      <c r="AN23" s="69">
        <v>0</v>
      </c>
      <c r="AO23" s="28">
        <f>AN23*AO$6</f>
        <v>0</v>
      </c>
      <c r="AP23" s="28">
        <f>AN23*AP$6</f>
        <v>0</v>
      </c>
      <c r="AQ23" s="28">
        <f>AN23/AQ$6</f>
        <v>0</v>
      </c>
      <c r="AR23" s="28">
        <f>AQ23/AR$6</f>
        <v>0</v>
      </c>
      <c r="AS23" s="70">
        <f>AN23/AS$6</f>
        <v>0</v>
      </c>
      <c r="AT23" s="70">
        <f>SUM(AN23:AS23)</f>
        <v>0</v>
      </c>
      <c r="AU23" s="71">
        <v>0</v>
      </c>
      <c r="AV23" s="71">
        <v>0</v>
      </c>
      <c r="AW23" s="72">
        <f t="shared" si="203"/>
        <v>0</v>
      </c>
      <c r="AX23" s="72">
        <f t="shared" si="204"/>
        <v>0</v>
      </c>
      <c r="AY23" s="70">
        <f>SUM(AW23:AX23)</f>
        <v>0</v>
      </c>
      <c r="AZ23" s="73">
        <v>0</v>
      </c>
      <c r="BA23" s="74">
        <f t="shared" si="205"/>
        <v>0</v>
      </c>
      <c r="BB23" s="303">
        <f t="shared" si="206"/>
        <v>0</v>
      </c>
      <c r="BC23" s="58">
        <v>0</v>
      </c>
      <c r="BD23" s="68"/>
      <c r="BE23" s="28">
        <f t="shared" si="207"/>
        <v>0</v>
      </c>
      <c r="BF23" s="69">
        <v>0</v>
      </c>
      <c r="BG23" s="28">
        <f>BF23*BG$6</f>
        <v>0</v>
      </c>
      <c r="BH23" s="28">
        <f>BF23*BH$6</f>
        <v>0</v>
      </c>
      <c r="BI23" s="28">
        <f>BF23/BI$6</f>
        <v>0</v>
      </c>
      <c r="BJ23" s="28">
        <f>BI23/BJ$6</f>
        <v>0</v>
      </c>
      <c r="BK23" s="70">
        <f>BF23/BK$6</f>
        <v>0</v>
      </c>
      <c r="BL23" s="70">
        <f>SUM(BF23:BK23)</f>
        <v>0</v>
      </c>
      <c r="BM23" s="71">
        <v>0</v>
      </c>
      <c r="BN23" s="71">
        <v>0</v>
      </c>
      <c r="BO23" s="72">
        <f t="shared" si="208"/>
        <v>0</v>
      </c>
      <c r="BP23" s="72">
        <f t="shared" si="209"/>
        <v>0</v>
      </c>
      <c r="BQ23" s="70">
        <f>SUM(BO23:BP23)</f>
        <v>0</v>
      </c>
      <c r="BR23" s="73">
        <v>0</v>
      </c>
      <c r="BS23" s="74">
        <f t="shared" si="210"/>
        <v>0</v>
      </c>
      <c r="BT23" s="303">
        <f t="shared" si="211"/>
        <v>0</v>
      </c>
      <c r="BU23" s="58">
        <v>0</v>
      </c>
      <c r="BV23" s="68"/>
      <c r="BW23" s="28">
        <f t="shared" si="212"/>
        <v>0</v>
      </c>
      <c r="BX23" s="69">
        <v>0</v>
      </c>
      <c r="BY23" s="28">
        <f>BX23*BY$6</f>
        <v>0</v>
      </c>
      <c r="BZ23" s="28">
        <f>BX23*BZ$6</f>
        <v>0</v>
      </c>
      <c r="CA23" s="28">
        <f>BX23/CA$6</f>
        <v>0</v>
      </c>
      <c r="CB23" s="28">
        <f>CA23/CB$6</f>
        <v>0</v>
      </c>
      <c r="CC23" s="70">
        <f>BX23/CC$6</f>
        <v>0</v>
      </c>
      <c r="CD23" s="70">
        <f>SUM(BX23:CC23)</f>
        <v>0</v>
      </c>
      <c r="CE23" s="71">
        <v>0</v>
      </c>
      <c r="CF23" s="71">
        <v>0</v>
      </c>
      <c r="CG23" s="72">
        <f t="shared" si="213"/>
        <v>0</v>
      </c>
      <c r="CH23" s="72">
        <f t="shared" si="214"/>
        <v>0</v>
      </c>
      <c r="CI23" s="70">
        <f>SUM(CG23:CH23)</f>
        <v>0</v>
      </c>
      <c r="CJ23" s="73">
        <v>0</v>
      </c>
      <c r="CK23" s="74">
        <f t="shared" si="215"/>
        <v>0</v>
      </c>
      <c r="CL23" s="303">
        <f t="shared" si="216"/>
        <v>0</v>
      </c>
      <c r="CM23" s="58">
        <v>0</v>
      </c>
      <c r="CN23" s="68"/>
      <c r="CO23" s="28">
        <f t="shared" si="217"/>
        <v>0</v>
      </c>
      <c r="CP23" s="69">
        <v>0</v>
      </c>
      <c r="CQ23" s="28">
        <f>CP23*CQ$6</f>
        <v>0</v>
      </c>
      <c r="CR23" s="28">
        <f>CP23*CR$6</f>
        <v>0</v>
      </c>
      <c r="CS23" s="28">
        <f>CP23/CS$6</f>
        <v>0</v>
      </c>
      <c r="CT23" s="28">
        <f>CS23/CT$6</f>
        <v>0</v>
      </c>
      <c r="CU23" s="70">
        <f>CP23/CU$6</f>
        <v>0</v>
      </c>
      <c r="CV23" s="70">
        <f>SUM(CP23:CU23)</f>
        <v>0</v>
      </c>
      <c r="CW23" s="71">
        <v>0</v>
      </c>
      <c r="CX23" s="71">
        <v>0</v>
      </c>
      <c r="CY23" s="72">
        <f t="shared" si="218"/>
        <v>0</v>
      </c>
      <c r="CZ23" s="72">
        <f t="shared" si="219"/>
        <v>0</v>
      </c>
      <c r="DA23" s="70">
        <f>SUM(CY23:CZ23)</f>
        <v>0</v>
      </c>
      <c r="DB23" s="73">
        <v>0</v>
      </c>
      <c r="DC23" s="74">
        <f t="shared" si="220"/>
        <v>0</v>
      </c>
      <c r="DD23" s="303">
        <f t="shared" si="221"/>
        <v>0</v>
      </c>
      <c r="DE23" s="58">
        <v>0</v>
      </c>
      <c r="DF23" s="68"/>
      <c r="DG23" s="28">
        <f t="shared" si="222"/>
        <v>0</v>
      </c>
      <c r="DH23" s="69">
        <v>0</v>
      </c>
      <c r="DI23" s="28">
        <f>DH23*DI$6</f>
        <v>0</v>
      </c>
      <c r="DJ23" s="28">
        <f>DH23*DJ$6</f>
        <v>0</v>
      </c>
      <c r="DK23" s="28">
        <f>DH23/DK$6</f>
        <v>0</v>
      </c>
      <c r="DL23" s="28">
        <f>DK23/DL$6</f>
        <v>0</v>
      </c>
      <c r="DM23" s="70">
        <f>DH23/DM$6</f>
        <v>0</v>
      </c>
      <c r="DN23" s="70">
        <f>SUM(DH23:DM23)</f>
        <v>0</v>
      </c>
      <c r="DO23" s="71">
        <v>0</v>
      </c>
      <c r="DP23" s="71">
        <v>0</v>
      </c>
      <c r="DQ23" s="72">
        <f t="shared" si="223"/>
        <v>0</v>
      </c>
      <c r="DR23" s="72">
        <f t="shared" si="224"/>
        <v>0</v>
      </c>
      <c r="DS23" s="70">
        <f>SUM(DQ23:DR23)</f>
        <v>0</v>
      </c>
      <c r="DT23" s="73">
        <v>0</v>
      </c>
      <c r="DU23" s="74">
        <f t="shared" si="225"/>
        <v>0</v>
      </c>
      <c r="DV23" s="303">
        <f t="shared" si="226"/>
        <v>0</v>
      </c>
      <c r="DW23" s="58">
        <v>0</v>
      </c>
      <c r="DX23" s="68"/>
      <c r="DY23" s="28">
        <f t="shared" si="227"/>
        <v>0</v>
      </c>
      <c r="DZ23" s="69">
        <v>0</v>
      </c>
      <c r="EA23" s="28">
        <f>DZ23*EA$6</f>
        <v>0</v>
      </c>
      <c r="EB23" s="28">
        <f>DZ23*EB$6</f>
        <v>0</v>
      </c>
      <c r="EC23" s="28">
        <f>DZ23/EC$6</f>
        <v>0</v>
      </c>
      <c r="ED23" s="28">
        <f>EC23/ED$6</f>
        <v>0</v>
      </c>
      <c r="EE23" s="70">
        <f>DZ23/EE$6</f>
        <v>0</v>
      </c>
      <c r="EF23" s="70">
        <f>SUM(DZ23:EE23)</f>
        <v>0</v>
      </c>
      <c r="EG23" s="71">
        <v>0</v>
      </c>
      <c r="EH23" s="71">
        <v>0</v>
      </c>
      <c r="EI23" s="72">
        <f t="shared" si="228"/>
        <v>0</v>
      </c>
      <c r="EJ23" s="72">
        <f t="shared" si="229"/>
        <v>0</v>
      </c>
      <c r="EK23" s="70">
        <f>SUM(EI23:EJ23)</f>
        <v>0</v>
      </c>
      <c r="EL23" s="73">
        <v>0</v>
      </c>
      <c r="EM23" s="74">
        <f t="shared" si="230"/>
        <v>0</v>
      </c>
      <c r="EN23" s="303">
        <f t="shared" si="231"/>
        <v>0</v>
      </c>
      <c r="EO23" s="58">
        <v>0</v>
      </c>
      <c r="EP23" s="68"/>
      <c r="EQ23" s="28">
        <f t="shared" si="232"/>
        <v>0</v>
      </c>
      <c r="ER23" s="69">
        <v>0</v>
      </c>
      <c r="ES23" s="28">
        <f>ER23*ES$6</f>
        <v>0</v>
      </c>
      <c r="ET23" s="28">
        <f>ER23*ET$6</f>
        <v>0</v>
      </c>
      <c r="EU23" s="28">
        <f>ER23/EU$6</f>
        <v>0</v>
      </c>
      <c r="EV23" s="28">
        <f>EU23/EV$6</f>
        <v>0</v>
      </c>
      <c r="EW23" s="70">
        <f>ER23/EW$6</f>
        <v>0</v>
      </c>
      <c r="EX23" s="70">
        <f>SUM(ER23:EW23)</f>
        <v>0</v>
      </c>
      <c r="EY23" s="71">
        <v>0</v>
      </c>
      <c r="EZ23" s="71">
        <v>0</v>
      </c>
      <c r="FA23" s="72">
        <f t="shared" si="233"/>
        <v>0</v>
      </c>
      <c r="FB23" s="72">
        <f t="shared" si="234"/>
        <v>0</v>
      </c>
      <c r="FC23" s="70">
        <f>SUM(FA23:FB23)</f>
        <v>0</v>
      </c>
      <c r="FD23" s="73">
        <v>0</v>
      </c>
      <c r="FE23" s="74">
        <f t="shared" si="235"/>
        <v>0</v>
      </c>
      <c r="FF23" s="303">
        <f t="shared" si="236"/>
        <v>0</v>
      </c>
      <c r="FG23" s="58">
        <v>0</v>
      </c>
      <c r="FH23" s="68"/>
      <c r="FI23" s="28">
        <f t="shared" si="237"/>
        <v>0</v>
      </c>
      <c r="FJ23" s="69">
        <v>0</v>
      </c>
      <c r="FK23" s="28">
        <f>FJ23*FK$6</f>
        <v>0</v>
      </c>
      <c r="FL23" s="28">
        <f>FJ23*FL$6</f>
        <v>0</v>
      </c>
      <c r="FM23" s="28">
        <f>FJ23/FM$6</f>
        <v>0</v>
      </c>
      <c r="FN23" s="28">
        <f>FM23/FN$6</f>
        <v>0</v>
      </c>
      <c r="FO23" s="70">
        <f>FJ23/FO$6</f>
        <v>0</v>
      </c>
      <c r="FP23" s="70">
        <f>SUM(FJ23:FO23)</f>
        <v>0</v>
      </c>
      <c r="FQ23" s="71">
        <v>0</v>
      </c>
      <c r="FR23" s="71">
        <v>0</v>
      </c>
      <c r="FS23" s="72">
        <f t="shared" si="238"/>
        <v>0</v>
      </c>
      <c r="FT23" s="72">
        <f t="shared" si="239"/>
        <v>0</v>
      </c>
      <c r="FU23" s="70">
        <f>SUM(FS23:FT23)</f>
        <v>0</v>
      </c>
      <c r="FV23" s="73">
        <v>0</v>
      </c>
      <c r="FW23" s="74">
        <f t="shared" si="240"/>
        <v>0</v>
      </c>
      <c r="FX23" s="303">
        <f t="shared" si="241"/>
        <v>0</v>
      </c>
      <c r="FY23" s="58">
        <v>0</v>
      </c>
      <c r="FZ23" s="68"/>
      <c r="GA23" s="28">
        <f t="shared" si="242"/>
        <v>0</v>
      </c>
      <c r="GB23" s="69">
        <v>0</v>
      </c>
      <c r="GC23" s="28">
        <f>GB23*GC$6</f>
        <v>0</v>
      </c>
      <c r="GD23" s="28">
        <f>GB23*GD$6</f>
        <v>0</v>
      </c>
      <c r="GE23" s="28">
        <f>GB23/GE$6</f>
        <v>0</v>
      </c>
      <c r="GF23" s="28">
        <f>GE23/GF$6</f>
        <v>0</v>
      </c>
      <c r="GG23" s="70">
        <f>GB23/GG$6</f>
        <v>0</v>
      </c>
      <c r="GH23" s="70">
        <f>SUM(GB23:GG23)</f>
        <v>0</v>
      </c>
      <c r="GI23" s="71">
        <v>0</v>
      </c>
      <c r="GJ23" s="71">
        <v>0</v>
      </c>
      <c r="GK23" s="72">
        <f t="shared" si="243"/>
        <v>0</v>
      </c>
      <c r="GL23" s="72">
        <f t="shared" si="244"/>
        <v>0</v>
      </c>
      <c r="GM23" s="70">
        <f>SUM(GK23:GL23)</f>
        <v>0</v>
      </c>
      <c r="GN23" s="73">
        <v>0</v>
      </c>
      <c r="GO23" s="74">
        <f t="shared" si="245"/>
        <v>0</v>
      </c>
      <c r="GP23" s="303">
        <f t="shared" si="246"/>
        <v>0</v>
      </c>
      <c r="GQ23" s="58">
        <v>0</v>
      </c>
      <c r="GR23" s="68"/>
      <c r="GS23" s="28">
        <f t="shared" si="247"/>
        <v>0</v>
      </c>
      <c r="GT23" s="69">
        <v>0</v>
      </c>
      <c r="GU23" s="28">
        <f>GT23*GU$6</f>
        <v>0</v>
      </c>
      <c r="GV23" s="28">
        <f>GT23*GV$6</f>
        <v>0</v>
      </c>
      <c r="GW23" s="28">
        <f>GT23/GW$6</f>
        <v>0</v>
      </c>
      <c r="GX23" s="28">
        <f>GW23/GX$6</f>
        <v>0</v>
      </c>
      <c r="GY23" s="70">
        <f>GT23/GY$6</f>
        <v>0</v>
      </c>
      <c r="GZ23" s="70">
        <f>SUM(GT23:GY23)</f>
        <v>0</v>
      </c>
      <c r="HA23" s="71">
        <v>0</v>
      </c>
      <c r="HB23" s="71">
        <v>0</v>
      </c>
      <c r="HC23" s="72">
        <f t="shared" si="248"/>
        <v>0</v>
      </c>
      <c r="HD23" s="72">
        <f t="shared" si="249"/>
        <v>0</v>
      </c>
      <c r="HE23" s="70">
        <f>SUM(HC23:HD23)</f>
        <v>0</v>
      </c>
      <c r="HF23" s="73">
        <v>0</v>
      </c>
      <c r="HG23" s="74">
        <f t="shared" si="250"/>
        <v>0</v>
      </c>
      <c r="HH23" s="303">
        <f t="shared" si="251"/>
        <v>0</v>
      </c>
      <c r="HJ23" s="37"/>
      <c r="HK23" s="37"/>
      <c r="HL23" s="37"/>
      <c r="HM23" s="37"/>
      <c r="HN23" s="37"/>
      <c r="HO23" s="37"/>
      <c r="HP23" s="37"/>
      <c r="HQ23" s="37"/>
      <c r="HR23" s="37"/>
      <c r="HS23" s="37"/>
      <c r="HT23" s="37"/>
      <c r="HU23" s="37"/>
      <c r="HV23" s="37"/>
      <c r="HW23" s="37"/>
      <c r="HX23" s="37"/>
      <c r="HY23" s="37"/>
      <c r="HZ23" s="37"/>
      <c r="IA23" s="37"/>
      <c r="IB23" s="37"/>
      <c r="IC23" s="37"/>
      <c r="ID23" s="37"/>
      <c r="IE23" s="37"/>
      <c r="IF23" s="37"/>
      <c r="IG23" s="37"/>
      <c r="IH23" s="37"/>
      <c r="II23" s="37"/>
      <c r="IJ23" s="37"/>
      <c r="IK23" s="37"/>
      <c r="IL23" s="37"/>
      <c r="IM23" s="37"/>
      <c r="IN23" s="37"/>
      <c r="IO23" s="37"/>
      <c r="IP23" s="37"/>
    </row>
    <row r="24" spans="1:250" x14ac:dyDescent="0.3">
      <c r="A24" s="58">
        <v>0</v>
      </c>
      <c r="B24" s="68"/>
      <c r="C24" s="28">
        <f t="shared" si="192"/>
        <v>0</v>
      </c>
      <c r="D24" s="69">
        <v>0</v>
      </c>
      <c r="E24" s="28">
        <f>D24*E$6</f>
        <v>0</v>
      </c>
      <c r="F24" s="28">
        <f>D24*F$6</f>
        <v>0</v>
      </c>
      <c r="G24" s="28">
        <f>D24/G$6</f>
        <v>0</v>
      </c>
      <c r="H24" s="28">
        <f>G24/H$6</f>
        <v>0</v>
      </c>
      <c r="I24" s="70">
        <f>D24/I$6</f>
        <v>0</v>
      </c>
      <c r="J24" s="70">
        <f>SUM(D24:I24)</f>
        <v>0</v>
      </c>
      <c r="K24" s="71">
        <v>0</v>
      </c>
      <c r="L24" s="71">
        <v>0</v>
      </c>
      <c r="M24" s="72">
        <f t="shared" si="193"/>
        <v>0</v>
      </c>
      <c r="N24" s="72">
        <f t="shared" si="194"/>
        <v>0</v>
      </c>
      <c r="O24" s="70">
        <f>SUM(M24:N24)</f>
        <v>0</v>
      </c>
      <c r="P24" s="73">
        <v>0</v>
      </c>
      <c r="Q24" s="74">
        <f t="shared" si="195"/>
        <v>0</v>
      </c>
      <c r="R24" s="303">
        <f t="shared" si="196"/>
        <v>0</v>
      </c>
      <c r="S24" s="58">
        <v>0</v>
      </c>
      <c r="T24" s="68"/>
      <c r="U24" s="28">
        <f t="shared" si="197"/>
        <v>0</v>
      </c>
      <c r="V24" s="69">
        <v>0</v>
      </c>
      <c r="W24" s="28">
        <f>V24*W$6</f>
        <v>0</v>
      </c>
      <c r="X24" s="28">
        <f>V24*X$6</f>
        <v>0</v>
      </c>
      <c r="Y24" s="28">
        <f>V24/Y$6</f>
        <v>0</v>
      </c>
      <c r="Z24" s="28">
        <f>Y24/Z$6</f>
        <v>0</v>
      </c>
      <c r="AA24" s="70">
        <f>V24/AA$6</f>
        <v>0</v>
      </c>
      <c r="AB24" s="70">
        <f>SUM(V24:AA24)</f>
        <v>0</v>
      </c>
      <c r="AC24" s="71">
        <v>0</v>
      </c>
      <c r="AD24" s="71">
        <v>0</v>
      </c>
      <c r="AE24" s="72">
        <f t="shared" si="198"/>
        <v>0</v>
      </c>
      <c r="AF24" s="72">
        <f t="shared" si="199"/>
        <v>0</v>
      </c>
      <c r="AG24" s="70">
        <f>SUM(AE24:AF24)</f>
        <v>0</v>
      </c>
      <c r="AH24" s="73">
        <v>0</v>
      </c>
      <c r="AI24" s="74">
        <f t="shared" si="200"/>
        <v>0</v>
      </c>
      <c r="AJ24" s="303">
        <f t="shared" si="201"/>
        <v>0</v>
      </c>
      <c r="AK24" s="58">
        <v>0</v>
      </c>
      <c r="AL24" s="68"/>
      <c r="AM24" s="28">
        <f t="shared" si="202"/>
        <v>0</v>
      </c>
      <c r="AN24" s="69">
        <v>0</v>
      </c>
      <c r="AO24" s="28">
        <f>AN24*AO$6</f>
        <v>0</v>
      </c>
      <c r="AP24" s="28">
        <f>AN24*AP$6</f>
        <v>0</v>
      </c>
      <c r="AQ24" s="28">
        <f>AN24/AQ$6</f>
        <v>0</v>
      </c>
      <c r="AR24" s="28">
        <f>AQ24/AR$6</f>
        <v>0</v>
      </c>
      <c r="AS24" s="70">
        <f>AN24/AS$6</f>
        <v>0</v>
      </c>
      <c r="AT24" s="70">
        <f>SUM(AN24:AS24)</f>
        <v>0</v>
      </c>
      <c r="AU24" s="71">
        <v>0</v>
      </c>
      <c r="AV24" s="71">
        <v>0</v>
      </c>
      <c r="AW24" s="72">
        <f t="shared" si="203"/>
        <v>0</v>
      </c>
      <c r="AX24" s="72">
        <f t="shared" si="204"/>
        <v>0</v>
      </c>
      <c r="AY24" s="70">
        <f>SUM(AW24:AX24)</f>
        <v>0</v>
      </c>
      <c r="AZ24" s="73">
        <v>0</v>
      </c>
      <c r="BA24" s="74">
        <f t="shared" si="205"/>
        <v>0</v>
      </c>
      <c r="BB24" s="303">
        <f t="shared" si="206"/>
        <v>0</v>
      </c>
      <c r="BC24" s="58">
        <v>0</v>
      </c>
      <c r="BD24" s="68"/>
      <c r="BE24" s="28">
        <f t="shared" si="207"/>
        <v>0</v>
      </c>
      <c r="BF24" s="69">
        <v>0</v>
      </c>
      <c r="BG24" s="28">
        <f>BF24*BG$6</f>
        <v>0</v>
      </c>
      <c r="BH24" s="28">
        <f>BF24*BH$6</f>
        <v>0</v>
      </c>
      <c r="BI24" s="28">
        <f>BF24/BI$6</f>
        <v>0</v>
      </c>
      <c r="BJ24" s="28">
        <f>BI24/BJ$6</f>
        <v>0</v>
      </c>
      <c r="BK24" s="70">
        <f>BF24/BK$6</f>
        <v>0</v>
      </c>
      <c r="BL24" s="70">
        <f>SUM(BF24:BK24)</f>
        <v>0</v>
      </c>
      <c r="BM24" s="71">
        <v>0</v>
      </c>
      <c r="BN24" s="71">
        <v>0</v>
      </c>
      <c r="BO24" s="72">
        <f t="shared" si="208"/>
        <v>0</v>
      </c>
      <c r="BP24" s="72">
        <f t="shared" si="209"/>
        <v>0</v>
      </c>
      <c r="BQ24" s="70">
        <f>SUM(BO24:BP24)</f>
        <v>0</v>
      </c>
      <c r="BR24" s="73">
        <v>0</v>
      </c>
      <c r="BS24" s="74">
        <f t="shared" si="210"/>
        <v>0</v>
      </c>
      <c r="BT24" s="303">
        <f t="shared" si="211"/>
        <v>0</v>
      </c>
      <c r="BU24" s="58">
        <v>0</v>
      </c>
      <c r="BV24" s="68"/>
      <c r="BW24" s="28">
        <f t="shared" si="212"/>
        <v>0</v>
      </c>
      <c r="BX24" s="69">
        <v>0</v>
      </c>
      <c r="BY24" s="28">
        <f>BX24*BY$6</f>
        <v>0</v>
      </c>
      <c r="BZ24" s="28">
        <f>BX24*BZ$6</f>
        <v>0</v>
      </c>
      <c r="CA24" s="28">
        <f>BX24/CA$6</f>
        <v>0</v>
      </c>
      <c r="CB24" s="28">
        <f>CA24/CB$6</f>
        <v>0</v>
      </c>
      <c r="CC24" s="70">
        <f>BX24/CC$6</f>
        <v>0</v>
      </c>
      <c r="CD24" s="70">
        <f>SUM(BX24:CC24)</f>
        <v>0</v>
      </c>
      <c r="CE24" s="71">
        <v>0</v>
      </c>
      <c r="CF24" s="71">
        <v>0</v>
      </c>
      <c r="CG24" s="72">
        <f t="shared" si="213"/>
        <v>0</v>
      </c>
      <c r="CH24" s="72">
        <f t="shared" si="214"/>
        <v>0</v>
      </c>
      <c r="CI24" s="70">
        <f>SUM(CG24:CH24)</f>
        <v>0</v>
      </c>
      <c r="CJ24" s="73">
        <v>0</v>
      </c>
      <c r="CK24" s="74">
        <f t="shared" si="215"/>
        <v>0</v>
      </c>
      <c r="CL24" s="303">
        <f t="shared" si="216"/>
        <v>0</v>
      </c>
      <c r="CM24" s="58">
        <v>0</v>
      </c>
      <c r="CN24" s="68"/>
      <c r="CO24" s="28">
        <f t="shared" si="217"/>
        <v>0</v>
      </c>
      <c r="CP24" s="69">
        <v>0</v>
      </c>
      <c r="CQ24" s="28">
        <f>CP24*CQ$6</f>
        <v>0</v>
      </c>
      <c r="CR24" s="28">
        <f>CP24*CR$6</f>
        <v>0</v>
      </c>
      <c r="CS24" s="28">
        <f>CP24/CS$6</f>
        <v>0</v>
      </c>
      <c r="CT24" s="28">
        <f>CS24/CT$6</f>
        <v>0</v>
      </c>
      <c r="CU24" s="70">
        <f>CP24/CU$6</f>
        <v>0</v>
      </c>
      <c r="CV24" s="70">
        <f>SUM(CP24:CU24)</f>
        <v>0</v>
      </c>
      <c r="CW24" s="71">
        <v>0</v>
      </c>
      <c r="CX24" s="71">
        <v>0</v>
      </c>
      <c r="CY24" s="72">
        <f t="shared" si="218"/>
        <v>0</v>
      </c>
      <c r="CZ24" s="72">
        <f t="shared" si="219"/>
        <v>0</v>
      </c>
      <c r="DA24" s="70">
        <f>SUM(CY24:CZ24)</f>
        <v>0</v>
      </c>
      <c r="DB24" s="73">
        <v>0</v>
      </c>
      <c r="DC24" s="74">
        <f t="shared" si="220"/>
        <v>0</v>
      </c>
      <c r="DD24" s="303">
        <f t="shared" si="221"/>
        <v>0</v>
      </c>
      <c r="DE24" s="58">
        <v>0</v>
      </c>
      <c r="DF24" s="68"/>
      <c r="DG24" s="28">
        <f t="shared" si="222"/>
        <v>0</v>
      </c>
      <c r="DH24" s="69">
        <v>0</v>
      </c>
      <c r="DI24" s="28">
        <f>DH24*DI$6</f>
        <v>0</v>
      </c>
      <c r="DJ24" s="28">
        <f>DH24*DJ$6</f>
        <v>0</v>
      </c>
      <c r="DK24" s="28">
        <f>DH24/DK$6</f>
        <v>0</v>
      </c>
      <c r="DL24" s="28">
        <f>DK24/DL$6</f>
        <v>0</v>
      </c>
      <c r="DM24" s="70">
        <f>DH24/DM$6</f>
        <v>0</v>
      </c>
      <c r="DN24" s="70">
        <f>SUM(DH24:DM24)</f>
        <v>0</v>
      </c>
      <c r="DO24" s="71">
        <v>0</v>
      </c>
      <c r="DP24" s="71">
        <v>0</v>
      </c>
      <c r="DQ24" s="72">
        <f t="shared" si="223"/>
        <v>0</v>
      </c>
      <c r="DR24" s="72">
        <f t="shared" si="224"/>
        <v>0</v>
      </c>
      <c r="DS24" s="70">
        <f>SUM(DQ24:DR24)</f>
        <v>0</v>
      </c>
      <c r="DT24" s="73">
        <v>0</v>
      </c>
      <c r="DU24" s="74">
        <f t="shared" si="225"/>
        <v>0</v>
      </c>
      <c r="DV24" s="303">
        <f t="shared" si="226"/>
        <v>0</v>
      </c>
      <c r="DW24" s="58">
        <v>0</v>
      </c>
      <c r="DX24" s="68"/>
      <c r="DY24" s="28">
        <f t="shared" si="227"/>
        <v>0</v>
      </c>
      <c r="DZ24" s="69">
        <v>0</v>
      </c>
      <c r="EA24" s="28">
        <f>DZ24*EA$6</f>
        <v>0</v>
      </c>
      <c r="EB24" s="28">
        <f>DZ24*EB$6</f>
        <v>0</v>
      </c>
      <c r="EC24" s="28">
        <f>DZ24/EC$6</f>
        <v>0</v>
      </c>
      <c r="ED24" s="28">
        <f>EC24/ED$6</f>
        <v>0</v>
      </c>
      <c r="EE24" s="70">
        <f>DZ24/EE$6</f>
        <v>0</v>
      </c>
      <c r="EF24" s="70">
        <f>SUM(DZ24:EE24)</f>
        <v>0</v>
      </c>
      <c r="EG24" s="71">
        <v>0</v>
      </c>
      <c r="EH24" s="71">
        <v>0</v>
      </c>
      <c r="EI24" s="72">
        <f t="shared" si="228"/>
        <v>0</v>
      </c>
      <c r="EJ24" s="72">
        <f t="shared" si="229"/>
        <v>0</v>
      </c>
      <c r="EK24" s="70">
        <f>SUM(EI24:EJ24)</f>
        <v>0</v>
      </c>
      <c r="EL24" s="73">
        <v>0</v>
      </c>
      <c r="EM24" s="74">
        <f t="shared" si="230"/>
        <v>0</v>
      </c>
      <c r="EN24" s="303">
        <f t="shared" si="231"/>
        <v>0</v>
      </c>
      <c r="EO24" s="58">
        <v>0</v>
      </c>
      <c r="EP24" s="68"/>
      <c r="EQ24" s="28">
        <f t="shared" si="232"/>
        <v>0</v>
      </c>
      <c r="ER24" s="69">
        <v>0</v>
      </c>
      <c r="ES24" s="28">
        <f>ER24*ES$6</f>
        <v>0</v>
      </c>
      <c r="ET24" s="28">
        <f>ER24*ET$6</f>
        <v>0</v>
      </c>
      <c r="EU24" s="28">
        <f>ER24/EU$6</f>
        <v>0</v>
      </c>
      <c r="EV24" s="28">
        <f>EU24/EV$6</f>
        <v>0</v>
      </c>
      <c r="EW24" s="70">
        <f>ER24/EW$6</f>
        <v>0</v>
      </c>
      <c r="EX24" s="70">
        <f>SUM(ER24:EW24)</f>
        <v>0</v>
      </c>
      <c r="EY24" s="71">
        <v>0</v>
      </c>
      <c r="EZ24" s="71">
        <v>0</v>
      </c>
      <c r="FA24" s="72">
        <f t="shared" si="233"/>
        <v>0</v>
      </c>
      <c r="FB24" s="72">
        <f t="shared" si="234"/>
        <v>0</v>
      </c>
      <c r="FC24" s="70">
        <f>SUM(FA24:FB24)</f>
        <v>0</v>
      </c>
      <c r="FD24" s="73">
        <v>0</v>
      </c>
      <c r="FE24" s="74">
        <f t="shared" si="235"/>
        <v>0</v>
      </c>
      <c r="FF24" s="303">
        <f t="shared" si="236"/>
        <v>0</v>
      </c>
      <c r="FG24" s="58">
        <v>0</v>
      </c>
      <c r="FH24" s="68"/>
      <c r="FI24" s="28">
        <f t="shared" si="237"/>
        <v>0</v>
      </c>
      <c r="FJ24" s="69">
        <v>0</v>
      </c>
      <c r="FK24" s="28">
        <f>FJ24*FK$6</f>
        <v>0</v>
      </c>
      <c r="FL24" s="28">
        <f>FJ24*FL$6</f>
        <v>0</v>
      </c>
      <c r="FM24" s="28">
        <f>FJ24/FM$6</f>
        <v>0</v>
      </c>
      <c r="FN24" s="28">
        <f>FM24/FN$6</f>
        <v>0</v>
      </c>
      <c r="FO24" s="70">
        <f>FJ24/FO$6</f>
        <v>0</v>
      </c>
      <c r="FP24" s="70">
        <f>SUM(FJ24:FO24)</f>
        <v>0</v>
      </c>
      <c r="FQ24" s="71">
        <v>0</v>
      </c>
      <c r="FR24" s="71">
        <v>0</v>
      </c>
      <c r="FS24" s="72">
        <f t="shared" si="238"/>
        <v>0</v>
      </c>
      <c r="FT24" s="72">
        <f t="shared" si="239"/>
        <v>0</v>
      </c>
      <c r="FU24" s="70">
        <f>SUM(FS24:FT24)</f>
        <v>0</v>
      </c>
      <c r="FV24" s="73">
        <v>0</v>
      </c>
      <c r="FW24" s="74">
        <f t="shared" si="240"/>
        <v>0</v>
      </c>
      <c r="FX24" s="303">
        <f t="shared" si="241"/>
        <v>0</v>
      </c>
      <c r="FY24" s="58">
        <v>0</v>
      </c>
      <c r="FZ24" s="68"/>
      <c r="GA24" s="28">
        <f t="shared" si="242"/>
        <v>0</v>
      </c>
      <c r="GB24" s="69">
        <v>0</v>
      </c>
      <c r="GC24" s="28">
        <f>GB24*GC$6</f>
        <v>0</v>
      </c>
      <c r="GD24" s="28">
        <f>GB24*GD$6</f>
        <v>0</v>
      </c>
      <c r="GE24" s="28">
        <f>GB24/GE$6</f>
        <v>0</v>
      </c>
      <c r="GF24" s="28">
        <f>GE24/GF$6</f>
        <v>0</v>
      </c>
      <c r="GG24" s="70">
        <f>GB24/GG$6</f>
        <v>0</v>
      </c>
      <c r="GH24" s="70">
        <f>SUM(GB24:GG24)</f>
        <v>0</v>
      </c>
      <c r="GI24" s="71">
        <v>0</v>
      </c>
      <c r="GJ24" s="71">
        <v>0</v>
      </c>
      <c r="GK24" s="72">
        <f t="shared" si="243"/>
        <v>0</v>
      </c>
      <c r="GL24" s="72">
        <f t="shared" si="244"/>
        <v>0</v>
      </c>
      <c r="GM24" s="70">
        <f>SUM(GK24:GL24)</f>
        <v>0</v>
      </c>
      <c r="GN24" s="73">
        <v>0</v>
      </c>
      <c r="GO24" s="74">
        <f t="shared" si="245"/>
        <v>0</v>
      </c>
      <c r="GP24" s="303">
        <f t="shared" si="246"/>
        <v>0</v>
      </c>
      <c r="GQ24" s="58">
        <v>0</v>
      </c>
      <c r="GR24" s="68"/>
      <c r="GS24" s="28">
        <f t="shared" si="247"/>
        <v>0</v>
      </c>
      <c r="GT24" s="69">
        <v>0</v>
      </c>
      <c r="GU24" s="28">
        <f>GT24*GU$6</f>
        <v>0</v>
      </c>
      <c r="GV24" s="28">
        <f>GT24*GV$6</f>
        <v>0</v>
      </c>
      <c r="GW24" s="28">
        <f>GT24/GW$6</f>
        <v>0</v>
      </c>
      <c r="GX24" s="28">
        <f>GW24/GX$6</f>
        <v>0</v>
      </c>
      <c r="GY24" s="70">
        <f>GT24/GY$6</f>
        <v>0</v>
      </c>
      <c r="GZ24" s="70">
        <f>SUM(GT24:GY24)</f>
        <v>0</v>
      </c>
      <c r="HA24" s="71">
        <v>0</v>
      </c>
      <c r="HB24" s="71">
        <v>0</v>
      </c>
      <c r="HC24" s="72">
        <f t="shared" si="248"/>
        <v>0</v>
      </c>
      <c r="HD24" s="72">
        <f t="shared" si="249"/>
        <v>0</v>
      </c>
      <c r="HE24" s="70">
        <f>SUM(HC24:HD24)</f>
        <v>0</v>
      </c>
      <c r="HF24" s="73">
        <v>0</v>
      </c>
      <c r="HG24" s="74">
        <f t="shared" si="250"/>
        <v>0</v>
      </c>
      <c r="HH24" s="303">
        <f t="shared" si="251"/>
        <v>0</v>
      </c>
      <c r="HJ24" s="37"/>
      <c r="HK24" s="37"/>
      <c r="HL24" s="37"/>
      <c r="HM24" s="37"/>
      <c r="HN24" s="37"/>
      <c r="HO24" s="37"/>
      <c r="HP24" s="37"/>
      <c r="HQ24" s="37"/>
      <c r="HR24" s="37"/>
      <c r="HS24" s="37"/>
      <c r="HT24" s="37"/>
      <c r="HU24" s="37"/>
      <c r="HV24" s="37"/>
      <c r="HW24" s="37"/>
      <c r="HX24" s="37"/>
      <c r="HY24" s="37"/>
      <c r="HZ24" s="37"/>
      <c r="IA24" s="37"/>
      <c r="IB24" s="37"/>
      <c r="IC24" s="37"/>
      <c r="ID24" s="37"/>
      <c r="IE24" s="37"/>
      <c r="IF24" s="37"/>
      <c r="IG24" s="37"/>
      <c r="IH24" s="37"/>
      <c r="II24" s="37"/>
      <c r="IJ24" s="37"/>
      <c r="IK24" s="37"/>
      <c r="IL24" s="37"/>
      <c r="IM24" s="37"/>
      <c r="IN24" s="37"/>
      <c r="IO24" s="37"/>
      <c r="IP24" s="37"/>
    </row>
    <row r="25" spans="1:250" ht="15.6" x14ac:dyDescent="0.3">
      <c r="A25" s="541"/>
      <c r="B25" s="537"/>
      <c r="C25" s="537"/>
      <c r="D25" s="537"/>
      <c r="E25" s="537"/>
      <c r="F25" s="537"/>
      <c r="G25" s="537"/>
      <c r="H25" s="537"/>
      <c r="I25" s="537"/>
      <c r="J25" s="537"/>
      <c r="K25" s="537"/>
      <c r="L25" s="537"/>
      <c r="M25" s="537"/>
      <c r="N25" s="537"/>
      <c r="O25" s="537"/>
      <c r="P25" s="538"/>
      <c r="Q25" s="423" t="s">
        <v>8</v>
      </c>
      <c r="R25" s="304">
        <f>SUM(R21:R24)</f>
        <v>3152.4324222222222</v>
      </c>
      <c r="S25" s="541"/>
      <c r="T25" s="537"/>
      <c r="U25" s="537"/>
      <c r="V25" s="537"/>
      <c r="W25" s="537"/>
      <c r="X25" s="537"/>
      <c r="Y25" s="537"/>
      <c r="Z25" s="537"/>
      <c r="AA25" s="537"/>
      <c r="AB25" s="537"/>
      <c r="AC25" s="537"/>
      <c r="AD25" s="537"/>
      <c r="AE25" s="537"/>
      <c r="AF25" s="537"/>
      <c r="AG25" s="537"/>
      <c r="AH25" s="538"/>
      <c r="AI25" s="423" t="s">
        <v>8</v>
      </c>
      <c r="AJ25" s="304">
        <f>SUM(AJ21:AJ24)</f>
        <v>3152.4324222222222</v>
      </c>
      <c r="AK25" s="541"/>
      <c r="AL25" s="537"/>
      <c r="AM25" s="537"/>
      <c r="AN25" s="537"/>
      <c r="AO25" s="537"/>
      <c r="AP25" s="537"/>
      <c r="AQ25" s="537"/>
      <c r="AR25" s="537"/>
      <c r="AS25" s="537"/>
      <c r="AT25" s="537"/>
      <c r="AU25" s="537"/>
      <c r="AV25" s="537"/>
      <c r="AW25" s="537"/>
      <c r="AX25" s="537"/>
      <c r="AY25" s="537"/>
      <c r="AZ25" s="538"/>
      <c r="BA25" s="423" t="s">
        <v>8</v>
      </c>
      <c r="BB25" s="304">
        <f>SUM(BB21:BB24)</f>
        <v>3152.4324222222222</v>
      </c>
      <c r="BC25" s="541"/>
      <c r="BD25" s="537"/>
      <c r="BE25" s="537"/>
      <c r="BF25" s="537"/>
      <c r="BG25" s="537"/>
      <c r="BH25" s="537"/>
      <c r="BI25" s="537"/>
      <c r="BJ25" s="537"/>
      <c r="BK25" s="537"/>
      <c r="BL25" s="537"/>
      <c r="BM25" s="537"/>
      <c r="BN25" s="537"/>
      <c r="BO25" s="537"/>
      <c r="BP25" s="537"/>
      <c r="BQ25" s="537"/>
      <c r="BR25" s="538"/>
      <c r="BS25" s="423" t="s">
        <v>8</v>
      </c>
      <c r="BT25" s="304">
        <f>SUM(BT21:BT24)</f>
        <v>3152.4324222222222</v>
      </c>
      <c r="BU25" s="541"/>
      <c r="BV25" s="537"/>
      <c r="BW25" s="537"/>
      <c r="BX25" s="537"/>
      <c r="BY25" s="537"/>
      <c r="BZ25" s="537"/>
      <c r="CA25" s="537"/>
      <c r="CB25" s="537"/>
      <c r="CC25" s="537"/>
      <c r="CD25" s="537"/>
      <c r="CE25" s="537"/>
      <c r="CF25" s="537"/>
      <c r="CG25" s="537"/>
      <c r="CH25" s="537"/>
      <c r="CI25" s="537"/>
      <c r="CJ25" s="538"/>
      <c r="CK25" s="423" t="s">
        <v>8</v>
      </c>
      <c r="CL25" s="304">
        <f>SUM(CL21:CL24)</f>
        <v>3152.4324222222222</v>
      </c>
      <c r="CM25" s="541"/>
      <c r="CN25" s="537"/>
      <c r="CO25" s="537"/>
      <c r="CP25" s="537"/>
      <c r="CQ25" s="537"/>
      <c r="CR25" s="537"/>
      <c r="CS25" s="537"/>
      <c r="CT25" s="537"/>
      <c r="CU25" s="537"/>
      <c r="CV25" s="537"/>
      <c r="CW25" s="537"/>
      <c r="CX25" s="537"/>
      <c r="CY25" s="537"/>
      <c r="CZ25" s="537"/>
      <c r="DA25" s="537"/>
      <c r="DB25" s="538"/>
      <c r="DC25" s="423" t="s">
        <v>8</v>
      </c>
      <c r="DD25" s="304">
        <f>SUM(DD21:DD24)</f>
        <v>3152.4324222222222</v>
      </c>
      <c r="DE25" s="541"/>
      <c r="DF25" s="537"/>
      <c r="DG25" s="537"/>
      <c r="DH25" s="537"/>
      <c r="DI25" s="537"/>
      <c r="DJ25" s="537"/>
      <c r="DK25" s="537"/>
      <c r="DL25" s="537"/>
      <c r="DM25" s="537"/>
      <c r="DN25" s="537"/>
      <c r="DO25" s="537"/>
      <c r="DP25" s="537"/>
      <c r="DQ25" s="537"/>
      <c r="DR25" s="537"/>
      <c r="DS25" s="537"/>
      <c r="DT25" s="538"/>
      <c r="DU25" s="423" t="s">
        <v>8</v>
      </c>
      <c r="DV25" s="304">
        <f>SUM(DV21:DV24)</f>
        <v>3152.4324222222222</v>
      </c>
      <c r="DW25" s="541"/>
      <c r="DX25" s="537"/>
      <c r="DY25" s="537"/>
      <c r="DZ25" s="537"/>
      <c r="EA25" s="537"/>
      <c r="EB25" s="537"/>
      <c r="EC25" s="537"/>
      <c r="ED25" s="537"/>
      <c r="EE25" s="537"/>
      <c r="EF25" s="537"/>
      <c r="EG25" s="537"/>
      <c r="EH25" s="537"/>
      <c r="EI25" s="537"/>
      <c r="EJ25" s="537"/>
      <c r="EK25" s="537"/>
      <c r="EL25" s="538"/>
      <c r="EM25" s="423" t="s">
        <v>8</v>
      </c>
      <c r="EN25" s="304">
        <f>SUM(EN21:EN24)</f>
        <v>3152.4324222222222</v>
      </c>
      <c r="EO25" s="541"/>
      <c r="EP25" s="537"/>
      <c r="EQ25" s="537"/>
      <c r="ER25" s="537"/>
      <c r="ES25" s="537"/>
      <c r="ET25" s="537"/>
      <c r="EU25" s="537"/>
      <c r="EV25" s="537"/>
      <c r="EW25" s="537"/>
      <c r="EX25" s="537"/>
      <c r="EY25" s="537"/>
      <c r="EZ25" s="537"/>
      <c r="FA25" s="537"/>
      <c r="FB25" s="537"/>
      <c r="FC25" s="537"/>
      <c r="FD25" s="538"/>
      <c r="FE25" s="423" t="s">
        <v>8</v>
      </c>
      <c r="FF25" s="304">
        <f>SUM(FF21:FF24)</f>
        <v>3152.4324222222222</v>
      </c>
      <c r="FG25" s="541"/>
      <c r="FH25" s="537"/>
      <c r="FI25" s="537"/>
      <c r="FJ25" s="537"/>
      <c r="FK25" s="537"/>
      <c r="FL25" s="537"/>
      <c r="FM25" s="537"/>
      <c r="FN25" s="537"/>
      <c r="FO25" s="537"/>
      <c r="FP25" s="537"/>
      <c r="FQ25" s="537"/>
      <c r="FR25" s="537"/>
      <c r="FS25" s="537"/>
      <c r="FT25" s="537"/>
      <c r="FU25" s="537"/>
      <c r="FV25" s="538"/>
      <c r="FW25" s="423" t="s">
        <v>8</v>
      </c>
      <c r="FX25" s="304">
        <f>SUM(FX21:FX24)</f>
        <v>3152.4324222222222</v>
      </c>
      <c r="FY25" s="541"/>
      <c r="FZ25" s="537"/>
      <c r="GA25" s="537"/>
      <c r="GB25" s="537"/>
      <c r="GC25" s="537"/>
      <c r="GD25" s="537"/>
      <c r="GE25" s="537"/>
      <c r="GF25" s="537"/>
      <c r="GG25" s="537"/>
      <c r="GH25" s="537"/>
      <c r="GI25" s="537"/>
      <c r="GJ25" s="537"/>
      <c r="GK25" s="537"/>
      <c r="GL25" s="537"/>
      <c r="GM25" s="537"/>
      <c r="GN25" s="538"/>
      <c r="GO25" s="423" t="s">
        <v>8</v>
      </c>
      <c r="GP25" s="304">
        <f>SUM(GP21:GP24)</f>
        <v>3152.4324222222222</v>
      </c>
      <c r="GQ25" s="541"/>
      <c r="GR25" s="537"/>
      <c r="GS25" s="537"/>
      <c r="GT25" s="537"/>
      <c r="GU25" s="537"/>
      <c r="GV25" s="537"/>
      <c r="GW25" s="537"/>
      <c r="GX25" s="537"/>
      <c r="GY25" s="537"/>
      <c r="GZ25" s="537"/>
      <c r="HA25" s="537"/>
      <c r="HB25" s="537"/>
      <c r="HC25" s="537"/>
      <c r="HD25" s="537"/>
      <c r="HE25" s="537"/>
      <c r="HF25" s="538"/>
      <c r="HG25" s="423" t="s">
        <v>8</v>
      </c>
      <c r="HH25" s="304">
        <f>SUM(HH21:HH24)</f>
        <v>3152.4324222222222</v>
      </c>
      <c r="HJ25" s="37"/>
      <c r="HK25" s="37"/>
      <c r="HL25" s="37"/>
      <c r="HM25" s="37"/>
      <c r="HN25" s="37"/>
      <c r="HO25" s="37"/>
      <c r="HP25" s="37"/>
      <c r="HQ25" s="37"/>
      <c r="HR25" s="37"/>
      <c r="HS25" s="37"/>
      <c r="HT25" s="37"/>
      <c r="HU25" s="37"/>
      <c r="HV25" s="37"/>
      <c r="HW25" s="37"/>
      <c r="HX25" s="37"/>
      <c r="HY25" s="37"/>
      <c r="HZ25" s="37"/>
      <c r="IA25" s="37"/>
      <c r="IB25" s="37"/>
      <c r="IC25" s="37"/>
      <c r="ID25" s="37"/>
      <c r="IE25" s="37"/>
      <c r="IF25" s="37"/>
      <c r="IG25" s="37"/>
      <c r="IH25" s="37"/>
      <c r="II25" s="37"/>
      <c r="IJ25" s="37"/>
      <c r="IK25" s="37"/>
      <c r="IL25" s="37"/>
      <c r="IM25" s="37"/>
      <c r="IN25" s="37"/>
      <c r="IO25" s="37"/>
      <c r="IP25" s="37"/>
    </row>
    <row r="26" spans="1:250" ht="15.6" x14ac:dyDescent="0.3">
      <c r="A26" s="543"/>
      <c r="B26" s="544"/>
      <c r="C26" s="544"/>
      <c r="D26" s="544"/>
      <c r="E26" s="742" t="s">
        <v>10</v>
      </c>
      <c r="F26" s="742"/>
      <c r="G26" s="742"/>
      <c r="H26" s="742"/>
      <c r="I26" s="742"/>
      <c r="J26" s="742"/>
      <c r="K26" s="742"/>
      <c r="L26" s="742"/>
      <c r="M26" s="742"/>
      <c r="N26" s="544"/>
      <c r="O26" s="544"/>
      <c r="P26" s="544"/>
      <c r="Q26" s="544"/>
      <c r="R26" s="545"/>
      <c r="S26" s="543"/>
      <c r="T26" s="544"/>
      <c r="U26" s="544"/>
      <c r="V26" s="544"/>
      <c r="W26" s="742" t="s">
        <v>10</v>
      </c>
      <c r="X26" s="742"/>
      <c r="Y26" s="742"/>
      <c r="Z26" s="742"/>
      <c r="AA26" s="742"/>
      <c r="AB26" s="742"/>
      <c r="AC26" s="742"/>
      <c r="AD26" s="742"/>
      <c r="AE26" s="742"/>
      <c r="AF26" s="544"/>
      <c r="AG26" s="544"/>
      <c r="AH26" s="544"/>
      <c r="AI26" s="544"/>
      <c r="AJ26" s="545"/>
      <c r="AK26" s="543"/>
      <c r="AL26" s="544"/>
      <c r="AM26" s="544"/>
      <c r="AN26" s="544"/>
      <c r="AO26" s="742" t="s">
        <v>10</v>
      </c>
      <c r="AP26" s="742"/>
      <c r="AQ26" s="742"/>
      <c r="AR26" s="742"/>
      <c r="AS26" s="742"/>
      <c r="AT26" s="742"/>
      <c r="AU26" s="742"/>
      <c r="AV26" s="742"/>
      <c r="AW26" s="742"/>
      <c r="AX26" s="544"/>
      <c r="AY26" s="544"/>
      <c r="AZ26" s="544"/>
      <c r="BA26" s="544"/>
      <c r="BB26" s="545"/>
      <c r="BC26" s="543"/>
      <c r="BD26" s="544"/>
      <c r="BE26" s="544"/>
      <c r="BF26" s="544"/>
      <c r="BG26" s="742" t="s">
        <v>10</v>
      </c>
      <c r="BH26" s="742"/>
      <c r="BI26" s="742"/>
      <c r="BJ26" s="742"/>
      <c r="BK26" s="742"/>
      <c r="BL26" s="742"/>
      <c r="BM26" s="742"/>
      <c r="BN26" s="742"/>
      <c r="BO26" s="742"/>
      <c r="BP26" s="544"/>
      <c r="BQ26" s="544"/>
      <c r="BR26" s="544"/>
      <c r="BS26" s="544"/>
      <c r="BT26" s="545"/>
      <c r="BU26" s="543"/>
      <c r="BV26" s="544"/>
      <c r="BW26" s="544"/>
      <c r="BX26" s="544"/>
      <c r="BY26" s="742" t="s">
        <v>10</v>
      </c>
      <c r="BZ26" s="742"/>
      <c r="CA26" s="742"/>
      <c r="CB26" s="742"/>
      <c r="CC26" s="742"/>
      <c r="CD26" s="742"/>
      <c r="CE26" s="742"/>
      <c r="CF26" s="742"/>
      <c r="CG26" s="742"/>
      <c r="CH26" s="544"/>
      <c r="CI26" s="544"/>
      <c r="CJ26" s="544"/>
      <c r="CK26" s="544"/>
      <c r="CL26" s="545"/>
      <c r="CM26" s="543"/>
      <c r="CN26" s="544"/>
      <c r="CO26" s="544"/>
      <c r="CP26" s="544"/>
      <c r="CQ26" s="742" t="s">
        <v>10</v>
      </c>
      <c r="CR26" s="742"/>
      <c r="CS26" s="742"/>
      <c r="CT26" s="742"/>
      <c r="CU26" s="742"/>
      <c r="CV26" s="742"/>
      <c r="CW26" s="742"/>
      <c r="CX26" s="742"/>
      <c r="CY26" s="742"/>
      <c r="CZ26" s="544"/>
      <c r="DA26" s="544"/>
      <c r="DB26" s="544"/>
      <c r="DC26" s="544"/>
      <c r="DD26" s="545"/>
      <c r="DE26" s="543"/>
      <c r="DF26" s="544"/>
      <c r="DG26" s="544"/>
      <c r="DH26" s="544"/>
      <c r="DI26" s="742" t="s">
        <v>10</v>
      </c>
      <c r="DJ26" s="742"/>
      <c r="DK26" s="742"/>
      <c r="DL26" s="742"/>
      <c r="DM26" s="742"/>
      <c r="DN26" s="742"/>
      <c r="DO26" s="742"/>
      <c r="DP26" s="742"/>
      <c r="DQ26" s="742"/>
      <c r="DR26" s="544"/>
      <c r="DS26" s="544"/>
      <c r="DT26" s="544"/>
      <c r="DU26" s="544"/>
      <c r="DV26" s="545"/>
      <c r="DW26" s="543"/>
      <c r="DX26" s="544"/>
      <c r="DY26" s="544"/>
      <c r="DZ26" s="544"/>
      <c r="EA26" s="742" t="s">
        <v>10</v>
      </c>
      <c r="EB26" s="742"/>
      <c r="EC26" s="742"/>
      <c r="ED26" s="742"/>
      <c r="EE26" s="742"/>
      <c r="EF26" s="742"/>
      <c r="EG26" s="742"/>
      <c r="EH26" s="742"/>
      <c r="EI26" s="742"/>
      <c r="EJ26" s="544"/>
      <c r="EK26" s="544"/>
      <c r="EL26" s="544"/>
      <c r="EM26" s="544"/>
      <c r="EN26" s="545"/>
      <c r="EO26" s="543"/>
      <c r="EP26" s="544"/>
      <c r="EQ26" s="544"/>
      <c r="ER26" s="544"/>
      <c r="ES26" s="742" t="s">
        <v>10</v>
      </c>
      <c r="ET26" s="742"/>
      <c r="EU26" s="742"/>
      <c r="EV26" s="742"/>
      <c r="EW26" s="742"/>
      <c r="EX26" s="742"/>
      <c r="EY26" s="742"/>
      <c r="EZ26" s="742"/>
      <c r="FA26" s="742"/>
      <c r="FB26" s="544"/>
      <c r="FC26" s="544"/>
      <c r="FD26" s="544"/>
      <c r="FE26" s="544"/>
      <c r="FF26" s="545"/>
      <c r="FG26" s="543"/>
      <c r="FH26" s="544"/>
      <c r="FI26" s="544"/>
      <c r="FJ26" s="544"/>
      <c r="FK26" s="742" t="s">
        <v>10</v>
      </c>
      <c r="FL26" s="742"/>
      <c r="FM26" s="742"/>
      <c r="FN26" s="742"/>
      <c r="FO26" s="742"/>
      <c r="FP26" s="742"/>
      <c r="FQ26" s="742"/>
      <c r="FR26" s="742"/>
      <c r="FS26" s="742"/>
      <c r="FT26" s="544"/>
      <c r="FU26" s="544"/>
      <c r="FV26" s="544"/>
      <c r="FW26" s="544"/>
      <c r="FX26" s="545"/>
      <c r="FY26" s="543"/>
      <c r="FZ26" s="544"/>
      <c r="GA26" s="544"/>
      <c r="GB26" s="544"/>
      <c r="GC26" s="742" t="s">
        <v>10</v>
      </c>
      <c r="GD26" s="742"/>
      <c r="GE26" s="742"/>
      <c r="GF26" s="742"/>
      <c r="GG26" s="742"/>
      <c r="GH26" s="742"/>
      <c r="GI26" s="742"/>
      <c r="GJ26" s="742"/>
      <c r="GK26" s="742"/>
      <c r="GL26" s="544"/>
      <c r="GM26" s="544"/>
      <c r="GN26" s="544"/>
      <c r="GO26" s="544"/>
      <c r="GP26" s="545"/>
      <c r="GQ26" s="543"/>
      <c r="GR26" s="544"/>
      <c r="GS26" s="544"/>
      <c r="GT26" s="544"/>
      <c r="GU26" s="742" t="s">
        <v>10</v>
      </c>
      <c r="GV26" s="742"/>
      <c r="GW26" s="742"/>
      <c r="GX26" s="742"/>
      <c r="GY26" s="742"/>
      <c r="GZ26" s="742"/>
      <c r="HA26" s="742"/>
      <c r="HB26" s="742"/>
      <c r="HC26" s="742"/>
      <c r="HD26" s="544"/>
      <c r="HE26" s="544"/>
      <c r="HF26" s="544"/>
      <c r="HG26" s="544"/>
      <c r="HH26" s="545"/>
      <c r="HJ26" s="37"/>
      <c r="HK26" s="37"/>
      <c r="HL26" s="37"/>
      <c r="HM26" s="37"/>
      <c r="HN26" s="37"/>
      <c r="HO26" s="37"/>
      <c r="HP26" s="37"/>
      <c r="HQ26" s="37"/>
      <c r="HR26" s="37"/>
      <c r="HS26" s="37"/>
      <c r="HT26" s="37"/>
      <c r="HU26" s="37"/>
      <c r="HV26" s="37"/>
      <c r="HW26" s="37"/>
      <c r="HX26" s="37"/>
      <c r="HY26" s="37"/>
      <c r="HZ26" s="37"/>
      <c r="IA26" s="37"/>
      <c r="IB26" s="37"/>
      <c r="IC26" s="37"/>
      <c r="ID26" s="37"/>
      <c r="IE26" s="37"/>
      <c r="IF26" s="37"/>
      <c r="IG26" s="37"/>
      <c r="IH26" s="37"/>
      <c r="II26" s="37"/>
      <c r="IJ26" s="37"/>
      <c r="IK26" s="37"/>
      <c r="IL26" s="37"/>
      <c r="IM26" s="37"/>
      <c r="IN26" s="37"/>
      <c r="IO26" s="37"/>
      <c r="IP26" s="37"/>
    </row>
    <row r="27" spans="1:250" x14ac:dyDescent="0.3">
      <c r="A27" s="58">
        <v>1</v>
      </c>
      <c r="B27" s="68" t="s">
        <v>288</v>
      </c>
      <c r="C27" s="28">
        <f t="shared" ref="C27:C33" si="252">D27/$AM$4</f>
        <v>11.887454545454544</v>
      </c>
      <c r="D27" s="69">
        <v>2615.2399999999998</v>
      </c>
      <c r="E27" s="28">
        <f t="shared" ref="E27:E33" si="253">D27*E$6</f>
        <v>261.524</v>
      </c>
      <c r="F27" s="28">
        <f t="shared" ref="F27:F33" si="254">D27*F$6</f>
        <v>209.2192</v>
      </c>
      <c r="G27" s="28">
        <f t="shared" ref="G27:G33" si="255">D27/G$6</f>
        <v>217.93666666666664</v>
      </c>
      <c r="H27" s="28">
        <f t="shared" ref="H27:H33" si="256">G27/H$6</f>
        <v>72.645555555555546</v>
      </c>
      <c r="I27" s="70">
        <f t="shared" ref="I27:I33" si="257">D27/I$6</f>
        <v>217.93666666666664</v>
      </c>
      <c r="J27" s="70">
        <f t="shared" ref="J27:J33" si="258">SUM(D27:I27)</f>
        <v>3594.502088888888</v>
      </c>
      <c r="K27" s="71">
        <v>0</v>
      </c>
      <c r="L27" s="71">
        <v>0</v>
      </c>
      <c r="M27" s="72">
        <f t="shared" ref="M27:M33" si="259">((C27*M$6)+(C27*$AO$6)+(C27*$AP$6))*K27</f>
        <v>0</v>
      </c>
      <c r="N27" s="72">
        <f t="shared" ref="N27:N33" si="260">((C27*N$6)+(C27*$AO$6)+(C27*$AP$6))*L27</f>
        <v>0</v>
      </c>
      <c r="O27" s="70">
        <f>SUM(M27:N27)</f>
        <v>0</v>
      </c>
      <c r="P27" s="73">
        <v>0</v>
      </c>
      <c r="Q27" s="74">
        <f t="shared" ref="Q27:Q33" si="261">IF(A27=1,($C$1*$Q$6),0)</f>
        <v>282.40000000000003</v>
      </c>
      <c r="R27" s="303">
        <f t="shared" ref="R27:R33" si="262">J27+O27+P27+Q27</f>
        <v>3876.9020888888881</v>
      </c>
      <c r="S27" s="58">
        <v>1</v>
      </c>
      <c r="T27" s="68" t="s">
        <v>288</v>
      </c>
      <c r="U27" s="28">
        <f t="shared" ref="U27:U33" si="263">V27/$AM$4</f>
        <v>11.887454545454544</v>
      </c>
      <c r="V27" s="69">
        <v>2615.2399999999998</v>
      </c>
      <c r="W27" s="28">
        <f t="shared" ref="W27:W33" si="264">V27*W$6</f>
        <v>261.524</v>
      </c>
      <c r="X27" s="28">
        <f t="shared" ref="X27:X33" si="265">V27*X$6</f>
        <v>209.2192</v>
      </c>
      <c r="Y27" s="28">
        <f t="shared" ref="Y27:Y33" si="266">V27/Y$6</f>
        <v>217.93666666666664</v>
      </c>
      <c r="Z27" s="28">
        <f t="shared" ref="Z27:Z33" si="267">Y27/Z$6</f>
        <v>72.645555555555546</v>
      </c>
      <c r="AA27" s="70">
        <f t="shared" ref="AA27:AA33" si="268">V27/AA$6</f>
        <v>217.93666666666664</v>
      </c>
      <c r="AB27" s="70">
        <f t="shared" ref="AB27:AB33" si="269">SUM(V27:AA27)</f>
        <v>3594.502088888888</v>
      </c>
      <c r="AC27" s="71">
        <v>0</v>
      </c>
      <c r="AD27" s="71">
        <v>0</v>
      </c>
      <c r="AE27" s="72">
        <f t="shared" ref="AE27:AE33" si="270">((U27*AE$6)+(U27*$AO$6)+(U27*$AP$6))*AC27</f>
        <v>0</v>
      </c>
      <c r="AF27" s="72">
        <f t="shared" ref="AF27:AF33" si="271">((U27*AF$6)+(U27*$AO$6)+(U27*$AP$6))*AD27</f>
        <v>0</v>
      </c>
      <c r="AG27" s="70">
        <f>SUM(AE27:AF27)</f>
        <v>0</v>
      </c>
      <c r="AH27" s="73">
        <v>0</v>
      </c>
      <c r="AI27" s="74">
        <f t="shared" ref="AI27:AI33" si="272">IF(S27=1,($C$1*$Q$6),0)</f>
        <v>282.40000000000003</v>
      </c>
      <c r="AJ27" s="303">
        <f t="shared" ref="AJ27:AJ33" si="273">AB27+AG27+AH27+AI27</f>
        <v>3876.9020888888881</v>
      </c>
      <c r="AK27" s="58">
        <v>1</v>
      </c>
      <c r="AL27" s="68" t="s">
        <v>288</v>
      </c>
      <c r="AM27" s="28">
        <f t="shared" ref="AM27:AM33" si="274">AN27/$AM$4</f>
        <v>11.887454545454544</v>
      </c>
      <c r="AN27" s="69">
        <v>2615.2399999999998</v>
      </c>
      <c r="AO27" s="28">
        <f t="shared" ref="AO27:AO33" si="275">AN27*AO$6</f>
        <v>261.524</v>
      </c>
      <c r="AP27" s="28">
        <f t="shared" ref="AP27:AP33" si="276">AN27*AP$6</f>
        <v>209.2192</v>
      </c>
      <c r="AQ27" s="28">
        <f t="shared" ref="AQ27:AQ33" si="277">AN27/AQ$6</f>
        <v>217.93666666666664</v>
      </c>
      <c r="AR27" s="28">
        <f t="shared" ref="AR27:AR33" si="278">AQ27/AR$6</f>
        <v>72.645555555555546</v>
      </c>
      <c r="AS27" s="70">
        <f t="shared" ref="AS27:AS33" si="279">AN27/AS$6</f>
        <v>217.93666666666664</v>
      </c>
      <c r="AT27" s="70">
        <f t="shared" ref="AT27:AT33" si="280">SUM(AN27:AS27)</f>
        <v>3594.502088888888</v>
      </c>
      <c r="AU27" s="71">
        <v>0</v>
      </c>
      <c r="AV27" s="71">
        <v>0</v>
      </c>
      <c r="AW27" s="72">
        <f t="shared" ref="AW27:AW33" si="281">((AM27*AW$6)+(AM27*$AO$6)+(AM27*$AP$6))*AU27</f>
        <v>0</v>
      </c>
      <c r="AX27" s="72">
        <f t="shared" ref="AX27:AX33" si="282">((AM27*AX$6)+(AM27*$AO$6)+(AM27*$AP$6))*AV27</f>
        <v>0</v>
      </c>
      <c r="AY27" s="70">
        <f>SUM(AW27:AX27)</f>
        <v>0</v>
      </c>
      <c r="AZ27" s="73">
        <v>0</v>
      </c>
      <c r="BA27" s="74">
        <f t="shared" ref="BA27:BA33" si="283">IF(AK27=1,($C$1*$Q$6),0)</f>
        <v>282.40000000000003</v>
      </c>
      <c r="BB27" s="303">
        <f t="shared" ref="BB27:BB33" si="284">AT27+AY27+AZ27+BA27</f>
        <v>3876.9020888888881</v>
      </c>
      <c r="BC27" s="58">
        <v>1</v>
      </c>
      <c r="BD27" s="68" t="s">
        <v>288</v>
      </c>
      <c r="BE27" s="28">
        <f t="shared" ref="BE27:BE33" si="285">BF27/$AM$4</f>
        <v>11.887454545454544</v>
      </c>
      <c r="BF27" s="69">
        <v>2615.2399999999998</v>
      </c>
      <c r="BG27" s="28">
        <f t="shared" ref="BG27:BG33" si="286">BF27*BG$6</f>
        <v>261.524</v>
      </c>
      <c r="BH27" s="28">
        <f t="shared" ref="BH27:BH33" si="287">BF27*BH$6</f>
        <v>209.2192</v>
      </c>
      <c r="BI27" s="28">
        <f t="shared" ref="BI27:BI33" si="288">BF27/BI$6</f>
        <v>217.93666666666664</v>
      </c>
      <c r="BJ27" s="28">
        <f t="shared" ref="BJ27:BJ33" si="289">BI27/BJ$6</f>
        <v>72.645555555555546</v>
      </c>
      <c r="BK27" s="70">
        <f t="shared" ref="BK27:BK33" si="290">BF27/BK$6</f>
        <v>217.93666666666664</v>
      </c>
      <c r="BL27" s="70">
        <f t="shared" ref="BL27:BL33" si="291">SUM(BF27:BK27)</f>
        <v>3594.502088888888</v>
      </c>
      <c r="BM27" s="71">
        <v>0</v>
      </c>
      <c r="BN27" s="71">
        <v>0</v>
      </c>
      <c r="BO27" s="72">
        <f t="shared" ref="BO27:BO33" si="292">((BE27*BO$6)+(BE27*$AO$6)+(BE27*$AP$6))*BM27</f>
        <v>0</v>
      </c>
      <c r="BP27" s="72">
        <f t="shared" ref="BP27:BP33" si="293">((BE27*BP$6)+(BE27*$AO$6)+(BE27*$AP$6))*BN27</f>
        <v>0</v>
      </c>
      <c r="BQ27" s="70">
        <f>SUM(BO27:BP27)</f>
        <v>0</v>
      </c>
      <c r="BR27" s="73">
        <v>0</v>
      </c>
      <c r="BS27" s="74">
        <f t="shared" ref="BS27:BS33" si="294">IF(BC27=1,($C$1*$Q$6),0)</f>
        <v>282.40000000000003</v>
      </c>
      <c r="BT27" s="303">
        <f t="shared" ref="BT27:BT33" si="295">BL27+BQ27+BR27+BS27</f>
        <v>3876.9020888888881</v>
      </c>
      <c r="BU27" s="58">
        <v>1</v>
      </c>
      <c r="BV27" s="68" t="s">
        <v>288</v>
      </c>
      <c r="BW27" s="28">
        <f t="shared" ref="BW27:BW33" si="296">BX27/$AM$4</f>
        <v>11.887454545454544</v>
      </c>
      <c r="BX27" s="69">
        <v>2615.2399999999998</v>
      </c>
      <c r="BY27" s="28">
        <f t="shared" ref="BY27:BY33" si="297">BX27*BY$6</f>
        <v>261.524</v>
      </c>
      <c r="BZ27" s="28">
        <f t="shared" ref="BZ27:BZ33" si="298">BX27*BZ$6</f>
        <v>209.2192</v>
      </c>
      <c r="CA27" s="28">
        <f t="shared" ref="CA27:CA33" si="299">BX27/CA$6</f>
        <v>217.93666666666664</v>
      </c>
      <c r="CB27" s="28">
        <f t="shared" ref="CB27:CB33" si="300">CA27/CB$6</f>
        <v>72.645555555555546</v>
      </c>
      <c r="CC27" s="70">
        <f t="shared" ref="CC27:CC33" si="301">BX27/CC$6</f>
        <v>217.93666666666664</v>
      </c>
      <c r="CD27" s="70">
        <f t="shared" ref="CD27:CD33" si="302">SUM(BX27:CC27)</f>
        <v>3594.502088888888</v>
      </c>
      <c r="CE27" s="71">
        <v>0</v>
      </c>
      <c r="CF27" s="71">
        <v>0</v>
      </c>
      <c r="CG27" s="72">
        <f t="shared" ref="CG27:CG33" si="303">((BW27*CG$6)+(BW27*$AO$6)+(BW27*$AP$6))*CE27</f>
        <v>0</v>
      </c>
      <c r="CH27" s="72">
        <f t="shared" ref="CH27:CH33" si="304">((BW27*CH$6)+(BW27*$AO$6)+(BW27*$AP$6))*CF27</f>
        <v>0</v>
      </c>
      <c r="CI27" s="70">
        <f>SUM(CG27:CH27)</f>
        <v>0</v>
      </c>
      <c r="CJ27" s="73">
        <v>0</v>
      </c>
      <c r="CK27" s="74">
        <f t="shared" ref="CK27:CK33" si="305">IF(BU27=1,($C$1*$Q$6),0)</f>
        <v>282.40000000000003</v>
      </c>
      <c r="CL27" s="303">
        <f t="shared" ref="CL27:CL33" si="306">CD27+CI27+CJ27+CK27</f>
        <v>3876.9020888888881</v>
      </c>
      <c r="CM27" s="58">
        <v>1</v>
      </c>
      <c r="CN27" s="68" t="s">
        <v>288</v>
      </c>
      <c r="CO27" s="28">
        <f t="shared" ref="CO27:CO33" si="307">CP27/$AM$4</f>
        <v>11.887454545454544</v>
      </c>
      <c r="CP27" s="69">
        <v>2615.2399999999998</v>
      </c>
      <c r="CQ27" s="28">
        <f t="shared" ref="CQ27:CQ33" si="308">CP27*CQ$6</f>
        <v>261.524</v>
      </c>
      <c r="CR27" s="28">
        <f t="shared" ref="CR27:CR33" si="309">CP27*CR$6</f>
        <v>209.2192</v>
      </c>
      <c r="CS27" s="28">
        <f t="shared" ref="CS27:CS33" si="310">CP27/CS$6</f>
        <v>217.93666666666664</v>
      </c>
      <c r="CT27" s="28">
        <f t="shared" ref="CT27:CT33" si="311">CS27/CT$6</f>
        <v>72.645555555555546</v>
      </c>
      <c r="CU27" s="70">
        <f t="shared" ref="CU27:CU33" si="312">CP27/CU$6</f>
        <v>217.93666666666664</v>
      </c>
      <c r="CV27" s="70">
        <f t="shared" ref="CV27:CV33" si="313">SUM(CP27:CU27)</f>
        <v>3594.502088888888</v>
      </c>
      <c r="CW27" s="71">
        <v>0</v>
      </c>
      <c r="CX27" s="71">
        <v>0</v>
      </c>
      <c r="CY27" s="72">
        <f t="shared" ref="CY27:CY33" si="314">((CO27*CY$6)+(CO27*$AO$6)+(CO27*$AP$6))*CW27</f>
        <v>0</v>
      </c>
      <c r="CZ27" s="72">
        <f t="shared" ref="CZ27:CZ33" si="315">((CO27*CZ$6)+(CO27*$AO$6)+(CO27*$AP$6))*CX27</f>
        <v>0</v>
      </c>
      <c r="DA27" s="70">
        <f>SUM(CY27:CZ27)</f>
        <v>0</v>
      </c>
      <c r="DB27" s="73">
        <v>0</v>
      </c>
      <c r="DC27" s="74">
        <f t="shared" ref="DC27:DC33" si="316">IF(CM27=1,($C$1*$Q$6),0)</f>
        <v>282.40000000000003</v>
      </c>
      <c r="DD27" s="303">
        <f t="shared" ref="DD27:DD33" si="317">CV27+DA27+DB27+DC27</f>
        <v>3876.9020888888881</v>
      </c>
      <c r="DE27" s="58">
        <v>1</v>
      </c>
      <c r="DF27" s="68" t="s">
        <v>288</v>
      </c>
      <c r="DG27" s="28">
        <f t="shared" ref="DG27:DG33" si="318">DH27/$AM$4</f>
        <v>11.887454545454544</v>
      </c>
      <c r="DH27" s="69">
        <v>2615.2399999999998</v>
      </c>
      <c r="DI27" s="28">
        <f t="shared" ref="DI27:DI33" si="319">DH27*DI$6</f>
        <v>261.524</v>
      </c>
      <c r="DJ27" s="28">
        <f t="shared" ref="DJ27:DJ33" si="320">DH27*DJ$6</f>
        <v>209.2192</v>
      </c>
      <c r="DK27" s="28">
        <f t="shared" ref="DK27:DK33" si="321">DH27/DK$6</f>
        <v>217.93666666666664</v>
      </c>
      <c r="DL27" s="28">
        <f t="shared" ref="DL27:DL33" si="322">DK27/DL$6</f>
        <v>72.645555555555546</v>
      </c>
      <c r="DM27" s="70">
        <f t="shared" ref="DM27:DM33" si="323">DH27/DM$6</f>
        <v>217.93666666666664</v>
      </c>
      <c r="DN27" s="70">
        <f t="shared" ref="DN27:DN33" si="324">SUM(DH27:DM27)</f>
        <v>3594.502088888888</v>
      </c>
      <c r="DO27" s="71">
        <v>0</v>
      </c>
      <c r="DP27" s="71">
        <v>0</v>
      </c>
      <c r="DQ27" s="72">
        <f t="shared" ref="DQ27:DQ33" si="325">((DG27*DQ$6)+(DG27*$AO$6)+(DG27*$AP$6))*DO27</f>
        <v>0</v>
      </c>
      <c r="DR27" s="72">
        <f t="shared" ref="DR27:DR33" si="326">((DG27*DR$6)+(DG27*$AO$6)+(DG27*$AP$6))*DP27</f>
        <v>0</v>
      </c>
      <c r="DS27" s="70">
        <f>SUM(DQ27:DR27)</f>
        <v>0</v>
      </c>
      <c r="DT27" s="73">
        <v>0</v>
      </c>
      <c r="DU27" s="74">
        <f t="shared" ref="DU27:DU33" si="327">IF(DE27=1,($C$1*$Q$6),0)</f>
        <v>282.40000000000003</v>
      </c>
      <c r="DV27" s="303">
        <f t="shared" ref="DV27:DV33" si="328">DN27+DS27+DT27+DU27</f>
        <v>3876.9020888888881</v>
      </c>
      <c r="DW27" s="58">
        <v>1</v>
      </c>
      <c r="DX27" s="68" t="s">
        <v>288</v>
      </c>
      <c r="DY27" s="28">
        <f t="shared" ref="DY27:DY33" si="329">DZ27/$AM$4</f>
        <v>11.887454545454544</v>
      </c>
      <c r="DZ27" s="69">
        <v>2615.2399999999998</v>
      </c>
      <c r="EA27" s="28">
        <f t="shared" ref="EA27:EA33" si="330">DZ27*EA$6</f>
        <v>261.524</v>
      </c>
      <c r="EB27" s="28">
        <f t="shared" ref="EB27:EB33" si="331">DZ27*EB$6</f>
        <v>209.2192</v>
      </c>
      <c r="EC27" s="28">
        <f t="shared" ref="EC27:EC33" si="332">DZ27/EC$6</f>
        <v>217.93666666666664</v>
      </c>
      <c r="ED27" s="28">
        <f t="shared" ref="ED27:ED33" si="333">EC27/ED$6</f>
        <v>72.645555555555546</v>
      </c>
      <c r="EE27" s="70">
        <f t="shared" ref="EE27:EE33" si="334">DZ27/EE$6</f>
        <v>217.93666666666664</v>
      </c>
      <c r="EF27" s="70">
        <f t="shared" ref="EF27:EF33" si="335">SUM(DZ27:EE27)</f>
        <v>3594.502088888888</v>
      </c>
      <c r="EG27" s="71">
        <v>0</v>
      </c>
      <c r="EH27" s="71">
        <v>0</v>
      </c>
      <c r="EI27" s="72">
        <f t="shared" ref="EI27:EI33" si="336">((DY27*EI$6)+(DY27*$AO$6)+(DY27*$AP$6))*EG27</f>
        <v>0</v>
      </c>
      <c r="EJ27" s="72">
        <f t="shared" ref="EJ27:EJ33" si="337">((DY27*EJ$6)+(DY27*$AO$6)+(DY27*$AP$6))*EH27</f>
        <v>0</v>
      </c>
      <c r="EK27" s="70">
        <f>SUM(EI27:EJ27)</f>
        <v>0</v>
      </c>
      <c r="EL27" s="73">
        <v>0</v>
      </c>
      <c r="EM27" s="74">
        <f t="shared" ref="EM27:EM33" si="338">IF(DW27=1,($C$1*$Q$6),0)</f>
        <v>282.40000000000003</v>
      </c>
      <c r="EN27" s="303">
        <f t="shared" ref="EN27:EN33" si="339">EF27+EK27+EL27+EM27</f>
        <v>3876.9020888888881</v>
      </c>
      <c r="EO27" s="58">
        <v>1</v>
      </c>
      <c r="EP27" s="68" t="s">
        <v>288</v>
      </c>
      <c r="EQ27" s="28">
        <f t="shared" ref="EQ27:EQ33" si="340">ER27/$AM$4</f>
        <v>11.887454545454544</v>
      </c>
      <c r="ER27" s="69">
        <v>2615.2399999999998</v>
      </c>
      <c r="ES27" s="28">
        <f t="shared" ref="ES27:ES33" si="341">ER27*ES$6</f>
        <v>261.524</v>
      </c>
      <c r="ET27" s="28">
        <f t="shared" ref="ET27:ET33" si="342">ER27*ET$6</f>
        <v>209.2192</v>
      </c>
      <c r="EU27" s="28">
        <f t="shared" ref="EU27:EU33" si="343">ER27/EU$6</f>
        <v>217.93666666666664</v>
      </c>
      <c r="EV27" s="28">
        <f t="shared" ref="EV27:EV33" si="344">EU27/EV$6</f>
        <v>72.645555555555546</v>
      </c>
      <c r="EW27" s="70">
        <f t="shared" ref="EW27:EW33" si="345">ER27/EW$6</f>
        <v>217.93666666666664</v>
      </c>
      <c r="EX27" s="70">
        <f t="shared" ref="EX27:EX33" si="346">SUM(ER27:EW27)</f>
        <v>3594.502088888888</v>
      </c>
      <c r="EY27" s="71">
        <v>0</v>
      </c>
      <c r="EZ27" s="71">
        <v>0</v>
      </c>
      <c r="FA27" s="72">
        <f t="shared" ref="FA27:FA33" si="347">((EQ27*FA$6)+(EQ27*$AO$6)+(EQ27*$AP$6))*EY27</f>
        <v>0</v>
      </c>
      <c r="FB27" s="72">
        <f t="shared" ref="FB27:FB33" si="348">((EQ27*FB$6)+(EQ27*$AO$6)+(EQ27*$AP$6))*EZ27</f>
        <v>0</v>
      </c>
      <c r="FC27" s="70">
        <f>SUM(FA27:FB27)</f>
        <v>0</v>
      </c>
      <c r="FD27" s="73">
        <v>0</v>
      </c>
      <c r="FE27" s="74">
        <f t="shared" ref="FE27:FE33" si="349">IF(EO27=1,($C$1*$Q$6),0)</f>
        <v>282.40000000000003</v>
      </c>
      <c r="FF27" s="303">
        <f t="shared" ref="FF27:FF33" si="350">EX27+FC27+FD27+FE27</f>
        <v>3876.9020888888881</v>
      </c>
      <c r="FG27" s="58">
        <v>1</v>
      </c>
      <c r="FH27" s="68" t="s">
        <v>288</v>
      </c>
      <c r="FI27" s="28">
        <f t="shared" ref="FI27:FI33" si="351">FJ27/$AM$4</f>
        <v>11.887454545454544</v>
      </c>
      <c r="FJ27" s="69">
        <v>2615.2399999999998</v>
      </c>
      <c r="FK27" s="28">
        <f t="shared" ref="FK27:FK33" si="352">FJ27*FK$6</f>
        <v>261.524</v>
      </c>
      <c r="FL27" s="28">
        <f t="shared" ref="FL27:FL33" si="353">FJ27*FL$6</f>
        <v>209.2192</v>
      </c>
      <c r="FM27" s="28">
        <f t="shared" ref="FM27:FM33" si="354">FJ27/FM$6</f>
        <v>217.93666666666664</v>
      </c>
      <c r="FN27" s="28">
        <f t="shared" ref="FN27:FN33" si="355">FM27/FN$6</f>
        <v>72.645555555555546</v>
      </c>
      <c r="FO27" s="70">
        <f t="shared" ref="FO27:FO33" si="356">FJ27/FO$6</f>
        <v>217.93666666666664</v>
      </c>
      <c r="FP27" s="70">
        <f t="shared" ref="FP27:FP33" si="357">SUM(FJ27:FO27)</f>
        <v>3594.502088888888</v>
      </c>
      <c r="FQ27" s="71">
        <v>0</v>
      </c>
      <c r="FR27" s="71">
        <v>0</v>
      </c>
      <c r="FS27" s="72">
        <f t="shared" ref="FS27:FS33" si="358">((FI27*FS$6)+(FI27*$AO$6)+(FI27*$AP$6))*FQ27</f>
        <v>0</v>
      </c>
      <c r="FT27" s="72">
        <f t="shared" ref="FT27:FT33" si="359">((FI27*FT$6)+(FI27*$AO$6)+(FI27*$AP$6))*FR27</f>
        <v>0</v>
      </c>
      <c r="FU27" s="70">
        <f>SUM(FS27:FT27)</f>
        <v>0</v>
      </c>
      <c r="FV27" s="73">
        <v>0</v>
      </c>
      <c r="FW27" s="74">
        <f t="shared" ref="FW27:FW33" si="360">IF(FG27=1,($C$1*$Q$6),0)</f>
        <v>282.40000000000003</v>
      </c>
      <c r="FX27" s="303">
        <f t="shared" ref="FX27:FX33" si="361">FP27+FU27+FV27+FW27</f>
        <v>3876.9020888888881</v>
      </c>
      <c r="FY27" s="58">
        <v>1</v>
      </c>
      <c r="FZ27" s="68" t="s">
        <v>288</v>
      </c>
      <c r="GA27" s="28">
        <f t="shared" ref="GA27:GA33" si="362">GB27/$AM$4</f>
        <v>11.887454545454544</v>
      </c>
      <c r="GB27" s="69">
        <v>2615.2399999999998</v>
      </c>
      <c r="GC27" s="28">
        <f t="shared" ref="GC27:GC33" si="363">GB27*GC$6</f>
        <v>261.524</v>
      </c>
      <c r="GD27" s="28">
        <f t="shared" ref="GD27:GD33" si="364">GB27*GD$6</f>
        <v>209.2192</v>
      </c>
      <c r="GE27" s="28">
        <f t="shared" ref="GE27:GE33" si="365">GB27/GE$6</f>
        <v>217.93666666666664</v>
      </c>
      <c r="GF27" s="28">
        <f t="shared" ref="GF27:GF33" si="366">GE27/GF$6</f>
        <v>72.645555555555546</v>
      </c>
      <c r="GG27" s="70">
        <f t="shared" ref="GG27:GG33" si="367">GB27/GG$6</f>
        <v>217.93666666666664</v>
      </c>
      <c r="GH27" s="70">
        <f t="shared" ref="GH27:GH33" si="368">SUM(GB27:GG27)</f>
        <v>3594.502088888888</v>
      </c>
      <c r="GI27" s="71">
        <v>0</v>
      </c>
      <c r="GJ27" s="71">
        <v>0</v>
      </c>
      <c r="GK27" s="72">
        <f t="shared" ref="GK27:GK33" si="369">((GA27*GK$6)+(GA27*$AO$6)+(GA27*$AP$6))*GI27</f>
        <v>0</v>
      </c>
      <c r="GL27" s="72">
        <f t="shared" ref="GL27:GL33" si="370">((GA27*GL$6)+(GA27*$AO$6)+(GA27*$AP$6))*GJ27</f>
        <v>0</v>
      </c>
      <c r="GM27" s="70">
        <f>SUM(GK27:GL27)</f>
        <v>0</v>
      </c>
      <c r="GN27" s="73">
        <v>0</v>
      </c>
      <c r="GO27" s="74">
        <f t="shared" ref="GO27:GO33" si="371">IF(FY27=1,($C$1*$Q$6),0)</f>
        <v>282.40000000000003</v>
      </c>
      <c r="GP27" s="303">
        <f t="shared" ref="GP27:GP33" si="372">GH27+GM27+GN27+GO27</f>
        <v>3876.9020888888881</v>
      </c>
      <c r="GQ27" s="58">
        <v>1</v>
      </c>
      <c r="GR27" s="68" t="s">
        <v>288</v>
      </c>
      <c r="GS27" s="28">
        <f t="shared" ref="GS27:GS33" si="373">GT27/$AM$4</f>
        <v>11.887454545454544</v>
      </c>
      <c r="GT27" s="69">
        <v>2615.2399999999998</v>
      </c>
      <c r="GU27" s="28">
        <f t="shared" ref="GU27:GU33" si="374">GT27*GU$6</f>
        <v>261.524</v>
      </c>
      <c r="GV27" s="28">
        <f t="shared" ref="GV27:GV33" si="375">GT27*GV$6</f>
        <v>209.2192</v>
      </c>
      <c r="GW27" s="28">
        <f t="shared" ref="GW27:GW33" si="376">GT27/GW$6</f>
        <v>217.93666666666664</v>
      </c>
      <c r="GX27" s="28">
        <f t="shared" ref="GX27:GX33" si="377">GW27/GX$6</f>
        <v>72.645555555555546</v>
      </c>
      <c r="GY27" s="70">
        <f t="shared" ref="GY27:GY33" si="378">GT27/GY$6</f>
        <v>217.93666666666664</v>
      </c>
      <c r="GZ27" s="70">
        <f t="shared" ref="GZ27:GZ33" si="379">SUM(GT27:GY27)</f>
        <v>3594.502088888888</v>
      </c>
      <c r="HA27" s="71">
        <v>0</v>
      </c>
      <c r="HB27" s="71">
        <v>0</v>
      </c>
      <c r="HC27" s="72">
        <f t="shared" ref="HC27:HC33" si="380">((GS27*HC$6)+(GS27*$AO$6)+(GS27*$AP$6))*HA27</f>
        <v>0</v>
      </c>
      <c r="HD27" s="72">
        <f t="shared" ref="HD27:HD33" si="381">((GS27*HD$6)+(GS27*$AO$6)+(GS27*$AP$6))*HB27</f>
        <v>0</v>
      </c>
      <c r="HE27" s="70">
        <f>SUM(HC27:HD27)</f>
        <v>0</v>
      </c>
      <c r="HF27" s="73">
        <v>0</v>
      </c>
      <c r="HG27" s="74">
        <f t="shared" ref="HG27:HG33" si="382">IF(GQ27=1,($C$1*$Q$6),0)</f>
        <v>282.40000000000003</v>
      </c>
      <c r="HH27" s="303">
        <f t="shared" ref="HH27:HH33" si="383">GZ27+HE27+HF27+HG27</f>
        <v>3876.9020888888881</v>
      </c>
      <c r="HJ27" s="37"/>
      <c r="HK27" s="37"/>
      <c r="HL27" s="37"/>
      <c r="HM27" s="37"/>
      <c r="HN27" s="37"/>
      <c r="HO27" s="37"/>
      <c r="HP27" s="37"/>
      <c r="HQ27" s="37"/>
      <c r="HR27" s="37"/>
      <c r="HS27" s="37"/>
      <c r="HT27" s="37"/>
      <c r="HU27" s="37"/>
      <c r="HV27" s="37"/>
      <c r="HW27" s="37"/>
      <c r="HX27" s="37"/>
      <c r="HY27" s="37"/>
      <c r="HZ27" s="37"/>
      <c r="IA27" s="37"/>
      <c r="IB27" s="37"/>
      <c r="IC27" s="37"/>
      <c r="ID27" s="37"/>
      <c r="IE27" s="37"/>
      <c r="IF27" s="37"/>
      <c r="IG27" s="37"/>
      <c r="IH27" s="37"/>
      <c r="II27" s="37"/>
      <c r="IJ27" s="37"/>
      <c r="IK27" s="37"/>
      <c r="IL27" s="37"/>
      <c r="IM27" s="37"/>
      <c r="IN27" s="37"/>
      <c r="IO27" s="37"/>
      <c r="IP27" s="37"/>
    </row>
    <row r="28" spans="1:250" x14ac:dyDescent="0.3">
      <c r="A28" s="58">
        <v>0</v>
      </c>
      <c r="B28" s="68"/>
      <c r="C28" s="28">
        <f t="shared" si="252"/>
        <v>0</v>
      </c>
      <c r="D28" s="28">
        <v>0</v>
      </c>
      <c r="E28" s="28">
        <f t="shared" si="253"/>
        <v>0</v>
      </c>
      <c r="F28" s="28">
        <f t="shared" si="254"/>
        <v>0</v>
      </c>
      <c r="G28" s="28">
        <f t="shared" si="255"/>
        <v>0</v>
      </c>
      <c r="H28" s="28">
        <f t="shared" si="256"/>
        <v>0</v>
      </c>
      <c r="I28" s="70">
        <f t="shared" si="257"/>
        <v>0</v>
      </c>
      <c r="J28" s="70">
        <f t="shared" si="258"/>
        <v>0</v>
      </c>
      <c r="K28" s="71">
        <v>0</v>
      </c>
      <c r="L28" s="71">
        <v>0</v>
      </c>
      <c r="M28" s="72">
        <f t="shared" si="259"/>
        <v>0</v>
      </c>
      <c r="N28" s="72">
        <f t="shared" si="260"/>
        <v>0</v>
      </c>
      <c r="O28" s="70">
        <f t="shared" ref="O28:O33" si="384">SUM(M28:N28)</f>
        <v>0</v>
      </c>
      <c r="P28" s="73">
        <v>0</v>
      </c>
      <c r="Q28" s="74">
        <f t="shared" si="261"/>
        <v>0</v>
      </c>
      <c r="R28" s="303">
        <f t="shared" si="262"/>
        <v>0</v>
      </c>
      <c r="S28" s="58">
        <v>0</v>
      </c>
      <c r="T28" s="68"/>
      <c r="U28" s="28">
        <f t="shared" si="263"/>
        <v>0</v>
      </c>
      <c r="V28" s="28">
        <v>0</v>
      </c>
      <c r="W28" s="28">
        <f t="shared" si="264"/>
        <v>0</v>
      </c>
      <c r="X28" s="28">
        <f t="shared" si="265"/>
        <v>0</v>
      </c>
      <c r="Y28" s="28">
        <f t="shared" si="266"/>
        <v>0</v>
      </c>
      <c r="Z28" s="28">
        <f t="shared" si="267"/>
        <v>0</v>
      </c>
      <c r="AA28" s="70">
        <f t="shared" si="268"/>
        <v>0</v>
      </c>
      <c r="AB28" s="70">
        <f t="shared" si="269"/>
        <v>0</v>
      </c>
      <c r="AC28" s="71">
        <v>0</v>
      </c>
      <c r="AD28" s="71">
        <v>0</v>
      </c>
      <c r="AE28" s="72">
        <f t="shared" si="270"/>
        <v>0</v>
      </c>
      <c r="AF28" s="72">
        <f t="shared" si="271"/>
        <v>0</v>
      </c>
      <c r="AG28" s="70">
        <f t="shared" ref="AG28:AG33" si="385">SUM(AE28:AF28)</f>
        <v>0</v>
      </c>
      <c r="AH28" s="73">
        <v>0</v>
      </c>
      <c r="AI28" s="74">
        <f t="shared" si="272"/>
        <v>0</v>
      </c>
      <c r="AJ28" s="303">
        <f t="shared" si="273"/>
        <v>0</v>
      </c>
      <c r="AK28" s="58">
        <v>0</v>
      </c>
      <c r="AL28" s="68"/>
      <c r="AM28" s="28">
        <f t="shared" si="274"/>
        <v>0</v>
      </c>
      <c r="AN28" s="28">
        <v>0</v>
      </c>
      <c r="AO28" s="28">
        <f t="shared" si="275"/>
        <v>0</v>
      </c>
      <c r="AP28" s="28">
        <f t="shared" si="276"/>
        <v>0</v>
      </c>
      <c r="AQ28" s="28">
        <f t="shared" si="277"/>
        <v>0</v>
      </c>
      <c r="AR28" s="28">
        <f t="shared" si="278"/>
        <v>0</v>
      </c>
      <c r="AS28" s="70">
        <f t="shared" si="279"/>
        <v>0</v>
      </c>
      <c r="AT28" s="70">
        <f t="shared" si="280"/>
        <v>0</v>
      </c>
      <c r="AU28" s="71">
        <v>0</v>
      </c>
      <c r="AV28" s="71">
        <v>0</v>
      </c>
      <c r="AW28" s="72">
        <f t="shared" si="281"/>
        <v>0</v>
      </c>
      <c r="AX28" s="72">
        <f t="shared" si="282"/>
        <v>0</v>
      </c>
      <c r="AY28" s="70">
        <f t="shared" ref="AY28:AY33" si="386">SUM(AW28:AX28)</f>
        <v>0</v>
      </c>
      <c r="AZ28" s="73">
        <v>0</v>
      </c>
      <c r="BA28" s="74">
        <f t="shared" si="283"/>
        <v>0</v>
      </c>
      <c r="BB28" s="303">
        <f t="shared" si="284"/>
        <v>0</v>
      </c>
      <c r="BC28" s="58">
        <v>0</v>
      </c>
      <c r="BD28" s="68"/>
      <c r="BE28" s="28">
        <f t="shared" si="285"/>
        <v>0</v>
      </c>
      <c r="BF28" s="28">
        <v>0</v>
      </c>
      <c r="BG28" s="28">
        <f t="shared" si="286"/>
        <v>0</v>
      </c>
      <c r="BH28" s="28">
        <f t="shared" si="287"/>
        <v>0</v>
      </c>
      <c r="BI28" s="28">
        <f t="shared" si="288"/>
        <v>0</v>
      </c>
      <c r="BJ28" s="28">
        <f t="shared" si="289"/>
        <v>0</v>
      </c>
      <c r="BK28" s="70">
        <f t="shared" si="290"/>
        <v>0</v>
      </c>
      <c r="BL28" s="70">
        <f t="shared" si="291"/>
        <v>0</v>
      </c>
      <c r="BM28" s="71">
        <v>0</v>
      </c>
      <c r="BN28" s="71">
        <v>0</v>
      </c>
      <c r="BO28" s="72">
        <f t="shared" si="292"/>
        <v>0</v>
      </c>
      <c r="BP28" s="72">
        <f t="shared" si="293"/>
        <v>0</v>
      </c>
      <c r="BQ28" s="70">
        <f t="shared" ref="BQ28:BQ33" si="387">SUM(BO28:BP28)</f>
        <v>0</v>
      </c>
      <c r="BR28" s="73">
        <v>0</v>
      </c>
      <c r="BS28" s="74">
        <f t="shared" si="294"/>
        <v>0</v>
      </c>
      <c r="BT28" s="303">
        <f t="shared" si="295"/>
        <v>0</v>
      </c>
      <c r="BU28" s="58">
        <v>0</v>
      </c>
      <c r="BV28" s="68"/>
      <c r="BW28" s="28">
        <f t="shared" si="296"/>
        <v>0</v>
      </c>
      <c r="BX28" s="28">
        <v>0</v>
      </c>
      <c r="BY28" s="28">
        <f t="shared" si="297"/>
        <v>0</v>
      </c>
      <c r="BZ28" s="28">
        <f t="shared" si="298"/>
        <v>0</v>
      </c>
      <c r="CA28" s="28">
        <f t="shared" si="299"/>
        <v>0</v>
      </c>
      <c r="CB28" s="28">
        <f t="shared" si="300"/>
        <v>0</v>
      </c>
      <c r="CC28" s="70">
        <f t="shared" si="301"/>
        <v>0</v>
      </c>
      <c r="CD28" s="70">
        <f t="shared" si="302"/>
        <v>0</v>
      </c>
      <c r="CE28" s="71">
        <v>0</v>
      </c>
      <c r="CF28" s="71">
        <v>0</v>
      </c>
      <c r="CG28" s="72">
        <f t="shared" si="303"/>
        <v>0</v>
      </c>
      <c r="CH28" s="72">
        <f t="shared" si="304"/>
        <v>0</v>
      </c>
      <c r="CI28" s="70">
        <f t="shared" ref="CI28:CI33" si="388">SUM(CG28:CH28)</f>
        <v>0</v>
      </c>
      <c r="CJ28" s="73">
        <v>0</v>
      </c>
      <c r="CK28" s="74">
        <f t="shared" si="305"/>
        <v>0</v>
      </c>
      <c r="CL28" s="303">
        <f t="shared" si="306"/>
        <v>0</v>
      </c>
      <c r="CM28" s="58">
        <v>0</v>
      </c>
      <c r="CN28" s="68"/>
      <c r="CO28" s="28">
        <f t="shared" si="307"/>
        <v>0</v>
      </c>
      <c r="CP28" s="28">
        <v>0</v>
      </c>
      <c r="CQ28" s="28">
        <f t="shared" si="308"/>
        <v>0</v>
      </c>
      <c r="CR28" s="28">
        <f t="shared" si="309"/>
        <v>0</v>
      </c>
      <c r="CS28" s="28">
        <f t="shared" si="310"/>
        <v>0</v>
      </c>
      <c r="CT28" s="28">
        <f t="shared" si="311"/>
        <v>0</v>
      </c>
      <c r="CU28" s="70">
        <f t="shared" si="312"/>
        <v>0</v>
      </c>
      <c r="CV28" s="70">
        <f t="shared" si="313"/>
        <v>0</v>
      </c>
      <c r="CW28" s="71">
        <v>0</v>
      </c>
      <c r="CX28" s="71">
        <v>0</v>
      </c>
      <c r="CY28" s="72">
        <f t="shared" si="314"/>
        <v>0</v>
      </c>
      <c r="CZ28" s="72">
        <f t="shared" si="315"/>
        <v>0</v>
      </c>
      <c r="DA28" s="70">
        <f t="shared" ref="DA28:DA33" si="389">SUM(CY28:CZ28)</f>
        <v>0</v>
      </c>
      <c r="DB28" s="73">
        <v>0</v>
      </c>
      <c r="DC28" s="74">
        <f t="shared" si="316"/>
        <v>0</v>
      </c>
      <c r="DD28" s="303">
        <f t="shared" si="317"/>
        <v>0</v>
      </c>
      <c r="DE28" s="58">
        <v>0</v>
      </c>
      <c r="DF28" s="68"/>
      <c r="DG28" s="28">
        <f t="shared" si="318"/>
        <v>0</v>
      </c>
      <c r="DH28" s="28">
        <v>0</v>
      </c>
      <c r="DI28" s="28">
        <f t="shared" si="319"/>
        <v>0</v>
      </c>
      <c r="DJ28" s="28">
        <f t="shared" si="320"/>
        <v>0</v>
      </c>
      <c r="DK28" s="28">
        <f t="shared" si="321"/>
        <v>0</v>
      </c>
      <c r="DL28" s="28">
        <f t="shared" si="322"/>
        <v>0</v>
      </c>
      <c r="DM28" s="70">
        <f t="shared" si="323"/>
        <v>0</v>
      </c>
      <c r="DN28" s="70">
        <f t="shared" si="324"/>
        <v>0</v>
      </c>
      <c r="DO28" s="71">
        <v>0</v>
      </c>
      <c r="DP28" s="71">
        <v>0</v>
      </c>
      <c r="DQ28" s="72">
        <f t="shared" si="325"/>
        <v>0</v>
      </c>
      <c r="DR28" s="72">
        <f t="shared" si="326"/>
        <v>0</v>
      </c>
      <c r="DS28" s="70">
        <f t="shared" ref="DS28:DS33" si="390">SUM(DQ28:DR28)</f>
        <v>0</v>
      </c>
      <c r="DT28" s="73">
        <v>0</v>
      </c>
      <c r="DU28" s="74">
        <f t="shared" si="327"/>
        <v>0</v>
      </c>
      <c r="DV28" s="303">
        <f t="shared" si="328"/>
        <v>0</v>
      </c>
      <c r="DW28" s="58">
        <v>0</v>
      </c>
      <c r="DX28" s="68"/>
      <c r="DY28" s="28">
        <f t="shared" si="329"/>
        <v>0</v>
      </c>
      <c r="DZ28" s="28">
        <v>0</v>
      </c>
      <c r="EA28" s="28">
        <f t="shared" si="330"/>
        <v>0</v>
      </c>
      <c r="EB28" s="28">
        <f t="shared" si="331"/>
        <v>0</v>
      </c>
      <c r="EC28" s="28">
        <f t="shared" si="332"/>
        <v>0</v>
      </c>
      <c r="ED28" s="28">
        <f t="shared" si="333"/>
        <v>0</v>
      </c>
      <c r="EE28" s="70">
        <f t="shared" si="334"/>
        <v>0</v>
      </c>
      <c r="EF28" s="70">
        <f t="shared" si="335"/>
        <v>0</v>
      </c>
      <c r="EG28" s="71">
        <v>0</v>
      </c>
      <c r="EH28" s="71">
        <v>0</v>
      </c>
      <c r="EI28" s="72">
        <f t="shared" si="336"/>
        <v>0</v>
      </c>
      <c r="EJ28" s="72">
        <f t="shared" si="337"/>
        <v>0</v>
      </c>
      <c r="EK28" s="70">
        <f t="shared" ref="EK28:EK33" si="391">SUM(EI28:EJ28)</f>
        <v>0</v>
      </c>
      <c r="EL28" s="73">
        <v>0</v>
      </c>
      <c r="EM28" s="74">
        <f t="shared" si="338"/>
        <v>0</v>
      </c>
      <c r="EN28" s="303">
        <f t="shared" si="339"/>
        <v>0</v>
      </c>
      <c r="EO28" s="58">
        <v>0</v>
      </c>
      <c r="EP28" s="68"/>
      <c r="EQ28" s="28">
        <f t="shared" si="340"/>
        <v>0</v>
      </c>
      <c r="ER28" s="28">
        <v>0</v>
      </c>
      <c r="ES28" s="28">
        <f t="shared" si="341"/>
        <v>0</v>
      </c>
      <c r="ET28" s="28">
        <f t="shared" si="342"/>
        <v>0</v>
      </c>
      <c r="EU28" s="28">
        <f t="shared" si="343"/>
        <v>0</v>
      </c>
      <c r="EV28" s="28">
        <f t="shared" si="344"/>
        <v>0</v>
      </c>
      <c r="EW28" s="70">
        <f t="shared" si="345"/>
        <v>0</v>
      </c>
      <c r="EX28" s="70">
        <f t="shared" si="346"/>
        <v>0</v>
      </c>
      <c r="EY28" s="71">
        <v>0</v>
      </c>
      <c r="EZ28" s="71">
        <v>0</v>
      </c>
      <c r="FA28" s="72">
        <f t="shared" si="347"/>
        <v>0</v>
      </c>
      <c r="FB28" s="72">
        <f t="shared" si="348"/>
        <v>0</v>
      </c>
      <c r="FC28" s="70">
        <f t="shared" ref="FC28:FC33" si="392">SUM(FA28:FB28)</f>
        <v>0</v>
      </c>
      <c r="FD28" s="73">
        <v>0</v>
      </c>
      <c r="FE28" s="74">
        <f t="shared" si="349"/>
        <v>0</v>
      </c>
      <c r="FF28" s="303">
        <f t="shared" si="350"/>
        <v>0</v>
      </c>
      <c r="FG28" s="58">
        <v>0</v>
      </c>
      <c r="FH28" s="68"/>
      <c r="FI28" s="28">
        <f t="shared" si="351"/>
        <v>0</v>
      </c>
      <c r="FJ28" s="28">
        <v>0</v>
      </c>
      <c r="FK28" s="28">
        <f t="shared" si="352"/>
        <v>0</v>
      </c>
      <c r="FL28" s="28">
        <f t="shared" si="353"/>
        <v>0</v>
      </c>
      <c r="FM28" s="28">
        <f t="shared" si="354"/>
        <v>0</v>
      </c>
      <c r="FN28" s="28">
        <f t="shared" si="355"/>
        <v>0</v>
      </c>
      <c r="FO28" s="70">
        <f t="shared" si="356"/>
        <v>0</v>
      </c>
      <c r="FP28" s="70">
        <f t="shared" si="357"/>
        <v>0</v>
      </c>
      <c r="FQ28" s="71">
        <v>0</v>
      </c>
      <c r="FR28" s="71">
        <v>0</v>
      </c>
      <c r="FS28" s="72">
        <f t="shared" si="358"/>
        <v>0</v>
      </c>
      <c r="FT28" s="72">
        <f t="shared" si="359"/>
        <v>0</v>
      </c>
      <c r="FU28" s="70">
        <f t="shared" ref="FU28:FU33" si="393">SUM(FS28:FT28)</f>
        <v>0</v>
      </c>
      <c r="FV28" s="73">
        <v>0</v>
      </c>
      <c r="FW28" s="74">
        <f t="shared" si="360"/>
        <v>0</v>
      </c>
      <c r="FX28" s="303">
        <f t="shared" si="361"/>
        <v>0</v>
      </c>
      <c r="FY28" s="58">
        <v>0</v>
      </c>
      <c r="FZ28" s="68"/>
      <c r="GA28" s="28">
        <f t="shared" si="362"/>
        <v>0</v>
      </c>
      <c r="GB28" s="28">
        <v>0</v>
      </c>
      <c r="GC28" s="28">
        <f t="shared" si="363"/>
        <v>0</v>
      </c>
      <c r="GD28" s="28">
        <f t="shared" si="364"/>
        <v>0</v>
      </c>
      <c r="GE28" s="28">
        <f t="shared" si="365"/>
        <v>0</v>
      </c>
      <c r="GF28" s="28">
        <f t="shared" si="366"/>
        <v>0</v>
      </c>
      <c r="GG28" s="70">
        <f t="shared" si="367"/>
        <v>0</v>
      </c>
      <c r="GH28" s="70">
        <f t="shared" si="368"/>
        <v>0</v>
      </c>
      <c r="GI28" s="71">
        <v>0</v>
      </c>
      <c r="GJ28" s="71">
        <v>0</v>
      </c>
      <c r="GK28" s="72">
        <f t="shared" si="369"/>
        <v>0</v>
      </c>
      <c r="GL28" s="72">
        <f t="shared" si="370"/>
        <v>0</v>
      </c>
      <c r="GM28" s="70">
        <f t="shared" ref="GM28:GM33" si="394">SUM(GK28:GL28)</f>
        <v>0</v>
      </c>
      <c r="GN28" s="73">
        <v>0</v>
      </c>
      <c r="GO28" s="74">
        <f t="shared" si="371"/>
        <v>0</v>
      </c>
      <c r="GP28" s="303">
        <f t="shared" si="372"/>
        <v>0</v>
      </c>
      <c r="GQ28" s="58">
        <v>0</v>
      </c>
      <c r="GR28" s="68"/>
      <c r="GS28" s="28">
        <f t="shared" si="373"/>
        <v>0</v>
      </c>
      <c r="GT28" s="28">
        <v>0</v>
      </c>
      <c r="GU28" s="28">
        <f t="shared" si="374"/>
        <v>0</v>
      </c>
      <c r="GV28" s="28">
        <f t="shared" si="375"/>
        <v>0</v>
      </c>
      <c r="GW28" s="28">
        <f t="shared" si="376"/>
        <v>0</v>
      </c>
      <c r="GX28" s="28">
        <f t="shared" si="377"/>
        <v>0</v>
      </c>
      <c r="GY28" s="70">
        <f t="shared" si="378"/>
        <v>0</v>
      </c>
      <c r="GZ28" s="70">
        <f t="shared" si="379"/>
        <v>0</v>
      </c>
      <c r="HA28" s="71">
        <v>0</v>
      </c>
      <c r="HB28" s="71">
        <v>0</v>
      </c>
      <c r="HC28" s="72">
        <f t="shared" si="380"/>
        <v>0</v>
      </c>
      <c r="HD28" s="72">
        <f t="shared" si="381"/>
        <v>0</v>
      </c>
      <c r="HE28" s="70">
        <f t="shared" ref="HE28:HE33" si="395">SUM(HC28:HD28)</f>
        <v>0</v>
      </c>
      <c r="HF28" s="73">
        <v>0</v>
      </c>
      <c r="HG28" s="74">
        <f t="shared" si="382"/>
        <v>0</v>
      </c>
      <c r="HH28" s="303">
        <f t="shared" si="383"/>
        <v>0</v>
      </c>
      <c r="HJ28" s="37"/>
      <c r="HK28" s="37"/>
      <c r="HL28" s="37"/>
      <c r="HM28" s="37"/>
      <c r="HN28" s="37"/>
      <c r="HO28" s="37"/>
      <c r="HP28" s="37"/>
      <c r="HQ28" s="37"/>
      <c r="HR28" s="37"/>
      <c r="HS28" s="37"/>
      <c r="HT28" s="37"/>
      <c r="HU28" s="37"/>
      <c r="HV28" s="37"/>
      <c r="HW28" s="37"/>
      <c r="HX28" s="37"/>
      <c r="HY28" s="37"/>
      <c r="HZ28" s="37"/>
      <c r="IA28" s="37"/>
      <c r="IB28" s="37"/>
      <c r="IC28" s="37"/>
      <c r="ID28" s="37"/>
      <c r="IE28" s="37"/>
      <c r="IF28" s="37"/>
      <c r="IG28" s="37"/>
      <c r="IH28" s="37"/>
      <c r="II28" s="37"/>
      <c r="IJ28" s="37"/>
      <c r="IK28" s="37"/>
      <c r="IL28" s="37"/>
      <c r="IM28" s="37"/>
      <c r="IN28" s="37"/>
      <c r="IO28" s="37"/>
      <c r="IP28" s="37"/>
    </row>
    <row r="29" spans="1:250" x14ac:dyDescent="0.3">
      <c r="A29" s="58">
        <v>0</v>
      </c>
      <c r="B29" s="68"/>
      <c r="C29" s="28">
        <f t="shared" si="252"/>
        <v>0</v>
      </c>
      <c r="D29" s="28">
        <v>0</v>
      </c>
      <c r="E29" s="28">
        <f t="shared" si="253"/>
        <v>0</v>
      </c>
      <c r="F29" s="28">
        <f t="shared" si="254"/>
        <v>0</v>
      </c>
      <c r="G29" s="28">
        <f t="shared" si="255"/>
        <v>0</v>
      </c>
      <c r="H29" s="28">
        <f t="shared" si="256"/>
        <v>0</v>
      </c>
      <c r="I29" s="70">
        <f t="shared" si="257"/>
        <v>0</v>
      </c>
      <c r="J29" s="70">
        <f t="shared" si="258"/>
        <v>0</v>
      </c>
      <c r="K29" s="71">
        <v>0</v>
      </c>
      <c r="L29" s="71">
        <v>0</v>
      </c>
      <c r="M29" s="72">
        <f t="shared" si="259"/>
        <v>0</v>
      </c>
      <c r="N29" s="72">
        <f t="shared" si="260"/>
        <v>0</v>
      </c>
      <c r="O29" s="70">
        <f t="shared" si="384"/>
        <v>0</v>
      </c>
      <c r="P29" s="73">
        <v>0</v>
      </c>
      <c r="Q29" s="74">
        <f t="shared" si="261"/>
        <v>0</v>
      </c>
      <c r="R29" s="303">
        <f t="shared" si="262"/>
        <v>0</v>
      </c>
      <c r="S29" s="58">
        <v>0</v>
      </c>
      <c r="T29" s="68"/>
      <c r="U29" s="28">
        <f t="shared" si="263"/>
        <v>0</v>
      </c>
      <c r="V29" s="28">
        <v>0</v>
      </c>
      <c r="W29" s="28">
        <f t="shared" si="264"/>
        <v>0</v>
      </c>
      <c r="X29" s="28">
        <f t="shared" si="265"/>
        <v>0</v>
      </c>
      <c r="Y29" s="28">
        <f t="shared" si="266"/>
        <v>0</v>
      </c>
      <c r="Z29" s="28">
        <f t="shared" si="267"/>
        <v>0</v>
      </c>
      <c r="AA29" s="70">
        <f t="shared" si="268"/>
        <v>0</v>
      </c>
      <c r="AB29" s="70">
        <f t="shared" si="269"/>
        <v>0</v>
      </c>
      <c r="AC29" s="71">
        <v>0</v>
      </c>
      <c r="AD29" s="71">
        <v>0</v>
      </c>
      <c r="AE29" s="72">
        <f t="shared" si="270"/>
        <v>0</v>
      </c>
      <c r="AF29" s="72">
        <f t="shared" si="271"/>
        <v>0</v>
      </c>
      <c r="AG29" s="70">
        <f t="shared" si="385"/>
        <v>0</v>
      </c>
      <c r="AH29" s="73">
        <v>0</v>
      </c>
      <c r="AI29" s="74">
        <f t="shared" si="272"/>
        <v>0</v>
      </c>
      <c r="AJ29" s="303">
        <f t="shared" si="273"/>
        <v>0</v>
      </c>
      <c r="AK29" s="58">
        <v>0</v>
      </c>
      <c r="AL29" s="68"/>
      <c r="AM29" s="28">
        <f t="shared" si="274"/>
        <v>0</v>
      </c>
      <c r="AN29" s="28">
        <v>0</v>
      </c>
      <c r="AO29" s="28">
        <f t="shared" si="275"/>
        <v>0</v>
      </c>
      <c r="AP29" s="28">
        <f t="shared" si="276"/>
        <v>0</v>
      </c>
      <c r="AQ29" s="28">
        <f t="shared" si="277"/>
        <v>0</v>
      </c>
      <c r="AR29" s="28">
        <f t="shared" si="278"/>
        <v>0</v>
      </c>
      <c r="AS29" s="70">
        <f t="shared" si="279"/>
        <v>0</v>
      </c>
      <c r="AT29" s="70">
        <f t="shared" si="280"/>
        <v>0</v>
      </c>
      <c r="AU29" s="71">
        <v>0</v>
      </c>
      <c r="AV29" s="71">
        <v>0</v>
      </c>
      <c r="AW29" s="72">
        <f t="shared" si="281"/>
        <v>0</v>
      </c>
      <c r="AX29" s="72">
        <f t="shared" si="282"/>
        <v>0</v>
      </c>
      <c r="AY29" s="70">
        <f t="shared" si="386"/>
        <v>0</v>
      </c>
      <c r="AZ29" s="73">
        <v>0</v>
      </c>
      <c r="BA29" s="74">
        <f t="shared" si="283"/>
        <v>0</v>
      </c>
      <c r="BB29" s="303">
        <f t="shared" si="284"/>
        <v>0</v>
      </c>
      <c r="BC29" s="58">
        <v>0</v>
      </c>
      <c r="BD29" s="68"/>
      <c r="BE29" s="28">
        <f t="shared" si="285"/>
        <v>0</v>
      </c>
      <c r="BF29" s="28">
        <v>0</v>
      </c>
      <c r="BG29" s="28">
        <f t="shared" si="286"/>
        <v>0</v>
      </c>
      <c r="BH29" s="28">
        <f t="shared" si="287"/>
        <v>0</v>
      </c>
      <c r="BI29" s="28">
        <f t="shared" si="288"/>
        <v>0</v>
      </c>
      <c r="BJ29" s="28">
        <f t="shared" si="289"/>
        <v>0</v>
      </c>
      <c r="BK29" s="70">
        <f t="shared" si="290"/>
        <v>0</v>
      </c>
      <c r="BL29" s="70">
        <f t="shared" si="291"/>
        <v>0</v>
      </c>
      <c r="BM29" s="71">
        <v>0</v>
      </c>
      <c r="BN29" s="71">
        <v>0</v>
      </c>
      <c r="BO29" s="72">
        <f t="shared" si="292"/>
        <v>0</v>
      </c>
      <c r="BP29" s="72">
        <f t="shared" si="293"/>
        <v>0</v>
      </c>
      <c r="BQ29" s="70">
        <f t="shared" si="387"/>
        <v>0</v>
      </c>
      <c r="BR29" s="73">
        <v>0</v>
      </c>
      <c r="BS29" s="74">
        <f t="shared" si="294"/>
        <v>0</v>
      </c>
      <c r="BT29" s="303">
        <f t="shared" si="295"/>
        <v>0</v>
      </c>
      <c r="BU29" s="58">
        <v>0</v>
      </c>
      <c r="BV29" s="68"/>
      <c r="BW29" s="28">
        <f t="shared" si="296"/>
        <v>0</v>
      </c>
      <c r="BX29" s="28">
        <v>0</v>
      </c>
      <c r="BY29" s="28">
        <f t="shared" si="297"/>
        <v>0</v>
      </c>
      <c r="BZ29" s="28">
        <f t="shared" si="298"/>
        <v>0</v>
      </c>
      <c r="CA29" s="28">
        <f t="shared" si="299"/>
        <v>0</v>
      </c>
      <c r="CB29" s="28">
        <f t="shared" si="300"/>
        <v>0</v>
      </c>
      <c r="CC29" s="70">
        <f t="shared" si="301"/>
        <v>0</v>
      </c>
      <c r="CD29" s="70">
        <f t="shared" si="302"/>
        <v>0</v>
      </c>
      <c r="CE29" s="71">
        <v>0</v>
      </c>
      <c r="CF29" s="71">
        <v>0</v>
      </c>
      <c r="CG29" s="72">
        <f t="shared" si="303"/>
        <v>0</v>
      </c>
      <c r="CH29" s="72">
        <f t="shared" si="304"/>
        <v>0</v>
      </c>
      <c r="CI29" s="70">
        <f t="shared" si="388"/>
        <v>0</v>
      </c>
      <c r="CJ29" s="73">
        <v>0</v>
      </c>
      <c r="CK29" s="74">
        <f t="shared" si="305"/>
        <v>0</v>
      </c>
      <c r="CL29" s="303">
        <f t="shared" si="306"/>
        <v>0</v>
      </c>
      <c r="CM29" s="58">
        <v>0</v>
      </c>
      <c r="CN29" s="68"/>
      <c r="CO29" s="28">
        <f t="shared" si="307"/>
        <v>0</v>
      </c>
      <c r="CP29" s="28">
        <v>0</v>
      </c>
      <c r="CQ29" s="28">
        <f t="shared" si="308"/>
        <v>0</v>
      </c>
      <c r="CR29" s="28">
        <f t="shared" si="309"/>
        <v>0</v>
      </c>
      <c r="CS29" s="28">
        <f t="shared" si="310"/>
        <v>0</v>
      </c>
      <c r="CT29" s="28">
        <f t="shared" si="311"/>
        <v>0</v>
      </c>
      <c r="CU29" s="70">
        <f t="shared" si="312"/>
        <v>0</v>
      </c>
      <c r="CV29" s="70">
        <f t="shared" si="313"/>
        <v>0</v>
      </c>
      <c r="CW29" s="71">
        <v>0</v>
      </c>
      <c r="CX29" s="71">
        <v>0</v>
      </c>
      <c r="CY29" s="72">
        <f t="shared" si="314"/>
        <v>0</v>
      </c>
      <c r="CZ29" s="72">
        <f t="shared" si="315"/>
        <v>0</v>
      </c>
      <c r="DA29" s="70">
        <f t="shared" si="389"/>
        <v>0</v>
      </c>
      <c r="DB29" s="73">
        <v>0</v>
      </c>
      <c r="DC29" s="74">
        <f t="shared" si="316"/>
        <v>0</v>
      </c>
      <c r="DD29" s="303">
        <f t="shared" si="317"/>
        <v>0</v>
      </c>
      <c r="DE29" s="58">
        <v>0</v>
      </c>
      <c r="DF29" s="68"/>
      <c r="DG29" s="28">
        <f t="shared" si="318"/>
        <v>0</v>
      </c>
      <c r="DH29" s="28">
        <v>0</v>
      </c>
      <c r="DI29" s="28">
        <f t="shared" si="319"/>
        <v>0</v>
      </c>
      <c r="DJ29" s="28">
        <f t="shared" si="320"/>
        <v>0</v>
      </c>
      <c r="DK29" s="28">
        <f t="shared" si="321"/>
        <v>0</v>
      </c>
      <c r="DL29" s="28">
        <f t="shared" si="322"/>
        <v>0</v>
      </c>
      <c r="DM29" s="70">
        <f t="shared" si="323"/>
        <v>0</v>
      </c>
      <c r="DN29" s="70">
        <f t="shared" si="324"/>
        <v>0</v>
      </c>
      <c r="DO29" s="71">
        <v>0</v>
      </c>
      <c r="DP29" s="71">
        <v>0</v>
      </c>
      <c r="DQ29" s="72">
        <f t="shared" si="325"/>
        <v>0</v>
      </c>
      <c r="DR29" s="72">
        <f t="shared" si="326"/>
        <v>0</v>
      </c>
      <c r="DS29" s="70">
        <f t="shared" si="390"/>
        <v>0</v>
      </c>
      <c r="DT29" s="73">
        <v>0</v>
      </c>
      <c r="DU29" s="74">
        <f t="shared" si="327"/>
        <v>0</v>
      </c>
      <c r="DV29" s="303">
        <f t="shared" si="328"/>
        <v>0</v>
      </c>
      <c r="DW29" s="58">
        <v>0</v>
      </c>
      <c r="DX29" s="68"/>
      <c r="DY29" s="28">
        <f t="shared" si="329"/>
        <v>0</v>
      </c>
      <c r="DZ29" s="28">
        <v>0</v>
      </c>
      <c r="EA29" s="28">
        <f t="shared" si="330"/>
        <v>0</v>
      </c>
      <c r="EB29" s="28">
        <f t="shared" si="331"/>
        <v>0</v>
      </c>
      <c r="EC29" s="28">
        <f t="shared" si="332"/>
        <v>0</v>
      </c>
      <c r="ED29" s="28">
        <f t="shared" si="333"/>
        <v>0</v>
      </c>
      <c r="EE29" s="70">
        <f t="shared" si="334"/>
        <v>0</v>
      </c>
      <c r="EF29" s="70">
        <f t="shared" si="335"/>
        <v>0</v>
      </c>
      <c r="EG29" s="71">
        <v>0</v>
      </c>
      <c r="EH29" s="71">
        <v>0</v>
      </c>
      <c r="EI29" s="72">
        <f t="shared" si="336"/>
        <v>0</v>
      </c>
      <c r="EJ29" s="72">
        <f t="shared" si="337"/>
        <v>0</v>
      </c>
      <c r="EK29" s="70">
        <f t="shared" si="391"/>
        <v>0</v>
      </c>
      <c r="EL29" s="73">
        <v>0</v>
      </c>
      <c r="EM29" s="74">
        <f t="shared" si="338"/>
        <v>0</v>
      </c>
      <c r="EN29" s="303">
        <f t="shared" si="339"/>
        <v>0</v>
      </c>
      <c r="EO29" s="58">
        <v>0</v>
      </c>
      <c r="EP29" s="68"/>
      <c r="EQ29" s="28">
        <f t="shared" si="340"/>
        <v>0</v>
      </c>
      <c r="ER29" s="28">
        <v>0</v>
      </c>
      <c r="ES29" s="28">
        <f t="shared" si="341"/>
        <v>0</v>
      </c>
      <c r="ET29" s="28">
        <f t="shared" si="342"/>
        <v>0</v>
      </c>
      <c r="EU29" s="28">
        <f t="shared" si="343"/>
        <v>0</v>
      </c>
      <c r="EV29" s="28">
        <f t="shared" si="344"/>
        <v>0</v>
      </c>
      <c r="EW29" s="70">
        <f t="shared" si="345"/>
        <v>0</v>
      </c>
      <c r="EX29" s="70">
        <f t="shared" si="346"/>
        <v>0</v>
      </c>
      <c r="EY29" s="71">
        <v>0</v>
      </c>
      <c r="EZ29" s="71">
        <v>0</v>
      </c>
      <c r="FA29" s="72">
        <f t="shared" si="347"/>
        <v>0</v>
      </c>
      <c r="FB29" s="72">
        <f t="shared" si="348"/>
        <v>0</v>
      </c>
      <c r="FC29" s="70">
        <f t="shared" si="392"/>
        <v>0</v>
      </c>
      <c r="FD29" s="73">
        <v>0</v>
      </c>
      <c r="FE29" s="74">
        <f t="shared" si="349"/>
        <v>0</v>
      </c>
      <c r="FF29" s="303">
        <f t="shared" si="350"/>
        <v>0</v>
      </c>
      <c r="FG29" s="58">
        <v>0</v>
      </c>
      <c r="FH29" s="68"/>
      <c r="FI29" s="28">
        <f t="shared" si="351"/>
        <v>0</v>
      </c>
      <c r="FJ29" s="28">
        <v>0</v>
      </c>
      <c r="FK29" s="28">
        <f t="shared" si="352"/>
        <v>0</v>
      </c>
      <c r="FL29" s="28">
        <f t="shared" si="353"/>
        <v>0</v>
      </c>
      <c r="FM29" s="28">
        <f t="shared" si="354"/>
        <v>0</v>
      </c>
      <c r="FN29" s="28">
        <f t="shared" si="355"/>
        <v>0</v>
      </c>
      <c r="FO29" s="70">
        <f t="shared" si="356"/>
        <v>0</v>
      </c>
      <c r="FP29" s="70">
        <f t="shared" si="357"/>
        <v>0</v>
      </c>
      <c r="FQ29" s="71">
        <v>0</v>
      </c>
      <c r="FR29" s="71">
        <v>0</v>
      </c>
      <c r="FS29" s="72">
        <f t="shared" si="358"/>
        <v>0</v>
      </c>
      <c r="FT29" s="72">
        <f t="shared" si="359"/>
        <v>0</v>
      </c>
      <c r="FU29" s="70">
        <f t="shared" si="393"/>
        <v>0</v>
      </c>
      <c r="FV29" s="73">
        <v>0</v>
      </c>
      <c r="FW29" s="74">
        <f t="shared" si="360"/>
        <v>0</v>
      </c>
      <c r="FX29" s="303">
        <f t="shared" si="361"/>
        <v>0</v>
      </c>
      <c r="FY29" s="58">
        <v>0</v>
      </c>
      <c r="FZ29" s="68"/>
      <c r="GA29" s="28">
        <f t="shared" si="362"/>
        <v>0</v>
      </c>
      <c r="GB29" s="28">
        <v>0</v>
      </c>
      <c r="GC29" s="28">
        <f t="shared" si="363"/>
        <v>0</v>
      </c>
      <c r="GD29" s="28">
        <f t="shared" si="364"/>
        <v>0</v>
      </c>
      <c r="GE29" s="28">
        <f t="shared" si="365"/>
        <v>0</v>
      </c>
      <c r="GF29" s="28">
        <f t="shared" si="366"/>
        <v>0</v>
      </c>
      <c r="GG29" s="70">
        <f t="shared" si="367"/>
        <v>0</v>
      </c>
      <c r="GH29" s="70">
        <f t="shared" si="368"/>
        <v>0</v>
      </c>
      <c r="GI29" s="71">
        <v>0</v>
      </c>
      <c r="GJ29" s="71">
        <v>0</v>
      </c>
      <c r="GK29" s="72">
        <f t="shared" si="369"/>
        <v>0</v>
      </c>
      <c r="GL29" s="72">
        <f t="shared" si="370"/>
        <v>0</v>
      </c>
      <c r="GM29" s="70">
        <f t="shared" si="394"/>
        <v>0</v>
      </c>
      <c r="GN29" s="73">
        <v>0</v>
      </c>
      <c r="GO29" s="74">
        <f t="shared" si="371"/>
        <v>0</v>
      </c>
      <c r="GP29" s="303">
        <f t="shared" si="372"/>
        <v>0</v>
      </c>
      <c r="GQ29" s="58">
        <v>0</v>
      </c>
      <c r="GR29" s="68"/>
      <c r="GS29" s="28">
        <f t="shared" si="373"/>
        <v>0</v>
      </c>
      <c r="GT29" s="28">
        <v>0</v>
      </c>
      <c r="GU29" s="28">
        <f t="shared" si="374"/>
        <v>0</v>
      </c>
      <c r="GV29" s="28">
        <f t="shared" si="375"/>
        <v>0</v>
      </c>
      <c r="GW29" s="28">
        <f t="shared" si="376"/>
        <v>0</v>
      </c>
      <c r="GX29" s="28">
        <f t="shared" si="377"/>
        <v>0</v>
      </c>
      <c r="GY29" s="70">
        <f t="shared" si="378"/>
        <v>0</v>
      </c>
      <c r="GZ29" s="70">
        <f t="shared" si="379"/>
        <v>0</v>
      </c>
      <c r="HA29" s="71">
        <v>0</v>
      </c>
      <c r="HB29" s="71">
        <v>0</v>
      </c>
      <c r="HC29" s="72">
        <f t="shared" si="380"/>
        <v>0</v>
      </c>
      <c r="HD29" s="72">
        <f t="shared" si="381"/>
        <v>0</v>
      </c>
      <c r="HE29" s="70">
        <f t="shared" si="395"/>
        <v>0</v>
      </c>
      <c r="HF29" s="73">
        <v>0</v>
      </c>
      <c r="HG29" s="74">
        <f t="shared" si="382"/>
        <v>0</v>
      </c>
      <c r="HH29" s="303">
        <f t="shared" si="383"/>
        <v>0</v>
      </c>
      <c r="HJ29" s="37"/>
      <c r="HK29" s="37"/>
      <c r="HL29" s="37"/>
      <c r="HM29" s="37"/>
      <c r="HN29" s="37"/>
      <c r="HO29" s="37"/>
      <c r="HP29" s="37"/>
      <c r="HQ29" s="37"/>
      <c r="HR29" s="37"/>
      <c r="HS29" s="37"/>
      <c r="HT29" s="37"/>
      <c r="HU29" s="37"/>
      <c r="HV29" s="37"/>
      <c r="HW29" s="37"/>
      <c r="HX29" s="37"/>
      <c r="HY29" s="37"/>
      <c r="HZ29" s="37"/>
      <c r="IA29" s="37"/>
      <c r="IB29" s="37"/>
      <c r="IC29" s="37"/>
      <c r="ID29" s="37"/>
      <c r="IE29" s="37"/>
      <c r="IF29" s="37"/>
      <c r="IG29" s="37"/>
      <c r="IH29" s="37"/>
      <c r="II29" s="37"/>
      <c r="IJ29" s="37"/>
      <c r="IK29" s="37"/>
      <c r="IL29" s="37"/>
      <c r="IM29" s="37"/>
      <c r="IN29" s="37"/>
      <c r="IO29" s="37"/>
      <c r="IP29" s="37"/>
    </row>
    <row r="30" spans="1:250" x14ac:dyDescent="0.3">
      <c r="A30" s="58">
        <v>0</v>
      </c>
      <c r="B30" s="68"/>
      <c r="C30" s="28">
        <f t="shared" si="252"/>
        <v>0</v>
      </c>
      <c r="D30" s="28">
        <v>0</v>
      </c>
      <c r="E30" s="28">
        <f t="shared" si="253"/>
        <v>0</v>
      </c>
      <c r="F30" s="28">
        <f t="shared" si="254"/>
        <v>0</v>
      </c>
      <c r="G30" s="28">
        <f t="shared" si="255"/>
        <v>0</v>
      </c>
      <c r="H30" s="28">
        <f t="shared" si="256"/>
        <v>0</v>
      </c>
      <c r="I30" s="70">
        <f t="shared" si="257"/>
        <v>0</v>
      </c>
      <c r="J30" s="70">
        <f t="shared" si="258"/>
        <v>0</v>
      </c>
      <c r="K30" s="71">
        <v>0</v>
      </c>
      <c r="L30" s="71">
        <v>0</v>
      </c>
      <c r="M30" s="72">
        <f t="shared" si="259"/>
        <v>0</v>
      </c>
      <c r="N30" s="72">
        <f t="shared" si="260"/>
        <v>0</v>
      </c>
      <c r="O30" s="70">
        <f t="shared" si="384"/>
        <v>0</v>
      </c>
      <c r="P30" s="73">
        <v>0</v>
      </c>
      <c r="Q30" s="74">
        <f t="shared" si="261"/>
        <v>0</v>
      </c>
      <c r="R30" s="303">
        <f t="shared" si="262"/>
        <v>0</v>
      </c>
      <c r="S30" s="58">
        <v>0</v>
      </c>
      <c r="T30" s="68"/>
      <c r="U30" s="28">
        <f t="shared" si="263"/>
        <v>0</v>
      </c>
      <c r="V30" s="28">
        <v>0</v>
      </c>
      <c r="W30" s="28">
        <f t="shared" si="264"/>
        <v>0</v>
      </c>
      <c r="X30" s="28">
        <f t="shared" si="265"/>
        <v>0</v>
      </c>
      <c r="Y30" s="28">
        <f t="shared" si="266"/>
        <v>0</v>
      </c>
      <c r="Z30" s="28">
        <f t="shared" si="267"/>
        <v>0</v>
      </c>
      <c r="AA30" s="70">
        <f t="shared" si="268"/>
        <v>0</v>
      </c>
      <c r="AB30" s="70">
        <f t="shared" si="269"/>
        <v>0</v>
      </c>
      <c r="AC30" s="71">
        <v>0</v>
      </c>
      <c r="AD30" s="71">
        <v>0</v>
      </c>
      <c r="AE30" s="72">
        <f t="shared" si="270"/>
        <v>0</v>
      </c>
      <c r="AF30" s="72">
        <f t="shared" si="271"/>
        <v>0</v>
      </c>
      <c r="AG30" s="70">
        <f t="shared" si="385"/>
        <v>0</v>
      </c>
      <c r="AH30" s="73">
        <v>0</v>
      </c>
      <c r="AI30" s="74">
        <f t="shared" si="272"/>
        <v>0</v>
      </c>
      <c r="AJ30" s="303">
        <f t="shared" si="273"/>
        <v>0</v>
      </c>
      <c r="AK30" s="58">
        <v>0</v>
      </c>
      <c r="AL30" s="68"/>
      <c r="AM30" s="28">
        <f t="shared" si="274"/>
        <v>0</v>
      </c>
      <c r="AN30" s="28">
        <v>0</v>
      </c>
      <c r="AO30" s="28">
        <f t="shared" si="275"/>
        <v>0</v>
      </c>
      <c r="AP30" s="28">
        <f t="shared" si="276"/>
        <v>0</v>
      </c>
      <c r="AQ30" s="28">
        <f t="shared" si="277"/>
        <v>0</v>
      </c>
      <c r="AR30" s="28">
        <f t="shared" si="278"/>
        <v>0</v>
      </c>
      <c r="AS30" s="70">
        <f t="shared" si="279"/>
        <v>0</v>
      </c>
      <c r="AT30" s="70">
        <f t="shared" si="280"/>
        <v>0</v>
      </c>
      <c r="AU30" s="71">
        <v>0</v>
      </c>
      <c r="AV30" s="71">
        <v>0</v>
      </c>
      <c r="AW30" s="72">
        <f t="shared" si="281"/>
        <v>0</v>
      </c>
      <c r="AX30" s="72">
        <f t="shared" si="282"/>
        <v>0</v>
      </c>
      <c r="AY30" s="70">
        <f t="shared" si="386"/>
        <v>0</v>
      </c>
      <c r="AZ30" s="73">
        <v>0</v>
      </c>
      <c r="BA30" s="74">
        <f t="shared" si="283"/>
        <v>0</v>
      </c>
      <c r="BB30" s="303">
        <f t="shared" si="284"/>
        <v>0</v>
      </c>
      <c r="BC30" s="58">
        <v>0</v>
      </c>
      <c r="BD30" s="68"/>
      <c r="BE30" s="28">
        <f t="shared" si="285"/>
        <v>0</v>
      </c>
      <c r="BF30" s="28">
        <v>0</v>
      </c>
      <c r="BG30" s="28">
        <f t="shared" si="286"/>
        <v>0</v>
      </c>
      <c r="BH30" s="28">
        <f t="shared" si="287"/>
        <v>0</v>
      </c>
      <c r="BI30" s="28">
        <f t="shared" si="288"/>
        <v>0</v>
      </c>
      <c r="BJ30" s="28">
        <f t="shared" si="289"/>
        <v>0</v>
      </c>
      <c r="BK30" s="70">
        <f t="shared" si="290"/>
        <v>0</v>
      </c>
      <c r="BL30" s="70">
        <f t="shared" si="291"/>
        <v>0</v>
      </c>
      <c r="BM30" s="71">
        <v>0</v>
      </c>
      <c r="BN30" s="71">
        <v>0</v>
      </c>
      <c r="BO30" s="72">
        <f t="shared" si="292"/>
        <v>0</v>
      </c>
      <c r="BP30" s="72">
        <f t="shared" si="293"/>
        <v>0</v>
      </c>
      <c r="BQ30" s="70">
        <f t="shared" si="387"/>
        <v>0</v>
      </c>
      <c r="BR30" s="73">
        <v>0</v>
      </c>
      <c r="BS30" s="74">
        <f t="shared" si="294"/>
        <v>0</v>
      </c>
      <c r="BT30" s="303">
        <f t="shared" si="295"/>
        <v>0</v>
      </c>
      <c r="BU30" s="58">
        <v>0</v>
      </c>
      <c r="BV30" s="68"/>
      <c r="BW30" s="28">
        <f t="shared" si="296"/>
        <v>0</v>
      </c>
      <c r="BX30" s="28">
        <v>0</v>
      </c>
      <c r="BY30" s="28">
        <f t="shared" si="297"/>
        <v>0</v>
      </c>
      <c r="BZ30" s="28">
        <f t="shared" si="298"/>
        <v>0</v>
      </c>
      <c r="CA30" s="28">
        <f t="shared" si="299"/>
        <v>0</v>
      </c>
      <c r="CB30" s="28">
        <f t="shared" si="300"/>
        <v>0</v>
      </c>
      <c r="CC30" s="70">
        <f t="shared" si="301"/>
        <v>0</v>
      </c>
      <c r="CD30" s="70">
        <f t="shared" si="302"/>
        <v>0</v>
      </c>
      <c r="CE30" s="71">
        <v>0</v>
      </c>
      <c r="CF30" s="71">
        <v>0</v>
      </c>
      <c r="CG30" s="72">
        <f t="shared" si="303"/>
        <v>0</v>
      </c>
      <c r="CH30" s="72">
        <f t="shared" si="304"/>
        <v>0</v>
      </c>
      <c r="CI30" s="70">
        <f t="shared" si="388"/>
        <v>0</v>
      </c>
      <c r="CJ30" s="73">
        <v>0</v>
      </c>
      <c r="CK30" s="74">
        <f t="shared" si="305"/>
        <v>0</v>
      </c>
      <c r="CL30" s="303">
        <f t="shared" si="306"/>
        <v>0</v>
      </c>
      <c r="CM30" s="58">
        <v>0</v>
      </c>
      <c r="CN30" s="68"/>
      <c r="CO30" s="28">
        <f t="shared" si="307"/>
        <v>0</v>
      </c>
      <c r="CP30" s="28">
        <v>0</v>
      </c>
      <c r="CQ30" s="28">
        <f t="shared" si="308"/>
        <v>0</v>
      </c>
      <c r="CR30" s="28">
        <f t="shared" si="309"/>
        <v>0</v>
      </c>
      <c r="CS30" s="28">
        <f t="shared" si="310"/>
        <v>0</v>
      </c>
      <c r="CT30" s="28">
        <f t="shared" si="311"/>
        <v>0</v>
      </c>
      <c r="CU30" s="70">
        <f t="shared" si="312"/>
        <v>0</v>
      </c>
      <c r="CV30" s="70">
        <f t="shared" si="313"/>
        <v>0</v>
      </c>
      <c r="CW30" s="71">
        <v>0</v>
      </c>
      <c r="CX30" s="71">
        <v>0</v>
      </c>
      <c r="CY30" s="72">
        <f t="shared" si="314"/>
        <v>0</v>
      </c>
      <c r="CZ30" s="72">
        <f t="shared" si="315"/>
        <v>0</v>
      </c>
      <c r="DA30" s="70">
        <f t="shared" si="389"/>
        <v>0</v>
      </c>
      <c r="DB30" s="73">
        <v>0</v>
      </c>
      <c r="DC30" s="74">
        <f t="shared" si="316"/>
        <v>0</v>
      </c>
      <c r="DD30" s="303">
        <f t="shared" si="317"/>
        <v>0</v>
      </c>
      <c r="DE30" s="58">
        <v>0</v>
      </c>
      <c r="DF30" s="68"/>
      <c r="DG30" s="28">
        <f t="shared" si="318"/>
        <v>0</v>
      </c>
      <c r="DH30" s="28">
        <v>0</v>
      </c>
      <c r="DI30" s="28">
        <f t="shared" si="319"/>
        <v>0</v>
      </c>
      <c r="DJ30" s="28">
        <f t="shared" si="320"/>
        <v>0</v>
      </c>
      <c r="DK30" s="28">
        <f t="shared" si="321"/>
        <v>0</v>
      </c>
      <c r="DL30" s="28">
        <f t="shared" si="322"/>
        <v>0</v>
      </c>
      <c r="DM30" s="70">
        <f t="shared" si="323"/>
        <v>0</v>
      </c>
      <c r="DN30" s="70">
        <f t="shared" si="324"/>
        <v>0</v>
      </c>
      <c r="DO30" s="71">
        <v>0</v>
      </c>
      <c r="DP30" s="71">
        <v>0</v>
      </c>
      <c r="DQ30" s="72">
        <f t="shared" si="325"/>
        <v>0</v>
      </c>
      <c r="DR30" s="72">
        <f t="shared" si="326"/>
        <v>0</v>
      </c>
      <c r="DS30" s="70">
        <f t="shared" si="390"/>
        <v>0</v>
      </c>
      <c r="DT30" s="73">
        <v>0</v>
      </c>
      <c r="DU30" s="74">
        <f t="shared" si="327"/>
        <v>0</v>
      </c>
      <c r="DV30" s="303">
        <f t="shared" si="328"/>
        <v>0</v>
      </c>
      <c r="DW30" s="58">
        <v>0</v>
      </c>
      <c r="DX30" s="68"/>
      <c r="DY30" s="28">
        <f t="shared" si="329"/>
        <v>0</v>
      </c>
      <c r="DZ30" s="28">
        <v>0</v>
      </c>
      <c r="EA30" s="28">
        <f t="shared" si="330"/>
        <v>0</v>
      </c>
      <c r="EB30" s="28">
        <f t="shared" si="331"/>
        <v>0</v>
      </c>
      <c r="EC30" s="28">
        <f t="shared" si="332"/>
        <v>0</v>
      </c>
      <c r="ED30" s="28">
        <f t="shared" si="333"/>
        <v>0</v>
      </c>
      <c r="EE30" s="70">
        <f t="shared" si="334"/>
        <v>0</v>
      </c>
      <c r="EF30" s="70">
        <f t="shared" si="335"/>
        <v>0</v>
      </c>
      <c r="EG30" s="71">
        <v>0</v>
      </c>
      <c r="EH30" s="71">
        <v>0</v>
      </c>
      <c r="EI30" s="72">
        <f t="shared" si="336"/>
        <v>0</v>
      </c>
      <c r="EJ30" s="72">
        <f t="shared" si="337"/>
        <v>0</v>
      </c>
      <c r="EK30" s="70">
        <f t="shared" si="391"/>
        <v>0</v>
      </c>
      <c r="EL30" s="73">
        <v>0</v>
      </c>
      <c r="EM30" s="74">
        <f t="shared" si="338"/>
        <v>0</v>
      </c>
      <c r="EN30" s="303">
        <f t="shared" si="339"/>
        <v>0</v>
      </c>
      <c r="EO30" s="58">
        <v>0</v>
      </c>
      <c r="EP30" s="68"/>
      <c r="EQ30" s="28">
        <f t="shared" si="340"/>
        <v>0</v>
      </c>
      <c r="ER30" s="28">
        <v>0</v>
      </c>
      <c r="ES30" s="28">
        <f t="shared" si="341"/>
        <v>0</v>
      </c>
      <c r="ET30" s="28">
        <f t="shared" si="342"/>
        <v>0</v>
      </c>
      <c r="EU30" s="28">
        <f t="shared" si="343"/>
        <v>0</v>
      </c>
      <c r="EV30" s="28">
        <f t="shared" si="344"/>
        <v>0</v>
      </c>
      <c r="EW30" s="70">
        <f t="shared" si="345"/>
        <v>0</v>
      </c>
      <c r="EX30" s="70">
        <f t="shared" si="346"/>
        <v>0</v>
      </c>
      <c r="EY30" s="71">
        <v>0</v>
      </c>
      <c r="EZ30" s="71">
        <v>0</v>
      </c>
      <c r="FA30" s="72">
        <f t="shared" si="347"/>
        <v>0</v>
      </c>
      <c r="FB30" s="72">
        <f t="shared" si="348"/>
        <v>0</v>
      </c>
      <c r="FC30" s="70">
        <f t="shared" si="392"/>
        <v>0</v>
      </c>
      <c r="FD30" s="73">
        <v>0</v>
      </c>
      <c r="FE30" s="74">
        <f t="shared" si="349"/>
        <v>0</v>
      </c>
      <c r="FF30" s="303">
        <f t="shared" si="350"/>
        <v>0</v>
      </c>
      <c r="FG30" s="58">
        <v>0</v>
      </c>
      <c r="FH30" s="68"/>
      <c r="FI30" s="28">
        <f t="shared" si="351"/>
        <v>0</v>
      </c>
      <c r="FJ30" s="28">
        <v>0</v>
      </c>
      <c r="FK30" s="28">
        <f t="shared" si="352"/>
        <v>0</v>
      </c>
      <c r="FL30" s="28">
        <f t="shared" si="353"/>
        <v>0</v>
      </c>
      <c r="FM30" s="28">
        <f t="shared" si="354"/>
        <v>0</v>
      </c>
      <c r="FN30" s="28">
        <f t="shared" si="355"/>
        <v>0</v>
      </c>
      <c r="FO30" s="70">
        <f t="shared" si="356"/>
        <v>0</v>
      </c>
      <c r="FP30" s="70">
        <f t="shared" si="357"/>
        <v>0</v>
      </c>
      <c r="FQ30" s="71">
        <v>0</v>
      </c>
      <c r="FR30" s="71">
        <v>0</v>
      </c>
      <c r="FS30" s="72">
        <f t="shared" si="358"/>
        <v>0</v>
      </c>
      <c r="FT30" s="72">
        <f t="shared" si="359"/>
        <v>0</v>
      </c>
      <c r="FU30" s="70">
        <f t="shared" si="393"/>
        <v>0</v>
      </c>
      <c r="FV30" s="73">
        <v>0</v>
      </c>
      <c r="FW30" s="74">
        <f t="shared" si="360"/>
        <v>0</v>
      </c>
      <c r="FX30" s="303">
        <f t="shared" si="361"/>
        <v>0</v>
      </c>
      <c r="FY30" s="58">
        <v>0</v>
      </c>
      <c r="FZ30" s="68"/>
      <c r="GA30" s="28">
        <f t="shared" si="362"/>
        <v>0</v>
      </c>
      <c r="GB30" s="28">
        <v>0</v>
      </c>
      <c r="GC30" s="28">
        <f t="shared" si="363"/>
        <v>0</v>
      </c>
      <c r="GD30" s="28">
        <f t="shared" si="364"/>
        <v>0</v>
      </c>
      <c r="GE30" s="28">
        <f t="shared" si="365"/>
        <v>0</v>
      </c>
      <c r="GF30" s="28">
        <f t="shared" si="366"/>
        <v>0</v>
      </c>
      <c r="GG30" s="70">
        <f t="shared" si="367"/>
        <v>0</v>
      </c>
      <c r="GH30" s="70">
        <f t="shared" si="368"/>
        <v>0</v>
      </c>
      <c r="GI30" s="71">
        <v>0</v>
      </c>
      <c r="GJ30" s="71">
        <v>0</v>
      </c>
      <c r="GK30" s="72">
        <f t="shared" si="369"/>
        <v>0</v>
      </c>
      <c r="GL30" s="72">
        <f t="shared" si="370"/>
        <v>0</v>
      </c>
      <c r="GM30" s="70">
        <f t="shared" si="394"/>
        <v>0</v>
      </c>
      <c r="GN30" s="73">
        <v>0</v>
      </c>
      <c r="GO30" s="74">
        <f t="shared" si="371"/>
        <v>0</v>
      </c>
      <c r="GP30" s="303">
        <f t="shared" si="372"/>
        <v>0</v>
      </c>
      <c r="GQ30" s="58">
        <v>0</v>
      </c>
      <c r="GR30" s="68"/>
      <c r="GS30" s="28">
        <f t="shared" si="373"/>
        <v>0</v>
      </c>
      <c r="GT30" s="28">
        <v>0</v>
      </c>
      <c r="GU30" s="28">
        <f t="shared" si="374"/>
        <v>0</v>
      </c>
      <c r="GV30" s="28">
        <f t="shared" si="375"/>
        <v>0</v>
      </c>
      <c r="GW30" s="28">
        <f t="shared" si="376"/>
        <v>0</v>
      </c>
      <c r="GX30" s="28">
        <f t="shared" si="377"/>
        <v>0</v>
      </c>
      <c r="GY30" s="70">
        <f t="shared" si="378"/>
        <v>0</v>
      </c>
      <c r="GZ30" s="70">
        <f t="shared" si="379"/>
        <v>0</v>
      </c>
      <c r="HA30" s="71">
        <v>0</v>
      </c>
      <c r="HB30" s="71">
        <v>0</v>
      </c>
      <c r="HC30" s="72">
        <f t="shared" si="380"/>
        <v>0</v>
      </c>
      <c r="HD30" s="72">
        <f t="shared" si="381"/>
        <v>0</v>
      </c>
      <c r="HE30" s="70">
        <f t="shared" si="395"/>
        <v>0</v>
      </c>
      <c r="HF30" s="73">
        <v>0</v>
      </c>
      <c r="HG30" s="74">
        <f t="shared" si="382"/>
        <v>0</v>
      </c>
      <c r="HH30" s="303">
        <f t="shared" si="383"/>
        <v>0</v>
      </c>
      <c r="HJ30" s="37"/>
      <c r="HK30" s="37"/>
      <c r="HL30" s="37"/>
      <c r="HM30" s="37"/>
      <c r="HN30" s="37"/>
      <c r="HO30" s="37"/>
      <c r="HP30" s="37"/>
      <c r="HQ30" s="37"/>
      <c r="HR30" s="37"/>
      <c r="HS30" s="37"/>
      <c r="HT30" s="37"/>
      <c r="HU30" s="37"/>
      <c r="HV30" s="37"/>
      <c r="HW30" s="37"/>
      <c r="HX30" s="37"/>
      <c r="HY30" s="37"/>
      <c r="HZ30" s="37"/>
      <c r="IA30" s="37"/>
      <c r="IB30" s="37"/>
      <c r="IC30" s="37"/>
      <c r="ID30" s="37"/>
      <c r="IE30" s="37"/>
      <c r="IF30" s="37"/>
      <c r="IG30" s="37"/>
      <c r="IH30" s="37"/>
      <c r="II30" s="37"/>
      <c r="IJ30" s="37"/>
      <c r="IK30" s="37"/>
      <c r="IL30" s="37"/>
      <c r="IM30" s="37"/>
      <c r="IN30" s="37"/>
      <c r="IO30" s="37"/>
      <c r="IP30" s="37"/>
    </row>
    <row r="31" spans="1:250" x14ac:dyDescent="0.3">
      <c r="A31" s="58">
        <v>0</v>
      </c>
      <c r="B31" s="68"/>
      <c r="C31" s="28">
        <f t="shared" si="252"/>
        <v>0</v>
      </c>
      <c r="D31" s="28">
        <v>0</v>
      </c>
      <c r="E31" s="28">
        <f t="shared" si="253"/>
        <v>0</v>
      </c>
      <c r="F31" s="28">
        <f t="shared" si="254"/>
        <v>0</v>
      </c>
      <c r="G31" s="28">
        <f t="shared" si="255"/>
        <v>0</v>
      </c>
      <c r="H31" s="28">
        <f t="shared" si="256"/>
        <v>0</v>
      </c>
      <c r="I31" s="70">
        <f t="shared" si="257"/>
        <v>0</v>
      </c>
      <c r="J31" s="70">
        <f t="shared" si="258"/>
        <v>0</v>
      </c>
      <c r="K31" s="71">
        <v>0</v>
      </c>
      <c r="L31" s="71">
        <v>0</v>
      </c>
      <c r="M31" s="72">
        <f t="shared" si="259"/>
        <v>0</v>
      </c>
      <c r="N31" s="72">
        <f t="shared" si="260"/>
        <v>0</v>
      </c>
      <c r="O31" s="70">
        <f t="shared" si="384"/>
        <v>0</v>
      </c>
      <c r="P31" s="73">
        <v>0</v>
      </c>
      <c r="Q31" s="74">
        <f t="shared" si="261"/>
        <v>0</v>
      </c>
      <c r="R31" s="303">
        <f t="shared" si="262"/>
        <v>0</v>
      </c>
      <c r="S31" s="58">
        <v>0</v>
      </c>
      <c r="T31" s="68"/>
      <c r="U31" s="28">
        <f t="shared" si="263"/>
        <v>0</v>
      </c>
      <c r="V31" s="28">
        <v>0</v>
      </c>
      <c r="W31" s="28">
        <f t="shared" si="264"/>
        <v>0</v>
      </c>
      <c r="X31" s="28">
        <f t="shared" si="265"/>
        <v>0</v>
      </c>
      <c r="Y31" s="28">
        <f t="shared" si="266"/>
        <v>0</v>
      </c>
      <c r="Z31" s="28">
        <f t="shared" si="267"/>
        <v>0</v>
      </c>
      <c r="AA31" s="70">
        <f t="shared" si="268"/>
        <v>0</v>
      </c>
      <c r="AB31" s="70">
        <f t="shared" si="269"/>
        <v>0</v>
      </c>
      <c r="AC31" s="71">
        <v>0</v>
      </c>
      <c r="AD31" s="71">
        <v>0</v>
      </c>
      <c r="AE31" s="72">
        <f t="shared" si="270"/>
        <v>0</v>
      </c>
      <c r="AF31" s="72">
        <f t="shared" si="271"/>
        <v>0</v>
      </c>
      <c r="AG31" s="70">
        <f t="shared" si="385"/>
        <v>0</v>
      </c>
      <c r="AH31" s="73">
        <v>0</v>
      </c>
      <c r="AI31" s="74">
        <f t="shared" si="272"/>
        <v>0</v>
      </c>
      <c r="AJ31" s="303">
        <f t="shared" si="273"/>
        <v>0</v>
      </c>
      <c r="AK31" s="58">
        <v>0</v>
      </c>
      <c r="AL31" s="68"/>
      <c r="AM31" s="28">
        <f t="shared" si="274"/>
        <v>0</v>
      </c>
      <c r="AN31" s="28">
        <v>0</v>
      </c>
      <c r="AO31" s="28">
        <f t="shared" si="275"/>
        <v>0</v>
      </c>
      <c r="AP31" s="28">
        <f t="shared" si="276"/>
        <v>0</v>
      </c>
      <c r="AQ31" s="28">
        <f t="shared" si="277"/>
        <v>0</v>
      </c>
      <c r="AR31" s="28">
        <f t="shared" si="278"/>
        <v>0</v>
      </c>
      <c r="AS31" s="70">
        <f t="shared" si="279"/>
        <v>0</v>
      </c>
      <c r="AT31" s="70">
        <f t="shared" si="280"/>
        <v>0</v>
      </c>
      <c r="AU31" s="71">
        <v>0</v>
      </c>
      <c r="AV31" s="71">
        <v>0</v>
      </c>
      <c r="AW31" s="72">
        <f t="shared" si="281"/>
        <v>0</v>
      </c>
      <c r="AX31" s="72">
        <f t="shared" si="282"/>
        <v>0</v>
      </c>
      <c r="AY31" s="70">
        <f t="shared" si="386"/>
        <v>0</v>
      </c>
      <c r="AZ31" s="73">
        <v>0</v>
      </c>
      <c r="BA31" s="74">
        <f t="shared" si="283"/>
        <v>0</v>
      </c>
      <c r="BB31" s="303">
        <f t="shared" si="284"/>
        <v>0</v>
      </c>
      <c r="BC31" s="58">
        <v>0</v>
      </c>
      <c r="BD31" s="68"/>
      <c r="BE31" s="28">
        <f t="shared" si="285"/>
        <v>0</v>
      </c>
      <c r="BF31" s="28">
        <v>0</v>
      </c>
      <c r="BG31" s="28">
        <f t="shared" si="286"/>
        <v>0</v>
      </c>
      <c r="BH31" s="28">
        <f t="shared" si="287"/>
        <v>0</v>
      </c>
      <c r="BI31" s="28">
        <f t="shared" si="288"/>
        <v>0</v>
      </c>
      <c r="BJ31" s="28">
        <f t="shared" si="289"/>
        <v>0</v>
      </c>
      <c r="BK31" s="70">
        <f t="shared" si="290"/>
        <v>0</v>
      </c>
      <c r="BL31" s="70">
        <f t="shared" si="291"/>
        <v>0</v>
      </c>
      <c r="BM31" s="71">
        <v>0</v>
      </c>
      <c r="BN31" s="71">
        <v>0</v>
      </c>
      <c r="BO31" s="72">
        <f t="shared" si="292"/>
        <v>0</v>
      </c>
      <c r="BP31" s="72">
        <f t="shared" si="293"/>
        <v>0</v>
      </c>
      <c r="BQ31" s="70">
        <f t="shared" si="387"/>
        <v>0</v>
      </c>
      <c r="BR31" s="73">
        <v>0</v>
      </c>
      <c r="BS31" s="74">
        <f t="shared" si="294"/>
        <v>0</v>
      </c>
      <c r="BT31" s="303">
        <f t="shared" si="295"/>
        <v>0</v>
      </c>
      <c r="BU31" s="58">
        <v>0</v>
      </c>
      <c r="BV31" s="68"/>
      <c r="BW31" s="28">
        <f t="shared" si="296"/>
        <v>0</v>
      </c>
      <c r="BX31" s="28">
        <v>0</v>
      </c>
      <c r="BY31" s="28">
        <f t="shared" si="297"/>
        <v>0</v>
      </c>
      <c r="BZ31" s="28">
        <f t="shared" si="298"/>
        <v>0</v>
      </c>
      <c r="CA31" s="28">
        <f t="shared" si="299"/>
        <v>0</v>
      </c>
      <c r="CB31" s="28">
        <f t="shared" si="300"/>
        <v>0</v>
      </c>
      <c r="CC31" s="70">
        <f t="shared" si="301"/>
        <v>0</v>
      </c>
      <c r="CD31" s="70">
        <f t="shared" si="302"/>
        <v>0</v>
      </c>
      <c r="CE31" s="71">
        <v>0</v>
      </c>
      <c r="CF31" s="71">
        <v>0</v>
      </c>
      <c r="CG31" s="72">
        <f t="shared" si="303"/>
        <v>0</v>
      </c>
      <c r="CH31" s="72">
        <f t="shared" si="304"/>
        <v>0</v>
      </c>
      <c r="CI31" s="70">
        <f t="shared" si="388"/>
        <v>0</v>
      </c>
      <c r="CJ31" s="73">
        <v>0</v>
      </c>
      <c r="CK31" s="74">
        <f t="shared" si="305"/>
        <v>0</v>
      </c>
      <c r="CL31" s="303">
        <f t="shared" si="306"/>
        <v>0</v>
      </c>
      <c r="CM31" s="58">
        <v>0</v>
      </c>
      <c r="CN31" s="68"/>
      <c r="CO31" s="28">
        <f t="shared" si="307"/>
        <v>0</v>
      </c>
      <c r="CP31" s="28">
        <v>0</v>
      </c>
      <c r="CQ31" s="28">
        <f t="shared" si="308"/>
        <v>0</v>
      </c>
      <c r="CR31" s="28">
        <f t="shared" si="309"/>
        <v>0</v>
      </c>
      <c r="CS31" s="28">
        <f t="shared" si="310"/>
        <v>0</v>
      </c>
      <c r="CT31" s="28">
        <f t="shared" si="311"/>
        <v>0</v>
      </c>
      <c r="CU31" s="70">
        <f t="shared" si="312"/>
        <v>0</v>
      </c>
      <c r="CV31" s="70">
        <f t="shared" si="313"/>
        <v>0</v>
      </c>
      <c r="CW31" s="71">
        <v>0</v>
      </c>
      <c r="CX31" s="71">
        <v>0</v>
      </c>
      <c r="CY31" s="72">
        <f t="shared" si="314"/>
        <v>0</v>
      </c>
      <c r="CZ31" s="72">
        <f t="shared" si="315"/>
        <v>0</v>
      </c>
      <c r="DA31" s="70">
        <f t="shared" si="389"/>
        <v>0</v>
      </c>
      <c r="DB31" s="73">
        <v>0</v>
      </c>
      <c r="DC31" s="74">
        <f t="shared" si="316"/>
        <v>0</v>
      </c>
      <c r="DD31" s="303">
        <f t="shared" si="317"/>
        <v>0</v>
      </c>
      <c r="DE31" s="58">
        <v>0</v>
      </c>
      <c r="DF31" s="68"/>
      <c r="DG31" s="28">
        <f t="shared" si="318"/>
        <v>0</v>
      </c>
      <c r="DH31" s="28">
        <v>0</v>
      </c>
      <c r="DI31" s="28">
        <f t="shared" si="319"/>
        <v>0</v>
      </c>
      <c r="DJ31" s="28">
        <f t="shared" si="320"/>
        <v>0</v>
      </c>
      <c r="DK31" s="28">
        <f t="shared" si="321"/>
        <v>0</v>
      </c>
      <c r="DL31" s="28">
        <f t="shared" si="322"/>
        <v>0</v>
      </c>
      <c r="DM31" s="70">
        <f t="shared" si="323"/>
        <v>0</v>
      </c>
      <c r="DN31" s="70">
        <f t="shared" si="324"/>
        <v>0</v>
      </c>
      <c r="DO31" s="71">
        <v>0</v>
      </c>
      <c r="DP31" s="71">
        <v>0</v>
      </c>
      <c r="DQ31" s="72">
        <f t="shared" si="325"/>
        <v>0</v>
      </c>
      <c r="DR31" s="72">
        <f t="shared" si="326"/>
        <v>0</v>
      </c>
      <c r="DS31" s="70">
        <f t="shared" si="390"/>
        <v>0</v>
      </c>
      <c r="DT31" s="73">
        <v>0</v>
      </c>
      <c r="DU31" s="74">
        <f t="shared" si="327"/>
        <v>0</v>
      </c>
      <c r="DV31" s="303">
        <f t="shared" si="328"/>
        <v>0</v>
      </c>
      <c r="DW31" s="58">
        <v>0</v>
      </c>
      <c r="DX31" s="68"/>
      <c r="DY31" s="28">
        <f t="shared" si="329"/>
        <v>0</v>
      </c>
      <c r="DZ31" s="28">
        <v>0</v>
      </c>
      <c r="EA31" s="28">
        <f t="shared" si="330"/>
        <v>0</v>
      </c>
      <c r="EB31" s="28">
        <f t="shared" si="331"/>
        <v>0</v>
      </c>
      <c r="EC31" s="28">
        <f t="shared" si="332"/>
        <v>0</v>
      </c>
      <c r="ED31" s="28">
        <f t="shared" si="333"/>
        <v>0</v>
      </c>
      <c r="EE31" s="70">
        <f t="shared" si="334"/>
        <v>0</v>
      </c>
      <c r="EF31" s="70">
        <f t="shared" si="335"/>
        <v>0</v>
      </c>
      <c r="EG31" s="71">
        <v>0</v>
      </c>
      <c r="EH31" s="71">
        <v>0</v>
      </c>
      <c r="EI31" s="72">
        <f t="shared" si="336"/>
        <v>0</v>
      </c>
      <c r="EJ31" s="72">
        <f t="shared" si="337"/>
        <v>0</v>
      </c>
      <c r="EK31" s="70">
        <f t="shared" si="391"/>
        <v>0</v>
      </c>
      <c r="EL31" s="73">
        <v>0</v>
      </c>
      <c r="EM31" s="74">
        <f t="shared" si="338"/>
        <v>0</v>
      </c>
      <c r="EN31" s="303">
        <f t="shared" si="339"/>
        <v>0</v>
      </c>
      <c r="EO31" s="58">
        <v>0</v>
      </c>
      <c r="EP31" s="68"/>
      <c r="EQ31" s="28">
        <f t="shared" si="340"/>
        <v>0</v>
      </c>
      <c r="ER31" s="28">
        <v>0</v>
      </c>
      <c r="ES31" s="28">
        <f t="shared" si="341"/>
        <v>0</v>
      </c>
      <c r="ET31" s="28">
        <f t="shared" si="342"/>
        <v>0</v>
      </c>
      <c r="EU31" s="28">
        <f t="shared" si="343"/>
        <v>0</v>
      </c>
      <c r="EV31" s="28">
        <f t="shared" si="344"/>
        <v>0</v>
      </c>
      <c r="EW31" s="70">
        <f t="shared" si="345"/>
        <v>0</v>
      </c>
      <c r="EX31" s="70">
        <f t="shared" si="346"/>
        <v>0</v>
      </c>
      <c r="EY31" s="71">
        <v>0</v>
      </c>
      <c r="EZ31" s="71">
        <v>0</v>
      </c>
      <c r="FA31" s="72">
        <f t="shared" si="347"/>
        <v>0</v>
      </c>
      <c r="FB31" s="72">
        <f t="shared" si="348"/>
        <v>0</v>
      </c>
      <c r="FC31" s="70">
        <f t="shared" si="392"/>
        <v>0</v>
      </c>
      <c r="FD31" s="73">
        <v>0</v>
      </c>
      <c r="FE31" s="74">
        <f t="shared" si="349"/>
        <v>0</v>
      </c>
      <c r="FF31" s="303">
        <f t="shared" si="350"/>
        <v>0</v>
      </c>
      <c r="FG31" s="58">
        <v>0</v>
      </c>
      <c r="FH31" s="68"/>
      <c r="FI31" s="28">
        <f t="shared" si="351"/>
        <v>0</v>
      </c>
      <c r="FJ31" s="28">
        <v>0</v>
      </c>
      <c r="FK31" s="28">
        <f t="shared" si="352"/>
        <v>0</v>
      </c>
      <c r="FL31" s="28">
        <f t="shared" si="353"/>
        <v>0</v>
      </c>
      <c r="FM31" s="28">
        <f t="shared" si="354"/>
        <v>0</v>
      </c>
      <c r="FN31" s="28">
        <f t="shared" si="355"/>
        <v>0</v>
      </c>
      <c r="FO31" s="70">
        <f t="shared" si="356"/>
        <v>0</v>
      </c>
      <c r="FP31" s="70">
        <f t="shared" si="357"/>
        <v>0</v>
      </c>
      <c r="FQ31" s="71">
        <v>0</v>
      </c>
      <c r="FR31" s="71">
        <v>0</v>
      </c>
      <c r="FS31" s="72">
        <f t="shared" si="358"/>
        <v>0</v>
      </c>
      <c r="FT31" s="72">
        <f t="shared" si="359"/>
        <v>0</v>
      </c>
      <c r="FU31" s="70">
        <f t="shared" si="393"/>
        <v>0</v>
      </c>
      <c r="FV31" s="73">
        <v>0</v>
      </c>
      <c r="FW31" s="74">
        <f t="shared" si="360"/>
        <v>0</v>
      </c>
      <c r="FX31" s="303">
        <f t="shared" si="361"/>
        <v>0</v>
      </c>
      <c r="FY31" s="58">
        <v>0</v>
      </c>
      <c r="FZ31" s="68"/>
      <c r="GA31" s="28">
        <f t="shared" si="362"/>
        <v>0</v>
      </c>
      <c r="GB31" s="28">
        <v>0</v>
      </c>
      <c r="GC31" s="28">
        <f t="shared" si="363"/>
        <v>0</v>
      </c>
      <c r="GD31" s="28">
        <f t="shared" si="364"/>
        <v>0</v>
      </c>
      <c r="GE31" s="28">
        <f t="shared" si="365"/>
        <v>0</v>
      </c>
      <c r="GF31" s="28">
        <f t="shared" si="366"/>
        <v>0</v>
      </c>
      <c r="GG31" s="70">
        <f t="shared" si="367"/>
        <v>0</v>
      </c>
      <c r="GH31" s="70">
        <f t="shared" si="368"/>
        <v>0</v>
      </c>
      <c r="GI31" s="71">
        <v>0</v>
      </c>
      <c r="GJ31" s="71">
        <v>0</v>
      </c>
      <c r="GK31" s="72">
        <f t="shared" si="369"/>
        <v>0</v>
      </c>
      <c r="GL31" s="72">
        <f t="shared" si="370"/>
        <v>0</v>
      </c>
      <c r="GM31" s="70">
        <f t="shared" si="394"/>
        <v>0</v>
      </c>
      <c r="GN31" s="73">
        <v>0</v>
      </c>
      <c r="GO31" s="74">
        <f t="shared" si="371"/>
        <v>0</v>
      </c>
      <c r="GP31" s="303">
        <f t="shared" si="372"/>
        <v>0</v>
      </c>
      <c r="GQ31" s="58">
        <v>0</v>
      </c>
      <c r="GR31" s="68"/>
      <c r="GS31" s="28">
        <f t="shared" si="373"/>
        <v>0</v>
      </c>
      <c r="GT31" s="28">
        <v>0</v>
      </c>
      <c r="GU31" s="28">
        <f t="shared" si="374"/>
        <v>0</v>
      </c>
      <c r="GV31" s="28">
        <f t="shared" si="375"/>
        <v>0</v>
      </c>
      <c r="GW31" s="28">
        <f t="shared" si="376"/>
        <v>0</v>
      </c>
      <c r="GX31" s="28">
        <f t="shared" si="377"/>
        <v>0</v>
      </c>
      <c r="GY31" s="70">
        <f t="shared" si="378"/>
        <v>0</v>
      </c>
      <c r="GZ31" s="70">
        <f t="shared" si="379"/>
        <v>0</v>
      </c>
      <c r="HA31" s="71">
        <v>0</v>
      </c>
      <c r="HB31" s="71">
        <v>0</v>
      </c>
      <c r="HC31" s="72">
        <f t="shared" si="380"/>
        <v>0</v>
      </c>
      <c r="HD31" s="72">
        <f t="shared" si="381"/>
        <v>0</v>
      </c>
      <c r="HE31" s="70">
        <f t="shared" si="395"/>
        <v>0</v>
      </c>
      <c r="HF31" s="73">
        <v>0</v>
      </c>
      <c r="HG31" s="74">
        <f t="shared" si="382"/>
        <v>0</v>
      </c>
      <c r="HH31" s="303">
        <f t="shared" si="383"/>
        <v>0</v>
      </c>
      <c r="HJ31" s="37"/>
      <c r="HK31" s="37"/>
      <c r="HL31" s="37"/>
      <c r="HM31" s="37"/>
      <c r="HN31" s="37"/>
      <c r="HO31" s="37"/>
      <c r="HP31" s="37"/>
      <c r="HQ31" s="37"/>
      <c r="HR31" s="37"/>
      <c r="HS31" s="37"/>
      <c r="HT31" s="37"/>
      <c r="HU31" s="37"/>
      <c r="HV31" s="37"/>
      <c r="HW31" s="37"/>
      <c r="HX31" s="37"/>
      <c r="HY31" s="37"/>
      <c r="HZ31" s="37"/>
      <c r="IA31" s="37"/>
      <c r="IB31" s="37"/>
      <c r="IC31" s="37"/>
      <c r="ID31" s="37"/>
      <c r="IE31" s="37"/>
      <c r="IF31" s="37"/>
      <c r="IG31" s="37"/>
      <c r="IH31" s="37"/>
      <c r="II31" s="37"/>
      <c r="IJ31" s="37"/>
      <c r="IK31" s="37"/>
      <c r="IL31" s="37"/>
      <c r="IM31" s="37"/>
      <c r="IN31" s="37"/>
      <c r="IO31" s="37"/>
      <c r="IP31" s="37"/>
    </row>
    <row r="32" spans="1:250" x14ac:dyDescent="0.3">
      <c r="A32" s="58">
        <v>0</v>
      </c>
      <c r="B32" s="68"/>
      <c r="C32" s="28">
        <f t="shared" si="252"/>
        <v>0</v>
      </c>
      <c r="D32" s="28">
        <v>0</v>
      </c>
      <c r="E32" s="28">
        <f t="shared" si="253"/>
        <v>0</v>
      </c>
      <c r="F32" s="28">
        <f t="shared" si="254"/>
        <v>0</v>
      </c>
      <c r="G32" s="28">
        <f t="shared" si="255"/>
        <v>0</v>
      </c>
      <c r="H32" s="28">
        <f t="shared" si="256"/>
        <v>0</v>
      </c>
      <c r="I32" s="70">
        <f t="shared" si="257"/>
        <v>0</v>
      </c>
      <c r="J32" s="70">
        <f t="shared" si="258"/>
        <v>0</v>
      </c>
      <c r="K32" s="71">
        <v>0</v>
      </c>
      <c r="L32" s="71">
        <v>0</v>
      </c>
      <c r="M32" s="72">
        <f t="shared" si="259"/>
        <v>0</v>
      </c>
      <c r="N32" s="72">
        <f t="shared" si="260"/>
        <v>0</v>
      </c>
      <c r="O32" s="70">
        <f t="shared" si="384"/>
        <v>0</v>
      </c>
      <c r="P32" s="73">
        <v>0</v>
      </c>
      <c r="Q32" s="74">
        <f t="shared" si="261"/>
        <v>0</v>
      </c>
      <c r="R32" s="303">
        <f t="shared" si="262"/>
        <v>0</v>
      </c>
      <c r="S32" s="58">
        <v>0</v>
      </c>
      <c r="T32" s="68"/>
      <c r="U32" s="28">
        <f t="shared" si="263"/>
        <v>0</v>
      </c>
      <c r="V32" s="28">
        <v>0</v>
      </c>
      <c r="W32" s="28">
        <f t="shared" si="264"/>
        <v>0</v>
      </c>
      <c r="X32" s="28">
        <f t="shared" si="265"/>
        <v>0</v>
      </c>
      <c r="Y32" s="28">
        <f t="shared" si="266"/>
        <v>0</v>
      </c>
      <c r="Z32" s="28">
        <f t="shared" si="267"/>
        <v>0</v>
      </c>
      <c r="AA32" s="70">
        <f t="shared" si="268"/>
        <v>0</v>
      </c>
      <c r="AB32" s="70">
        <f t="shared" si="269"/>
        <v>0</v>
      </c>
      <c r="AC32" s="71">
        <v>0</v>
      </c>
      <c r="AD32" s="71">
        <v>0</v>
      </c>
      <c r="AE32" s="72">
        <f t="shared" si="270"/>
        <v>0</v>
      </c>
      <c r="AF32" s="72">
        <f t="shared" si="271"/>
        <v>0</v>
      </c>
      <c r="AG32" s="70">
        <f t="shared" si="385"/>
        <v>0</v>
      </c>
      <c r="AH32" s="73">
        <v>0</v>
      </c>
      <c r="AI32" s="74">
        <f t="shared" si="272"/>
        <v>0</v>
      </c>
      <c r="AJ32" s="303">
        <f t="shared" si="273"/>
        <v>0</v>
      </c>
      <c r="AK32" s="58">
        <v>0</v>
      </c>
      <c r="AL32" s="68"/>
      <c r="AM32" s="28">
        <f t="shared" si="274"/>
        <v>0</v>
      </c>
      <c r="AN32" s="28">
        <v>0</v>
      </c>
      <c r="AO32" s="28">
        <f t="shared" si="275"/>
        <v>0</v>
      </c>
      <c r="AP32" s="28">
        <f t="shared" si="276"/>
        <v>0</v>
      </c>
      <c r="AQ32" s="28">
        <f t="shared" si="277"/>
        <v>0</v>
      </c>
      <c r="AR32" s="28">
        <f t="shared" si="278"/>
        <v>0</v>
      </c>
      <c r="AS32" s="70">
        <f t="shared" si="279"/>
        <v>0</v>
      </c>
      <c r="AT32" s="70">
        <f t="shared" si="280"/>
        <v>0</v>
      </c>
      <c r="AU32" s="71">
        <v>0</v>
      </c>
      <c r="AV32" s="71">
        <v>0</v>
      </c>
      <c r="AW32" s="72">
        <f t="shared" si="281"/>
        <v>0</v>
      </c>
      <c r="AX32" s="72">
        <f t="shared" si="282"/>
        <v>0</v>
      </c>
      <c r="AY32" s="70">
        <f t="shared" si="386"/>
        <v>0</v>
      </c>
      <c r="AZ32" s="73">
        <v>0</v>
      </c>
      <c r="BA32" s="74">
        <f t="shared" si="283"/>
        <v>0</v>
      </c>
      <c r="BB32" s="303">
        <f t="shared" si="284"/>
        <v>0</v>
      </c>
      <c r="BC32" s="58">
        <v>0</v>
      </c>
      <c r="BD32" s="68"/>
      <c r="BE32" s="28">
        <f t="shared" si="285"/>
        <v>0</v>
      </c>
      <c r="BF32" s="28">
        <v>0</v>
      </c>
      <c r="BG32" s="28">
        <f t="shared" si="286"/>
        <v>0</v>
      </c>
      <c r="BH32" s="28">
        <f t="shared" si="287"/>
        <v>0</v>
      </c>
      <c r="BI32" s="28">
        <f t="shared" si="288"/>
        <v>0</v>
      </c>
      <c r="BJ32" s="28">
        <f t="shared" si="289"/>
        <v>0</v>
      </c>
      <c r="BK32" s="70">
        <f t="shared" si="290"/>
        <v>0</v>
      </c>
      <c r="BL32" s="70">
        <f t="shared" si="291"/>
        <v>0</v>
      </c>
      <c r="BM32" s="71">
        <v>0</v>
      </c>
      <c r="BN32" s="71">
        <v>0</v>
      </c>
      <c r="BO32" s="72">
        <f t="shared" si="292"/>
        <v>0</v>
      </c>
      <c r="BP32" s="72">
        <f t="shared" si="293"/>
        <v>0</v>
      </c>
      <c r="BQ32" s="70">
        <f t="shared" si="387"/>
        <v>0</v>
      </c>
      <c r="BR32" s="73">
        <v>0</v>
      </c>
      <c r="BS32" s="74">
        <f t="shared" si="294"/>
        <v>0</v>
      </c>
      <c r="BT32" s="303">
        <f t="shared" si="295"/>
        <v>0</v>
      </c>
      <c r="BU32" s="58">
        <v>0</v>
      </c>
      <c r="BV32" s="68"/>
      <c r="BW32" s="28">
        <f t="shared" si="296"/>
        <v>0</v>
      </c>
      <c r="BX32" s="28">
        <v>0</v>
      </c>
      <c r="BY32" s="28">
        <f t="shared" si="297"/>
        <v>0</v>
      </c>
      <c r="BZ32" s="28">
        <f t="shared" si="298"/>
        <v>0</v>
      </c>
      <c r="CA32" s="28">
        <f t="shared" si="299"/>
        <v>0</v>
      </c>
      <c r="CB32" s="28">
        <f t="shared" si="300"/>
        <v>0</v>
      </c>
      <c r="CC32" s="70">
        <f t="shared" si="301"/>
        <v>0</v>
      </c>
      <c r="CD32" s="70">
        <f t="shared" si="302"/>
        <v>0</v>
      </c>
      <c r="CE32" s="71">
        <v>0</v>
      </c>
      <c r="CF32" s="71">
        <v>0</v>
      </c>
      <c r="CG32" s="72">
        <f t="shared" si="303"/>
        <v>0</v>
      </c>
      <c r="CH32" s="72">
        <f t="shared" si="304"/>
        <v>0</v>
      </c>
      <c r="CI32" s="70">
        <f t="shared" si="388"/>
        <v>0</v>
      </c>
      <c r="CJ32" s="73">
        <v>0</v>
      </c>
      <c r="CK32" s="74">
        <f t="shared" si="305"/>
        <v>0</v>
      </c>
      <c r="CL32" s="303">
        <f t="shared" si="306"/>
        <v>0</v>
      </c>
      <c r="CM32" s="58">
        <v>0</v>
      </c>
      <c r="CN32" s="68"/>
      <c r="CO32" s="28">
        <f t="shared" si="307"/>
        <v>0</v>
      </c>
      <c r="CP32" s="28">
        <v>0</v>
      </c>
      <c r="CQ32" s="28">
        <f t="shared" si="308"/>
        <v>0</v>
      </c>
      <c r="CR32" s="28">
        <f t="shared" si="309"/>
        <v>0</v>
      </c>
      <c r="CS32" s="28">
        <f t="shared" si="310"/>
        <v>0</v>
      </c>
      <c r="CT32" s="28">
        <f t="shared" si="311"/>
        <v>0</v>
      </c>
      <c r="CU32" s="70">
        <f t="shared" si="312"/>
        <v>0</v>
      </c>
      <c r="CV32" s="70">
        <f t="shared" si="313"/>
        <v>0</v>
      </c>
      <c r="CW32" s="71">
        <v>0</v>
      </c>
      <c r="CX32" s="71">
        <v>0</v>
      </c>
      <c r="CY32" s="72">
        <f t="shared" si="314"/>
        <v>0</v>
      </c>
      <c r="CZ32" s="72">
        <f t="shared" si="315"/>
        <v>0</v>
      </c>
      <c r="DA32" s="70">
        <f t="shared" si="389"/>
        <v>0</v>
      </c>
      <c r="DB32" s="73">
        <v>0</v>
      </c>
      <c r="DC32" s="74">
        <f t="shared" si="316"/>
        <v>0</v>
      </c>
      <c r="DD32" s="303">
        <f t="shared" si="317"/>
        <v>0</v>
      </c>
      <c r="DE32" s="58">
        <v>0</v>
      </c>
      <c r="DF32" s="68"/>
      <c r="DG32" s="28">
        <f t="shared" si="318"/>
        <v>0</v>
      </c>
      <c r="DH32" s="28">
        <v>0</v>
      </c>
      <c r="DI32" s="28">
        <f t="shared" si="319"/>
        <v>0</v>
      </c>
      <c r="DJ32" s="28">
        <f t="shared" si="320"/>
        <v>0</v>
      </c>
      <c r="DK32" s="28">
        <f t="shared" si="321"/>
        <v>0</v>
      </c>
      <c r="DL32" s="28">
        <f t="shared" si="322"/>
        <v>0</v>
      </c>
      <c r="DM32" s="70">
        <f t="shared" si="323"/>
        <v>0</v>
      </c>
      <c r="DN32" s="70">
        <f t="shared" si="324"/>
        <v>0</v>
      </c>
      <c r="DO32" s="71">
        <v>0</v>
      </c>
      <c r="DP32" s="71">
        <v>0</v>
      </c>
      <c r="DQ32" s="72">
        <f t="shared" si="325"/>
        <v>0</v>
      </c>
      <c r="DR32" s="72">
        <f t="shared" si="326"/>
        <v>0</v>
      </c>
      <c r="DS32" s="70">
        <f t="shared" si="390"/>
        <v>0</v>
      </c>
      <c r="DT32" s="73">
        <v>0</v>
      </c>
      <c r="DU32" s="74">
        <f t="shared" si="327"/>
        <v>0</v>
      </c>
      <c r="DV32" s="303">
        <f t="shared" si="328"/>
        <v>0</v>
      </c>
      <c r="DW32" s="58">
        <v>0</v>
      </c>
      <c r="DX32" s="68"/>
      <c r="DY32" s="28">
        <f t="shared" si="329"/>
        <v>0</v>
      </c>
      <c r="DZ32" s="28">
        <v>0</v>
      </c>
      <c r="EA32" s="28">
        <f t="shared" si="330"/>
        <v>0</v>
      </c>
      <c r="EB32" s="28">
        <f t="shared" si="331"/>
        <v>0</v>
      </c>
      <c r="EC32" s="28">
        <f t="shared" si="332"/>
        <v>0</v>
      </c>
      <c r="ED32" s="28">
        <f t="shared" si="333"/>
        <v>0</v>
      </c>
      <c r="EE32" s="70">
        <f t="shared" si="334"/>
        <v>0</v>
      </c>
      <c r="EF32" s="70">
        <f t="shared" si="335"/>
        <v>0</v>
      </c>
      <c r="EG32" s="71">
        <v>0</v>
      </c>
      <c r="EH32" s="71">
        <v>0</v>
      </c>
      <c r="EI32" s="72">
        <f t="shared" si="336"/>
        <v>0</v>
      </c>
      <c r="EJ32" s="72">
        <f t="shared" si="337"/>
        <v>0</v>
      </c>
      <c r="EK32" s="70">
        <f t="shared" si="391"/>
        <v>0</v>
      </c>
      <c r="EL32" s="73">
        <v>0</v>
      </c>
      <c r="EM32" s="74">
        <f t="shared" si="338"/>
        <v>0</v>
      </c>
      <c r="EN32" s="303">
        <f t="shared" si="339"/>
        <v>0</v>
      </c>
      <c r="EO32" s="58">
        <v>0</v>
      </c>
      <c r="EP32" s="68"/>
      <c r="EQ32" s="28">
        <f t="shared" si="340"/>
        <v>0</v>
      </c>
      <c r="ER32" s="28">
        <v>0</v>
      </c>
      <c r="ES32" s="28">
        <f t="shared" si="341"/>
        <v>0</v>
      </c>
      <c r="ET32" s="28">
        <f t="shared" si="342"/>
        <v>0</v>
      </c>
      <c r="EU32" s="28">
        <f t="shared" si="343"/>
        <v>0</v>
      </c>
      <c r="EV32" s="28">
        <f t="shared" si="344"/>
        <v>0</v>
      </c>
      <c r="EW32" s="70">
        <f t="shared" si="345"/>
        <v>0</v>
      </c>
      <c r="EX32" s="70">
        <f t="shared" si="346"/>
        <v>0</v>
      </c>
      <c r="EY32" s="71">
        <v>0</v>
      </c>
      <c r="EZ32" s="71">
        <v>0</v>
      </c>
      <c r="FA32" s="72">
        <f t="shared" si="347"/>
        <v>0</v>
      </c>
      <c r="FB32" s="72">
        <f t="shared" si="348"/>
        <v>0</v>
      </c>
      <c r="FC32" s="70">
        <f t="shared" si="392"/>
        <v>0</v>
      </c>
      <c r="FD32" s="73">
        <v>0</v>
      </c>
      <c r="FE32" s="74">
        <f t="shared" si="349"/>
        <v>0</v>
      </c>
      <c r="FF32" s="303">
        <f t="shared" si="350"/>
        <v>0</v>
      </c>
      <c r="FG32" s="58">
        <v>0</v>
      </c>
      <c r="FH32" s="68"/>
      <c r="FI32" s="28">
        <f t="shared" si="351"/>
        <v>0</v>
      </c>
      <c r="FJ32" s="28">
        <v>0</v>
      </c>
      <c r="FK32" s="28">
        <f t="shared" si="352"/>
        <v>0</v>
      </c>
      <c r="FL32" s="28">
        <f t="shared" si="353"/>
        <v>0</v>
      </c>
      <c r="FM32" s="28">
        <f t="shared" si="354"/>
        <v>0</v>
      </c>
      <c r="FN32" s="28">
        <f t="shared" si="355"/>
        <v>0</v>
      </c>
      <c r="FO32" s="70">
        <f t="shared" si="356"/>
        <v>0</v>
      </c>
      <c r="FP32" s="70">
        <f t="shared" si="357"/>
        <v>0</v>
      </c>
      <c r="FQ32" s="71">
        <v>0</v>
      </c>
      <c r="FR32" s="71">
        <v>0</v>
      </c>
      <c r="FS32" s="72">
        <f t="shared" si="358"/>
        <v>0</v>
      </c>
      <c r="FT32" s="72">
        <f t="shared" si="359"/>
        <v>0</v>
      </c>
      <c r="FU32" s="70">
        <f t="shared" si="393"/>
        <v>0</v>
      </c>
      <c r="FV32" s="73">
        <v>0</v>
      </c>
      <c r="FW32" s="74">
        <f t="shared" si="360"/>
        <v>0</v>
      </c>
      <c r="FX32" s="303">
        <f t="shared" si="361"/>
        <v>0</v>
      </c>
      <c r="FY32" s="58">
        <v>0</v>
      </c>
      <c r="FZ32" s="68"/>
      <c r="GA32" s="28">
        <f t="shared" si="362"/>
        <v>0</v>
      </c>
      <c r="GB32" s="28">
        <v>0</v>
      </c>
      <c r="GC32" s="28">
        <f t="shared" si="363"/>
        <v>0</v>
      </c>
      <c r="GD32" s="28">
        <f t="shared" si="364"/>
        <v>0</v>
      </c>
      <c r="GE32" s="28">
        <f t="shared" si="365"/>
        <v>0</v>
      </c>
      <c r="GF32" s="28">
        <f t="shared" si="366"/>
        <v>0</v>
      </c>
      <c r="GG32" s="70">
        <f t="shared" si="367"/>
        <v>0</v>
      </c>
      <c r="GH32" s="70">
        <f t="shared" si="368"/>
        <v>0</v>
      </c>
      <c r="GI32" s="71">
        <v>0</v>
      </c>
      <c r="GJ32" s="71">
        <v>0</v>
      </c>
      <c r="GK32" s="72">
        <f t="shared" si="369"/>
        <v>0</v>
      </c>
      <c r="GL32" s="72">
        <f t="shared" si="370"/>
        <v>0</v>
      </c>
      <c r="GM32" s="70">
        <f t="shared" si="394"/>
        <v>0</v>
      </c>
      <c r="GN32" s="73">
        <v>0</v>
      </c>
      <c r="GO32" s="74">
        <f t="shared" si="371"/>
        <v>0</v>
      </c>
      <c r="GP32" s="303">
        <f t="shared" si="372"/>
        <v>0</v>
      </c>
      <c r="GQ32" s="58">
        <v>0</v>
      </c>
      <c r="GR32" s="68"/>
      <c r="GS32" s="28">
        <f t="shared" si="373"/>
        <v>0</v>
      </c>
      <c r="GT32" s="28">
        <v>0</v>
      </c>
      <c r="GU32" s="28">
        <f t="shared" si="374"/>
        <v>0</v>
      </c>
      <c r="GV32" s="28">
        <f t="shared" si="375"/>
        <v>0</v>
      </c>
      <c r="GW32" s="28">
        <f t="shared" si="376"/>
        <v>0</v>
      </c>
      <c r="GX32" s="28">
        <f t="shared" si="377"/>
        <v>0</v>
      </c>
      <c r="GY32" s="70">
        <f t="shared" si="378"/>
        <v>0</v>
      </c>
      <c r="GZ32" s="70">
        <f t="shared" si="379"/>
        <v>0</v>
      </c>
      <c r="HA32" s="71">
        <v>0</v>
      </c>
      <c r="HB32" s="71">
        <v>0</v>
      </c>
      <c r="HC32" s="72">
        <f t="shared" si="380"/>
        <v>0</v>
      </c>
      <c r="HD32" s="72">
        <f t="shared" si="381"/>
        <v>0</v>
      </c>
      <c r="HE32" s="70">
        <f t="shared" si="395"/>
        <v>0</v>
      </c>
      <c r="HF32" s="73">
        <v>0</v>
      </c>
      <c r="HG32" s="74">
        <f t="shared" si="382"/>
        <v>0</v>
      </c>
      <c r="HH32" s="303">
        <f t="shared" si="383"/>
        <v>0</v>
      </c>
      <c r="HJ32" s="37"/>
      <c r="HK32" s="37"/>
      <c r="HL32" s="37"/>
      <c r="HM32" s="37"/>
      <c r="HN32" s="37"/>
      <c r="HO32" s="37"/>
      <c r="HP32" s="37"/>
      <c r="HQ32" s="37"/>
      <c r="HR32" s="37"/>
      <c r="HS32" s="37"/>
      <c r="HT32" s="37"/>
      <c r="HU32" s="37"/>
      <c r="HV32" s="37"/>
      <c r="HW32" s="37"/>
      <c r="HX32" s="37"/>
      <c r="HY32" s="37"/>
      <c r="HZ32" s="37"/>
      <c r="IA32" s="37"/>
      <c r="IB32" s="37"/>
      <c r="IC32" s="37"/>
      <c r="ID32" s="37"/>
      <c r="IE32" s="37"/>
      <c r="IF32" s="37"/>
      <c r="IG32" s="37"/>
      <c r="IH32" s="37"/>
      <c r="II32" s="37"/>
      <c r="IJ32" s="37"/>
      <c r="IK32" s="37"/>
      <c r="IL32" s="37"/>
      <c r="IM32" s="37"/>
      <c r="IN32" s="37"/>
      <c r="IO32" s="37"/>
      <c r="IP32" s="37"/>
    </row>
    <row r="33" spans="1:250" x14ac:dyDescent="0.3">
      <c r="A33" s="58">
        <v>0</v>
      </c>
      <c r="B33" s="68"/>
      <c r="C33" s="28">
        <f t="shared" si="252"/>
        <v>0</v>
      </c>
      <c r="D33" s="28">
        <v>0</v>
      </c>
      <c r="E33" s="28">
        <f t="shared" si="253"/>
        <v>0</v>
      </c>
      <c r="F33" s="28">
        <f t="shared" si="254"/>
        <v>0</v>
      </c>
      <c r="G33" s="28">
        <f t="shared" si="255"/>
        <v>0</v>
      </c>
      <c r="H33" s="28">
        <f t="shared" si="256"/>
        <v>0</v>
      </c>
      <c r="I33" s="70">
        <f t="shared" si="257"/>
        <v>0</v>
      </c>
      <c r="J33" s="70">
        <f t="shared" si="258"/>
        <v>0</v>
      </c>
      <c r="K33" s="71">
        <v>0</v>
      </c>
      <c r="L33" s="71">
        <v>0</v>
      </c>
      <c r="M33" s="72">
        <f t="shared" si="259"/>
        <v>0</v>
      </c>
      <c r="N33" s="72">
        <f t="shared" si="260"/>
        <v>0</v>
      </c>
      <c r="O33" s="70">
        <f t="shared" si="384"/>
        <v>0</v>
      </c>
      <c r="P33" s="73">
        <v>0</v>
      </c>
      <c r="Q33" s="74">
        <f t="shared" si="261"/>
        <v>0</v>
      </c>
      <c r="R33" s="303">
        <f t="shared" si="262"/>
        <v>0</v>
      </c>
      <c r="S33" s="58">
        <v>0</v>
      </c>
      <c r="T33" s="68"/>
      <c r="U33" s="28">
        <f t="shared" si="263"/>
        <v>0</v>
      </c>
      <c r="V33" s="28">
        <v>0</v>
      </c>
      <c r="W33" s="28">
        <f t="shared" si="264"/>
        <v>0</v>
      </c>
      <c r="X33" s="28">
        <f t="shared" si="265"/>
        <v>0</v>
      </c>
      <c r="Y33" s="28">
        <f t="shared" si="266"/>
        <v>0</v>
      </c>
      <c r="Z33" s="28">
        <f t="shared" si="267"/>
        <v>0</v>
      </c>
      <c r="AA33" s="70">
        <f t="shared" si="268"/>
        <v>0</v>
      </c>
      <c r="AB33" s="70">
        <f t="shared" si="269"/>
        <v>0</v>
      </c>
      <c r="AC33" s="71">
        <v>0</v>
      </c>
      <c r="AD33" s="71">
        <v>0</v>
      </c>
      <c r="AE33" s="72">
        <f t="shared" si="270"/>
        <v>0</v>
      </c>
      <c r="AF33" s="72">
        <f t="shared" si="271"/>
        <v>0</v>
      </c>
      <c r="AG33" s="70">
        <f t="shared" si="385"/>
        <v>0</v>
      </c>
      <c r="AH33" s="73">
        <v>0</v>
      </c>
      <c r="AI33" s="74">
        <f t="shared" si="272"/>
        <v>0</v>
      </c>
      <c r="AJ33" s="303">
        <f t="shared" si="273"/>
        <v>0</v>
      </c>
      <c r="AK33" s="58">
        <v>0</v>
      </c>
      <c r="AL33" s="68"/>
      <c r="AM33" s="28">
        <f t="shared" si="274"/>
        <v>0</v>
      </c>
      <c r="AN33" s="28">
        <v>0</v>
      </c>
      <c r="AO33" s="28">
        <f t="shared" si="275"/>
        <v>0</v>
      </c>
      <c r="AP33" s="28">
        <f t="shared" si="276"/>
        <v>0</v>
      </c>
      <c r="AQ33" s="28">
        <f t="shared" si="277"/>
        <v>0</v>
      </c>
      <c r="AR33" s="28">
        <f t="shared" si="278"/>
        <v>0</v>
      </c>
      <c r="AS33" s="70">
        <f t="shared" si="279"/>
        <v>0</v>
      </c>
      <c r="AT33" s="70">
        <f t="shared" si="280"/>
        <v>0</v>
      </c>
      <c r="AU33" s="71">
        <v>0</v>
      </c>
      <c r="AV33" s="71">
        <v>0</v>
      </c>
      <c r="AW33" s="72">
        <f t="shared" si="281"/>
        <v>0</v>
      </c>
      <c r="AX33" s="72">
        <f t="shared" si="282"/>
        <v>0</v>
      </c>
      <c r="AY33" s="70">
        <f t="shared" si="386"/>
        <v>0</v>
      </c>
      <c r="AZ33" s="73">
        <v>0</v>
      </c>
      <c r="BA33" s="74">
        <f t="shared" si="283"/>
        <v>0</v>
      </c>
      <c r="BB33" s="303">
        <f t="shared" si="284"/>
        <v>0</v>
      </c>
      <c r="BC33" s="58">
        <v>0</v>
      </c>
      <c r="BD33" s="68"/>
      <c r="BE33" s="28">
        <f t="shared" si="285"/>
        <v>0</v>
      </c>
      <c r="BF33" s="28">
        <v>0</v>
      </c>
      <c r="BG33" s="28">
        <f t="shared" si="286"/>
        <v>0</v>
      </c>
      <c r="BH33" s="28">
        <f t="shared" si="287"/>
        <v>0</v>
      </c>
      <c r="BI33" s="28">
        <f t="shared" si="288"/>
        <v>0</v>
      </c>
      <c r="BJ33" s="28">
        <f t="shared" si="289"/>
        <v>0</v>
      </c>
      <c r="BK33" s="70">
        <f t="shared" si="290"/>
        <v>0</v>
      </c>
      <c r="BL33" s="70">
        <f t="shared" si="291"/>
        <v>0</v>
      </c>
      <c r="BM33" s="71">
        <v>0</v>
      </c>
      <c r="BN33" s="71">
        <v>0</v>
      </c>
      <c r="BO33" s="72">
        <f t="shared" si="292"/>
        <v>0</v>
      </c>
      <c r="BP33" s="72">
        <f t="shared" si="293"/>
        <v>0</v>
      </c>
      <c r="BQ33" s="70">
        <f t="shared" si="387"/>
        <v>0</v>
      </c>
      <c r="BR33" s="73">
        <v>0</v>
      </c>
      <c r="BS33" s="74">
        <f t="shared" si="294"/>
        <v>0</v>
      </c>
      <c r="BT33" s="303">
        <f t="shared" si="295"/>
        <v>0</v>
      </c>
      <c r="BU33" s="58">
        <v>0</v>
      </c>
      <c r="BV33" s="68"/>
      <c r="BW33" s="28">
        <f t="shared" si="296"/>
        <v>0</v>
      </c>
      <c r="BX33" s="28">
        <v>0</v>
      </c>
      <c r="BY33" s="28">
        <f t="shared" si="297"/>
        <v>0</v>
      </c>
      <c r="BZ33" s="28">
        <f t="shared" si="298"/>
        <v>0</v>
      </c>
      <c r="CA33" s="28">
        <f t="shared" si="299"/>
        <v>0</v>
      </c>
      <c r="CB33" s="28">
        <f t="shared" si="300"/>
        <v>0</v>
      </c>
      <c r="CC33" s="70">
        <f t="shared" si="301"/>
        <v>0</v>
      </c>
      <c r="CD33" s="70">
        <f t="shared" si="302"/>
        <v>0</v>
      </c>
      <c r="CE33" s="71">
        <v>0</v>
      </c>
      <c r="CF33" s="71">
        <v>0</v>
      </c>
      <c r="CG33" s="72">
        <f t="shared" si="303"/>
        <v>0</v>
      </c>
      <c r="CH33" s="72">
        <f t="shared" si="304"/>
        <v>0</v>
      </c>
      <c r="CI33" s="70">
        <f t="shared" si="388"/>
        <v>0</v>
      </c>
      <c r="CJ33" s="73">
        <v>0</v>
      </c>
      <c r="CK33" s="74">
        <f t="shared" si="305"/>
        <v>0</v>
      </c>
      <c r="CL33" s="303">
        <f t="shared" si="306"/>
        <v>0</v>
      </c>
      <c r="CM33" s="58">
        <v>0</v>
      </c>
      <c r="CN33" s="68"/>
      <c r="CO33" s="28">
        <f t="shared" si="307"/>
        <v>0</v>
      </c>
      <c r="CP33" s="28">
        <v>0</v>
      </c>
      <c r="CQ33" s="28">
        <f t="shared" si="308"/>
        <v>0</v>
      </c>
      <c r="CR33" s="28">
        <f t="shared" si="309"/>
        <v>0</v>
      </c>
      <c r="CS33" s="28">
        <f t="shared" si="310"/>
        <v>0</v>
      </c>
      <c r="CT33" s="28">
        <f t="shared" si="311"/>
        <v>0</v>
      </c>
      <c r="CU33" s="70">
        <f t="shared" si="312"/>
        <v>0</v>
      </c>
      <c r="CV33" s="70">
        <f t="shared" si="313"/>
        <v>0</v>
      </c>
      <c r="CW33" s="71">
        <v>0</v>
      </c>
      <c r="CX33" s="71">
        <v>0</v>
      </c>
      <c r="CY33" s="72">
        <f t="shared" si="314"/>
        <v>0</v>
      </c>
      <c r="CZ33" s="72">
        <f t="shared" si="315"/>
        <v>0</v>
      </c>
      <c r="DA33" s="70">
        <f t="shared" si="389"/>
        <v>0</v>
      </c>
      <c r="DB33" s="73">
        <v>0</v>
      </c>
      <c r="DC33" s="74">
        <f t="shared" si="316"/>
        <v>0</v>
      </c>
      <c r="DD33" s="303">
        <f t="shared" si="317"/>
        <v>0</v>
      </c>
      <c r="DE33" s="58">
        <v>0</v>
      </c>
      <c r="DF33" s="68"/>
      <c r="DG33" s="28">
        <f t="shared" si="318"/>
        <v>0</v>
      </c>
      <c r="DH33" s="28">
        <v>0</v>
      </c>
      <c r="DI33" s="28">
        <f t="shared" si="319"/>
        <v>0</v>
      </c>
      <c r="DJ33" s="28">
        <f t="shared" si="320"/>
        <v>0</v>
      </c>
      <c r="DK33" s="28">
        <f t="shared" si="321"/>
        <v>0</v>
      </c>
      <c r="DL33" s="28">
        <f t="shared" si="322"/>
        <v>0</v>
      </c>
      <c r="DM33" s="70">
        <f t="shared" si="323"/>
        <v>0</v>
      </c>
      <c r="DN33" s="70">
        <f t="shared" si="324"/>
        <v>0</v>
      </c>
      <c r="DO33" s="71">
        <v>0</v>
      </c>
      <c r="DP33" s="71">
        <v>0</v>
      </c>
      <c r="DQ33" s="72">
        <f t="shared" si="325"/>
        <v>0</v>
      </c>
      <c r="DR33" s="72">
        <f t="shared" si="326"/>
        <v>0</v>
      </c>
      <c r="DS33" s="70">
        <f t="shared" si="390"/>
        <v>0</v>
      </c>
      <c r="DT33" s="73">
        <v>0</v>
      </c>
      <c r="DU33" s="74">
        <f t="shared" si="327"/>
        <v>0</v>
      </c>
      <c r="DV33" s="303">
        <f t="shared" si="328"/>
        <v>0</v>
      </c>
      <c r="DW33" s="58">
        <v>0</v>
      </c>
      <c r="DX33" s="68"/>
      <c r="DY33" s="28">
        <f t="shared" si="329"/>
        <v>0</v>
      </c>
      <c r="DZ33" s="28">
        <v>0</v>
      </c>
      <c r="EA33" s="28">
        <f t="shared" si="330"/>
        <v>0</v>
      </c>
      <c r="EB33" s="28">
        <f t="shared" si="331"/>
        <v>0</v>
      </c>
      <c r="EC33" s="28">
        <f t="shared" si="332"/>
        <v>0</v>
      </c>
      <c r="ED33" s="28">
        <f t="shared" si="333"/>
        <v>0</v>
      </c>
      <c r="EE33" s="70">
        <f t="shared" si="334"/>
        <v>0</v>
      </c>
      <c r="EF33" s="70">
        <f t="shared" si="335"/>
        <v>0</v>
      </c>
      <c r="EG33" s="71">
        <v>0</v>
      </c>
      <c r="EH33" s="71">
        <v>0</v>
      </c>
      <c r="EI33" s="72">
        <f t="shared" si="336"/>
        <v>0</v>
      </c>
      <c r="EJ33" s="72">
        <f t="shared" si="337"/>
        <v>0</v>
      </c>
      <c r="EK33" s="70">
        <f t="shared" si="391"/>
        <v>0</v>
      </c>
      <c r="EL33" s="73">
        <v>0</v>
      </c>
      <c r="EM33" s="74">
        <f t="shared" si="338"/>
        <v>0</v>
      </c>
      <c r="EN33" s="303">
        <f t="shared" si="339"/>
        <v>0</v>
      </c>
      <c r="EO33" s="58">
        <v>0</v>
      </c>
      <c r="EP33" s="68"/>
      <c r="EQ33" s="28">
        <f t="shared" si="340"/>
        <v>0</v>
      </c>
      <c r="ER33" s="28">
        <v>0</v>
      </c>
      <c r="ES33" s="28">
        <f t="shared" si="341"/>
        <v>0</v>
      </c>
      <c r="ET33" s="28">
        <f t="shared" si="342"/>
        <v>0</v>
      </c>
      <c r="EU33" s="28">
        <f t="shared" si="343"/>
        <v>0</v>
      </c>
      <c r="EV33" s="28">
        <f t="shared" si="344"/>
        <v>0</v>
      </c>
      <c r="EW33" s="70">
        <f t="shared" si="345"/>
        <v>0</v>
      </c>
      <c r="EX33" s="70">
        <f t="shared" si="346"/>
        <v>0</v>
      </c>
      <c r="EY33" s="71">
        <v>0</v>
      </c>
      <c r="EZ33" s="71">
        <v>0</v>
      </c>
      <c r="FA33" s="72">
        <f t="shared" si="347"/>
        <v>0</v>
      </c>
      <c r="FB33" s="72">
        <f t="shared" si="348"/>
        <v>0</v>
      </c>
      <c r="FC33" s="70">
        <f t="shared" si="392"/>
        <v>0</v>
      </c>
      <c r="FD33" s="73">
        <v>0</v>
      </c>
      <c r="FE33" s="74">
        <f t="shared" si="349"/>
        <v>0</v>
      </c>
      <c r="FF33" s="303">
        <f t="shared" si="350"/>
        <v>0</v>
      </c>
      <c r="FG33" s="58">
        <v>0</v>
      </c>
      <c r="FH33" s="68"/>
      <c r="FI33" s="28">
        <f t="shared" si="351"/>
        <v>0</v>
      </c>
      <c r="FJ33" s="28">
        <v>0</v>
      </c>
      <c r="FK33" s="28">
        <f t="shared" si="352"/>
        <v>0</v>
      </c>
      <c r="FL33" s="28">
        <f t="shared" si="353"/>
        <v>0</v>
      </c>
      <c r="FM33" s="28">
        <f t="shared" si="354"/>
        <v>0</v>
      </c>
      <c r="FN33" s="28">
        <f t="shared" si="355"/>
        <v>0</v>
      </c>
      <c r="FO33" s="70">
        <f t="shared" si="356"/>
        <v>0</v>
      </c>
      <c r="FP33" s="70">
        <f t="shared" si="357"/>
        <v>0</v>
      </c>
      <c r="FQ33" s="71">
        <v>0</v>
      </c>
      <c r="FR33" s="71">
        <v>0</v>
      </c>
      <c r="FS33" s="72">
        <f t="shared" si="358"/>
        <v>0</v>
      </c>
      <c r="FT33" s="72">
        <f t="shared" si="359"/>
        <v>0</v>
      </c>
      <c r="FU33" s="70">
        <f t="shared" si="393"/>
        <v>0</v>
      </c>
      <c r="FV33" s="73">
        <v>0</v>
      </c>
      <c r="FW33" s="74">
        <f t="shared" si="360"/>
        <v>0</v>
      </c>
      <c r="FX33" s="303">
        <f t="shared" si="361"/>
        <v>0</v>
      </c>
      <c r="FY33" s="58">
        <v>0</v>
      </c>
      <c r="FZ33" s="68"/>
      <c r="GA33" s="28">
        <f t="shared" si="362"/>
        <v>0</v>
      </c>
      <c r="GB33" s="28">
        <v>0</v>
      </c>
      <c r="GC33" s="28">
        <f t="shared" si="363"/>
        <v>0</v>
      </c>
      <c r="GD33" s="28">
        <f t="shared" si="364"/>
        <v>0</v>
      </c>
      <c r="GE33" s="28">
        <f t="shared" si="365"/>
        <v>0</v>
      </c>
      <c r="GF33" s="28">
        <f t="shared" si="366"/>
        <v>0</v>
      </c>
      <c r="GG33" s="70">
        <f t="shared" si="367"/>
        <v>0</v>
      </c>
      <c r="GH33" s="70">
        <f t="shared" si="368"/>
        <v>0</v>
      </c>
      <c r="GI33" s="71">
        <v>0</v>
      </c>
      <c r="GJ33" s="71">
        <v>0</v>
      </c>
      <c r="GK33" s="72">
        <f t="shared" si="369"/>
        <v>0</v>
      </c>
      <c r="GL33" s="72">
        <f t="shared" si="370"/>
        <v>0</v>
      </c>
      <c r="GM33" s="70">
        <f t="shared" si="394"/>
        <v>0</v>
      </c>
      <c r="GN33" s="73">
        <v>0</v>
      </c>
      <c r="GO33" s="74">
        <f t="shared" si="371"/>
        <v>0</v>
      </c>
      <c r="GP33" s="303">
        <f t="shared" si="372"/>
        <v>0</v>
      </c>
      <c r="GQ33" s="58">
        <v>0</v>
      </c>
      <c r="GR33" s="68"/>
      <c r="GS33" s="28">
        <f t="shared" si="373"/>
        <v>0</v>
      </c>
      <c r="GT33" s="28">
        <v>0</v>
      </c>
      <c r="GU33" s="28">
        <f t="shared" si="374"/>
        <v>0</v>
      </c>
      <c r="GV33" s="28">
        <f t="shared" si="375"/>
        <v>0</v>
      </c>
      <c r="GW33" s="28">
        <f t="shared" si="376"/>
        <v>0</v>
      </c>
      <c r="GX33" s="28">
        <f t="shared" si="377"/>
        <v>0</v>
      </c>
      <c r="GY33" s="70">
        <f t="shared" si="378"/>
        <v>0</v>
      </c>
      <c r="GZ33" s="70">
        <f t="shared" si="379"/>
        <v>0</v>
      </c>
      <c r="HA33" s="71">
        <v>0</v>
      </c>
      <c r="HB33" s="71">
        <v>0</v>
      </c>
      <c r="HC33" s="72">
        <f t="shared" si="380"/>
        <v>0</v>
      </c>
      <c r="HD33" s="72">
        <f t="shared" si="381"/>
        <v>0</v>
      </c>
      <c r="HE33" s="70">
        <f t="shared" si="395"/>
        <v>0</v>
      </c>
      <c r="HF33" s="73">
        <v>0</v>
      </c>
      <c r="HG33" s="74">
        <f t="shared" si="382"/>
        <v>0</v>
      </c>
      <c r="HH33" s="303">
        <f t="shared" si="383"/>
        <v>0</v>
      </c>
      <c r="HJ33" s="37"/>
      <c r="HK33" s="37"/>
      <c r="HL33" s="37"/>
      <c r="HM33" s="37"/>
      <c r="HN33" s="37"/>
      <c r="HO33" s="37"/>
      <c r="HP33" s="37"/>
      <c r="HQ33" s="37"/>
      <c r="HR33" s="37"/>
      <c r="HS33" s="37"/>
      <c r="HT33" s="37"/>
      <c r="HU33" s="37"/>
      <c r="HV33" s="37"/>
      <c r="HW33" s="37"/>
      <c r="HX33" s="37"/>
      <c r="HY33" s="37"/>
      <c r="HZ33" s="37"/>
      <c r="IA33" s="37"/>
      <c r="IB33" s="37"/>
      <c r="IC33" s="37"/>
      <c r="ID33" s="37"/>
      <c r="IE33" s="37"/>
      <c r="IF33" s="37"/>
      <c r="IG33" s="37"/>
      <c r="IH33" s="37"/>
      <c r="II33" s="37"/>
      <c r="IJ33" s="37"/>
      <c r="IK33" s="37"/>
      <c r="IL33" s="37"/>
      <c r="IM33" s="37"/>
      <c r="IN33" s="37"/>
      <c r="IO33" s="37"/>
      <c r="IP33" s="37"/>
    </row>
    <row r="34" spans="1:250" ht="15.6" x14ac:dyDescent="0.3">
      <c r="A34" s="541"/>
      <c r="B34" s="537"/>
      <c r="C34" s="537"/>
      <c r="D34" s="537"/>
      <c r="E34" s="537"/>
      <c r="F34" s="537"/>
      <c r="G34" s="537"/>
      <c r="H34" s="537"/>
      <c r="I34" s="537"/>
      <c r="J34" s="537"/>
      <c r="K34" s="537"/>
      <c r="L34" s="537"/>
      <c r="M34" s="537"/>
      <c r="N34" s="537"/>
      <c r="O34" s="537"/>
      <c r="P34" s="538"/>
      <c r="Q34" s="423" t="s">
        <v>8</v>
      </c>
      <c r="R34" s="304">
        <f>SUM(R27:R33)</f>
        <v>3876.9020888888881</v>
      </c>
      <c r="S34" s="541"/>
      <c r="T34" s="537"/>
      <c r="U34" s="537"/>
      <c r="V34" s="537"/>
      <c r="W34" s="537"/>
      <c r="X34" s="537"/>
      <c r="Y34" s="537"/>
      <c r="Z34" s="537"/>
      <c r="AA34" s="537"/>
      <c r="AB34" s="537"/>
      <c r="AC34" s="537"/>
      <c r="AD34" s="537"/>
      <c r="AE34" s="537"/>
      <c r="AF34" s="537"/>
      <c r="AG34" s="537"/>
      <c r="AH34" s="538"/>
      <c r="AI34" s="423" t="s">
        <v>8</v>
      </c>
      <c r="AJ34" s="304">
        <f>SUM(AJ27:AJ33)</f>
        <v>3876.9020888888881</v>
      </c>
      <c r="AK34" s="541"/>
      <c r="AL34" s="537"/>
      <c r="AM34" s="537"/>
      <c r="AN34" s="537"/>
      <c r="AO34" s="537"/>
      <c r="AP34" s="537"/>
      <c r="AQ34" s="537"/>
      <c r="AR34" s="537"/>
      <c r="AS34" s="537"/>
      <c r="AT34" s="537"/>
      <c r="AU34" s="537"/>
      <c r="AV34" s="537"/>
      <c r="AW34" s="537"/>
      <c r="AX34" s="537"/>
      <c r="AY34" s="537"/>
      <c r="AZ34" s="538"/>
      <c r="BA34" s="423" t="s">
        <v>8</v>
      </c>
      <c r="BB34" s="304">
        <f>SUM(BB27:BB33)</f>
        <v>3876.9020888888881</v>
      </c>
      <c r="BC34" s="541"/>
      <c r="BD34" s="537"/>
      <c r="BE34" s="537"/>
      <c r="BF34" s="537"/>
      <c r="BG34" s="537"/>
      <c r="BH34" s="537"/>
      <c r="BI34" s="537"/>
      <c r="BJ34" s="537"/>
      <c r="BK34" s="537"/>
      <c r="BL34" s="537"/>
      <c r="BM34" s="537"/>
      <c r="BN34" s="537"/>
      <c r="BO34" s="537"/>
      <c r="BP34" s="537"/>
      <c r="BQ34" s="537"/>
      <c r="BR34" s="538"/>
      <c r="BS34" s="423" t="s">
        <v>8</v>
      </c>
      <c r="BT34" s="304">
        <f>SUM(BT27:BT33)</f>
        <v>3876.9020888888881</v>
      </c>
      <c r="BU34" s="541"/>
      <c r="BV34" s="537"/>
      <c r="BW34" s="537"/>
      <c r="BX34" s="537"/>
      <c r="BY34" s="537"/>
      <c r="BZ34" s="537"/>
      <c r="CA34" s="537"/>
      <c r="CB34" s="537"/>
      <c r="CC34" s="537"/>
      <c r="CD34" s="537"/>
      <c r="CE34" s="537"/>
      <c r="CF34" s="537"/>
      <c r="CG34" s="537"/>
      <c r="CH34" s="537"/>
      <c r="CI34" s="537"/>
      <c r="CJ34" s="538"/>
      <c r="CK34" s="423" t="s">
        <v>8</v>
      </c>
      <c r="CL34" s="304">
        <f>SUM(CL27:CL33)</f>
        <v>3876.9020888888881</v>
      </c>
      <c r="CM34" s="541"/>
      <c r="CN34" s="537"/>
      <c r="CO34" s="537"/>
      <c r="CP34" s="537"/>
      <c r="CQ34" s="537"/>
      <c r="CR34" s="537"/>
      <c r="CS34" s="537"/>
      <c r="CT34" s="537"/>
      <c r="CU34" s="537"/>
      <c r="CV34" s="537"/>
      <c r="CW34" s="537"/>
      <c r="CX34" s="537"/>
      <c r="CY34" s="537"/>
      <c r="CZ34" s="537"/>
      <c r="DA34" s="537"/>
      <c r="DB34" s="538"/>
      <c r="DC34" s="423" t="s">
        <v>8</v>
      </c>
      <c r="DD34" s="304">
        <f>SUM(DD27:DD33)</f>
        <v>3876.9020888888881</v>
      </c>
      <c r="DE34" s="541"/>
      <c r="DF34" s="537"/>
      <c r="DG34" s="537"/>
      <c r="DH34" s="537"/>
      <c r="DI34" s="537"/>
      <c r="DJ34" s="537"/>
      <c r="DK34" s="537"/>
      <c r="DL34" s="537"/>
      <c r="DM34" s="537"/>
      <c r="DN34" s="537"/>
      <c r="DO34" s="537"/>
      <c r="DP34" s="537"/>
      <c r="DQ34" s="537"/>
      <c r="DR34" s="537"/>
      <c r="DS34" s="537"/>
      <c r="DT34" s="538"/>
      <c r="DU34" s="423" t="s">
        <v>8</v>
      </c>
      <c r="DV34" s="304">
        <f>SUM(DV27:DV33)</f>
        <v>3876.9020888888881</v>
      </c>
      <c r="DW34" s="541"/>
      <c r="DX34" s="537"/>
      <c r="DY34" s="537"/>
      <c r="DZ34" s="537"/>
      <c r="EA34" s="537"/>
      <c r="EB34" s="537"/>
      <c r="EC34" s="537"/>
      <c r="ED34" s="537"/>
      <c r="EE34" s="537"/>
      <c r="EF34" s="537"/>
      <c r="EG34" s="537"/>
      <c r="EH34" s="537"/>
      <c r="EI34" s="537"/>
      <c r="EJ34" s="537"/>
      <c r="EK34" s="537"/>
      <c r="EL34" s="538"/>
      <c r="EM34" s="423" t="s">
        <v>8</v>
      </c>
      <c r="EN34" s="304">
        <f>SUM(EN27:EN33)</f>
        <v>3876.9020888888881</v>
      </c>
      <c r="EO34" s="541"/>
      <c r="EP34" s="537"/>
      <c r="EQ34" s="537"/>
      <c r="ER34" s="537"/>
      <c r="ES34" s="537"/>
      <c r="ET34" s="537"/>
      <c r="EU34" s="537"/>
      <c r="EV34" s="537"/>
      <c r="EW34" s="537"/>
      <c r="EX34" s="537"/>
      <c r="EY34" s="537"/>
      <c r="EZ34" s="537"/>
      <c r="FA34" s="537"/>
      <c r="FB34" s="537"/>
      <c r="FC34" s="537"/>
      <c r="FD34" s="538"/>
      <c r="FE34" s="423" t="s">
        <v>8</v>
      </c>
      <c r="FF34" s="304">
        <f>SUM(FF27:FF33)</f>
        <v>3876.9020888888881</v>
      </c>
      <c r="FG34" s="541"/>
      <c r="FH34" s="537"/>
      <c r="FI34" s="537"/>
      <c r="FJ34" s="537"/>
      <c r="FK34" s="537"/>
      <c r="FL34" s="537"/>
      <c r="FM34" s="537"/>
      <c r="FN34" s="537"/>
      <c r="FO34" s="537"/>
      <c r="FP34" s="537"/>
      <c r="FQ34" s="537"/>
      <c r="FR34" s="537"/>
      <c r="FS34" s="537"/>
      <c r="FT34" s="537"/>
      <c r="FU34" s="537"/>
      <c r="FV34" s="538"/>
      <c r="FW34" s="423" t="s">
        <v>8</v>
      </c>
      <c r="FX34" s="304">
        <f>SUM(FX27:FX33)</f>
        <v>3876.9020888888881</v>
      </c>
      <c r="FY34" s="541"/>
      <c r="FZ34" s="537"/>
      <c r="GA34" s="537"/>
      <c r="GB34" s="537"/>
      <c r="GC34" s="537"/>
      <c r="GD34" s="537"/>
      <c r="GE34" s="537"/>
      <c r="GF34" s="537"/>
      <c r="GG34" s="537"/>
      <c r="GH34" s="537"/>
      <c r="GI34" s="537"/>
      <c r="GJ34" s="537"/>
      <c r="GK34" s="537"/>
      <c r="GL34" s="537"/>
      <c r="GM34" s="537"/>
      <c r="GN34" s="538"/>
      <c r="GO34" s="423" t="s">
        <v>8</v>
      </c>
      <c r="GP34" s="304">
        <f>SUM(GP27:GP33)</f>
        <v>3876.9020888888881</v>
      </c>
      <c r="GQ34" s="541"/>
      <c r="GR34" s="537"/>
      <c r="GS34" s="537"/>
      <c r="GT34" s="537"/>
      <c r="GU34" s="537"/>
      <c r="GV34" s="537"/>
      <c r="GW34" s="537"/>
      <c r="GX34" s="537"/>
      <c r="GY34" s="537"/>
      <c r="GZ34" s="537"/>
      <c r="HA34" s="537"/>
      <c r="HB34" s="537"/>
      <c r="HC34" s="537"/>
      <c r="HD34" s="537"/>
      <c r="HE34" s="537"/>
      <c r="HF34" s="538"/>
      <c r="HG34" s="423" t="s">
        <v>8</v>
      </c>
      <c r="HH34" s="304">
        <f>SUM(HH27:HH33)</f>
        <v>3876.9020888888881</v>
      </c>
      <c r="HJ34" s="37"/>
      <c r="HK34" s="37"/>
      <c r="HL34" s="37"/>
      <c r="HM34" s="37"/>
      <c r="HN34" s="37"/>
      <c r="HO34" s="37"/>
      <c r="HP34" s="37"/>
      <c r="HQ34" s="37"/>
      <c r="HR34" s="37"/>
      <c r="HS34" s="37"/>
      <c r="HT34" s="37"/>
      <c r="HU34" s="37"/>
      <c r="HV34" s="37"/>
      <c r="HW34" s="37"/>
      <c r="HX34" s="37"/>
      <c r="HY34" s="37"/>
      <c r="HZ34" s="37"/>
      <c r="IA34" s="37"/>
      <c r="IB34" s="37"/>
      <c r="IC34" s="37"/>
      <c r="ID34" s="37"/>
      <c r="IE34" s="37"/>
      <c r="IF34" s="37"/>
      <c r="IG34" s="37"/>
      <c r="IH34" s="37"/>
      <c r="II34" s="37"/>
      <c r="IJ34" s="37"/>
      <c r="IK34" s="37"/>
      <c r="IL34" s="37"/>
      <c r="IM34" s="37"/>
      <c r="IN34" s="37"/>
      <c r="IO34" s="37"/>
      <c r="IP34" s="37"/>
    </row>
    <row r="35" spans="1:250" ht="15.6" x14ac:dyDescent="0.3">
      <c r="A35" s="543"/>
      <c r="B35" s="544"/>
      <c r="C35" s="544"/>
      <c r="D35" s="544"/>
      <c r="E35" s="742" t="s">
        <v>11</v>
      </c>
      <c r="F35" s="742"/>
      <c r="G35" s="742"/>
      <c r="H35" s="742"/>
      <c r="I35" s="742"/>
      <c r="J35" s="742"/>
      <c r="K35" s="742"/>
      <c r="L35" s="742"/>
      <c r="M35" s="742"/>
      <c r="N35" s="544"/>
      <c r="O35" s="544"/>
      <c r="P35" s="544"/>
      <c r="Q35" s="544"/>
      <c r="R35" s="545"/>
      <c r="S35" s="543"/>
      <c r="T35" s="544"/>
      <c r="U35" s="544"/>
      <c r="V35" s="544"/>
      <c r="W35" s="742" t="s">
        <v>11</v>
      </c>
      <c r="X35" s="742"/>
      <c r="Y35" s="742"/>
      <c r="Z35" s="742"/>
      <c r="AA35" s="742"/>
      <c r="AB35" s="742"/>
      <c r="AC35" s="742"/>
      <c r="AD35" s="742"/>
      <c r="AE35" s="742"/>
      <c r="AF35" s="544"/>
      <c r="AG35" s="544"/>
      <c r="AH35" s="544"/>
      <c r="AI35" s="544"/>
      <c r="AJ35" s="545"/>
      <c r="AK35" s="543"/>
      <c r="AL35" s="544"/>
      <c r="AM35" s="544"/>
      <c r="AN35" s="544"/>
      <c r="AO35" s="742" t="s">
        <v>11</v>
      </c>
      <c r="AP35" s="742"/>
      <c r="AQ35" s="742"/>
      <c r="AR35" s="742"/>
      <c r="AS35" s="742"/>
      <c r="AT35" s="742"/>
      <c r="AU35" s="742"/>
      <c r="AV35" s="742"/>
      <c r="AW35" s="742"/>
      <c r="AX35" s="544"/>
      <c r="AY35" s="544"/>
      <c r="AZ35" s="544"/>
      <c r="BA35" s="544"/>
      <c r="BB35" s="545"/>
      <c r="BC35" s="543"/>
      <c r="BD35" s="544"/>
      <c r="BE35" s="544"/>
      <c r="BF35" s="544"/>
      <c r="BG35" s="742" t="s">
        <v>11</v>
      </c>
      <c r="BH35" s="742"/>
      <c r="BI35" s="742"/>
      <c r="BJ35" s="742"/>
      <c r="BK35" s="742"/>
      <c r="BL35" s="742"/>
      <c r="BM35" s="742"/>
      <c r="BN35" s="742"/>
      <c r="BO35" s="742"/>
      <c r="BP35" s="544"/>
      <c r="BQ35" s="544"/>
      <c r="BR35" s="544"/>
      <c r="BS35" s="544"/>
      <c r="BT35" s="545"/>
      <c r="BU35" s="543"/>
      <c r="BV35" s="544"/>
      <c r="BW35" s="544"/>
      <c r="BX35" s="544"/>
      <c r="BY35" s="742" t="s">
        <v>11</v>
      </c>
      <c r="BZ35" s="742"/>
      <c r="CA35" s="742"/>
      <c r="CB35" s="742"/>
      <c r="CC35" s="742"/>
      <c r="CD35" s="742"/>
      <c r="CE35" s="742"/>
      <c r="CF35" s="742"/>
      <c r="CG35" s="742"/>
      <c r="CH35" s="544"/>
      <c r="CI35" s="544"/>
      <c r="CJ35" s="544"/>
      <c r="CK35" s="544"/>
      <c r="CL35" s="545"/>
      <c r="CM35" s="543"/>
      <c r="CN35" s="544"/>
      <c r="CO35" s="544"/>
      <c r="CP35" s="544"/>
      <c r="CQ35" s="742" t="s">
        <v>11</v>
      </c>
      <c r="CR35" s="742"/>
      <c r="CS35" s="742"/>
      <c r="CT35" s="742"/>
      <c r="CU35" s="742"/>
      <c r="CV35" s="742"/>
      <c r="CW35" s="742"/>
      <c r="CX35" s="742"/>
      <c r="CY35" s="742"/>
      <c r="CZ35" s="544"/>
      <c r="DA35" s="544"/>
      <c r="DB35" s="544"/>
      <c r="DC35" s="544"/>
      <c r="DD35" s="545"/>
      <c r="DE35" s="543"/>
      <c r="DF35" s="544"/>
      <c r="DG35" s="544"/>
      <c r="DH35" s="544"/>
      <c r="DI35" s="742" t="s">
        <v>11</v>
      </c>
      <c r="DJ35" s="742"/>
      <c r="DK35" s="742"/>
      <c r="DL35" s="742"/>
      <c r="DM35" s="742"/>
      <c r="DN35" s="742"/>
      <c r="DO35" s="742"/>
      <c r="DP35" s="742"/>
      <c r="DQ35" s="742"/>
      <c r="DR35" s="544"/>
      <c r="DS35" s="544"/>
      <c r="DT35" s="544"/>
      <c r="DU35" s="544"/>
      <c r="DV35" s="545"/>
      <c r="DW35" s="543"/>
      <c r="DX35" s="544"/>
      <c r="DY35" s="544"/>
      <c r="DZ35" s="544"/>
      <c r="EA35" s="742" t="s">
        <v>11</v>
      </c>
      <c r="EB35" s="742"/>
      <c r="EC35" s="742"/>
      <c r="ED35" s="742"/>
      <c r="EE35" s="742"/>
      <c r="EF35" s="742"/>
      <c r="EG35" s="742"/>
      <c r="EH35" s="742"/>
      <c r="EI35" s="742"/>
      <c r="EJ35" s="544"/>
      <c r="EK35" s="544"/>
      <c r="EL35" s="544"/>
      <c r="EM35" s="544"/>
      <c r="EN35" s="545"/>
      <c r="EO35" s="543"/>
      <c r="EP35" s="544"/>
      <c r="EQ35" s="544"/>
      <c r="ER35" s="544"/>
      <c r="ES35" s="742" t="s">
        <v>11</v>
      </c>
      <c r="ET35" s="742"/>
      <c r="EU35" s="742"/>
      <c r="EV35" s="742"/>
      <c r="EW35" s="742"/>
      <c r="EX35" s="742"/>
      <c r="EY35" s="742"/>
      <c r="EZ35" s="742"/>
      <c r="FA35" s="742"/>
      <c r="FB35" s="544"/>
      <c r="FC35" s="544"/>
      <c r="FD35" s="544"/>
      <c r="FE35" s="544"/>
      <c r="FF35" s="545"/>
      <c r="FG35" s="543"/>
      <c r="FH35" s="544"/>
      <c r="FI35" s="544"/>
      <c r="FJ35" s="544"/>
      <c r="FK35" s="742" t="s">
        <v>11</v>
      </c>
      <c r="FL35" s="742"/>
      <c r="FM35" s="742"/>
      <c r="FN35" s="742"/>
      <c r="FO35" s="742"/>
      <c r="FP35" s="742"/>
      <c r="FQ35" s="742"/>
      <c r="FR35" s="742"/>
      <c r="FS35" s="742"/>
      <c r="FT35" s="544"/>
      <c r="FU35" s="544"/>
      <c r="FV35" s="544"/>
      <c r="FW35" s="544"/>
      <c r="FX35" s="545"/>
      <c r="FY35" s="543"/>
      <c r="FZ35" s="544"/>
      <c r="GA35" s="544"/>
      <c r="GB35" s="544"/>
      <c r="GC35" s="742" t="s">
        <v>11</v>
      </c>
      <c r="GD35" s="742"/>
      <c r="GE35" s="742"/>
      <c r="GF35" s="742"/>
      <c r="GG35" s="742"/>
      <c r="GH35" s="742"/>
      <c r="GI35" s="742"/>
      <c r="GJ35" s="742"/>
      <c r="GK35" s="742"/>
      <c r="GL35" s="544"/>
      <c r="GM35" s="544"/>
      <c r="GN35" s="544"/>
      <c r="GO35" s="544"/>
      <c r="GP35" s="545"/>
      <c r="GQ35" s="543"/>
      <c r="GR35" s="544"/>
      <c r="GS35" s="544"/>
      <c r="GT35" s="544"/>
      <c r="GU35" s="742" t="s">
        <v>11</v>
      </c>
      <c r="GV35" s="742"/>
      <c r="GW35" s="742"/>
      <c r="GX35" s="742"/>
      <c r="GY35" s="742"/>
      <c r="GZ35" s="742"/>
      <c r="HA35" s="742"/>
      <c r="HB35" s="742"/>
      <c r="HC35" s="742"/>
      <c r="HD35" s="544"/>
      <c r="HE35" s="544"/>
      <c r="HF35" s="544"/>
      <c r="HG35" s="544"/>
      <c r="HH35" s="545"/>
      <c r="HJ35" s="37"/>
      <c r="HK35" s="37"/>
      <c r="HL35" s="37"/>
      <c r="HM35" s="37"/>
      <c r="HN35" s="37"/>
      <c r="HO35" s="37"/>
      <c r="HP35" s="37"/>
      <c r="HQ35" s="37"/>
      <c r="HR35" s="37"/>
      <c r="HS35" s="37"/>
      <c r="HT35" s="37"/>
      <c r="HU35" s="37"/>
      <c r="HV35" s="37"/>
      <c r="HW35" s="37"/>
      <c r="HX35" s="37"/>
      <c r="HY35" s="37"/>
      <c r="HZ35" s="37"/>
      <c r="IA35" s="37"/>
      <c r="IB35" s="37"/>
      <c r="IC35" s="37"/>
      <c r="ID35" s="37"/>
      <c r="IE35" s="37"/>
      <c r="IF35" s="37"/>
      <c r="IG35" s="37"/>
      <c r="IH35" s="37"/>
      <c r="II35" s="37"/>
      <c r="IJ35" s="37"/>
      <c r="IK35" s="37"/>
      <c r="IL35" s="37"/>
      <c r="IM35" s="37"/>
      <c r="IN35" s="37"/>
      <c r="IO35" s="37"/>
      <c r="IP35" s="37"/>
    </row>
    <row r="36" spans="1:250" x14ac:dyDescent="0.3">
      <c r="A36" s="58">
        <v>1</v>
      </c>
      <c r="B36" s="68" t="s">
        <v>289</v>
      </c>
      <c r="C36" s="28">
        <f t="shared" ref="C36:C39" si="396">D36/$AM$4</f>
        <v>10.541636363636362</v>
      </c>
      <c r="D36" s="69">
        <v>2319.16</v>
      </c>
      <c r="E36" s="28">
        <f>D36*E$6</f>
        <v>231.916</v>
      </c>
      <c r="F36" s="28">
        <f>D36*F$6</f>
        <v>185.53279999999998</v>
      </c>
      <c r="G36" s="28">
        <f>D36/G$6</f>
        <v>193.26333333333332</v>
      </c>
      <c r="H36" s="72">
        <f>G36/H$6</f>
        <v>64.421111111111102</v>
      </c>
      <c r="I36" s="72">
        <f>D36/I$6</f>
        <v>193.26333333333332</v>
      </c>
      <c r="J36" s="70">
        <f>SUM(D36:I36)</f>
        <v>3187.5565777777779</v>
      </c>
      <c r="K36" s="71">
        <v>0</v>
      </c>
      <c r="L36" s="71">
        <v>0</v>
      </c>
      <c r="M36" s="72">
        <f t="shared" ref="M36:M39" si="397">((C36*M$6)+(C36*$AO$6)+(C36*$AP$6))*K36</f>
        <v>0</v>
      </c>
      <c r="N36" s="72">
        <f t="shared" ref="N36:N39" si="398">((C36*N$6)+(C36*$AO$6)+(C36*$AP$6))*L36</f>
        <v>0</v>
      </c>
      <c r="O36" s="70">
        <f>SUM(M36:N36)</f>
        <v>0</v>
      </c>
      <c r="P36" s="73">
        <v>0</v>
      </c>
      <c r="Q36" s="74">
        <f t="shared" ref="Q36:Q39" si="399">IF(A36=1,($C$1*$Q$6),0)</f>
        <v>282.40000000000003</v>
      </c>
      <c r="R36" s="303">
        <f t="shared" ref="R36:R39" si="400">J36+O36+P36+Q36</f>
        <v>3469.956577777778</v>
      </c>
      <c r="S36" s="58">
        <v>1</v>
      </c>
      <c r="T36" s="68" t="s">
        <v>289</v>
      </c>
      <c r="U36" s="28">
        <f t="shared" ref="U36:U39" si="401">V36/$AM$4</f>
        <v>10.541636363636362</v>
      </c>
      <c r="V36" s="69">
        <v>2319.16</v>
      </c>
      <c r="W36" s="28">
        <f>V36*W$6</f>
        <v>231.916</v>
      </c>
      <c r="X36" s="28">
        <f>V36*X$6</f>
        <v>185.53279999999998</v>
      </c>
      <c r="Y36" s="28">
        <f>V36/Y$6</f>
        <v>193.26333333333332</v>
      </c>
      <c r="Z36" s="72">
        <f>Y36/Z$6</f>
        <v>64.421111111111102</v>
      </c>
      <c r="AA36" s="72">
        <f>V36/AA$6</f>
        <v>193.26333333333332</v>
      </c>
      <c r="AB36" s="70">
        <f>SUM(V36:AA36)</f>
        <v>3187.5565777777779</v>
      </c>
      <c r="AC36" s="71">
        <v>0</v>
      </c>
      <c r="AD36" s="71">
        <v>0</v>
      </c>
      <c r="AE36" s="72">
        <f t="shared" ref="AE36:AE39" si="402">((U36*AE$6)+(U36*$AO$6)+(U36*$AP$6))*AC36</f>
        <v>0</v>
      </c>
      <c r="AF36" s="72">
        <f t="shared" ref="AF36:AF39" si="403">((U36*AF$6)+(U36*$AO$6)+(U36*$AP$6))*AD36</f>
        <v>0</v>
      </c>
      <c r="AG36" s="70">
        <f>SUM(AE36:AF36)</f>
        <v>0</v>
      </c>
      <c r="AH36" s="73">
        <v>0</v>
      </c>
      <c r="AI36" s="74">
        <f t="shared" ref="AI36:AI39" si="404">IF(S36=1,($C$1*$Q$6),0)</f>
        <v>282.40000000000003</v>
      </c>
      <c r="AJ36" s="303">
        <f t="shared" ref="AJ36:AJ39" si="405">AB36+AG36+AH36+AI36</f>
        <v>3469.956577777778</v>
      </c>
      <c r="AK36" s="58">
        <v>1</v>
      </c>
      <c r="AL36" s="68" t="s">
        <v>289</v>
      </c>
      <c r="AM36" s="28">
        <f t="shared" ref="AM36:AM39" si="406">AN36/$AM$4</f>
        <v>10.541636363636362</v>
      </c>
      <c r="AN36" s="69">
        <v>2319.16</v>
      </c>
      <c r="AO36" s="28">
        <f>AN36*AO$6</f>
        <v>231.916</v>
      </c>
      <c r="AP36" s="28">
        <f>AN36*AP$6</f>
        <v>185.53279999999998</v>
      </c>
      <c r="AQ36" s="28">
        <f>AN36/AQ$6</f>
        <v>193.26333333333332</v>
      </c>
      <c r="AR36" s="72">
        <f>AQ36/AR$6</f>
        <v>64.421111111111102</v>
      </c>
      <c r="AS36" s="72">
        <f>AN36/AS$6</f>
        <v>193.26333333333332</v>
      </c>
      <c r="AT36" s="70">
        <f>SUM(AN36:AS36)</f>
        <v>3187.5565777777779</v>
      </c>
      <c r="AU36" s="71">
        <v>0</v>
      </c>
      <c r="AV36" s="71">
        <v>0</v>
      </c>
      <c r="AW36" s="72">
        <f t="shared" ref="AW36:AW39" si="407">((AM36*AW$6)+(AM36*$AO$6)+(AM36*$AP$6))*AU36</f>
        <v>0</v>
      </c>
      <c r="AX36" s="72">
        <f t="shared" ref="AX36:AX39" si="408">((AM36*AX$6)+(AM36*$AO$6)+(AM36*$AP$6))*AV36</f>
        <v>0</v>
      </c>
      <c r="AY36" s="70">
        <f>SUM(AW36:AX36)</f>
        <v>0</v>
      </c>
      <c r="AZ36" s="73">
        <v>0</v>
      </c>
      <c r="BA36" s="74">
        <f t="shared" ref="BA36:BA39" si="409">IF(AK36=1,($C$1*$Q$6),0)</f>
        <v>282.40000000000003</v>
      </c>
      <c r="BB36" s="303">
        <f t="shared" ref="BB36:BB39" si="410">AT36+AY36+AZ36+BA36</f>
        <v>3469.956577777778</v>
      </c>
      <c r="BC36" s="58">
        <v>1</v>
      </c>
      <c r="BD36" s="68" t="s">
        <v>289</v>
      </c>
      <c r="BE36" s="28">
        <f t="shared" ref="BE36:BE39" si="411">BF36/$AM$4</f>
        <v>10.541636363636362</v>
      </c>
      <c r="BF36" s="69">
        <v>2319.16</v>
      </c>
      <c r="BG36" s="28">
        <f>BF36*BG$6</f>
        <v>231.916</v>
      </c>
      <c r="BH36" s="28">
        <f>BF36*BH$6</f>
        <v>185.53279999999998</v>
      </c>
      <c r="BI36" s="28">
        <f>BF36/BI$6</f>
        <v>193.26333333333332</v>
      </c>
      <c r="BJ36" s="72">
        <f>BI36/BJ$6</f>
        <v>64.421111111111102</v>
      </c>
      <c r="BK36" s="72">
        <f>BF36/BK$6</f>
        <v>193.26333333333332</v>
      </c>
      <c r="BL36" s="70">
        <f>SUM(BF36:BK36)</f>
        <v>3187.5565777777779</v>
      </c>
      <c r="BM36" s="71">
        <v>0</v>
      </c>
      <c r="BN36" s="71">
        <v>0</v>
      </c>
      <c r="BO36" s="72">
        <f t="shared" ref="BO36:BO39" si="412">((BE36*BO$6)+(BE36*$AO$6)+(BE36*$AP$6))*BM36</f>
        <v>0</v>
      </c>
      <c r="BP36" s="72">
        <f t="shared" ref="BP36:BP39" si="413">((BE36*BP$6)+(BE36*$AO$6)+(BE36*$AP$6))*BN36</f>
        <v>0</v>
      </c>
      <c r="BQ36" s="70">
        <f>SUM(BO36:BP36)</f>
        <v>0</v>
      </c>
      <c r="BR36" s="73">
        <v>0</v>
      </c>
      <c r="BS36" s="74">
        <f t="shared" ref="BS36:BS39" si="414">IF(BC36=1,($C$1*$Q$6),0)</f>
        <v>282.40000000000003</v>
      </c>
      <c r="BT36" s="303">
        <f t="shared" ref="BT36:BT39" si="415">BL36+BQ36+BR36+BS36</f>
        <v>3469.956577777778</v>
      </c>
      <c r="BU36" s="58">
        <v>1</v>
      </c>
      <c r="BV36" s="68" t="s">
        <v>289</v>
      </c>
      <c r="BW36" s="28">
        <f t="shared" ref="BW36:BW39" si="416">BX36/$AM$4</f>
        <v>10.541636363636362</v>
      </c>
      <c r="BX36" s="69">
        <v>2319.16</v>
      </c>
      <c r="BY36" s="28">
        <f>BX36*BY$6</f>
        <v>231.916</v>
      </c>
      <c r="BZ36" s="28">
        <f>BX36*BZ$6</f>
        <v>185.53279999999998</v>
      </c>
      <c r="CA36" s="28">
        <f>BX36/CA$6</f>
        <v>193.26333333333332</v>
      </c>
      <c r="CB36" s="72">
        <f>CA36/CB$6</f>
        <v>64.421111111111102</v>
      </c>
      <c r="CC36" s="72">
        <f>BX36/CC$6</f>
        <v>193.26333333333332</v>
      </c>
      <c r="CD36" s="70">
        <f>SUM(BX36:CC36)</f>
        <v>3187.5565777777779</v>
      </c>
      <c r="CE36" s="71">
        <v>0</v>
      </c>
      <c r="CF36" s="71">
        <v>0</v>
      </c>
      <c r="CG36" s="72">
        <f t="shared" ref="CG36:CG39" si="417">((BW36*CG$6)+(BW36*$AO$6)+(BW36*$AP$6))*CE36</f>
        <v>0</v>
      </c>
      <c r="CH36" s="72">
        <f t="shared" ref="CH36:CH39" si="418">((BW36*CH$6)+(BW36*$AO$6)+(BW36*$AP$6))*CF36</f>
        <v>0</v>
      </c>
      <c r="CI36" s="70">
        <f>SUM(CG36:CH36)</f>
        <v>0</v>
      </c>
      <c r="CJ36" s="73">
        <v>0</v>
      </c>
      <c r="CK36" s="74">
        <f t="shared" ref="CK36:CK39" si="419">IF(BU36=1,($C$1*$Q$6),0)</f>
        <v>282.40000000000003</v>
      </c>
      <c r="CL36" s="303">
        <f t="shared" ref="CL36:CL39" si="420">CD36+CI36+CJ36+CK36</f>
        <v>3469.956577777778</v>
      </c>
      <c r="CM36" s="58">
        <v>1</v>
      </c>
      <c r="CN36" s="68" t="s">
        <v>289</v>
      </c>
      <c r="CO36" s="28">
        <f t="shared" ref="CO36:CO39" si="421">CP36/$AM$4</f>
        <v>10.541636363636362</v>
      </c>
      <c r="CP36" s="69">
        <v>2319.16</v>
      </c>
      <c r="CQ36" s="28">
        <f>CP36*CQ$6</f>
        <v>231.916</v>
      </c>
      <c r="CR36" s="28">
        <f>CP36*CR$6</f>
        <v>185.53279999999998</v>
      </c>
      <c r="CS36" s="28">
        <f>CP36/CS$6</f>
        <v>193.26333333333332</v>
      </c>
      <c r="CT36" s="72">
        <f>CS36/CT$6</f>
        <v>64.421111111111102</v>
      </c>
      <c r="CU36" s="72">
        <f>CP36/CU$6</f>
        <v>193.26333333333332</v>
      </c>
      <c r="CV36" s="70">
        <f>SUM(CP36:CU36)</f>
        <v>3187.5565777777779</v>
      </c>
      <c r="CW36" s="71">
        <v>0</v>
      </c>
      <c r="CX36" s="71">
        <v>0</v>
      </c>
      <c r="CY36" s="72">
        <f t="shared" ref="CY36:CY39" si="422">((CO36*CY$6)+(CO36*$AO$6)+(CO36*$AP$6))*CW36</f>
        <v>0</v>
      </c>
      <c r="CZ36" s="72">
        <f t="shared" ref="CZ36:CZ39" si="423">((CO36*CZ$6)+(CO36*$AO$6)+(CO36*$AP$6))*CX36</f>
        <v>0</v>
      </c>
      <c r="DA36" s="70">
        <f>SUM(CY36:CZ36)</f>
        <v>0</v>
      </c>
      <c r="DB36" s="73">
        <v>0</v>
      </c>
      <c r="DC36" s="74">
        <f t="shared" ref="DC36:DC39" si="424">IF(CM36=1,($C$1*$Q$6),0)</f>
        <v>282.40000000000003</v>
      </c>
      <c r="DD36" s="303">
        <f t="shared" ref="DD36:DD39" si="425">CV36+DA36+DB36+DC36</f>
        <v>3469.956577777778</v>
      </c>
      <c r="DE36" s="58">
        <v>1</v>
      </c>
      <c r="DF36" s="68" t="s">
        <v>289</v>
      </c>
      <c r="DG36" s="28">
        <f t="shared" ref="DG36:DG39" si="426">DH36/$AM$4</f>
        <v>10.541636363636362</v>
      </c>
      <c r="DH36" s="69">
        <v>2319.16</v>
      </c>
      <c r="DI36" s="28">
        <f>DH36*DI$6</f>
        <v>231.916</v>
      </c>
      <c r="DJ36" s="28">
        <f>DH36*DJ$6</f>
        <v>185.53279999999998</v>
      </c>
      <c r="DK36" s="28">
        <f>DH36/DK$6</f>
        <v>193.26333333333332</v>
      </c>
      <c r="DL36" s="72">
        <f>DK36/DL$6</f>
        <v>64.421111111111102</v>
      </c>
      <c r="DM36" s="72">
        <f>DH36/DM$6</f>
        <v>193.26333333333332</v>
      </c>
      <c r="DN36" s="70">
        <f>SUM(DH36:DM36)</f>
        <v>3187.5565777777779</v>
      </c>
      <c r="DO36" s="71">
        <v>0</v>
      </c>
      <c r="DP36" s="71">
        <v>0</v>
      </c>
      <c r="DQ36" s="72">
        <f t="shared" ref="DQ36:DQ39" si="427">((DG36*DQ$6)+(DG36*$AO$6)+(DG36*$AP$6))*DO36</f>
        <v>0</v>
      </c>
      <c r="DR36" s="72">
        <f t="shared" ref="DR36:DR39" si="428">((DG36*DR$6)+(DG36*$AO$6)+(DG36*$AP$6))*DP36</f>
        <v>0</v>
      </c>
      <c r="DS36" s="70">
        <f>SUM(DQ36:DR36)</f>
        <v>0</v>
      </c>
      <c r="DT36" s="73">
        <v>0</v>
      </c>
      <c r="DU36" s="74">
        <f t="shared" ref="DU36:DU39" si="429">IF(DE36=1,($C$1*$Q$6),0)</f>
        <v>282.40000000000003</v>
      </c>
      <c r="DV36" s="303">
        <f t="shared" ref="DV36:DV39" si="430">DN36+DS36+DT36+DU36</f>
        <v>3469.956577777778</v>
      </c>
      <c r="DW36" s="58">
        <v>1</v>
      </c>
      <c r="DX36" s="68" t="s">
        <v>289</v>
      </c>
      <c r="DY36" s="28">
        <f t="shared" ref="DY36:DY39" si="431">DZ36/$AM$4</f>
        <v>10.541636363636362</v>
      </c>
      <c r="DZ36" s="69">
        <v>2319.16</v>
      </c>
      <c r="EA36" s="28">
        <f>DZ36*EA$6</f>
        <v>231.916</v>
      </c>
      <c r="EB36" s="28">
        <f>DZ36*EB$6</f>
        <v>185.53279999999998</v>
      </c>
      <c r="EC36" s="28">
        <f>DZ36/EC$6</f>
        <v>193.26333333333332</v>
      </c>
      <c r="ED36" s="72">
        <f>EC36/ED$6</f>
        <v>64.421111111111102</v>
      </c>
      <c r="EE36" s="72">
        <f>DZ36/EE$6</f>
        <v>193.26333333333332</v>
      </c>
      <c r="EF36" s="70">
        <f>SUM(DZ36:EE36)</f>
        <v>3187.5565777777779</v>
      </c>
      <c r="EG36" s="71">
        <v>0</v>
      </c>
      <c r="EH36" s="71">
        <v>0</v>
      </c>
      <c r="EI36" s="72">
        <f t="shared" ref="EI36:EI39" si="432">((DY36*EI$6)+(DY36*$AO$6)+(DY36*$AP$6))*EG36</f>
        <v>0</v>
      </c>
      <c r="EJ36" s="72">
        <f t="shared" ref="EJ36:EJ39" si="433">((DY36*EJ$6)+(DY36*$AO$6)+(DY36*$AP$6))*EH36</f>
        <v>0</v>
      </c>
      <c r="EK36" s="70">
        <f>SUM(EI36:EJ36)</f>
        <v>0</v>
      </c>
      <c r="EL36" s="73">
        <v>0</v>
      </c>
      <c r="EM36" s="74">
        <f t="shared" ref="EM36:EM39" si="434">IF(DW36=1,($C$1*$Q$6),0)</f>
        <v>282.40000000000003</v>
      </c>
      <c r="EN36" s="303">
        <f t="shared" ref="EN36:EN39" si="435">EF36+EK36+EL36+EM36</f>
        <v>3469.956577777778</v>
      </c>
      <c r="EO36" s="58">
        <v>1</v>
      </c>
      <c r="EP36" s="68" t="s">
        <v>289</v>
      </c>
      <c r="EQ36" s="28">
        <f t="shared" ref="EQ36:EQ39" si="436">ER36/$AM$4</f>
        <v>10.541636363636362</v>
      </c>
      <c r="ER36" s="69">
        <v>2319.16</v>
      </c>
      <c r="ES36" s="28">
        <f>ER36*ES$6</f>
        <v>231.916</v>
      </c>
      <c r="ET36" s="28">
        <f>ER36*ET$6</f>
        <v>185.53279999999998</v>
      </c>
      <c r="EU36" s="28">
        <f>ER36/EU$6</f>
        <v>193.26333333333332</v>
      </c>
      <c r="EV36" s="72">
        <f>EU36/EV$6</f>
        <v>64.421111111111102</v>
      </c>
      <c r="EW36" s="72">
        <f>ER36/EW$6</f>
        <v>193.26333333333332</v>
      </c>
      <c r="EX36" s="70">
        <f>SUM(ER36:EW36)</f>
        <v>3187.5565777777779</v>
      </c>
      <c r="EY36" s="71">
        <v>0</v>
      </c>
      <c r="EZ36" s="71">
        <v>0</v>
      </c>
      <c r="FA36" s="72">
        <f t="shared" ref="FA36:FA39" si="437">((EQ36*FA$6)+(EQ36*$AO$6)+(EQ36*$AP$6))*EY36</f>
        <v>0</v>
      </c>
      <c r="FB36" s="72">
        <f t="shared" ref="FB36:FB39" si="438">((EQ36*FB$6)+(EQ36*$AO$6)+(EQ36*$AP$6))*EZ36</f>
        <v>0</v>
      </c>
      <c r="FC36" s="70">
        <f>SUM(FA36:FB36)</f>
        <v>0</v>
      </c>
      <c r="FD36" s="73">
        <v>0</v>
      </c>
      <c r="FE36" s="74">
        <f t="shared" ref="FE36:FE39" si="439">IF(EO36=1,($C$1*$Q$6),0)</f>
        <v>282.40000000000003</v>
      </c>
      <c r="FF36" s="303">
        <f t="shared" ref="FF36:FF39" si="440">EX36+FC36+FD36+FE36</f>
        <v>3469.956577777778</v>
      </c>
      <c r="FG36" s="58">
        <v>1</v>
      </c>
      <c r="FH36" s="68" t="s">
        <v>289</v>
      </c>
      <c r="FI36" s="28">
        <f t="shared" ref="FI36:FI39" si="441">FJ36/$AM$4</f>
        <v>10.541636363636362</v>
      </c>
      <c r="FJ36" s="69">
        <v>2319.16</v>
      </c>
      <c r="FK36" s="28">
        <f>FJ36*FK$6</f>
        <v>231.916</v>
      </c>
      <c r="FL36" s="28">
        <f>FJ36*FL$6</f>
        <v>185.53279999999998</v>
      </c>
      <c r="FM36" s="28">
        <f>FJ36/FM$6</f>
        <v>193.26333333333332</v>
      </c>
      <c r="FN36" s="72">
        <f>FM36/FN$6</f>
        <v>64.421111111111102</v>
      </c>
      <c r="FO36" s="72">
        <f>FJ36/FO$6</f>
        <v>193.26333333333332</v>
      </c>
      <c r="FP36" s="70">
        <f>SUM(FJ36:FO36)</f>
        <v>3187.5565777777779</v>
      </c>
      <c r="FQ36" s="71">
        <v>0</v>
      </c>
      <c r="FR36" s="71">
        <v>0</v>
      </c>
      <c r="FS36" s="72">
        <f t="shared" ref="FS36:FS39" si="442">((FI36*FS$6)+(FI36*$AO$6)+(FI36*$AP$6))*FQ36</f>
        <v>0</v>
      </c>
      <c r="FT36" s="72">
        <f t="shared" ref="FT36:FT39" si="443">((FI36*FT$6)+(FI36*$AO$6)+(FI36*$AP$6))*FR36</f>
        <v>0</v>
      </c>
      <c r="FU36" s="70">
        <f>SUM(FS36:FT36)</f>
        <v>0</v>
      </c>
      <c r="FV36" s="73">
        <v>0</v>
      </c>
      <c r="FW36" s="74">
        <f t="shared" ref="FW36:FW39" si="444">IF(FG36=1,($C$1*$Q$6),0)</f>
        <v>282.40000000000003</v>
      </c>
      <c r="FX36" s="303">
        <f t="shared" ref="FX36:FX39" si="445">FP36+FU36+FV36+FW36</f>
        <v>3469.956577777778</v>
      </c>
      <c r="FY36" s="58">
        <v>1</v>
      </c>
      <c r="FZ36" s="68" t="s">
        <v>289</v>
      </c>
      <c r="GA36" s="28">
        <f t="shared" ref="GA36:GA39" si="446">GB36/$AM$4</f>
        <v>10.541636363636362</v>
      </c>
      <c r="GB36" s="69">
        <v>2319.16</v>
      </c>
      <c r="GC36" s="28">
        <f>GB36*GC$6</f>
        <v>231.916</v>
      </c>
      <c r="GD36" s="28">
        <f>GB36*GD$6</f>
        <v>185.53279999999998</v>
      </c>
      <c r="GE36" s="28">
        <f>GB36/GE$6</f>
        <v>193.26333333333332</v>
      </c>
      <c r="GF36" s="72">
        <f>GE36/GF$6</f>
        <v>64.421111111111102</v>
      </c>
      <c r="GG36" s="72">
        <f>GB36/GG$6</f>
        <v>193.26333333333332</v>
      </c>
      <c r="GH36" s="70">
        <f>SUM(GB36:GG36)</f>
        <v>3187.5565777777779</v>
      </c>
      <c r="GI36" s="71">
        <v>0</v>
      </c>
      <c r="GJ36" s="71">
        <v>0</v>
      </c>
      <c r="GK36" s="72">
        <f t="shared" ref="GK36:GK39" si="447">((GA36*GK$6)+(GA36*$AO$6)+(GA36*$AP$6))*GI36</f>
        <v>0</v>
      </c>
      <c r="GL36" s="72">
        <f t="shared" ref="GL36:GL39" si="448">((GA36*GL$6)+(GA36*$AO$6)+(GA36*$AP$6))*GJ36</f>
        <v>0</v>
      </c>
      <c r="GM36" s="70">
        <f>SUM(GK36:GL36)</f>
        <v>0</v>
      </c>
      <c r="GN36" s="73">
        <v>0</v>
      </c>
      <c r="GO36" s="74">
        <f t="shared" ref="GO36:GO39" si="449">IF(FY36=1,($C$1*$Q$6),0)</f>
        <v>282.40000000000003</v>
      </c>
      <c r="GP36" s="303">
        <f t="shared" ref="GP36:GP39" si="450">GH36+GM36+GN36+GO36</f>
        <v>3469.956577777778</v>
      </c>
      <c r="GQ36" s="58">
        <v>1</v>
      </c>
      <c r="GR36" s="68" t="s">
        <v>289</v>
      </c>
      <c r="GS36" s="28">
        <f t="shared" ref="GS36:GS39" si="451">GT36/$AM$4</f>
        <v>10.541636363636362</v>
      </c>
      <c r="GT36" s="69">
        <v>2319.16</v>
      </c>
      <c r="GU36" s="28">
        <f>GT36*GU$6</f>
        <v>231.916</v>
      </c>
      <c r="GV36" s="28">
        <f>GT36*GV$6</f>
        <v>185.53279999999998</v>
      </c>
      <c r="GW36" s="28">
        <f>GT36/GW$6</f>
        <v>193.26333333333332</v>
      </c>
      <c r="GX36" s="72">
        <f>GW36/GX$6</f>
        <v>64.421111111111102</v>
      </c>
      <c r="GY36" s="72">
        <f>GT36/GY$6</f>
        <v>193.26333333333332</v>
      </c>
      <c r="GZ36" s="70">
        <f>SUM(GT36:GY36)</f>
        <v>3187.5565777777779</v>
      </c>
      <c r="HA36" s="71">
        <v>0</v>
      </c>
      <c r="HB36" s="71">
        <v>0</v>
      </c>
      <c r="HC36" s="72">
        <f t="shared" ref="HC36:HC39" si="452">((GS36*HC$6)+(GS36*$AO$6)+(GS36*$AP$6))*HA36</f>
        <v>0</v>
      </c>
      <c r="HD36" s="72">
        <f t="shared" ref="HD36:HD39" si="453">((GS36*HD$6)+(GS36*$AO$6)+(GS36*$AP$6))*HB36</f>
        <v>0</v>
      </c>
      <c r="HE36" s="70">
        <f>SUM(HC36:HD36)</f>
        <v>0</v>
      </c>
      <c r="HF36" s="73">
        <v>0</v>
      </c>
      <c r="HG36" s="74">
        <f t="shared" ref="HG36:HG39" si="454">IF(GQ36=1,($C$1*$Q$6),0)</f>
        <v>282.40000000000003</v>
      </c>
      <c r="HH36" s="303">
        <f t="shared" ref="HH36:HH39" si="455">GZ36+HE36+HF36+HG36</f>
        <v>3469.956577777778</v>
      </c>
      <c r="HJ36" s="37"/>
      <c r="HK36" s="37"/>
      <c r="HL36" s="37"/>
      <c r="HM36" s="37"/>
      <c r="HN36" s="37"/>
      <c r="HO36" s="37"/>
      <c r="HP36" s="37"/>
      <c r="HQ36" s="37"/>
      <c r="HR36" s="37"/>
      <c r="HS36" s="37"/>
      <c r="HT36" s="37"/>
      <c r="HU36" s="37"/>
      <c r="HV36" s="37"/>
      <c r="HW36" s="37"/>
      <c r="HX36" s="37"/>
      <c r="HY36" s="37"/>
      <c r="HZ36" s="37"/>
      <c r="IA36" s="37"/>
      <c r="IB36" s="37"/>
      <c r="IC36" s="37"/>
      <c r="ID36" s="37"/>
      <c r="IE36" s="37"/>
      <c r="IF36" s="37"/>
      <c r="IG36" s="37"/>
      <c r="IH36" s="37"/>
      <c r="II36" s="37"/>
      <c r="IJ36" s="37"/>
      <c r="IK36" s="37"/>
      <c r="IL36" s="37"/>
      <c r="IM36" s="37"/>
      <c r="IN36" s="37"/>
      <c r="IO36" s="37"/>
      <c r="IP36" s="37"/>
    </row>
    <row r="37" spans="1:250" x14ac:dyDescent="0.3">
      <c r="A37" s="58">
        <v>0</v>
      </c>
      <c r="B37" s="68"/>
      <c r="C37" s="28">
        <f t="shared" si="396"/>
        <v>0</v>
      </c>
      <c r="D37" s="28">
        <v>0</v>
      </c>
      <c r="E37" s="28">
        <f t="shared" ref="E37:E39" si="456">D37*E$6</f>
        <v>0</v>
      </c>
      <c r="F37" s="28">
        <f>D37*F$6</f>
        <v>0</v>
      </c>
      <c r="G37" s="28">
        <f>D37/G$6</f>
        <v>0</v>
      </c>
      <c r="H37" s="72">
        <f t="shared" ref="H37:H39" si="457">G37/H$6</f>
        <v>0</v>
      </c>
      <c r="I37" s="72">
        <f>D37/I$6</f>
        <v>0</v>
      </c>
      <c r="J37" s="70">
        <f>SUM(D37:I37)</f>
        <v>0</v>
      </c>
      <c r="K37" s="71">
        <v>0</v>
      </c>
      <c r="L37" s="71">
        <v>0</v>
      </c>
      <c r="M37" s="72">
        <f t="shared" si="397"/>
        <v>0</v>
      </c>
      <c r="N37" s="72">
        <f t="shared" si="398"/>
        <v>0</v>
      </c>
      <c r="O37" s="70">
        <f>SUM(M37:N37)</f>
        <v>0</v>
      </c>
      <c r="P37" s="73">
        <v>0</v>
      </c>
      <c r="Q37" s="74">
        <f t="shared" si="399"/>
        <v>0</v>
      </c>
      <c r="R37" s="303">
        <f t="shared" si="400"/>
        <v>0</v>
      </c>
      <c r="S37" s="58">
        <v>0</v>
      </c>
      <c r="T37" s="68"/>
      <c r="U37" s="28">
        <f t="shared" si="401"/>
        <v>0</v>
      </c>
      <c r="V37" s="28">
        <v>0</v>
      </c>
      <c r="W37" s="28">
        <f t="shared" ref="W37:W39" si="458">V37*W$6</f>
        <v>0</v>
      </c>
      <c r="X37" s="28">
        <f>V37*X$6</f>
        <v>0</v>
      </c>
      <c r="Y37" s="28">
        <f>V37/Y$6</f>
        <v>0</v>
      </c>
      <c r="Z37" s="72">
        <f t="shared" ref="Z37:Z39" si="459">Y37/Z$6</f>
        <v>0</v>
      </c>
      <c r="AA37" s="72">
        <f>V37/AA$6</f>
        <v>0</v>
      </c>
      <c r="AB37" s="70">
        <f>SUM(V37:AA37)</f>
        <v>0</v>
      </c>
      <c r="AC37" s="71">
        <v>0</v>
      </c>
      <c r="AD37" s="71">
        <v>0</v>
      </c>
      <c r="AE37" s="72">
        <f t="shared" si="402"/>
        <v>0</v>
      </c>
      <c r="AF37" s="72">
        <f t="shared" si="403"/>
        <v>0</v>
      </c>
      <c r="AG37" s="70">
        <f>SUM(AE37:AF37)</f>
        <v>0</v>
      </c>
      <c r="AH37" s="73">
        <v>0</v>
      </c>
      <c r="AI37" s="74">
        <f t="shared" si="404"/>
        <v>0</v>
      </c>
      <c r="AJ37" s="303">
        <f t="shared" si="405"/>
        <v>0</v>
      </c>
      <c r="AK37" s="58">
        <v>0</v>
      </c>
      <c r="AL37" s="68"/>
      <c r="AM37" s="28">
        <f t="shared" si="406"/>
        <v>0</v>
      </c>
      <c r="AN37" s="28">
        <v>0</v>
      </c>
      <c r="AO37" s="28">
        <f t="shared" ref="AO37:AO39" si="460">AN37*AO$6</f>
        <v>0</v>
      </c>
      <c r="AP37" s="28">
        <f>AN37*AP$6</f>
        <v>0</v>
      </c>
      <c r="AQ37" s="28">
        <f>AN37/AQ$6</f>
        <v>0</v>
      </c>
      <c r="AR37" s="72">
        <f t="shared" ref="AR37:AR39" si="461">AQ37/AR$6</f>
        <v>0</v>
      </c>
      <c r="AS37" s="72">
        <f>AN37/AS$6</f>
        <v>0</v>
      </c>
      <c r="AT37" s="70">
        <f>SUM(AN37:AS37)</f>
        <v>0</v>
      </c>
      <c r="AU37" s="71">
        <v>0</v>
      </c>
      <c r="AV37" s="71">
        <v>0</v>
      </c>
      <c r="AW37" s="72">
        <f t="shared" si="407"/>
        <v>0</v>
      </c>
      <c r="AX37" s="72">
        <f t="shared" si="408"/>
        <v>0</v>
      </c>
      <c r="AY37" s="70">
        <f>SUM(AW37:AX37)</f>
        <v>0</v>
      </c>
      <c r="AZ37" s="73">
        <v>0</v>
      </c>
      <c r="BA37" s="74">
        <f t="shared" si="409"/>
        <v>0</v>
      </c>
      <c r="BB37" s="303">
        <f t="shared" si="410"/>
        <v>0</v>
      </c>
      <c r="BC37" s="58">
        <v>0</v>
      </c>
      <c r="BD37" s="68"/>
      <c r="BE37" s="28">
        <f t="shared" si="411"/>
        <v>0</v>
      </c>
      <c r="BF37" s="28">
        <v>0</v>
      </c>
      <c r="BG37" s="28">
        <f t="shared" ref="BG37:BG39" si="462">BF37*BG$6</f>
        <v>0</v>
      </c>
      <c r="BH37" s="28">
        <f>BF37*BH$6</f>
        <v>0</v>
      </c>
      <c r="BI37" s="28">
        <f>BF37/BI$6</f>
        <v>0</v>
      </c>
      <c r="BJ37" s="72">
        <f t="shared" ref="BJ37:BJ39" si="463">BI37/BJ$6</f>
        <v>0</v>
      </c>
      <c r="BK37" s="72">
        <f>BF37/BK$6</f>
        <v>0</v>
      </c>
      <c r="BL37" s="70">
        <f>SUM(BF37:BK37)</f>
        <v>0</v>
      </c>
      <c r="BM37" s="71">
        <v>0</v>
      </c>
      <c r="BN37" s="71">
        <v>0</v>
      </c>
      <c r="BO37" s="72">
        <f t="shared" si="412"/>
        <v>0</v>
      </c>
      <c r="BP37" s="72">
        <f t="shared" si="413"/>
        <v>0</v>
      </c>
      <c r="BQ37" s="70">
        <f>SUM(BO37:BP37)</f>
        <v>0</v>
      </c>
      <c r="BR37" s="73">
        <v>0</v>
      </c>
      <c r="BS37" s="74">
        <f t="shared" si="414"/>
        <v>0</v>
      </c>
      <c r="BT37" s="303">
        <f t="shared" si="415"/>
        <v>0</v>
      </c>
      <c r="BU37" s="58">
        <v>0</v>
      </c>
      <c r="BV37" s="68"/>
      <c r="BW37" s="28">
        <f t="shared" si="416"/>
        <v>0</v>
      </c>
      <c r="BX37" s="28">
        <v>0</v>
      </c>
      <c r="BY37" s="28">
        <f t="shared" ref="BY37:BY39" si="464">BX37*BY$6</f>
        <v>0</v>
      </c>
      <c r="BZ37" s="28">
        <f>BX37*BZ$6</f>
        <v>0</v>
      </c>
      <c r="CA37" s="28">
        <f>BX37/CA$6</f>
        <v>0</v>
      </c>
      <c r="CB37" s="72">
        <f t="shared" ref="CB37:CB39" si="465">CA37/CB$6</f>
        <v>0</v>
      </c>
      <c r="CC37" s="72">
        <f>BX37/CC$6</f>
        <v>0</v>
      </c>
      <c r="CD37" s="70">
        <f>SUM(BX37:CC37)</f>
        <v>0</v>
      </c>
      <c r="CE37" s="71">
        <v>0</v>
      </c>
      <c r="CF37" s="71">
        <v>0</v>
      </c>
      <c r="CG37" s="72">
        <f t="shared" si="417"/>
        <v>0</v>
      </c>
      <c r="CH37" s="72">
        <f t="shared" si="418"/>
        <v>0</v>
      </c>
      <c r="CI37" s="70">
        <f>SUM(CG37:CH37)</f>
        <v>0</v>
      </c>
      <c r="CJ37" s="73">
        <v>0</v>
      </c>
      <c r="CK37" s="74">
        <f t="shared" si="419"/>
        <v>0</v>
      </c>
      <c r="CL37" s="303">
        <f t="shared" si="420"/>
        <v>0</v>
      </c>
      <c r="CM37" s="58">
        <v>0</v>
      </c>
      <c r="CN37" s="68"/>
      <c r="CO37" s="28">
        <f t="shared" si="421"/>
        <v>0</v>
      </c>
      <c r="CP37" s="28">
        <v>0</v>
      </c>
      <c r="CQ37" s="28">
        <f t="shared" ref="CQ37:CQ39" si="466">CP37*CQ$6</f>
        <v>0</v>
      </c>
      <c r="CR37" s="28">
        <f>CP37*CR$6</f>
        <v>0</v>
      </c>
      <c r="CS37" s="28">
        <f>CP37/CS$6</f>
        <v>0</v>
      </c>
      <c r="CT37" s="72">
        <f t="shared" ref="CT37:CT39" si="467">CS37/CT$6</f>
        <v>0</v>
      </c>
      <c r="CU37" s="72">
        <f>CP37/CU$6</f>
        <v>0</v>
      </c>
      <c r="CV37" s="70">
        <f>SUM(CP37:CU37)</f>
        <v>0</v>
      </c>
      <c r="CW37" s="71">
        <v>0</v>
      </c>
      <c r="CX37" s="71">
        <v>0</v>
      </c>
      <c r="CY37" s="72">
        <f t="shared" si="422"/>
        <v>0</v>
      </c>
      <c r="CZ37" s="72">
        <f t="shared" si="423"/>
        <v>0</v>
      </c>
      <c r="DA37" s="70">
        <f>SUM(CY37:CZ37)</f>
        <v>0</v>
      </c>
      <c r="DB37" s="73">
        <v>0</v>
      </c>
      <c r="DC37" s="74">
        <f t="shared" si="424"/>
        <v>0</v>
      </c>
      <c r="DD37" s="303">
        <f t="shared" si="425"/>
        <v>0</v>
      </c>
      <c r="DE37" s="58">
        <v>0</v>
      </c>
      <c r="DF37" s="68"/>
      <c r="DG37" s="28">
        <f t="shared" si="426"/>
        <v>0</v>
      </c>
      <c r="DH37" s="28">
        <v>0</v>
      </c>
      <c r="DI37" s="28">
        <f t="shared" ref="DI37:DI39" si="468">DH37*DI$6</f>
        <v>0</v>
      </c>
      <c r="DJ37" s="28">
        <f>DH37*DJ$6</f>
        <v>0</v>
      </c>
      <c r="DK37" s="28">
        <f>DH37/DK$6</f>
        <v>0</v>
      </c>
      <c r="DL37" s="72">
        <f t="shared" ref="DL37:DL39" si="469">DK37/DL$6</f>
        <v>0</v>
      </c>
      <c r="DM37" s="72">
        <f>DH37/DM$6</f>
        <v>0</v>
      </c>
      <c r="DN37" s="70">
        <f>SUM(DH37:DM37)</f>
        <v>0</v>
      </c>
      <c r="DO37" s="71">
        <v>0</v>
      </c>
      <c r="DP37" s="71">
        <v>0</v>
      </c>
      <c r="DQ37" s="72">
        <f t="shared" si="427"/>
        <v>0</v>
      </c>
      <c r="DR37" s="72">
        <f t="shared" si="428"/>
        <v>0</v>
      </c>
      <c r="DS37" s="70">
        <f>SUM(DQ37:DR37)</f>
        <v>0</v>
      </c>
      <c r="DT37" s="73">
        <v>0</v>
      </c>
      <c r="DU37" s="74">
        <f t="shared" si="429"/>
        <v>0</v>
      </c>
      <c r="DV37" s="303">
        <f t="shared" si="430"/>
        <v>0</v>
      </c>
      <c r="DW37" s="58">
        <v>0</v>
      </c>
      <c r="DX37" s="68"/>
      <c r="DY37" s="28">
        <f t="shared" si="431"/>
        <v>0</v>
      </c>
      <c r="DZ37" s="28">
        <v>0</v>
      </c>
      <c r="EA37" s="28">
        <f t="shared" ref="EA37:EA39" si="470">DZ37*EA$6</f>
        <v>0</v>
      </c>
      <c r="EB37" s="28">
        <f>DZ37*EB$6</f>
        <v>0</v>
      </c>
      <c r="EC37" s="28">
        <f>DZ37/EC$6</f>
        <v>0</v>
      </c>
      <c r="ED37" s="72">
        <f t="shared" ref="ED37:ED39" si="471">EC37/ED$6</f>
        <v>0</v>
      </c>
      <c r="EE37" s="72">
        <f>DZ37/EE$6</f>
        <v>0</v>
      </c>
      <c r="EF37" s="70">
        <f>SUM(DZ37:EE37)</f>
        <v>0</v>
      </c>
      <c r="EG37" s="71">
        <v>0</v>
      </c>
      <c r="EH37" s="71">
        <v>0</v>
      </c>
      <c r="EI37" s="72">
        <f t="shared" si="432"/>
        <v>0</v>
      </c>
      <c r="EJ37" s="72">
        <f t="shared" si="433"/>
        <v>0</v>
      </c>
      <c r="EK37" s="70">
        <f>SUM(EI37:EJ37)</f>
        <v>0</v>
      </c>
      <c r="EL37" s="73">
        <v>0</v>
      </c>
      <c r="EM37" s="74">
        <f t="shared" si="434"/>
        <v>0</v>
      </c>
      <c r="EN37" s="303">
        <f t="shared" si="435"/>
        <v>0</v>
      </c>
      <c r="EO37" s="58">
        <v>0</v>
      </c>
      <c r="EP37" s="68"/>
      <c r="EQ37" s="28">
        <f t="shared" si="436"/>
        <v>0</v>
      </c>
      <c r="ER37" s="28">
        <v>0</v>
      </c>
      <c r="ES37" s="28">
        <f t="shared" ref="ES37:ES39" si="472">ER37*ES$6</f>
        <v>0</v>
      </c>
      <c r="ET37" s="28">
        <f>ER37*ET$6</f>
        <v>0</v>
      </c>
      <c r="EU37" s="28">
        <f>ER37/EU$6</f>
        <v>0</v>
      </c>
      <c r="EV37" s="72">
        <f t="shared" ref="EV37:EV39" si="473">EU37/EV$6</f>
        <v>0</v>
      </c>
      <c r="EW37" s="72">
        <f>ER37/EW$6</f>
        <v>0</v>
      </c>
      <c r="EX37" s="70">
        <f>SUM(ER37:EW37)</f>
        <v>0</v>
      </c>
      <c r="EY37" s="71">
        <v>0</v>
      </c>
      <c r="EZ37" s="71">
        <v>0</v>
      </c>
      <c r="FA37" s="72">
        <f t="shared" si="437"/>
        <v>0</v>
      </c>
      <c r="FB37" s="72">
        <f t="shared" si="438"/>
        <v>0</v>
      </c>
      <c r="FC37" s="70">
        <f>SUM(FA37:FB37)</f>
        <v>0</v>
      </c>
      <c r="FD37" s="73">
        <v>0</v>
      </c>
      <c r="FE37" s="74">
        <f t="shared" si="439"/>
        <v>0</v>
      </c>
      <c r="FF37" s="303">
        <f t="shared" si="440"/>
        <v>0</v>
      </c>
      <c r="FG37" s="58">
        <v>0</v>
      </c>
      <c r="FH37" s="68"/>
      <c r="FI37" s="28">
        <f t="shared" si="441"/>
        <v>0</v>
      </c>
      <c r="FJ37" s="28">
        <v>0</v>
      </c>
      <c r="FK37" s="28">
        <f t="shared" ref="FK37:FK39" si="474">FJ37*FK$6</f>
        <v>0</v>
      </c>
      <c r="FL37" s="28">
        <f>FJ37*FL$6</f>
        <v>0</v>
      </c>
      <c r="FM37" s="28">
        <f>FJ37/FM$6</f>
        <v>0</v>
      </c>
      <c r="FN37" s="72">
        <f t="shared" ref="FN37:FN39" si="475">FM37/FN$6</f>
        <v>0</v>
      </c>
      <c r="FO37" s="72">
        <f>FJ37/FO$6</f>
        <v>0</v>
      </c>
      <c r="FP37" s="70">
        <f>SUM(FJ37:FO37)</f>
        <v>0</v>
      </c>
      <c r="FQ37" s="71">
        <v>0</v>
      </c>
      <c r="FR37" s="71">
        <v>0</v>
      </c>
      <c r="FS37" s="72">
        <f t="shared" si="442"/>
        <v>0</v>
      </c>
      <c r="FT37" s="72">
        <f t="shared" si="443"/>
        <v>0</v>
      </c>
      <c r="FU37" s="70">
        <f>SUM(FS37:FT37)</f>
        <v>0</v>
      </c>
      <c r="FV37" s="73">
        <v>0</v>
      </c>
      <c r="FW37" s="74">
        <f t="shared" si="444"/>
        <v>0</v>
      </c>
      <c r="FX37" s="303">
        <f t="shared" si="445"/>
        <v>0</v>
      </c>
      <c r="FY37" s="58">
        <v>0</v>
      </c>
      <c r="FZ37" s="68"/>
      <c r="GA37" s="28">
        <f t="shared" si="446"/>
        <v>0</v>
      </c>
      <c r="GB37" s="28">
        <v>0</v>
      </c>
      <c r="GC37" s="28">
        <f t="shared" ref="GC37:GC39" si="476">GB37*GC$6</f>
        <v>0</v>
      </c>
      <c r="GD37" s="28">
        <f>GB37*GD$6</f>
        <v>0</v>
      </c>
      <c r="GE37" s="28">
        <f>GB37/GE$6</f>
        <v>0</v>
      </c>
      <c r="GF37" s="72">
        <f t="shared" ref="GF37:GF39" si="477">GE37/GF$6</f>
        <v>0</v>
      </c>
      <c r="GG37" s="72">
        <f>GB37/GG$6</f>
        <v>0</v>
      </c>
      <c r="GH37" s="70">
        <f>SUM(GB37:GG37)</f>
        <v>0</v>
      </c>
      <c r="GI37" s="71">
        <v>0</v>
      </c>
      <c r="GJ37" s="71">
        <v>0</v>
      </c>
      <c r="GK37" s="72">
        <f t="shared" si="447"/>
        <v>0</v>
      </c>
      <c r="GL37" s="72">
        <f t="shared" si="448"/>
        <v>0</v>
      </c>
      <c r="GM37" s="70">
        <f>SUM(GK37:GL37)</f>
        <v>0</v>
      </c>
      <c r="GN37" s="73">
        <v>0</v>
      </c>
      <c r="GO37" s="74">
        <f t="shared" si="449"/>
        <v>0</v>
      </c>
      <c r="GP37" s="303">
        <f t="shared" si="450"/>
        <v>0</v>
      </c>
      <c r="GQ37" s="58">
        <v>0</v>
      </c>
      <c r="GR37" s="68"/>
      <c r="GS37" s="28">
        <f t="shared" si="451"/>
        <v>0</v>
      </c>
      <c r="GT37" s="28">
        <v>0</v>
      </c>
      <c r="GU37" s="28">
        <f t="shared" ref="GU37:GU39" si="478">GT37*GU$6</f>
        <v>0</v>
      </c>
      <c r="GV37" s="28">
        <f>GT37*GV$6</f>
        <v>0</v>
      </c>
      <c r="GW37" s="28">
        <f>GT37/GW$6</f>
        <v>0</v>
      </c>
      <c r="GX37" s="72">
        <f t="shared" ref="GX37:GX39" si="479">GW37/GX$6</f>
        <v>0</v>
      </c>
      <c r="GY37" s="72">
        <f>GT37/GY$6</f>
        <v>0</v>
      </c>
      <c r="GZ37" s="70">
        <f>SUM(GT37:GY37)</f>
        <v>0</v>
      </c>
      <c r="HA37" s="71">
        <v>0</v>
      </c>
      <c r="HB37" s="71">
        <v>0</v>
      </c>
      <c r="HC37" s="72">
        <f t="shared" si="452"/>
        <v>0</v>
      </c>
      <c r="HD37" s="72">
        <f t="shared" si="453"/>
        <v>0</v>
      </c>
      <c r="HE37" s="70">
        <f>SUM(HC37:HD37)</f>
        <v>0</v>
      </c>
      <c r="HF37" s="73">
        <v>0</v>
      </c>
      <c r="HG37" s="74">
        <f t="shared" si="454"/>
        <v>0</v>
      </c>
      <c r="HH37" s="303">
        <f t="shared" si="455"/>
        <v>0</v>
      </c>
      <c r="HJ37" s="37"/>
      <c r="HK37" s="37"/>
      <c r="HL37" s="37"/>
      <c r="HM37" s="37"/>
      <c r="HN37" s="37"/>
      <c r="HO37" s="37"/>
      <c r="HP37" s="37"/>
      <c r="HQ37" s="37"/>
      <c r="HR37" s="37"/>
      <c r="HS37" s="37"/>
      <c r="HT37" s="37"/>
      <c r="HU37" s="37"/>
      <c r="HV37" s="37"/>
      <c r="HW37" s="37"/>
      <c r="HX37" s="37"/>
      <c r="HY37" s="37"/>
      <c r="HZ37" s="37"/>
      <c r="IA37" s="37"/>
      <c r="IB37" s="37"/>
      <c r="IC37" s="37"/>
      <c r="ID37" s="37"/>
      <c r="IE37" s="37"/>
      <c r="IF37" s="37"/>
      <c r="IG37" s="37"/>
      <c r="IH37" s="37"/>
      <c r="II37" s="37"/>
      <c r="IJ37" s="37"/>
      <c r="IK37" s="37"/>
      <c r="IL37" s="37"/>
      <c r="IM37" s="37"/>
      <c r="IN37" s="37"/>
      <c r="IO37" s="37"/>
      <c r="IP37" s="37"/>
    </row>
    <row r="38" spans="1:250" x14ac:dyDescent="0.3">
      <c r="A38" s="58">
        <v>0</v>
      </c>
      <c r="B38" s="68"/>
      <c r="C38" s="28">
        <f t="shared" si="396"/>
        <v>0</v>
      </c>
      <c r="D38" s="28">
        <v>0</v>
      </c>
      <c r="E38" s="28">
        <f t="shared" si="456"/>
        <v>0</v>
      </c>
      <c r="F38" s="28">
        <f>D38*F$6</f>
        <v>0</v>
      </c>
      <c r="G38" s="28">
        <f>D38/G$6</f>
        <v>0</v>
      </c>
      <c r="H38" s="72">
        <f t="shared" si="457"/>
        <v>0</v>
      </c>
      <c r="I38" s="72">
        <f>D38/I$6</f>
        <v>0</v>
      </c>
      <c r="J38" s="70">
        <f>SUM(D38:I38)</f>
        <v>0</v>
      </c>
      <c r="K38" s="71">
        <v>0</v>
      </c>
      <c r="L38" s="71">
        <v>0</v>
      </c>
      <c r="M38" s="72">
        <f t="shared" si="397"/>
        <v>0</v>
      </c>
      <c r="N38" s="72">
        <f t="shared" si="398"/>
        <v>0</v>
      </c>
      <c r="O38" s="70">
        <f>SUM(M38:N38)</f>
        <v>0</v>
      </c>
      <c r="P38" s="73">
        <v>0</v>
      </c>
      <c r="Q38" s="74">
        <f t="shared" si="399"/>
        <v>0</v>
      </c>
      <c r="R38" s="303">
        <f t="shared" si="400"/>
        <v>0</v>
      </c>
      <c r="S38" s="58">
        <v>0</v>
      </c>
      <c r="T38" s="68"/>
      <c r="U38" s="28">
        <f t="shared" si="401"/>
        <v>0</v>
      </c>
      <c r="V38" s="28">
        <v>0</v>
      </c>
      <c r="W38" s="28">
        <f t="shared" si="458"/>
        <v>0</v>
      </c>
      <c r="X38" s="28">
        <f>V38*X$6</f>
        <v>0</v>
      </c>
      <c r="Y38" s="28">
        <f>V38/Y$6</f>
        <v>0</v>
      </c>
      <c r="Z38" s="72">
        <f t="shared" si="459"/>
        <v>0</v>
      </c>
      <c r="AA38" s="72">
        <f>V38/AA$6</f>
        <v>0</v>
      </c>
      <c r="AB38" s="70">
        <f>SUM(V38:AA38)</f>
        <v>0</v>
      </c>
      <c r="AC38" s="71">
        <v>0</v>
      </c>
      <c r="AD38" s="71">
        <v>0</v>
      </c>
      <c r="AE38" s="72">
        <f t="shared" si="402"/>
        <v>0</v>
      </c>
      <c r="AF38" s="72">
        <f t="shared" si="403"/>
        <v>0</v>
      </c>
      <c r="AG38" s="70">
        <f>SUM(AE38:AF38)</f>
        <v>0</v>
      </c>
      <c r="AH38" s="73">
        <v>0</v>
      </c>
      <c r="AI38" s="74">
        <f t="shared" si="404"/>
        <v>0</v>
      </c>
      <c r="AJ38" s="303">
        <f t="shared" si="405"/>
        <v>0</v>
      </c>
      <c r="AK38" s="58">
        <v>0</v>
      </c>
      <c r="AL38" s="68"/>
      <c r="AM38" s="28">
        <f t="shared" si="406"/>
        <v>0</v>
      </c>
      <c r="AN38" s="28">
        <v>0</v>
      </c>
      <c r="AO38" s="28">
        <f t="shared" si="460"/>
        <v>0</v>
      </c>
      <c r="AP38" s="28">
        <f>AN38*AP$6</f>
        <v>0</v>
      </c>
      <c r="AQ38" s="28">
        <f>AN38/AQ$6</f>
        <v>0</v>
      </c>
      <c r="AR38" s="72">
        <f t="shared" si="461"/>
        <v>0</v>
      </c>
      <c r="AS38" s="72">
        <f>AN38/AS$6</f>
        <v>0</v>
      </c>
      <c r="AT38" s="70">
        <f>SUM(AN38:AS38)</f>
        <v>0</v>
      </c>
      <c r="AU38" s="71">
        <v>0</v>
      </c>
      <c r="AV38" s="71">
        <v>0</v>
      </c>
      <c r="AW38" s="72">
        <f t="shared" si="407"/>
        <v>0</v>
      </c>
      <c r="AX38" s="72">
        <f t="shared" si="408"/>
        <v>0</v>
      </c>
      <c r="AY38" s="70">
        <f>SUM(AW38:AX38)</f>
        <v>0</v>
      </c>
      <c r="AZ38" s="73">
        <v>0</v>
      </c>
      <c r="BA38" s="74">
        <f t="shared" si="409"/>
        <v>0</v>
      </c>
      <c r="BB38" s="303">
        <f t="shared" si="410"/>
        <v>0</v>
      </c>
      <c r="BC38" s="58">
        <v>0</v>
      </c>
      <c r="BD38" s="68"/>
      <c r="BE38" s="28">
        <f t="shared" si="411"/>
        <v>0</v>
      </c>
      <c r="BF38" s="28">
        <v>0</v>
      </c>
      <c r="BG38" s="28">
        <f t="shared" si="462"/>
        <v>0</v>
      </c>
      <c r="BH38" s="28">
        <f>BF38*BH$6</f>
        <v>0</v>
      </c>
      <c r="BI38" s="28">
        <f>BF38/BI$6</f>
        <v>0</v>
      </c>
      <c r="BJ38" s="72">
        <f t="shared" si="463"/>
        <v>0</v>
      </c>
      <c r="BK38" s="72">
        <f>BF38/BK$6</f>
        <v>0</v>
      </c>
      <c r="BL38" s="70">
        <f>SUM(BF38:BK38)</f>
        <v>0</v>
      </c>
      <c r="BM38" s="71">
        <v>0</v>
      </c>
      <c r="BN38" s="71">
        <v>0</v>
      </c>
      <c r="BO38" s="72">
        <f t="shared" si="412"/>
        <v>0</v>
      </c>
      <c r="BP38" s="72">
        <f t="shared" si="413"/>
        <v>0</v>
      </c>
      <c r="BQ38" s="70">
        <f>SUM(BO38:BP38)</f>
        <v>0</v>
      </c>
      <c r="BR38" s="73">
        <v>0</v>
      </c>
      <c r="BS38" s="74">
        <f t="shared" si="414"/>
        <v>0</v>
      </c>
      <c r="BT38" s="303">
        <f t="shared" si="415"/>
        <v>0</v>
      </c>
      <c r="BU38" s="58">
        <v>0</v>
      </c>
      <c r="BV38" s="68"/>
      <c r="BW38" s="28">
        <f t="shared" si="416"/>
        <v>0</v>
      </c>
      <c r="BX38" s="28">
        <v>0</v>
      </c>
      <c r="BY38" s="28">
        <f t="shared" si="464"/>
        <v>0</v>
      </c>
      <c r="BZ38" s="28">
        <f>BX38*BZ$6</f>
        <v>0</v>
      </c>
      <c r="CA38" s="28">
        <f>BX38/CA$6</f>
        <v>0</v>
      </c>
      <c r="CB38" s="72">
        <f t="shared" si="465"/>
        <v>0</v>
      </c>
      <c r="CC38" s="72">
        <f>BX38/CC$6</f>
        <v>0</v>
      </c>
      <c r="CD38" s="70">
        <f>SUM(BX38:CC38)</f>
        <v>0</v>
      </c>
      <c r="CE38" s="71">
        <v>0</v>
      </c>
      <c r="CF38" s="71">
        <v>0</v>
      </c>
      <c r="CG38" s="72">
        <f t="shared" si="417"/>
        <v>0</v>
      </c>
      <c r="CH38" s="72">
        <f t="shared" si="418"/>
        <v>0</v>
      </c>
      <c r="CI38" s="70">
        <f>SUM(CG38:CH38)</f>
        <v>0</v>
      </c>
      <c r="CJ38" s="73">
        <v>0</v>
      </c>
      <c r="CK38" s="74">
        <f t="shared" si="419"/>
        <v>0</v>
      </c>
      <c r="CL38" s="303">
        <f t="shared" si="420"/>
        <v>0</v>
      </c>
      <c r="CM38" s="58">
        <v>0</v>
      </c>
      <c r="CN38" s="68"/>
      <c r="CO38" s="28">
        <f t="shared" si="421"/>
        <v>0</v>
      </c>
      <c r="CP38" s="28">
        <v>0</v>
      </c>
      <c r="CQ38" s="28">
        <f t="shared" si="466"/>
        <v>0</v>
      </c>
      <c r="CR38" s="28">
        <f>CP38*CR$6</f>
        <v>0</v>
      </c>
      <c r="CS38" s="28">
        <f>CP38/CS$6</f>
        <v>0</v>
      </c>
      <c r="CT38" s="72">
        <f t="shared" si="467"/>
        <v>0</v>
      </c>
      <c r="CU38" s="72">
        <f>CP38/CU$6</f>
        <v>0</v>
      </c>
      <c r="CV38" s="70">
        <f>SUM(CP38:CU38)</f>
        <v>0</v>
      </c>
      <c r="CW38" s="71">
        <v>0</v>
      </c>
      <c r="CX38" s="71">
        <v>0</v>
      </c>
      <c r="CY38" s="72">
        <f t="shared" si="422"/>
        <v>0</v>
      </c>
      <c r="CZ38" s="72">
        <f t="shared" si="423"/>
        <v>0</v>
      </c>
      <c r="DA38" s="70">
        <f>SUM(CY38:CZ38)</f>
        <v>0</v>
      </c>
      <c r="DB38" s="73">
        <v>0</v>
      </c>
      <c r="DC38" s="74">
        <f t="shared" si="424"/>
        <v>0</v>
      </c>
      <c r="DD38" s="303">
        <f t="shared" si="425"/>
        <v>0</v>
      </c>
      <c r="DE38" s="58">
        <v>0</v>
      </c>
      <c r="DF38" s="68"/>
      <c r="DG38" s="28">
        <f t="shared" si="426"/>
        <v>0</v>
      </c>
      <c r="DH38" s="28">
        <v>0</v>
      </c>
      <c r="DI38" s="28">
        <f t="shared" si="468"/>
        <v>0</v>
      </c>
      <c r="DJ38" s="28">
        <f>DH38*DJ$6</f>
        <v>0</v>
      </c>
      <c r="DK38" s="28">
        <f>DH38/DK$6</f>
        <v>0</v>
      </c>
      <c r="DL38" s="72">
        <f t="shared" si="469"/>
        <v>0</v>
      </c>
      <c r="DM38" s="72">
        <f>DH38/DM$6</f>
        <v>0</v>
      </c>
      <c r="DN38" s="70">
        <f>SUM(DH38:DM38)</f>
        <v>0</v>
      </c>
      <c r="DO38" s="71">
        <v>0</v>
      </c>
      <c r="DP38" s="71">
        <v>0</v>
      </c>
      <c r="DQ38" s="72">
        <f t="shared" si="427"/>
        <v>0</v>
      </c>
      <c r="DR38" s="72">
        <f t="shared" si="428"/>
        <v>0</v>
      </c>
      <c r="DS38" s="70">
        <f>SUM(DQ38:DR38)</f>
        <v>0</v>
      </c>
      <c r="DT38" s="73">
        <v>0</v>
      </c>
      <c r="DU38" s="74">
        <f t="shared" si="429"/>
        <v>0</v>
      </c>
      <c r="DV38" s="303">
        <f t="shared" si="430"/>
        <v>0</v>
      </c>
      <c r="DW38" s="58">
        <v>0</v>
      </c>
      <c r="DX38" s="68"/>
      <c r="DY38" s="28">
        <f t="shared" si="431"/>
        <v>0</v>
      </c>
      <c r="DZ38" s="28">
        <v>0</v>
      </c>
      <c r="EA38" s="28">
        <f t="shared" si="470"/>
        <v>0</v>
      </c>
      <c r="EB38" s="28">
        <f>DZ38*EB$6</f>
        <v>0</v>
      </c>
      <c r="EC38" s="28">
        <f>DZ38/EC$6</f>
        <v>0</v>
      </c>
      <c r="ED38" s="72">
        <f t="shared" si="471"/>
        <v>0</v>
      </c>
      <c r="EE38" s="72">
        <f>DZ38/EE$6</f>
        <v>0</v>
      </c>
      <c r="EF38" s="70">
        <f>SUM(DZ38:EE38)</f>
        <v>0</v>
      </c>
      <c r="EG38" s="71">
        <v>0</v>
      </c>
      <c r="EH38" s="71">
        <v>0</v>
      </c>
      <c r="EI38" s="72">
        <f t="shared" si="432"/>
        <v>0</v>
      </c>
      <c r="EJ38" s="72">
        <f t="shared" si="433"/>
        <v>0</v>
      </c>
      <c r="EK38" s="70">
        <f>SUM(EI38:EJ38)</f>
        <v>0</v>
      </c>
      <c r="EL38" s="73">
        <v>0</v>
      </c>
      <c r="EM38" s="74">
        <f t="shared" si="434"/>
        <v>0</v>
      </c>
      <c r="EN38" s="303">
        <f t="shared" si="435"/>
        <v>0</v>
      </c>
      <c r="EO38" s="58">
        <v>0</v>
      </c>
      <c r="EP38" s="68"/>
      <c r="EQ38" s="28">
        <f t="shared" si="436"/>
        <v>0</v>
      </c>
      <c r="ER38" s="28">
        <v>0</v>
      </c>
      <c r="ES38" s="28">
        <f t="shared" si="472"/>
        <v>0</v>
      </c>
      <c r="ET38" s="28">
        <f>ER38*ET$6</f>
        <v>0</v>
      </c>
      <c r="EU38" s="28">
        <f>ER38/EU$6</f>
        <v>0</v>
      </c>
      <c r="EV38" s="72">
        <f t="shared" si="473"/>
        <v>0</v>
      </c>
      <c r="EW38" s="72">
        <f>ER38/EW$6</f>
        <v>0</v>
      </c>
      <c r="EX38" s="70">
        <f>SUM(ER38:EW38)</f>
        <v>0</v>
      </c>
      <c r="EY38" s="71">
        <v>0</v>
      </c>
      <c r="EZ38" s="71">
        <v>0</v>
      </c>
      <c r="FA38" s="72">
        <f t="shared" si="437"/>
        <v>0</v>
      </c>
      <c r="FB38" s="72">
        <f t="shared" si="438"/>
        <v>0</v>
      </c>
      <c r="FC38" s="70">
        <f>SUM(FA38:FB38)</f>
        <v>0</v>
      </c>
      <c r="FD38" s="73">
        <v>0</v>
      </c>
      <c r="FE38" s="74">
        <f t="shared" si="439"/>
        <v>0</v>
      </c>
      <c r="FF38" s="303">
        <f t="shared" si="440"/>
        <v>0</v>
      </c>
      <c r="FG38" s="58">
        <v>0</v>
      </c>
      <c r="FH38" s="68"/>
      <c r="FI38" s="28">
        <f t="shared" si="441"/>
        <v>0</v>
      </c>
      <c r="FJ38" s="28">
        <v>0</v>
      </c>
      <c r="FK38" s="28">
        <f t="shared" si="474"/>
        <v>0</v>
      </c>
      <c r="FL38" s="28">
        <f>FJ38*FL$6</f>
        <v>0</v>
      </c>
      <c r="FM38" s="28">
        <f>FJ38/FM$6</f>
        <v>0</v>
      </c>
      <c r="FN38" s="72">
        <f t="shared" si="475"/>
        <v>0</v>
      </c>
      <c r="FO38" s="72">
        <f>FJ38/FO$6</f>
        <v>0</v>
      </c>
      <c r="FP38" s="70">
        <f>SUM(FJ38:FO38)</f>
        <v>0</v>
      </c>
      <c r="FQ38" s="71">
        <v>0</v>
      </c>
      <c r="FR38" s="71">
        <v>0</v>
      </c>
      <c r="FS38" s="72">
        <f t="shared" si="442"/>
        <v>0</v>
      </c>
      <c r="FT38" s="72">
        <f t="shared" si="443"/>
        <v>0</v>
      </c>
      <c r="FU38" s="70">
        <f>SUM(FS38:FT38)</f>
        <v>0</v>
      </c>
      <c r="FV38" s="73">
        <v>0</v>
      </c>
      <c r="FW38" s="74">
        <f t="shared" si="444"/>
        <v>0</v>
      </c>
      <c r="FX38" s="303">
        <f t="shared" si="445"/>
        <v>0</v>
      </c>
      <c r="FY38" s="58">
        <v>0</v>
      </c>
      <c r="FZ38" s="68"/>
      <c r="GA38" s="28">
        <f t="shared" si="446"/>
        <v>0</v>
      </c>
      <c r="GB38" s="28">
        <v>0</v>
      </c>
      <c r="GC38" s="28">
        <f t="shared" si="476"/>
        <v>0</v>
      </c>
      <c r="GD38" s="28">
        <f>GB38*GD$6</f>
        <v>0</v>
      </c>
      <c r="GE38" s="28">
        <f>GB38/GE$6</f>
        <v>0</v>
      </c>
      <c r="GF38" s="72">
        <f t="shared" si="477"/>
        <v>0</v>
      </c>
      <c r="GG38" s="72">
        <f>GB38/GG$6</f>
        <v>0</v>
      </c>
      <c r="GH38" s="70">
        <f>SUM(GB38:GG38)</f>
        <v>0</v>
      </c>
      <c r="GI38" s="71">
        <v>0</v>
      </c>
      <c r="GJ38" s="71">
        <v>0</v>
      </c>
      <c r="GK38" s="72">
        <f t="shared" si="447"/>
        <v>0</v>
      </c>
      <c r="GL38" s="72">
        <f t="shared" si="448"/>
        <v>0</v>
      </c>
      <c r="GM38" s="70">
        <f>SUM(GK38:GL38)</f>
        <v>0</v>
      </c>
      <c r="GN38" s="73">
        <v>0</v>
      </c>
      <c r="GO38" s="74">
        <f t="shared" si="449"/>
        <v>0</v>
      </c>
      <c r="GP38" s="303">
        <f t="shared" si="450"/>
        <v>0</v>
      </c>
      <c r="GQ38" s="58">
        <v>0</v>
      </c>
      <c r="GR38" s="68"/>
      <c r="GS38" s="28">
        <f t="shared" si="451"/>
        <v>0</v>
      </c>
      <c r="GT38" s="28">
        <v>0</v>
      </c>
      <c r="GU38" s="28">
        <f t="shared" si="478"/>
        <v>0</v>
      </c>
      <c r="GV38" s="28">
        <f>GT38*GV$6</f>
        <v>0</v>
      </c>
      <c r="GW38" s="28">
        <f>GT38/GW$6</f>
        <v>0</v>
      </c>
      <c r="GX38" s="72">
        <f t="shared" si="479"/>
        <v>0</v>
      </c>
      <c r="GY38" s="72">
        <f>GT38/GY$6</f>
        <v>0</v>
      </c>
      <c r="GZ38" s="70">
        <f>SUM(GT38:GY38)</f>
        <v>0</v>
      </c>
      <c r="HA38" s="71">
        <v>0</v>
      </c>
      <c r="HB38" s="71">
        <v>0</v>
      </c>
      <c r="HC38" s="72">
        <f t="shared" si="452"/>
        <v>0</v>
      </c>
      <c r="HD38" s="72">
        <f t="shared" si="453"/>
        <v>0</v>
      </c>
      <c r="HE38" s="70">
        <f>SUM(HC38:HD38)</f>
        <v>0</v>
      </c>
      <c r="HF38" s="73">
        <v>0</v>
      </c>
      <c r="HG38" s="74">
        <f t="shared" si="454"/>
        <v>0</v>
      </c>
      <c r="HH38" s="303">
        <f t="shared" si="455"/>
        <v>0</v>
      </c>
      <c r="HJ38" s="37"/>
      <c r="HK38" s="37"/>
      <c r="HL38" s="37"/>
      <c r="HM38" s="37"/>
      <c r="HN38" s="37"/>
      <c r="HO38" s="37"/>
      <c r="HP38" s="37"/>
      <c r="HQ38" s="37"/>
      <c r="HR38" s="37"/>
      <c r="HS38" s="37"/>
      <c r="HT38" s="37"/>
      <c r="HU38" s="37"/>
      <c r="HV38" s="37"/>
      <c r="HW38" s="37"/>
      <c r="HX38" s="37"/>
      <c r="HY38" s="37"/>
      <c r="HZ38" s="37"/>
      <c r="IA38" s="37"/>
      <c r="IB38" s="37"/>
      <c r="IC38" s="37"/>
      <c r="ID38" s="37"/>
      <c r="IE38" s="37"/>
      <c r="IF38" s="37"/>
      <c r="IG38" s="37"/>
      <c r="IH38" s="37"/>
      <c r="II38" s="37"/>
      <c r="IJ38" s="37"/>
      <c r="IK38" s="37"/>
      <c r="IL38" s="37"/>
      <c r="IM38" s="37"/>
      <c r="IN38" s="37"/>
      <c r="IO38" s="37"/>
      <c r="IP38" s="37"/>
    </row>
    <row r="39" spans="1:250" x14ac:dyDescent="0.3">
      <c r="A39" s="58">
        <v>0</v>
      </c>
      <c r="B39" s="68"/>
      <c r="C39" s="28">
        <f t="shared" si="396"/>
        <v>0</v>
      </c>
      <c r="D39" s="28">
        <v>0</v>
      </c>
      <c r="E39" s="28">
        <f t="shared" si="456"/>
        <v>0</v>
      </c>
      <c r="F39" s="28">
        <f>D39*F$6</f>
        <v>0</v>
      </c>
      <c r="G39" s="28">
        <f>D39/G$6</f>
        <v>0</v>
      </c>
      <c r="H39" s="72">
        <f t="shared" si="457"/>
        <v>0</v>
      </c>
      <c r="I39" s="72">
        <f>D39/I$6</f>
        <v>0</v>
      </c>
      <c r="J39" s="70">
        <f>SUM(D39:I39)</f>
        <v>0</v>
      </c>
      <c r="K39" s="71">
        <v>0</v>
      </c>
      <c r="L39" s="71">
        <v>0</v>
      </c>
      <c r="M39" s="72">
        <f t="shared" si="397"/>
        <v>0</v>
      </c>
      <c r="N39" s="72">
        <f t="shared" si="398"/>
        <v>0</v>
      </c>
      <c r="O39" s="70">
        <f>SUM(M39:N39)</f>
        <v>0</v>
      </c>
      <c r="P39" s="73">
        <v>0</v>
      </c>
      <c r="Q39" s="74">
        <f t="shared" si="399"/>
        <v>0</v>
      </c>
      <c r="R39" s="303">
        <f t="shared" si="400"/>
        <v>0</v>
      </c>
      <c r="S39" s="58">
        <v>0</v>
      </c>
      <c r="T39" s="68"/>
      <c r="U39" s="28">
        <f t="shared" si="401"/>
        <v>0</v>
      </c>
      <c r="V39" s="28">
        <v>0</v>
      </c>
      <c r="W39" s="28">
        <f t="shared" si="458"/>
        <v>0</v>
      </c>
      <c r="X39" s="28">
        <f>V39*X$6</f>
        <v>0</v>
      </c>
      <c r="Y39" s="28">
        <f>V39/Y$6</f>
        <v>0</v>
      </c>
      <c r="Z39" s="72">
        <f t="shared" si="459"/>
        <v>0</v>
      </c>
      <c r="AA39" s="72">
        <f>V39/AA$6</f>
        <v>0</v>
      </c>
      <c r="AB39" s="70">
        <f>SUM(V39:AA39)</f>
        <v>0</v>
      </c>
      <c r="AC39" s="71">
        <v>0</v>
      </c>
      <c r="AD39" s="71">
        <v>0</v>
      </c>
      <c r="AE39" s="72">
        <f t="shared" si="402"/>
        <v>0</v>
      </c>
      <c r="AF39" s="72">
        <f t="shared" si="403"/>
        <v>0</v>
      </c>
      <c r="AG39" s="70">
        <f>SUM(AE39:AF39)</f>
        <v>0</v>
      </c>
      <c r="AH39" s="73">
        <v>0</v>
      </c>
      <c r="AI39" s="74">
        <f t="shared" si="404"/>
        <v>0</v>
      </c>
      <c r="AJ39" s="303">
        <f t="shared" si="405"/>
        <v>0</v>
      </c>
      <c r="AK39" s="58">
        <v>0</v>
      </c>
      <c r="AL39" s="68"/>
      <c r="AM39" s="28">
        <f t="shared" si="406"/>
        <v>0</v>
      </c>
      <c r="AN39" s="28">
        <v>0</v>
      </c>
      <c r="AO39" s="28">
        <f t="shared" si="460"/>
        <v>0</v>
      </c>
      <c r="AP39" s="28">
        <f>AN39*AP$6</f>
        <v>0</v>
      </c>
      <c r="AQ39" s="28">
        <f>AN39/AQ$6</f>
        <v>0</v>
      </c>
      <c r="AR39" s="72">
        <f t="shared" si="461"/>
        <v>0</v>
      </c>
      <c r="AS39" s="72">
        <f>AN39/AS$6</f>
        <v>0</v>
      </c>
      <c r="AT39" s="70">
        <f>SUM(AN39:AS39)</f>
        <v>0</v>
      </c>
      <c r="AU39" s="71">
        <v>0</v>
      </c>
      <c r="AV39" s="71">
        <v>0</v>
      </c>
      <c r="AW39" s="72">
        <f t="shared" si="407"/>
        <v>0</v>
      </c>
      <c r="AX39" s="72">
        <f t="shared" si="408"/>
        <v>0</v>
      </c>
      <c r="AY39" s="70">
        <f>SUM(AW39:AX39)</f>
        <v>0</v>
      </c>
      <c r="AZ39" s="73">
        <v>0</v>
      </c>
      <c r="BA39" s="74">
        <f t="shared" si="409"/>
        <v>0</v>
      </c>
      <c r="BB39" s="303">
        <f t="shared" si="410"/>
        <v>0</v>
      </c>
      <c r="BC39" s="58">
        <v>0</v>
      </c>
      <c r="BD39" s="68"/>
      <c r="BE39" s="28">
        <f t="shared" si="411"/>
        <v>0</v>
      </c>
      <c r="BF39" s="28">
        <v>0</v>
      </c>
      <c r="BG39" s="28">
        <f t="shared" si="462"/>
        <v>0</v>
      </c>
      <c r="BH39" s="28">
        <f>BF39*BH$6</f>
        <v>0</v>
      </c>
      <c r="BI39" s="28">
        <f>BF39/BI$6</f>
        <v>0</v>
      </c>
      <c r="BJ39" s="72">
        <f t="shared" si="463"/>
        <v>0</v>
      </c>
      <c r="BK39" s="72">
        <f>BF39/BK$6</f>
        <v>0</v>
      </c>
      <c r="BL39" s="70">
        <f>SUM(BF39:BK39)</f>
        <v>0</v>
      </c>
      <c r="BM39" s="71">
        <v>0</v>
      </c>
      <c r="BN39" s="71">
        <v>0</v>
      </c>
      <c r="BO39" s="72">
        <f t="shared" si="412"/>
        <v>0</v>
      </c>
      <c r="BP39" s="72">
        <f t="shared" si="413"/>
        <v>0</v>
      </c>
      <c r="BQ39" s="70">
        <f>SUM(BO39:BP39)</f>
        <v>0</v>
      </c>
      <c r="BR39" s="73">
        <v>0</v>
      </c>
      <c r="BS39" s="74">
        <f t="shared" si="414"/>
        <v>0</v>
      </c>
      <c r="BT39" s="303">
        <f t="shared" si="415"/>
        <v>0</v>
      </c>
      <c r="BU39" s="58">
        <v>0</v>
      </c>
      <c r="BV39" s="68"/>
      <c r="BW39" s="28">
        <f t="shared" si="416"/>
        <v>0</v>
      </c>
      <c r="BX39" s="28">
        <v>0</v>
      </c>
      <c r="BY39" s="28">
        <f t="shared" si="464"/>
        <v>0</v>
      </c>
      <c r="BZ39" s="28">
        <f>BX39*BZ$6</f>
        <v>0</v>
      </c>
      <c r="CA39" s="28">
        <f>BX39/CA$6</f>
        <v>0</v>
      </c>
      <c r="CB39" s="72">
        <f t="shared" si="465"/>
        <v>0</v>
      </c>
      <c r="CC39" s="72">
        <f>BX39/CC$6</f>
        <v>0</v>
      </c>
      <c r="CD39" s="70">
        <f>SUM(BX39:CC39)</f>
        <v>0</v>
      </c>
      <c r="CE39" s="71">
        <v>0</v>
      </c>
      <c r="CF39" s="71">
        <v>0</v>
      </c>
      <c r="CG39" s="72">
        <f t="shared" si="417"/>
        <v>0</v>
      </c>
      <c r="CH39" s="72">
        <f t="shared" si="418"/>
        <v>0</v>
      </c>
      <c r="CI39" s="70">
        <f>SUM(CG39:CH39)</f>
        <v>0</v>
      </c>
      <c r="CJ39" s="73">
        <v>0</v>
      </c>
      <c r="CK39" s="74">
        <f t="shared" si="419"/>
        <v>0</v>
      </c>
      <c r="CL39" s="303">
        <f t="shared" si="420"/>
        <v>0</v>
      </c>
      <c r="CM39" s="58">
        <v>0</v>
      </c>
      <c r="CN39" s="68"/>
      <c r="CO39" s="28">
        <f t="shared" si="421"/>
        <v>0</v>
      </c>
      <c r="CP39" s="28">
        <v>0</v>
      </c>
      <c r="CQ39" s="28">
        <f t="shared" si="466"/>
        <v>0</v>
      </c>
      <c r="CR39" s="28">
        <f>CP39*CR$6</f>
        <v>0</v>
      </c>
      <c r="CS39" s="28">
        <f>CP39/CS$6</f>
        <v>0</v>
      </c>
      <c r="CT39" s="72">
        <f t="shared" si="467"/>
        <v>0</v>
      </c>
      <c r="CU39" s="72">
        <f>CP39/CU$6</f>
        <v>0</v>
      </c>
      <c r="CV39" s="70">
        <f>SUM(CP39:CU39)</f>
        <v>0</v>
      </c>
      <c r="CW39" s="71">
        <v>0</v>
      </c>
      <c r="CX39" s="71">
        <v>0</v>
      </c>
      <c r="CY39" s="72">
        <f t="shared" si="422"/>
        <v>0</v>
      </c>
      <c r="CZ39" s="72">
        <f t="shared" si="423"/>
        <v>0</v>
      </c>
      <c r="DA39" s="70">
        <f>SUM(CY39:CZ39)</f>
        <v>0</v>
      </c>
      <c r="DB39" s="73">
        <v>0</v>
      </c>
      <c r="DC39" s="74">
        <f t="shared" si="424"/>
        <v>0</v>
      </c>
      <c r="DD39" s="303">
        <f t="shared" si="425"/>
        <v>0</v>
      </c>
      <c r="DE39" s="58">
        <v>0</v>
      </c>
      <c r="DF39" s="68"/>
      <c r="DG39" s="28">
        <f t="shared" si="426"/>
        <v>0</v>
      </c>
      <c r="DH39" s="28">
        <v>0</v>
      </c>
      <c r="DI39" s="28">
        <f t="shared" si="468"/>
        <v>0</v>
      </c>
      <c r="DJ39" s="28">
        <f>DH39*DJ$6</f>
        <v>0</v>
      </c>
      <c r="DK39" s="28">
        <f>DH39/DK$6</f>
        <v>0</v>
      </c>
      <c r="DL39" s="72">
        <f t="shared" si="469"/>
        <v>0</v>
      </c>
      <c r="DM39" s="72">
        <f>DH39/DM$6</f>
        <v>0</v>
      </c>
      <c r="DN39" s="70">
        <f>SUM(DH39:DM39)</f>
        <v>0</v>
      </c>
      <c r="DO39" s="71">
        <v>0</v>
      </c>
      <c r="DP39" s="71">
        <v>0</v>
      </c>
      <c r="DQ39" s="72">
        <f t="shared" si="427"/>
        <v>0</v>
      </c>
      <c r="DR39" s="72">
        <f t="shared" si="428"/>
        <v>0</v>
      </c>
      <c r="DS39" s="70">
        <f>SUM(DQ39:DR39)</f>
        <v>0</v>
      </c>
      <c r="DT39" s="73">
        <v>0</v>
      </c>
      <c r="DU39" s="74">
        <f t="shared" si="429"/>
        <v>0</v>
      </c>
      <c r="DV39" s="303">
        <f t="shared" si="430"/>
        <v>0</v>
      </c>
      <c r="DW39" s="58">
        <v>0</v>
      </c>
      <c r="DX39" s="68"/>
      <c r="DY39" s="28">
        <f t="shared" si="431"/>
        <v>0</v>
      </c>
      <c r="DZ39" s="28">
        <v>0</v>
      </c>
      <c r="EA39" s="28">
        <f t="shared" si="470"/>
        <v>0</v>
      </c>
      <c r="EB39" s="28">
        <f>DZ39*EB$6</f>
        <v>0</v>
      </c>
      <c r="EC39" s="28">
        <f>DZ39/EC$6</f>
        <v>0</v>
      </c>
      <c r="ED39" s="72">
        <f t="shared" si="471"/>
        <v>0</v>
      </c>
      <c r="EE39" s="72">
        <f>DZ39/EE$6</f>
        <v>0</v>
      </c>
      <c r="EF39" s="70">
        <f>SUM(DZ39:EE39)</f>
        <v>0</v>
      </c>
      <c r="EG39" s="71">
        <v>0</v>
      </c>
      <c r="EH39" s="71">
        <v>0</v>
      </c>
      <c r="EI39" s="72">
        <f t="shared" si="432"/>
        <v>0</v>
      </c>
      <c r="EJ39" s="72">
        <f t="shared" si="433"/>
        <v>0</v>
      </c>
      <c r="EK39" s="70">
        <f>SUM(EI39:EJ39)</f>
        <v>0</v>
      </c>
      <c r="EL39" s="73">
        <v>0</v>
      </c>
      <c r="EM39" s="74">
        <f t="shared" si="434"/>
        <v>0</v>
      </c>
      <c r="EN39" s="303">
        <f t="shared" si="435"/>
        <v>0</v>
      </c>
      <c r="EO39" s="58">
        <v>0</v>
      </c>
      <c r="EP39" s="68"/>
      <c r="EQ39" s="28">
        <f t="shared" si="436"/>
        <v>0</v>
      </c>
      <c r="ER39" s="28">
        <v>0</v>
      </c>
      <c r="ES39" s="28">
        <f t="shared" si="472"/>
        <v>0</v>
      </c>
      <c r="ET39" s="28">
        <f>ER39*ET$6</f>
        <v>0</v>
      </c>
      <c r="EU39" s="28">
        <f>ER39/EU$6</f>
        <v>0</v>
      </c>
      <c r="EV39" s="72">
        <f t="shared" si="473"/>
        <v>0</v>
      </c>
      <c r="EW39" s="72">
        <f>ER39/EW$6</f>
        <v>0</v>
      </c>
      <c r="EX39" s="70">
        <f>SUM(ER39:EW39)</f>
        <v>0</v>
      </c>
      <c r="EY39" s="71">
        <v>0</v>
      </c>
      <c r="EZ39" s="71">
        <v>0</v>
      </c>
      <c r="FA39" s="72">
        <f t="shared" si="437"/>
        <v>0</v>
      </c>
      <c r="FB39" s="72">
        <f t="shared" si="438"/>
        <v>0</v>
      </c>
      <c r="FC39" s="70">
        <f>SUM(FA39:FB39)</f>
        <v>0</v>
      </c>
      <c r="FD39" s="73">
        <v>0</v>
      </c>
      <c r="FE39" s="74">
        <f t="shared" si="439"/>
        <v>0</v>
      </c>
      <c r="FF39" s="303">
        <f t="shared" si="440"/>
        <v>0</v>
      </c>
      <c r="FG39" s="58">
        <v>0</v>
      </c>
      <c r="FH39" s="68"/>
      <c r="FI39" s="28">
        <f t="shared" si="441"/>
        <v>0</v>
      </c>
      <c r="FJ39" s="28">
        <v>0</v>
      </c>
      <c r="FK39" s="28">
        <f t="shared" si="474"/>
        <v>0</v>
      </c>
      <c r="FL39" s="28">
        <f>FJ39*FL$6</f>
        <v>0</v>
      </c>
      <c r="FM39" s="28">
        <f>FJ39/FM$6</f>
        <v>0</v>
      </c>
      <c r="FN39" s="72">
        <f t="shared" si="475"/>
        <v>0</v>
      </c>
      <c r="FO39" s="72">
        <f>FJ39/FO$6</f>
        <v>0</v>
      </c>
      <c r="FP39" s="70">
        <f>SUM(FJ39:FO39)</f>
        <v>0</v>
      </c>
      <c r="FQ39" s="71">
        <v>0</v>
      </c>
      <c r="FR39" s="71">
        <v>0</v>
      </c>
      <c r="FS39" s="72">
        <f t="shared" si="442"/>
        <v>0</v>
      </c>
      <c r="FT39" s="72">
        <f t="shared" si="443"/>
        <v>0</v>
      </c>
      <c r="FU39" s="70">
        <f>SUM(FS39:FT39)</f>
        <v>0</v>
      </c>
      <c r="FV39" s="73">
        <v>0</v>
      </c>
      <c r="FW39" s="74">
        <f t="shared" si="444"/>
        <v>0</v>
      </c>
      <c r="FX39" s="303">
        <f t="shared" si="445"/>
        <v>0</v>
      </c>
      <c r="FY39" s="58">
        <v>0</v>
      </c>
      <c r="FZ39" s="68"/>
      <c r="GA39" s="28">
        <f t="shared" si="446"/>
        <v>0</v>
      </c>
      <c r="GB39" s="28">
        <v>0</v>
      </c>
      <c r="GC39" s="28">
        <f t="shared" si="476"/>
        <v>0</v>
      </c>
      <c r="GD39" s="28">
        <f>GB39*GD$6</f>
        <v>0</v>
      </c>
      <c r="GE39" s="28">
        <f>GB39/GE$6</f>
        <v>0</v>
      </c>
      <c r="GF39" s="72">
        <f t="shared" si="477"/>
        <v>0</v>
      </c>
      <c r="GG39" s="72">
        <f>GB39/GG$6</f>
        <v>0</v>
      </c>
      <c r="GH39" s="70">
        <f>SUM(GB39:GG39)</f>
        <v>0</v>
      </c>
      <c r="GI39" s="71">
        <v>0</v>
      </c>
      <c r="GJ39" s="71">
        <v>0</v>
      </c>
      <c r="GK39" s="72">
        <f t="shared" si="447"/>
        <v>0</v>
      </c>
      <c r="GL39" s="72">
        <f t="shared" si="448"/>
        <v>0</v>
      </c>
      <c r="GM39" s="70">
        <f>SUM(GK39:GL39)</f>
        <v>0</v>
      </c>
      <c r="GN39" s="73">
        <v>0</v>
      </c>
      <c r="GO39" s="74">
        <f t="shared" si="449"/>
        <v>0</v>
      </c>
      <c r="GP39" s="303">
        <f t="shared" si="450"/>
        <v>0</v>
      </c>
      <c r="GQ39" s="58">
        <v>0</v>
      </c>
      <c r="GR39" s="68"/>
      <c r="GS39" s="28">
        <f t="shared" si="451"/>
        <v>0</v>
      </c>
      <c r="GT39" s="28">
        <v>0</v>
      </c>
      <c r="GU39" s="28">
        <f t="shared" si="478"/>
        <v>0</v>
      </c>
      <c r="GV39" s="28">
        <f>GT39*GV$6</f>
        <v>0</v>
      </c>
      <c r="GW39" s="28">
        <f>GT39/GW$6</f>
        <v>0</v>
      </c>
      <c r="GX39" s="72">
        <f t="shared" si="479"/>
        <v>0</v>
      </c>
      <c r="GY39" s="72">
        <f>GT39/GY$6</f>
        <v>0</v>
      </c>
      <c r="GZ39" s="70">
        <f>SUM(GT39:GY39)</f>
        <v>0</v>
      </c>
      <c r="HA39" s="71">
        <v>0</v>
      </c>
      <c r="HB39" s="71">
        <v>0</v>
      </c>
      <c r="HC39" s="72">
        <f t="shared" si="452"/>
        <v>0</v>
      </c>
      <c r="HD39" s="72">
        <f t="shared" si="453"/>
        <v>0</v>
      </c>
      <c r="HE39" s="70">
        <f>SUM(HC39:HD39)</f>
        <v>0</v>
      </c>
      <c r="HF39" s="73">
        <v>0</v>
      </c>
      <c r="HG39" s="74">
        <f t="shared" si="454"/>
        <v>0</v>
      </c>
      <c r="HH39" s="303">
        <f t="shared" si="455"/>
        <v>0</v>
      </c>
      <c r="HJ39" s="37"/>
      <c r="HK39" s="37"/>
      <c r="HL39" s="37"/>
      <c r="HM39" s="37"/>
      <c r="HN39" s="37"/>
      <c r="HO39" s="37"/>
      <c r="HP39" s="37"/>
      <c r="HQ39" s="37"/>
      <c r="HR39" s="37"/>
      <c r="HS39" s="37"/>
      <c r="HT39" s="37"/>
      <c r="HU39" s="37"/>
      <c r="HV39" s="37"/>
      <c r="HW39" s="37"/>
      <c r="HX39" s="37"/>
      <c r="HY39" s="37"/>
      <c r="HZ39" s="37"/>
      <c r="IA39" s="37"/>
      <c r="IB39" s="37"/>
      <c r="IC39" s="37"/>
      <c r="ID39" s="37"/>
      <c r="IE39" s="37"/>
      <c r="IF39" s="37"/>
      <c r="IG39" s="37"/>
      <c r="IH39" s="37"/>
      <c r="II39" s="37"/>
      <c r="IJ39" s="37"/>
      <c r="IK39" s="37"/>
      <c r="IL39" s="37"/>
      <c r="IM39" s="37"/>
      <c r="IN39" s="37"/>
      <c r="IO39" s="37"/>
      <c r="IP39" s="37"/>
    </row>
    <row r="40" spans="1:250" ht="15.6" x14ac:dyDescent="0.3">
      <c r="A40" s="541"/>
      <c r="B40" s="537"/>
      <c r="C40" s="537"/>
      <c r="D40" s="537"/>
      <c r="E40" s="537"/>
      <c r="F40" s="537"/>
      <c r="G40" s="537"/>
      <c r="H40" s="537"/>
      <c r="I40" s="537"/>
      <c r="J40" s="537"/>
      <c r="K40" s="537"/>
      <c r="L40" s="537"/>
      <c r="M40" s="537"/>
      <c r="N40" s="537"/>
      <c r="O40" s="537"/>
      <c r="P40" s="538"/>
      <c r="Q40" s="423" t="s">
        <v>8</v>
      </c>
      <c r="R40" s="304">
        <f>SUM(R36:R39)</f>
        <v>3469.956577777778</v>
      </c>
      <c r="S40" s="541"/>
      <c r="T40" s="537"/>
      <c r="U40" s="537"/>
      <c r="V40" s="537"/>
      <c r="W40" s="537"/>
      <c r="X40" s="537"/>
      <c r="Y40" s="537"/>
      <c r="Z40" s="537"/>
      <c r="AA40" s="537"/>
      <c r="AB40" s="537"/>
      <c r="AC40" s="537"/>
      <c r="AD40" s="537"/>
      <c r="AE40" s="537"/>
      <c r="AF40" s="537"/>
      <c r="AG40" s="537"/>
      <c r="AH40" s="538"/>
      <c r="AI40" s="423" t="s">
        <v>8</v>
      </c>
      <c r="AJ40" s="304">
        <f>SUM(AJ36:AJ39)</f>
        <v>3469.956577777778</v>
      </c>
      <c r="AK40" s="541"/>
      <c r="AL40" s="537"/>
      <c r="AM40" s="537"/>
      <c r="AN40" s="537"/>
      <c r="AO40" s="537"/>
      <c r="AP40" s="537"/>
      <c r="AQ40" s="537"/>
      <c r="AR40" s="537"/>
      <c r="AS40" s="537"/>
      <c r="AT40" s="537"/>
      <c r="AU40" s="537"/>
      <c r="AV40" s="537"/>
      <c r="AW40" s="537"/>
      <c r="AX40" s="537"/>
      <c r="AY40" s="537"/>
      <c r="AZ40" s="538"/>
      <c r="BA40" s="423" t="s">
        <v>8</v>
      </c>
      <c r="BB40" s="304">
        <f>SUM(BB36:BB39)</f>
        <v>3469.956577777778</v>
      </c>
      <c r="BC40" s="541"/>
      <c r="BD40" s="537"/>
      <c r="BE40" s="537"/>
      <c r="BF40" s="537"/>
      <c r="BG40" s="537"/>
      <c r="BH40" s="537"/>
      <c r="BI40" s="537"/>
      <c r="BJ40" s="537"/>
      <c r="BK40" s="537"/>
      <c r="BL40" s="537"/>
      <c r="BM40" s="537"/>
      <c r="BN40" s="537"/>
      <c r="BO40" s="537"/>
      <c r="BP40" s="537"/>
      <c r="BQ40" s="537"/>
      <c r="BR40" s="538"/>
      <c r="BS40" s="423" t="s">
        <v>8</v>
      </c>
      <c r="BT40" s="304">
        <f>SUM(BT36:BT39)</f>
        <v>3469.956577777778</v>
      </c>
      <c r="BU40" s="541"/>
      <c r="BV40" s="537"/>
      <c r="BW40" s="537"/>
      <c r="BX40" s="537"/>
      <c r="BY40" s="537"/>
      <c r="BZ40" s="537"/>
      <c r="CA40" s="537"/>
      <c r="CB40" s="537"/>
      <c r="CC40" s="537"/>
      <c r="CD40" s="537"/>
      <c r="CE40" s="537"/>
      <c r="CF40" s="537"/>
      <c r="CG40" s="537"/>
      <c r="CH40" s="537"/>
      <c r="CI40" s="537"/>
      <c r="CJ40" s="538"/>
      <c r="CK40" s="423" t="s">
        <v>8</v>
      </c>
      <c r="CL40" s="304">
        <f>SUM(CL36:CL39)</f>
        <v>3469.956577777778</v>
      </c>
      <c r="CM40" s="541"/>
      <c r="CN40" s="537"/>
      <c r="CO40" s="537"/>
      <c r="CP40" s="537"/>
      <c r="CQ40" s="537"/>
      <c r="CR40" s="537"/>
      <c r="CS40" s="537"/>
      <c r="CT40" s="537"/>
      <c r="CU40" s="537"/>
      <c r="CV40" s="537"/>
      <c r="CW40" s="537"/>
      <c r="CX40" s="537"/>
      <c r="CY40" s="537"/>
      <c r="CZ40" s="537"/>
      <c r="DA40" s="537"/>
      <c r="DB40" s="538"/>
      <c r="DC40" s="423" t="s">
        <v>8</v>
      </c>
      <c r="DD40" s="304">
        <f>SUM(DD36:DD39)</f>
        <v>3469.956577777778</v>
      </c>
      <c r="DE40" s="541"/>
      <c r="DF40" s="537"/>
      <c r="DG40" s="537"/>
      <c r="DH40" s="537"/>
      <c r="DI40" s="537"/>
      <c r="DJ40" s="537"/>
      <c r="DK40" s="537"/>
      <c r="DL40" s="537"/>
      <c r="DM40" s="537"/>
      <c r="DN40" s="537"/>
      <c r="DO40" s="537"/>
      <c r="DP40" s="537"/>
      <c r="DQ40" s="537"/>
      <c r="DR40" s="537"/>
      <c r="DS40" s="537"/>
      <c r="DT40" s="538"/>
      <c r="DU40" s="423" t="s">
        <v>8</v>
      </c>
      <c r="DV40" s="304">
        <f>SUM(DV36:DV39)</f>
        <v>3469.956577777778</v>
      </c>
      <c r="DW40" s="541"/>
      <c r="DX40" s="537"/>
      <c r="DY40" s="537"/>
      <c r="DZ40" s="537"/>
      <c r="EA40" s="537"/>
      <c r="EB40" s="537"/>
      <c r="EC40" s="537"/>
      <c r="ED40" s="537"/>
      <c r="EE40" s="537"/>
      <c r="EF40" s="537"/>
      <c r="EG40" s="537"/>
      <c r="EH40" s="537"/>
      <c r="EI40" s="537"/>
      <c r="EJ40" s="537"/>
      <c r="EK40" s="537"/>
      <c r="EL40" s="538"/>
      <c r="EM40" s="423" t="s">
        <v>8</v>
      </c>
      <c r="EN40" s="304">
        <f>SUM(EN36:EN39)</f>
        <v>3469.956577777778</v>
      </c>
      <c r="EO40" s="541"/>
      <c r="EP40" s="537"/>
      <c r="EQ40" s="537"/>
      <c r="ER40" s="537"/>
      <c r="ES40" s="537"/>
      <c r="ET40" s="537"/>
      <c r="EU40" s="537"/>
      <c r="EV40" s="537"/>
      <c r="EW40" s="537"/>
      <c r="EX40" s="537"/>
      <c r="EY40" s="537"/>
      <c r="EZ40" s="537"/>
      <c r="FA40" s="537"/>
      <c r="FB40" s="537"/>
      <c r="FC40" s="537"/>
      <c r="FD40" s="538"/>
      <c r="FE40" s="423" t="s">
        <v>8</v>
      </c>
      <c r="FF40" s="304">
        <f>SUM(FF36:FF39)</f>
        <v>3469.956577777778</v>
      </c>
      <c r="FG40" s="541"/>
      <c r="FH40" s="537"/>
      <c r="FI40" s="537"/>
      <c r="FJ40" s="537"/>
      <c r="FK40" s="537"/>
      <c r="FL40" s="537"/>
      <c r="FM40" s="537"/>
      <c r="FN40" s="537"/>
      <c r="FO40" s="537"/>
      <c r="FP40" s="537"/>
      <c r="FQ40" s="537"/>
      <c r="FR40" s="537"/>
      <c r="FS40" s="537"/>
      <c r="FT40" s="537"/>
      <c r="FU40" s="537"/>
      <c r="FV40" s="538"/>
      <c r="FW40" s="423" t="s">
        <v>8</v>
      </c>
      <c r="FX40" s="304">
        <f>SUM(FX36:FX39)</f>
        <v>3469.956577777778</v>
      </c>
      <c r="FY40" s="541"/>
      <c r="FZ40" s="537"/>
      <c r="GA40" s="537"/>
      <c r="GB40" s="537"/>
      <c r="GC40" s="537"/>
      <c r="GD40" s="537"/>
      <c r="GE40" s="537"/>
      <c r="GF40" s="537"/>
      <c r="GG40" s="537"/>
      <c r="GH40" s="537"/>
      <c r="GI40" s="537"/>
      <c r="GJ40" s="537"/>
      <c r="GK40" s="537"/>
      <c r="GL40" s="537"/>
      <c r="GM40" s="537"/>
      <c r="GN40" s="538"/>
      <c r="GO40" s="423" t="s">
        <v>8</v>
      </c>
      <c r="GP40" s="304">
        <f>SUM(GP36:GP39)</f>
        <v>3469.956577777778</v>
      </c>
      <c r="GQ40" s="541"/>
      <c r="GR40" s="537"/>
      <c r="GS40" s="537"/>
      <c r="GT40" s="537"/>
      <c r="GU40" s="537"/>
      <c r="GV40" s="537"/>
      <c r="GW40" s="537"/>
      <c r="GX40" s="537"/>
      <c r="GY40" s="537"/>
      <c r="GZ40" s="537"/>
      <c r="HA40" s="537"/>
      <c r="HB40" s="537"/>
      <c r="HC40" s="537"/>
      <c r="HD40" s="537"/>
      <c r="HE40" s="537"/>
      <c r="HF40" s="538"/>
      <c r="HG40" s="423" t="s">
        <v>8</v>
      </c>
      <c r="HH40" s="304">
        <f>SUM(HH36:HH39)</f>
        <v>3469.956577777778</v>
      </c>
      <c r="HJ40" s="37"/>
      <c r="HK40" s="37"/>
      <c r="HL40" s="37"/>
      <c r="HM40" s="37"/>
      <c r="HN40" s="37"/>
      <c r="HO40" s="37"/>
      <c r="HP40" s="37"/>
      <c r="HQ40" s="37"/>
      <c r="HR40" s="37"/>
      <c r="HS40" s="37"/>
      <c r="HT40" s="37"/>
      <c r="HU40" s="37"/>
      <c r="HV40" s="37"/>
      <c r="HW40" s="37"/>
      <c r="HX40" s="37"/>
      <c r="HY40" s="37"/>
      <c r="HZ40" s="37"/>
      <c r="IA40" s="37"/>
      <c r="IB40" s="37"/>
      <c r="IC40" s="37"/>
      <c r="ID40" s="37"/>
      <c r="IE40" s="37"/>
      <c r="IF40" s="37"/>
      <c r="IG40" s="37"/>
      <c r="IH40" s="37"/>
      <c r="II40" s="37"/>
      <c r="IJ40" s="37"/>
      <c r="IK40" s="37"/>
      <c r="IL40" s="37"/>
      <c r="IM40" s="37"/>
      <c r="IN40" s="37"/>
      <c r="IO40" s="37"/>
      <c r="IP40" s="37"/>
    </row>
    <row r="41" spans="1:250" ht="15.6" x14ac:dyDescent="0.3">
      <c r="A41" s="543"/>
      <c r="B41" s="544"/>
      <c r="C41" s="544"/>
      <c r="D41" s="544"/>
      <c r="E41" s="742" t="s">
        <v>51</v>
      </c>
      <c r="F41" s="742"/>
      <c r="G41" s="742"/>
      <c r="H41" s="742"/>
      <c r="I41" s="742"/>
      <c r="J41" s="742"/>
      <c r="K41" s="742"/>
      <c r="L41" s="742"/>
      <c r="M41" s="742"/>
      <c r="N41" s="544"/>
      <c r="O41" s="544"/>
      <c r="P41" s="544"/>
      <c r="Q41" s="544"/>
      <c r="R41" s="545"/>
      <c r="S41" s="543"/>
      <c r="T41" s="544"/>
      <c r="U41" s="544"/>
      <c r="V41" s="544"/>
      <c r="W41" s="742" t="s">
        <v>51</v>
      </c>
      <c r="X41" s="742"/>
      <c r="Y41" s="742"/>
      <c r="Z41" s="742"/>
      <c r="AA41" s="742"/>
      <c r="AB41" s="742"/>
      <c r="AC41" s="742"/>
      <c r="AD41" s="742"/>
      <c r="AE41" s="742"/>
      <c r="AF41" s="544"/>
      <c r="AG41" s="544"/>
      <c r="AH41" s="544"/>
      <c r="AI41" s="544"/>
      <c r="AJ41" s="545"/>
      <c r="AK41" s="543"/>
      <c r="AL41" s="544"/>
      <c r="AM41" s="544"/>
      <c r="AN41" s="544"/>
      <c r="AO41" s="742" t="s">
        <v>51</v>
      </c>
      <c r="AP41" s="742"/>
      <c r="AQ41" s="742"/>
      <c r="AR41" s="742"/>
      <c r="AS41" s="742"/>
      <c r="AT41" s="742"/>
      <c r="AU41" s="742"/>
      <c r="AV41" s="742"/>
      <c r="AW41" s="742"/>
      <c r="AX41" s="544"/>
      <c r="AY41" s="544"/>
      <c r="AZ41" s="544"/>
      <c r="BA41" s="544"/>
      <c r="BB41" s="545"/>
      <c r="BC41" s="543"/>
      <c r="BD41" s="544"/>
      <c r="BE41" s="544"/>
      <c r="BF41" s="544"/>
      <c r="BG41" s="742" t="s">
        <v>51</v>
      </c>
      <c r="BH41" s="742"/>
      <c r="BI41" s="742"/>
      <c r="BJ41" s="742"/>
      <c r="BK41" s="742"/>
      <c r="BL41" s="742"/>
      <c r="BM41" s="742"/>
      <c r="BN41" s="742"/>
      <c r="BO41" s="742"/>
      <c r="BP41" s="544"/>
      <c r="BQ41" s="544"/>
      <c r="BR41" s="544"/>
      <c r="BS41" s="544"/>
      <c r="BT41" s="545"/>
      <c r="BU41" s="543"/>
      <c r="BV41" s="544"/>
      <c r="BW41" s="544"/>
      <c r="BX41" s="544"/>
      <c r="BY41" s="742" t="s">
        <v>51</v>
      </c>
      <c r="BZ41" s="742"/>
      <c r="CA41" s="742"/>
      <c r="CB41" s="742"/>
      <c r="CC41" s="742"/>
      <c r="CD41" s="742"/>
      <c r="CE41" s="742"/>
      <c r="CF41" s="742"/>
      <c r="CG41" s="742"/>
      <c r="CH41" s="544"/>
      <c r="CI41" s="544"/>
      <c r="CJ41" s="544"/>
      <c r="CK41" s="544"/>
      <c r="CL41" s="545"/>
      <c r="CM41" s="543"/>
      <c r="CN41" s="544"/>
      <c r="CO41" s="544"/>
      <c r="CP41" s="544"/>
      <c r="CQ41" s="742" t="s">
        <v>51</v>
      </c>
      <c r="CR41" s="742"/>
      <c r="CS41" s="742"/>
      <c r="CT41" s="742"/>
      <c r="CU41" s="742"/>
      <c r="CV41" s="742"/>
      <c r="CW41" s="742"/>
      <c r="CX41" s="742"/>
      <c r="CY41" s="742"/>
      <c r="CZ41" s="544"/>
      <c r="DA41" s="544"/>
      <c r="DB41" s="544"/>
      <c r="DC41" s="544"/>
      <c r="DD41" s="545"/>
      <c r="DE41" s="543"/>
      <c r="DF41" s="544"/>
      <c r="DG41" s="544"/>
      <c r="DH41" s="544"/>
      <c r="DI41" s="742" t="s">
        <v>51</v>
      </c>
      <c r="DJ41" s="742"/>
      <c r="DK41" s="742"/>
      <c r="DL41" s="742"/>
      <c r="DM41" s="742"/>
      <c r="DN41" s="742"/>
      <c r="DO41" s="742"/>
      <c r="DP41" s="742"/>
      <c r="DQ41" s="742"/>
      <c r="DR41" s="544"/>
      <c r="DS41" s="544"/>
      <c r="DT41" s="544"/>
      <c r="DU41" s="544"/>
      <c r="DV41" s="545"/>
      <c r="DW41" s="543"/>
      <c r="DX41" s="544"/>
      <c r="DY41" s="544"/>
      <c r="DZ41" s="544"/>
      <c r="EA41" s="742" t="s">
        <v>51</v>
      </c>
      <c r="EB41" s="742"/>
      <c r="EC41" s="742"/>
      <c r="ED41" s="742"/>
      <c r="EE41" s="742"/>
      <c r="EF41" s="742"/>
      <c r="EG41" s="742"/>
      <c r="EH41" s="742"/>
      <c r="EI41" s="742"/>
      <c r="EJ41" s="544"/>
      <c r="EK41" s="544"/>
      <c r="EL41" s="544"/>
      <c r="EM41" s="544"/>
      <c r="EN41" s="545"/>
      <c r="EO41" s="543"/>
      <c r="EP41" s="544"/>
      <c r="EQ41" s="544"/>
      <c r="ER41" s="544"/>
      <c r="ES41" s="742" t="s">
        <v>51</v>
      </c>
      <c r="ET41" s="742"/>
      <c r="EU41" s="742"/>
      <c r="EV41" s="742"/>
      <c r="EW41" s="742"/>
      <c r="EX41" s="742"/>
      <c r="EY41" s="742"/>
      <c r="EZ41" s="742"/>
      <c r="FA41" s="742"/>
      <c r="FB41" s="544"/>
      <c r="FC41" s="544"/>
      <c r="FD41" s="544"/>
      <c r="FE41" s="544"/>
      <c r="FF41" s="545"/>
      <c r="FG41" s="543"/>
      <c r="FH41" s="544"/>
      <c r="FI41" s="544"/>
      <c r="FJ41" s="544"/>
      <c r="FK41" s="742" t="s">
        <v>51</v>
      </c>
      <c r="FL41" s="742"/>
      <c r="FM41" s="742"/>
      <c r="FN41" s="742"/>
      <c r="FO41" s="742"/>
      <c r="FP41" s="742"/>
      <c r="FQ41" s="742"/>
      <c r="FR41" s="742"/>
      <c r="FS41" s="742"/>
      <c r="FT41" s="544"/>
      <c r="FU41" s="544"/>
      <c r="FV41" s="544"/>
      <c r="FW41" s="544"/>
      <c r="FX41" s="545"/>
      <c r="FY41" s="543"/>
      <c r="FZ41" s="544"/>
      <c r="GA41" s="544"/>
      <c r="GB41" s="544"/>
      <c r="GC41" s="742" t="s">
        <v>51</v>
      </c>
      <c r="GD41" s="742"/>
      <c r="GE41" s="742"/>
      <c r="GF41" s="742"/>
      <c r="GG41" s="742"/>
      <c r="GH41" s="742"/>
      <c r="GI41" s="742"/>
      <c r="GJ41" s="742"/>
      <c r="GK41" s="742"/>
      <c r="GL41" s="544"/>
      <c r="GM41" s="544"/>
      <c r="GN41" s="544"/>
      <c r="GO41" s="544"/>
      <c r="GP41" s="545"/>
      <c r="GQ41" s="543"/>
      <c r="GR41" s="544"/>
      <c r="GS41" s="544"/>
      <c r="GT41" s="544"/>
      <c r="GU41" s="742" t="s">
        <v>51</v>
      </c>
      <c r="GV41" s="742"/>
      <c r="GW41" s="742"/>
      <c r="GX41" s="742"/>
      <c r="GY41" s="742"/>
      <c r="GZ41" s="742"/>
      <c r="HA41" s="742"/>
      <c r="HB41" s="742"/>
      <c r="HC41" s="742"/>
      <c r="HD41" s="544"/>
      <c r="HE41" s="544"/>
      <c r="HF41" s="544"/>
      <c r="HG41" s="544"/>
      <c r="HH41" s="545"/>
      <c r="HJ41" s="37"/>
      <c r="HK41" s="37"/>
      <c r="HL41" s="37"/>
      <c r="HM41" s="37"/>
      <c r="HN41" s="37"/>
      <c r="HO41" s="37"/>
      <c r="HP41" s="37"/>
      <c r="HQ41" s="37"/>
      <c r="HR41" s="37"/>
      <c r="HS41" s="37"/>
      <c r="HT41" s="37"/>
      <c r="HU41" s="37"/>
      <c r="HV41" s="37"/>
      <c r="HW41" s="37"/>
      <c r="HX41" s="37"/>
      <c r="HY41" s="37"/>
      <c r="HZ41" s="37"/>
      <c r="IA41" s="37"/>
      <c r="IB41" s="37"/>
      <c r="IC41" s="37"/>
      <c r="ID41" s="37"/>
      <c r="IE41" s="37"/>
      <c r="IF41" s="37"/>
      <c r="IG41" s="37"/>
      <c r="IH41" s="37"/>
      <c r="II41" s="37"/>
      <c r="IJ41" s="37"/>
      <c r="IK41" s="37"/>
      <c r="IL41" s="37"/>
      <c r="IM41" s="37"/>
      <c r="IN41" s="37"/>
      <c r="IO41" s="37"/>
      <c r="IP41" s="37"/>
    </row>
    <row r="42" spans="1:250" x14ac:dyDescent="0.3">
      <c r="A42" s="58">
        <v>0</v>
      </c>
      <c r="B42" s="68" t="s">
        <v>133</v>
      </c>
      <c r="C42" s="28">
        <f t="shared" ref="C42:C47" si="480">D42/$AM$4</f>
        <v>0</v>
      </c>
      <c r="D42" s="69">
        <v>0</v>
      </c>
      <c r="E42" s="28">
        <f t="shared" ref="E42:E47" si="481">D42*E$6</f>
        <v>0</v>
      </c>
      <c r="F42" s="28">
        <f t="shared" ref="F42:F47" si="482">D42*F$6</f>
        <v>0</v>
      </c>
      <c r="G42" s="28">
        <f t="shared" ref="G42:G47" si="483">D42/G$6</f>
        <v>0</v>
      </c>
      <c r="H42" s="72">
        <f t="shared" ref="H42:H47" si="484">G42/H$6</f>
        <v>0</v>
      </c>
      <c r="I42" s="72">
        <f t="shared" ref="I42:I47" si="485">D42/I$6</f>
        <v>0</v>
      </c>
      <c r="J42" s="70">
        <f t="shared" ref="J42:J47" si="486">SUM(D42:I42)</f>
        <v>0</v>
      </c>
      <c r="K42" s="71">
        <v>0</v>
      </c>
      <c r="L42" s="71">
        <v>0</v>
      </c>
      <c r="M42" s="72">
        <f t="shared" ref="M42:M47" si="487">((C42*M$6)+(C42*$AO$6)+(C42*$AP$6))*K42</f>
        <v>0</v>
      </c>
      <c r="N42" s="72">
        <f t="shared" ref="N42:N47" si="488">((C42*N$6)+(C42*$AO$6)+(C42*$AP$6))*L42</f>
        <v>0</v>
      </c>
      <c r="O42" s="70">
        <f t="shared" ref="O42:O47" si="489">SUM(M42:N42)</f>
        <v>0</v>
      </c>
      <c r="P42" s="73">
        <v>0</v>
      </c>
      <c r="Q42" s="74">
        <f t="shared" ref="Q42:Q47" si="490">IF(A42=1,($C$1*$Q$6),0)</f>
        <v>0</v>
      </c>
      <c r="R42" s="303">
        <f t="shared" ref="R42:R47" si="491">J42+O42+P42+Q42</f>
        <v>0</v>
      </c>
      <c r="S42" s="58">
        <v>0</v>
      </c>
      <c r="T42" s="68" t="s">
        <v>133</v>
      </c>
      <c r="U42" s="28">
        <f t="shared" ref="U42:U47" si="492">V42/$AM$4</f>
        <v>0</v>
      </c>
      <c r="V42" s="69">
        <v>0</v>
      </c>
      <c r="W42" s="28">
        <f t="shared" ref="W42:W47" si="493">V42*W$6</f>
        <v>0</v>
      </c>
      <c r="X42" s="28">
        <f t="shared" ref="X42:X47" si="494">V42*X$6</f>
        <v>0</v>
      </c>
      <c r="Y42" s="28">
        <f t="shared" ref="Y42:Y47" si="495">V42/Y$6</f>
        <v>0</v>
      </c>
      <c r="Z42" s="72">
        <f t="shared" ref="Z42:Z47" si="496">Y42/Z$6</f>
        <v>0</v>
      </c>
      <c r="AA42" s="72">
        <f t="shared" ref="AA42:AA47" si="497">V42/AA$6</f>
        <v>0</v>
      </c>
      <c r="AB42" s="70">
        <f t="shared" ref="AB42:AB47" si="498">SUM(V42:AA42)</f>
        <v>0</v>
      </c>
      <c r="AC42" s="71">
        <v>0</v>
      </c>
      <c r="AD42" s="71">
        <v>0</v>
      </c>
      <c r="AE42" s="72">
        <f t="shared" ref="AE42:AE47" si="499">((U42*AE$6)+(U42*$AO$6)+(U42*$AP$6))*AC42</f>
        <v>0</v>
      </c>
      <c r="AF42" s="72">
        <f t="shared" ref="AF42:AF47" si="500">((U42*AF$6)+(U42*$AO$6)+(U42*$AP$6))*AD42</f>
        <v>0</v>
      </c>
      <c r="AG42" s="70">
        <f t="shared" ref="AG42:AG47" si="501">SUM(AE42:AF42)</f>
        <v>0</v>
      </c>
      <c r="AH42" s="73">
        <v>0</v>
      </c>
      <c r="AI42" s="74">
        <f t="shared" ref="AI42:AI47" si="502">IF(S42=1,($C$1*$Q$6),0)</f>
        <v>0</v>
      </c>
      <c r="AJ42" s="303">
        <f t="shared" ref="AJ42:AJ47" si="503">AB42+AG42+AH42+AI42</f>
        <v>0</v>
      </c>
      <c r="AK42" s="58">
        <v>0</v>
      </c>
      <c r="AL42" s="68" t="s">
        <v>133</v>
      </c>
      <c r="AM42" s="28">
        <f t="shared" ref="AM42:AM47" si="504">AN42/$AM$4</f>
        <v>0</v>
      </c>
      <c r="AN42" s="69">
        <v>0</v>
      </c>
      <c r="AO42" s="28">
        <f t="shared" ref="AO42:AO47" si="505">AN42*AO$6</f>
        <v>0</v>
      </c>
      <c r="AP42" s="28">
        <f t="shared" ref="AP42:AP47" si="506">AN42*AP$6</f>
        <v>0</v>
      </c>
      <c r="AQ42" s="28">
        <f t="shared" ref="AQ42:AQ47" si="507">AN42/AQ$6</f>
        <v>0</v>
      </c>
      <c r="AR42" s="72">
        <f t="shared" ref="AR42:AR47" si="508">AQ42/AR$6</f>
        <v>0</v>
      </c>
      <c r="AS42" s="72">
        <f t="shared" ref="AS42:AS47" si="509">AN42/AS$6</f>
        <v>0</v>
      </c>
      <c r="AT42" s="70">
        <f t="shared" ref="AT42:AT47" si="510">SUM(AN42:AS42)</f>
        <v>0</v>
      </c>
      <c r="AU42" s="71">
        <v>0</v>
      </c>
      <c r="AV42" s="71">
        <v>0</v>
      </c>
      <c r="AW42" s="72">
        <f t="shared" ref="AW42:AW47" si="511">((AM42*AW$6)+(AM42*$AO$6)+(AM42*$AP$6))*AU42</f>
        <v>0</v>
      </c>
      <c r="AX42" s="72">
        <f t="shared" ref="AX42:AX47" si="512">((AM42*AX$6)+(AM42*$AO$6)+(AM42*$AP$6))*AV42</f>
        <v>0</v>
      </c>
      <c r="AY42" s="70">
        <f t="shared" ref="AY42:AY47" si="513">SUM(AW42:AX42)</f>
        <v>0</v>
      </c>
      <c r="AZ42" s="73">
        <v>0</v>
      </c>
      <c r="BA42" s="74">
        <f t="shared" ref="BA42:BA47" si="514">IF(AK42=1,($C$1*$Q$6),0)</f>
        <v>0</v>
      </c>
      <c r="BB42" s="303">
        <f t="shared" ref="BB42:BB47" si="515">AT42+AY42+AZ42+BA42</f>
        <v>0</v>
      </c>
      <c r="BC42" s="58">
        <v>0</v>
      </c>
      <c r="BD42" s="68" t="s">
        <v>133</v>
      </c>
      <c r="BE42" s="28">
        <f t="shared" ref="BE42:BE47" si="516">BF42/$AM$4</f>
        <v>0</v>
      </c>
      <c r="BF42" s="69">
        <v>0</v>
      </c>
      <c r="BG42" s="28">
        <f t="shared" ref="BG42:BG47" si="517">BF42*BG$6</f>
        <v>0</v>
      </c>
      <c r="BH42" s="28">
        <f t="shared" ref="BH42:BH47" si="518">BF42*BH$6</f>
        <v>0</v>
      </c>
      <c r="BI42" s="28">
        <f t="shared" ref="BI42:BI47" si="519">BF42/BI$6</f>
        <v>0</v>
      </c>
      <c r="BJ42" s="72">
        <f t="shared" ref="BJ42:BJ47" si="520">BI42/BJ$6</f>
        <v>0</v>
      </c>
      <c r="BK42" s="72">
        <f t="shared" ref="BK42:BK47" si="521">BF42/BK$6</f>
        <v>0</v>
      </c>
      <c r="BL42" s="70">
        <f t="shared" ref="BL42:BL47" si="522">SUM(BF42:BK42)</f>
        <v>0</v>
      </c>
      <c r="BM42" s="71">
        <v>0</v>
      </c>
      <c r="BN42" s="71">
        <v>0</v>
      </c>
      <c r="BO42" s="72">
        <f t="shared" ref="BO42:BO47" si="523">((BE42*BO$6)+(BE42*$AO$6)+(BE42*$AP$6))*BM42</f>
        <v>0</v>
      </c>
      <c r="BP42" s="72">
        <f t="shared" ref="BP42:BP47" si="524">((BE42*BP$6)+(BE42*$AO$6)+(BE42*$AP$6))*BN42</f>
        <v>0</v>
      </c>
      <c r="BQ42" s="70">
        <f t="shared" ref="BQ42:BQ47" si="525">SUM(BO42:BP42)</f>
        <v>0</v>
      </c>
      <c r="BR42" s="73">
        <v>0</v>
      </c>
      <c r="BS42" s="74">
        <f t="shared" ref="BS42:BS47" si="526">IF(BC42=1,($C$1*$Q$6),0)</f>
        <v>0</v>
      </c>
      <c r="BT42" s="303">
        <f t="shared" ref="BT42:BT47" si="527">BL42+BQ42+BR42+BS42</f>
        <v>0</v>
      </c>
      <c r="BU42" s="58">
        <v>0</v>
      </c>
      <c r="BV42" s="68" t="s">
        <v>133</v>
      </c>
      <c r="BW42" s="28">
        <f t="shared" ref="BW42:BW47" si="528">BX42/$AM$4</f>
        <v>0</v>
      </c>
      <c r="BX42" s="69">
        <v>0</v>
      </c>
      <c r="BY42" s="28">
        <f t="shared" ref="BY42:BY47" si="529">BX42*BY$6</f>
        <v>0</v>
      </c>
      <c r="BZ42" s="28">
        <f t="shared" ref="BZ42:BZ47" si="530">BX42*BZ$6</f>
        <v>0</v>
      </c>
      <c r="CA42" s="28">
        <f t="shared" ref="CA42:CA47" si="531">BX42/CA$6</f>
        <v>0</v>
      </c>
      <c r="CB42" s="72">
        <f t="shared" ref="CB42:CB47" si="532">CA42/CB$6</f>
        <v>0</v>
      </c>
      <c r="CC42" s="72">
        <f t="shared" ref="CC42:CC47" si="533">BX42/CC$6</f>
        <v>0</v>
      </c>
      <c r="CD42" s="70">
        <f t="shared" ref="CD42:CD47" si="534">SUM(BX42:CC42)</f>
        <v>0</v>
      </c>
      <c r="CE42" s="71">
        <v>0</v>
      </c>
      <c r="CF42" s="71">
        <v>0</v>
      </c>
      <c r="CG42" s="72">
        <f t="shared" ref="CG42:CG47" si="535">((BW42*CG$6)+(BW42*$AO$6)+(BW42*$AP$6))*CE42</f>
        <v>0</v>
      </c>
      <c r="CH42" s="72">
        <f t="shared" ref="CH42:CH47" si="536">((BW42*CH$6)+(BW42*$AO$6)+(BW42*$AP$6))*CF42</f>
        <v>0</v>
      </c>
      <c r="CI42" s="70">
        <f t="shared" ref="CI42:CI47" si="537">SUM(CG42:CH42)</f>
        <v>0</v>
      </c>
      <c r="CJ42" s="73">
        <v>0</v>
      </c>
      <c r="CK42" s="74">
        <f t="shared" ref="CK42:CK47" si="538">IF(BU42=1,($C$1*$Q$6),0)</f>
        <v>0</v>
      </c>
      <c r="CL42" s="303">
        <f t="shared" ref="CL42:CL47" si="539">CD42+CI42+CJ42+CK42</f>
        <v>0</v>
      </c>
      <c r="CM42" s="58">
        <v>0</v>
      </c>
      <c r="CN42" s="68" t="s">
        <v>133</v>
      </c>
      <c r="CO42" s="28">
        <f t="shared" ref="CO42:CO47" si="540">CP42/$AM$4</f>
        <v>0</v>
      </c>
      <c r="CP42" s="69">
        <v>0</v>
      </c>
      <c r="CQ42" s="28">
        <f t="shared" ref="CQ42:CQ47" si="541">CP42*CQ$6</f>
        <v>0</v>
      </c>
      <c r="CR42" s="28">
        <f t="shared" ref="CR42:CR47" si="542">CP42*CR$6</f>
        <v>0</v>
      </c>
      <c r="CS42" s="28">
        <f t="shared" ref="CS42:CS47" si="543">CP42/CS$6</f>
        <v>0</v>
      </c>
      <c r="CT42" s="72">
        <f t="shared" ref="CT42:CT47" si="544">CS42/CT$6</f>
        <v>0</v>
      </c>
      <c r="CU42" s="72">
        <f t="shared" ref="CU42:CU47" si="545">CP42/CU$6</f>
        <v>0</v>
      </c>
      <c r="CV42" s="70">
        <f t="shared" ref="CV42:CV47" si="546">SUM(CP42:CU42)</f>
        <v>0</v>
      </c>
      <c r="CW42" s="71">
        <v>0</v>
      </c>
      <c r="CX42" s="71">
        <v>0</v>
      </c>
      <c r="CY42" s="72">
        <f t="shared" ref="CY42:CY47" si="547">((CO42*CY$6)+(CO42*$AO$6)+(CO42*$AP$6))*CW42</f>
        <v>0</v>
      </c>
      <c r="CZ42" s="72">
        <f t="shared" ref="CZ42:CZ47" si="548">((CO42*CZ$6)+(CO42*$AO$6)+(CO42*$AP$6))*CX42</f>
        <v>0</v>
      </c>
      <c r="DA42" s="70">
        <f t="shared" ref="DA42:DA47" si="549">SUM(CY42:CZ42)</f>
        <v>0</v>
      </c>
      <c r="DB42" s="73">
        <v>0</v>
      </c>
      <c r="DC42" s="74">
        <f t="shared" ref="DC42:DC47" si="550">IF(CM42=1,($C$1*$Q$6),0)</f>
        <v>0</v>
      </c>
      <c r="DD42" s="303">
        <f t="shared" ref="DD42:DD47" si="551">CV42+DA42+DB42+DC42</f>
        <v>0</v>
      </c>
      <c r="DE42" s="58">
        <v>0</v>
      </c>
      <c r="DF42" s="68" t="s">
        <v>133</v>
      </c>
      <c r="DG42" s="28">
        <f t="shared" ref="DG42:DG47" si="552">DH42/$AM$4</f>
        <v>0</v>
      </c>
      <c r="DH42" s="69">
        <v>0</v>
      </c>
      <c r="DI42" s="28">
        <f t="shared" ref="DI42:DI47" si="553">DH42*DI$6</f>
        <v>0</v>
      </c>
      <c r="DJ42" s="28">
        <f t="shared" ref="DJ42:DJ47" si="554">DH42*DJ$6</f>
        <v>0</v>
      </c>
      <c r="DK42" s="28">
        <f t="shared" ref="DK42:DK47" si="555">DH42/DK$6</f>
        <v>0</v>
      </c>
      <c r="DL42" s="72">
        <f t="shared" ref="DL42:DL47" si="556">DK42/DL$6</f>
        <v>0</v>
      </c>
      <c r="DM42" s="72">
        <f t="shared" ref="DM42:DM47" si="557">DH42/DM$6</f>
        <v>0</v>
      </c>
      <c r="DN42" s="70">
        <f t="shared" ref="DN42:DN47" si="558">SUM(DH42:DM42)</f>
        <v>0</v>
      </c>
      <c r="DO42" s="71">
        <v>0</v>
      </c>
      <c r="DP42" s="71">
        <v>0</v>
      </c>
      <c r="DQ42" s="72">
        <f t="shared" ref="DQ42:DQ47" si="559">((DG42*DQ$6)+(DG42*$AO$6)+(DG42*$AP$6))*DO42</f>
        <v>0</v>
      </c>
      <c r="DR42" s="72">
        <f t="shared" ref="DR42:DR47" si="560">((DG42*DR$6)+(DG42*$AO$6)+(DG42*$AP$6))*DP42</f>
        <v>0</v>
      </c>
      <c r="DS42" s="70">
        <f t="shared" ref="DS42:DS47" si="561">SUM(DQ42:DR42)</f>
        <v>0</v>
      </c>
      <c r="DT42" s="73">
        <v>0</v>
      </c>
      <c r="DU42" s="74">
        <f t="shared" ref="DU42:DU47" si="562">IF(DE42=1,($C$1*$Q$6),0)</f>
        <v>0</v>
      </c>
      <c r="DV42" s="303">
        <f t="shared" ref="DV42:DV47" si="563">DN42+DS42+DT42+DU42</f>
        <v>0</v>
      </c>
      <c r="DW42" s="58">
        <v>0</v>
      </c>
      <c r="DX42" s="68" t="s">
        <v>133</v>
      </c>
      <c r="DY42" s="28">
        <f t="shared" ref="DY42:DY47" si="564">DZ42/$AM$4</f>
        <v>0</v>
      </c>
      <c r="DZ42" s="69">
        <v>0</v>
      </c>
      <c r="EA42" s="28">
        <f t="shared" ref="EA42:EA47" si="565">DZ42*EA$6</f>
        <v>0</v>
      </c>
      <c r="EB42" s="28">
        <f t="shared" ref="EB42:EB47" si="566">DZ42*EB$6</f>
        <v>0</v>
      </c>
      <c r="EC42" s="28">
        <f t="shared" ref="EC42:EC47" si="567">DZ42/EC$6</f>
        <v>0</v>
      </c>
      <c r="ED42" s="72">
        <f t="shared" ref="ED42:ED47" si="568">EC42/ED$6</f>
        <v>0</v>
      </c>
      <c r="EE42" s="72">
        <f t="shared" ref="EE42:EE47" si="569">DZ42/EE$6</f>
        <v>0</v>
      </c>
      <c r="EF42" s="70">
        <f t="shared" ref="EF42:EF47" si="570">SUM(DZ42:EE42)</f>
        <v>0</v>
      </c>
      <c r="EG42" s="71">
        <v>0</v>
      </c>
      <c r="EH42" s="71">
        <v>0</v>
      </c>
      <c r="EI42" s="72">
        <f t="shared" ref="EI42:EI47" si="571">((DY42*EI$6)+(DY42*$AO$6)+(DY42*$AP$6))*EG42</f>
        <v>0</v>
      </c>
      <c r="EJ42" s="72">
        <f t="shared" ref="EJ42:EJ47" si="572">((DY42*EJ$6)+(DY42*$AO$6)+(DY42*$AP$6))*EH42</f>
        <v>0</v>
      </c>
      <c r="EK42" s="70">
        <f t="shared" ref="EK42:EK47" si="573">SUM(EI42:EJ42)</f>
        <v>0</v>
      </c>
      <c r="EL42" s="73">
        <v>0</v>
      </c>
      <c r="EM42" s="74">
        <f t="shared" ref="EM42:EM47" si="574">IF(DW42=1,($C$1*$Q$6),0)</f>
        <v>0</v>
      </c>
      <c r="EN42" s="303">
        <f t="shared" ref="EN42:EN47" si="575">EF42+EK42+EL42+EM42</f>
        <v>0</v>
      </c>
      <c r="EO42" s="58">
        <v>0</v>
      </c>
      <c r="EP42" s="68" t="s">
        <v>133</v>
      </c>
      <c r="EQ42" s="28">
        <f t="shared" ref="EQ42:EQ47" si="576">ER42/$AM$4</f>
        <v>0</v>
      </c>
      <c r="ER42" s="69">
        <v>0</v>
      </c>
      <c r="ES42" s="28">
        <f t="shared" ref="ES42:ES47" si="577">ER42*ES$6</f>
        <v>0</v>
      </c>
      <c r="ET42" s="28">
        <f t="shared" ref="ET42:ET47" si="578">ER42*ET$6</f>
        <v>0</v>
      </c>
      <c r="EU42" s="28">
        <f t="shared" ref="EU42:EU47" si="579">ER42/EU$6</f>
        <v>0</v>
      </c>
      <c r="EV42" s="72">
        <f t="shared" ref="EV42:EV47" si="580">EU42/EV$6</f>
        <v>0</v>
      </c>
      <c r="EW42" s="72">
        <f t="shared" ref="EW42:EW47" si="581">ER42/EW$6</f>
        <v>0</v>
      </c>
      <c r="EX42" s="70">
        <f t="shared" ref="EX42:EX47" si="582">SUM(ER42:EW42)</f>
        <v>0</v>
      </c>
      <c r="EY42" s="71">
        <v>0</v>
      </c>
      <c r="EZ42" s="71">
        <v>0</v>
      </c>
      <c r="FA42" s="72">
        <f t="shared" ref="FA42:FA47" si="583">((EQ42*FA$6)+(EQ42*$AO$6)+(EQ42*$AP$6))*EY42</f>
        <v>0</v>
      </c>
      <c r="FB42" s="72">
        <f t="shared" ref="FB42:FB47" si="584">((EQ42*FB$6)+(EQ42*$AO$6)+(EQ42*$AP$6))*EZ42</f>
        <v>0</v>
      </c>
      <c r="FC42" s="70">
        <f t="shared" ref="FC42:FC47" si="585">SUM(FA42:FB42)</f>
        <v>0</v>
      </c>
      <c r="FD42" s="73">
        <v>0</v>
      </c>
      <c r="FE42" s="74">
        <f t="shared" ref="FE42:FE47" si="586">IF(EO42=1,($C$1*$Q$6),0)</f>
        <v>0</v>
      </c>
      <c r="FF42" s="303">
        <f t="shared" ref="FF42:FF47" si="587">EX42+FC42+FD42+FE42</f>
        <v>0</v>
      </c>
      <c r="FG42" s="58">
        <v>0</v>
      </c>
      <c r="FH42" s="68" t="s">
        <v>133</v>
      </c>
      <c r="FI42" s="28">
        <f t="shared" ref="FI42:FI47" si="588">FJ42/$AM$4</f>
        <v>0</v>
      </c>
      <c r="FJ42" s="69">
        <v>0</v>
      </c>
      <c r="FK42" s="28">
        <f t="shared" ref="FK42:FK47" si="589">FJ42*FK$6</f>
        <v>0</v>
      </c>
      <c r="FL42" s="28">
        <f t="shared" ref="FL42:FL47" si="590">FJ42*FL$6</f>
        <v>0</v>
      </c>
      <c r="FM42" s="28">
        <f t="shared" ref="FM42:FM47" si="591">FJ42/FM$6</f>
        <v>0</v>
      </c>
      <c r="FN42" s="72">
        <f t="shared" ref="FN42:FN47" si="592">FM42/FN$6</f>
        <v>0</v>
      </c>
      <c r="FO42" s="72">
        <f t="shared" ref="FO42:FO47" si="593">FJ42/FO$6</f>
        <v>0</v>
      </c>
      <c r="FP42" s="70">
        <f t="shared" ref="FP42:FP47" si="594">SUM(FJ42:FO42)</f>
        <v>0</v>
      </c>
      <c r="FQ42" s="71">
        <v>0</v>
      </c>
      <c r="FR42" s="71">
        <v>0</v>
      </c>
      <c r="FS42" s="72">
        <f t="shared" ref="FS42:FS47" si="595">((FI42*FS$6)+(FI42*$AO$6)+(FI42*$AP$6))*FQ42</f>
        <v>0</v>
      </c>
      <c r="FT42" s="72">
        <f t="shared" ref="FT42:FT47" si="596">((FI42*FT$6)+(FI42*$AO$6)+(FI42*$AP$6))*FR42</f>
        <v>0</v>
      </c>
      <c r="FU42" s="70">
        <f t="shared" ref="FU42:FU47" si="597">SUM(FS42:FT42)</f>
        <v>0</v>
      </c>
      <c r="FV42" s="73">
        <v>0</v>
      </c>
      <c r="FW42" s="74">
        <f t="shared" ref="FW42:FW47" si="598">IF(FG42=1,($C$1*$Q$6),0)</f>
        <v>0</v>
      </c>
      <c r="FX42" s="303">
        <f t="shared" ref="FX42:FX47" si="599">FP42+FU42+FV42+FW42</f>
        <v>0</v>
      </c>
      <c r="FY42" s="58">
        <v>0</v>
      </c>
      <c r="FZ42" s="68" t="s">
        <v>133</v>
      </c>
      <c r="GA42" s="28">
        <f t="shared" ref="GA42:GA47" si="600">GB42/$AM$4</f>
        <v>0</v>
      </c>
      <c r="GB42" s="69">
        <v>0</v>
      </c>
      <c r="GC42" s="28">
        <f t="shared" ref="GC42:GC47" si="601">GB42*GC$6</f>
        <v>0</v>
      </c>
      <c r="GD42" s="28">
        <f t="shared" ref="GD42:GD47" si="602">GB42*GD$6</f>
        <v>0</v>
      </c>
      <c r="GE42" s="28">
        <f t="shared" ref="GE42:GE47" si="603">GB42/GE$6</f>
        <v>0</v>
      </c>
      <c r="GF42" s="72">
        <f t="shared" ref="GF42:GF47" si="604">GE42/GF$6</f>
        <v>0</v>
      </c>
      <c r="GG42" s="72">
        <f t="shared" ref="GG42:GG47" si="605">GB42/GG$6</f>
        <v>0</v>
      </c>
      <c r="GH42" s="70">
        <f t="shared" ref="GH42:GH47" si="606">SUM(GB42:GG42)</f>
        <v>0</v>
      </c>
      <c r="GI42" s="71">
        <v>0</v>
      </c>
      <c r="GJ42" s="71">
        <v>0</v>
      </c>
      <c r="GK42" s="72">
        <f t="shared" ref="GK42:GK47" si="607">((GA42*GK$6)+(GA42*$AO$6)+(GA42*$AP$6))*GI42</f>
        <v>0</v>
      </c>
      <c r="GL42" s="72">
        <f t="shared" ref="GL42:GL47" si="608">((GA42*GL$6)+(GA42*$AO$6)+(GA42*$AP$6))*GJ42</f>
        <v>0</v>
      </c>
      <c r="GM42" s="70">
        <f t="shared" ref="GM42:GM47" si="609">SUM(GK42:GL42)</f>
        <v>0</v>
      </c>
      <c r="GN42" s="73">
        <v>0</v>
      </c>
      <c r="GO42" s="74">
        <f t="shared" ref="GO42:GO47" si="610">IF(FY42=1,($C$1*$Q$6),0)</f>
        <v>0</v>
      </c>
      <c r="GP42" s="303">
        <f t="shared" ref="GP42:GP47" si="611">GH42+GM42+GN42+GO42</f>
        <v>0</v>
      </c>
      <c r="GQ42" s="58">
        <v>0</v>
      </c>
      <c r="GR42" s="68" t="s">
        <v>133</v>
      </c>
      <c r="GS42" s="28">
        <f t="shared" ref="GS42:GS47" si="612">GT42/$AM$4</f>
        <v>0</v>
      </c>
      <c r="GT42" s="69">
        <v>0</v>
      </c>
      <c r="GU42" s="28">
        <f t="shared" ref="GU42:GU47" si="613">GT42*GU$6</f>
        <v>0</v>
      </c>
      <c r="GV42" s="28">
        <f t="shared" ref="GV42:GV47" si="614">GT42*GV$6</f>
        <v>0</v>
      </c>
      <c r="GW42" s="28">
        <f t="shared" ref="GW42:GW47" si="615">GT42/GW$6</f>
        <v>0</v>
      </c>
      <c r="GX42" s="72">
        <f t="shared" ref="GX42:GX47" si="616">GW42/GX$6</f>
        <v>0</v>
      </c>
      <c r="GY42" s="72">
        <f t="shared" ref="GY42:GY47" si="617">GT42/GY$6</f>
        <v>0</v>
      </c>
      <c r="GZ42" s="70">
        <f t="shared" ref="GZ42:GZ47" si="618">SUM(GT42:GY42)</f>
        <v>0</v>
      </c>
      <c r="HA42" s="71">
        <v>0</v>
      </c>
      <c r="HB42" s="71">
        <v>0</v>
      </c>
      <c r="HC42" s="72">
        <f t="shared" ref="HC42:HC47" si="619">((GS42*HC$6)+(GS42*$AO$6)+(GS42*$AP$6))*HA42</f>
        <v>0</v>
      </c>
      <c r="HD42" s="72">
        <f t="shared" ref="HD42:HD47" si="620">((GS42*HD$6)+(GS42*$AO$6)+(GS42*$AP$6))*HB42</f>
        <v>0</v>
      </c>
      <c r="HE42" s="70">
        <f t="shared" ref="HE42:HE47" si="621">SUM(HC42:HD42)</f>
        <v>0</v>
      </c>
      <c r="HF42" s="73">
        <v>0</v>
      </c>
      <c r="HG42" s="74">
        <f t="shared" ref="HG42:HG47" si="622">IF(GQ42=1,($C$1*$Q$6),0)</f>
        <v>0</v>
      </c>
      <c r="HH42" s="303">
        <f t="shared" ref="HH42:HH47" si="623">GZ42+HE42+HF42+HG42</f>
        <v>0</v>
      </c>
      <c r="HJ42" s="37"/>
      <c r="HK42" s="37"/>
      <c r="HL42" s="37"/>
      <c r="HM42" s="37"/>
      <c r="HN42" s="37"/>
      <c r="HO42" s="37"/>
      <c r="HP42" s="37"/>
      <c r="HQ42" s="37"/>
      <c r="HR42" s="37"/>
      <c r="HS42" s="37"/>
      <c r="HT42" s="37"/>
      <c r="HU42" s="37"/>
      <c r="HV42" s="37"/>
      <c r="HW42" s="37"/>
      <c r="HX42" s="37"/>
      <c r="HY42" s="37"/>
      <c r="HZ42" s="37"/>
      <c r="IA42" s="37"/>
      <c r="IB42" s="37"/>
      <c r="IC42" s="37"/>
      <c r="ID42" s="37"/>
      <c r="IE42" s="37"/>
      <c r="IF42" s="37"/>
      <c r="IG42" s="37"/>
      <c r="IH42" s="37"/>
      <c r="II42" s="37"/>
      <c r="IJ42" s="37"/>
      <c r="IK42" s="37"/>
      <c r="IL42" s="37"/>
      <c r="IM42" s="37"/>
      <c r="IN42" s="37"/>
      <c r="IO42" s="37"/>
      <c r="IP42" s="37"/>
    </row>
    <row r="43" spans="1:250" x14ac:dyDescent="0.3">
      <c r="A43" s="58">
        <v>0</v>
      </c>
      <c r="B43" s="68"/>
      <c r="C43" s="28">
        <f t="shared" si="480"/>
        <v>0</v>
      </c>
      <c r="D43" s="28">
        <v>0</v>
      </c>
      <c r="E43" s="28">
        <f t="shared" si="481"/>
        <v>0</v>
      </c>
      <c r="F43" s="28">
        <f t="shared" si="482"/>
        <v>0</v>
      </c>
      <c r="G43" s="28">
        <f t="shared" si="483"/>
        <v>0</v>
      </c>
      <c r="H43" s="72">
        <f t="shared" si="484"/>
        <v>0</v>
      </c>
      <c r="I43" s="72">
        <f t="shared" si="485"/>
        <v>0</v>
      </c>
      <c r="J43" s="70">
        <f t="shared" si="486"/>
        <v>0</v>
      </c>
      <c r="K43" s="71">
        <v>0</v>
      </c>
      <c r="L43" s="71">
        <v>0</v>
      </c>
      <c r="M43" s="72">
        <f t="shared" si="487"/>
        <v>0</v>
      </c>
      <c r="N43" s="72">
        <f t="shared" si="488"/>
        <v>0</v>
      </c>
      <c r="O43" s="70">
        <f t="shared" si="489"/>
        <v>0</v>
      </c>
      <c r="P43" s="73">
        <v>0</v>
      </c>
      <c r="Q43" s="74">
        <f t="shared" si="490"/>
        <v>0</v>
      </c>
      <c r="R43" s="303">
        <f t="shared" si="491"/>
        <v>0</v>
      </c>
      <c r="S43" s="58">
        <v>0</v>
      </c>
      <c r="T43" s="68"/>
      <c r="U43" s="28">
        <f t="shared" si="492"/>
        <v>0</v>
      </c>
      <c r="V43" s="28">
        <v>0</v>
      </c>
      <c r="W43" s="28">
        <f t="shared" si="493"/>
        <v>0</v>
      </c>
      <c r="X43" s="28">
        <f t="shared" si="494"/>
        <v>0</v>
      </c>
      <c r="Y43" s="28">
        <f t="shared" si="495"/>
        <v>0</v>
      </c>
      <c r="Z43" s="72">
        <f t="shared" si="496"/>
        <v>0</v>
      </c>
      <c r="AA43" s="72">
        <f t="shared" si="497"/>
        <v>0</v>
      </c>
      <c r="AB43" s="70">
        <f t="shared" si="498"/>
        <v>0</v>
      </c>
      <c r="AC43" s="71">
        <v>0</v>
      </c>
      <c r="AD43" s="71">
        <v>0</v>
      </c>
      <c r="AE43" s="72">
        <f t="shared" si="499"/>
        <v>0</v>
      </c>
      <c r="AF43" s="72">
        <f t="shared" si="500"/>
        <v>0</v>
      </c>
      <c r="AG43" s="70">
        <f t="shared" si="501"/>
        <v>0</v>
      </c>
      <c r="AH43" s="73">
        <v>0</v>
      </c>
      <c r="AI43" s="74">
        <f t="shared" si="502"/>
        <v>0</v>
      </c>
      <c r="AJ43" s="303">
        <f t="shared" si="503"/>
        <v>0</v>
      </c>
      <c r="AK43" s="58">
        <v>0</v>
      </c>
      <c r="AL43" s="68"/>
      <c r="AM43" s="28">
        <f t="shared" si="504"/>
        <v>0</v>
      </c>
      <c r="AN43" s="28">
        <v>0</v>
      </c>
      <c r="AO43" s="28">
        <f t="shared" si="505"/>
        <v>0</v>
      </c>
      <c r="AP43" s="28">
        <f t="shared" si="506"/>
        <v>0</v>
      </c>
      <c r="AQ43" s="28">
        <f t="shared" si="507"/>
        <v>0</v>
      </c>
      <c r="AR43" s="72">
        <f t="shared" si="508"/>
        <v>0</v>
      </c>
      <c r="AS43" s="72">
        <f t="shared" si="509"/>
        <v>0</v>
      </c>
      <c r="AT43" s="70">
        <f t="shared" si="510"/>
        <v>0</v>
      </c>
      <c r="AU43" s="71">
        <v>0</v>
      </c>
      <c r="AV43" s="71">
        <v>0</v>
      </c>
      <c r="AW43" s="72">
        <f t="shared" si="511"/>
        <v>0</v>
      </c>
      <c r="AX43" s="72">
        <f t="shared" si="512"/>
        <v>0</v>
      </c>
      <c r="AY43" s="70">
        <f t="shared" si="513"/>
        <v>0</v>
      </c>
      <c r="AZ43" s="73">
        <v>0</v>
      </c>
      <c r="BA43" s="74">
        <f t="shared" si="514"/>
        <v>0</v>
      </c>
      <c r="BB43" s="303">
        <f t="shared" si="515"/>
        <v>0</v>
      </c>
      <c r="BC43" s="58">
        <v>0</v>
      </c>
      <c r="BD43" s="68"/>
      <c r="BE43" s="28">
        <f t="shared" si="516"/>
        <v>0</v>
      </c>
      <c r="BF43" s="28">
        <v>0</v>
      </c>
      <c r="BG43" s="28">
        <f t="shared" si="517"/>
        <v>0</v>
      </c>
      <c r="BH43" s="28">
        <f t="shared" si="518"/>
        <v>0</v>
      </c>
      <c r="BI43" s="28">
        <f t="shared" si="519"/>
        <v>0</v>
      </c>
      <c r="BJ43" s="72">
        <f t="shared" si="520"/>
        <v>0</v>
      </c>
      <c r="BK43" s="72">
        <f t="shared" si="521"/>
        <v>0</v>
      </c>
      <c r="BL43" s="70">
        <f t="shared" si="522"/>
        <v>0</v>
      </c>
      <c r="BM43" s="71">
        <v>0</v>
      </c>
      <c r="BN43" s="71">
        <v>0</v>
      </c>
      <c r="BO43" s="72">
        <f t="shared" si="523"/>
        <v>0</v>
      </c>
      <c r="BP43" s="72">
        <f t="shared" si="524"/>
        <v>0</v>
      </c>
      <c r="BQ43" s="70">
        <f t="shared" si="525"/>
        <v>0</v>
      </c>
      <c r="BR43" s="73">
        <v>0</v>
      </c>
      <c r="BS43" s="74">
        <f t="shared" si="526"/>
        <v>0</v>
      </c>
      <c r="BT43" s="303">
        <f t="shared" si="527"/>
        <v>0</v>
      </c>
      <c r="BU43" s="58">
        <v>0</v>
      </c>
      <c r="BV43" s="68"/>
      <c r="BW43" s="28">
        <f t="shared" si="528"/>
        <v>0</v>
      </c>
      <c r="BX43" s="28">
        <v>0</v>
      </c>
      <c r="BY43" s="28">
        <f t="shared" si="529"/>
        <v>0</v>
      </c>
      <c r="BZ43" s="28">
        <f t="shared" si="530"/>
        <v>0</v>
      </c>
      <c r="CA43" s="28">
        <f t="shared" si="531"/>
        <v>0</v>
      </c>
      <c r="CB43" s="72">
        <f t="shared" si="532"/>
        <v>0</v>
      </c>
      <c r="CC43" s="72">
        <f t="shared" si="533"/>
        <v>0</v>
      </c>
      <c r="CD43" s="70">
        <f t="shared" si="534"/>
        <v>0</v>
      </c>
      <c r="CE43" s="71">
        <v>0</v>
      </c>
      <c r="CF43" s="71">
        <v>0</v>
      </c>
      <c r="CG43" s="72">
        <f t="shared" si="535"/>
        <v>0</v>
      </c>
      <c r="CH43" s="72">
        <f t="shared" si="536"/>
        <v>0</v>
      </c>
      <c r="CI43" s="70">
        <f t="shared" si="537"/>
        <v>0</v>
      </c>
      <c r="CJ43" s="73">
        <v>0</v>
      </c>
      <c r="CK43" s="74">
        <f t="shared" si="538"/>
        <v>0</v>
      </c>
      <c r="CL43" s="303">
        <f t="shared" si="539"/>
        <v>0</v>
      </c>
      <c r="CM43" s="58">
        <v>0</v>
      </c>
      <c r="CN43" s="68"/>
      <c r="CO43" s="28">
        <f t="shared" si="540"/>
        <v>0</v>
      </c>
      <c r="CP43" s="28">
        <v>0</v>
      </c>
      <c r="CQ43" s="28">
        <f t="shared" si="541"/>
        <v>0</v>
      </c>
      <c r="CR43" s="28">
        <f t="shared" si="542"/>
        <v>0</v>
      </c>
      <c r="CS43" s="28">
        <f t="shared" si="543"/>
        <v>0</v>
      </c>
      <c r="CT43" s="72">
        <f t="shared" si="544"/>
        <v>0</v>
      </c>
      <c r="CU43" s="72">
        <f t="shared" si="545"/>
        <v>0</v>
      </c>
      <c r="CV43" s="70">
        <f t="shared" si="546"/>
        <v>0</v>
      </c>
      <c r="CW43" s="71">
        <v>0</v>
      </c>
      <c r="CX43" s="71">
        <v>0</v>
      </c>
      <c r="CY43" s="72">
        <f t="shared" si="547"/>
        <v>0</v>
      </c>
      <c r="CZ43" s="72">
        <f t="shared" si="548"/>
        <v>0</v>
      </c>
      <c r="DA43" s="70">
        <f t="shared" si="549"/>
        <v>0</v>
      </c>
      <c r="DB43" s="73">
        <v>0</v>
      </c>
      <c r="DC43" s="74">
        <f t="shared" si="550"/>
        <v>0</v>
      </c>
      <c r="DD43" s="303">
        <f t="shared" si="551"/>
        <v>0</v>
      </c>
      <c r="DE43" s="58">
        <v>0</v>
      </c>
      <c r="DF43" s="68"/>
      <c r="DG43" s="28">
        <f t="shared" si="552"/>
        <v>0</v>
      </c>
      <c r="DH43" s="28">
        <v>0</v>
      </c>
      <c r="DI43" s="28">
        <f t="shared" si="553"/>
        <v>0</v>
      </c>
      <c r="DJ43" s="28">
        <f t="shared" si="554"/>
        <v>0</v>
      </c>
      <c r="DK43" s="28">
        <f t="shared" si="555"/>
        <v>0</v>
      </c>
      <c r="DL43" s="72">
        <f t="shared" si="556"/>
        <v>0</v>
      </c>
      <c r="DM43" s="72">
        <f t="shared" si="557"/>
        <v>0</v>
      </c>
      <c r="DN43" s="70">
        <f t="shared" si="558"/>
        <v>0</v>
      </c>
      <c r="DO43" s="71">
        <v>0</v>
      </c>
      <c r="DP43" s="71">
        <v>0</v>
      </c>
      <c r="DQ43" s="72">
        <f t="shared" si="559"/>
        <v>0</v>
      </c>
      <c r="DR43" s="72">
        <f t="shared" si="560"/>
        <v>0</v>
      </c>
      <c r="DS43" s="70">
        <f t="shared" si="561"/>
        <v>0</v>
      </c>
      <c r="DT43" s="73">
        <v>0</v>
      </c>
      <c r="DU43" s="74">
        <f t="shared" si="562"/>
        <v>0</v>
      </c>
      <c r="DV43" s="303">
        <f t="shared" si="563"/>
        <v>0</v>
      </c>
      <c r="DW43" s="58">
        <v>0</v>
      </c>
      <c r="DX43" s="68"/>
      <c r="DY43" s="28">
        <f t="shared" si="564"/>
        <v>0</v>
      </c>
      <c r="DZ43" s="28">
        <v>0</v>
      </c>
      <c r="EA43" s="28">
        <f t="shared" si="565"/>
        <v>0</v>
      </c>
      <c r="EB43" s="28">
        <f t="shared" si="566"/>
        <v>0</v>
      </c>
      <c r="EC43" s="28">
        <f t="shared" si="567"/>
        <v>0</v>
      </c>
      <c r="ED43" s="72">
        <f t="shared" si="568"/>
        <v>0</v>
      </c>
      <c r="EE43" s="72">
        <f t="shared" si="569"/>
        <v>0</v>
      </c>
      <c r="EF43" s="70">
        <f t="shared" si="570"/>
        <v>0</v>
      </c>
      <c r="EG43" s="71">
        <v>0</v>
      </c>
      <c r="EH43" s="71">
        <v>0</v>
      </c>
      <c r="EI43" s="72">
        <f t="shared" si="571"/>
        <v>0</v>
      </c>
      <c r="EJ43" s="72">
        <f t="shared" si="572"/>
        <v>0</v>
      </c>
      <c r="EK43" s="70">
        <f t="shared" si="573"/>
        <v>0</v>
      </c>
      <c r="EL43" s="73">
        <v>0</v>
      </c>
      <c r="EM43" s="74">
        <f t="shared" si="574"/>
        <v>0</v>
      </c>
      <c r="EN43" s="303">
        <f t="shared" si="575"/>
        <v>0</v>
      </c>
      <c r="EO43" s="58">
        <v>0</v>
      </c>
      <c r="EP43" s="68"/>
      <c r="EQ43" s="28">
        <f t="shared" si="576"/>
        <v>0</v>
      </c>
      <c r="ER43" s="28">
        <v>0</v>
      </c>
      <c r="ES43" s="28">
        <f t="shared" si="577"/>
        <v>0</v>
      </c>
      <c r="ET43" s="28">
        <f t="shared" si="578"/>
        <v>0</v>
      </c>
      <c r="EU43" s="28">
        <f t="shared" si="579"/>
        <v>0</v>
      </c>
      <c r="EV43" s="72">
        <f t="shared" si="580"/>
        <v>0</v>
      </c>
      <c r="EW43" s="72">
        <f t="shared" si="581"/>
        <v>0</v>
      </c>
      <c r="EX43" s="70">
        <f t="shared" si="582"/>
        <v>0</v>
      </c>
      <c r="EY43" s="71">
        <v>0</v>
      </c>
      <c r="EZ43" s="71">
        <v>0</v>
      </c>
      <c r="FA43" s="72">
        <f t="shared" si="583"/>
        <v>0</v>
      </c>
      <c r="FB43" s="72">
        <f t="shared" si="584"/>
        <v>0</v>
      </c>
      <c r="FC43" s="70">
        <f t="shared" si="585"/>
        <v>0</v>
      </c>
      <c r="FD43" s="73">
        <v>0</v>
      </c>
      <c r="FE43" s="74">
        <f t="shared" si="586"/>
        <v>0</v>
      </c>
      <c r="FF43" s="303">
        <f t="shared" si="587"/>
        <v>0</v>
      </c>
      <c r="FG43" s="58">
        <v>0</v>
      </c>
      <c r="FH43" s="68"/>
      <c r="FI43" s="28">
        <f t="shared" si="588"/>
        <v>0</v>
      </c>
      <c r="FJ43" s="28">
        <v>0</v>
      </c>
      <c r="FK43" s="28">
        <f t="shared" si="589"/>
        <v>0</v>
      </c>
      <c r="FL43" s="28">
        <f t="shared" si="590"/>
        <v>0</v>
      </c>
      <c r="FM43" s="28">
        <f t="shared" si="591"/>
        <v>0</v>
      </c>
      <c r="FN43" s="72">
        <f t="shared" si="592"/>
        <v>0</v>
      </c>
      <c r="FO43" s="72">
        <f t="shared" si="593"/>
        <v>0</v>
      </c>
      <c r="FP43" s="70">
        <f t="shared" si="594"/>
        <v>0</v>
      </c>
      <c r="FQ43" s="71">
        <v>0</v>
      </c>
      <c r="FR43" s="71">
        <v>0</v>
      </c>
      <c r="FS43" s="72">
        <f t="shared" si="595"/>
        <v>0</v>
      </c>
      <c r="FT43" s="72">
        <f t="shared" si="596"/>
        <v>0</v>
      </c>
      <c r="FU43" s="70">
        <f t="shared" si="597"/>
        <v>0</v>
      </c>
      <c r="FV43" s="73">
        <v>0</v>
      </c>
      <c r="FW43" s="74">
        <f t="shared" si="598"/>
        <v>0</v>
      </c>
      <c r="FX43" s="303">
        <f t="shared" si="599"/>
        <v>0</v>
      </c>
      <c r="FY43" s="58">
        <v>0</v>
      </c>
      <c r="FZ43" s="68"/>
      <c r="GA43" s="28">
        <f t="shared" si="600"/>
        <v>0</v>
      </c>
      <c r="GB43" s="28">
        <v>0</v>
      </c>
      <c r="GC43" s="28">
        <f t="shared" si="601"/>
        <v>0</v>
      </c>
      <c r="GD43" s="28">
        <f t="shared" si="602"/>
        <v>0</v>
      </c>
      <c r="GE43" s="28">
        <f t="shared" si="603"/>
        <v>0</v>
      </c>
      <c r="GF43" s="72">
        <f t="shared" si="604"/>
        <v>0</v>
      </c>
      <c r="GG43" s="72">
        <f t="shared" si="605"/>
        <v>0</v>
      </c>
      <c r="GH43" s="70">
        <f t="shared" si="606"/>
        <v>0</v>
      </c>
      <c r="GI43" s="71">
        <v>0</v>
      </c>
      <c r="GJ43" s="71">
        <v>0</v>
      </c>
      <c r="GK43" s="72">
        <f t="shared" si="607"/>
        <v>0</v>
      </c>
      <c r="GL43" s="72">
        <f t="shared" si="608"/>
        <v>0</v>
      </c>
      <c r="GM43" s="70">
        <f t="shared" si="609"/>
        <v>0</v>
      </c>
      <c r="GN43" s="73">
        <v>0</v>
      </c>
      <c r="GO43" s="74">
        <f t="shared" si="610"/>
        <v>0</v>
      </c>
      <c r="GP43" s="303">
        <f t="shared" si="611"/>
        <v>0</v>
      </c>
      <c r="GQ43" s="58">
        <v>0</v>
      </c>
      <c r="GR43" s="68"/>
      <c r="GS43" s="28">
        <f t="shared" si="612"/>
        <v>0</v>
      </c>
      <c r="GT43" s="28">
        <v>0</v>
      </c>
      <c r="GU43" s="28">
        <f t="shared" si="613"/>
        <v>0</v>
      </c>
      <c r="GV43" s="28">
        <f t="shared" si="614"/>
        <v>0</v>
      </c>
      <c r="GW43" s="28">
        <f t="shared" si="615"/>
        <v>0</v>
      </c>
      <c r="GX43" s="72">
        <f t="shared" si="616"/>
        <v>0</v>
      </c>
      <c r="GY43" s="72">
        <f t="shared" si="617"/>
        <v>0</v>
      </c>
      <c r="GZ43" s="70">
        <f t="shared" si="618"/>
        <v>0</v>
      </c>
      <c r="HA43" s="71">
        <v>0</v>
      </c>
      <c r="HB43" s="71">
        <v>0</v>
      </c>
      <c r="HC43" s="72">
        <f t="shared" si="619"/>
        <v>0</v>
      </c>
      <c r="HD43" s="72">
        <f t="shared" si="620"/>
        <v>0</v>
      </c>
      <c r="HE43" s="70">
        <f t="shared" si="621"/>
        <v>0</v>
      </c>
      <c r="HF43" s="73">
        <v>0</v>
      </c>
      <c r="HG43" s="74">
        <f t="shared" si="622"/>
        <v>0</v>
      </c>
      <c r="HH43" s="303">
        <f t="shared" si="623"/>
        <v>0</v>
      </c>
      <c r="HJ43" s="37"/>
      <c r="HK43" s="37"/>
      <c r="HL43" s="37"/>
      <c r="HM43" s="37"/>
      <c r="HN43" s="37"/>
      <c r="HO43" s="37"/>
      <c r="HP43" s="37"/>
      <c r="HQ43" s="37"/>
      <c r="HR43" s="37"/>
      <c r="HS43" s="37"/>
      <c r="HT43" s="37"/>
      <c r="HU43" s="37"/>
      <c r="HV43" s="37"/>
      <c r="HW43" s="37"/>
      <c r="HX43" s="37"/>
      <c r="HY43" s="37"/>
      <c r="HZ43" s="37"/>
      <c r="IA43" s="37"/>
      <c r="IB43" s="37"/>
      <c r="IC43" s="37"/>
      <c r="ID43" s="37"/>
      <c r="IE43" s="37"/>
      <c r="IF43" s="37"/>
      <c r="IG43" s="37"/>
      <c r="IH43" s="37"/>
      <c r="II43" s="37"/>
      <c r="IJ43" s="37"/>
      <c r="IK43" s="37"/>
      <c r="IL43" s="37"/>
      <c r="IM43" s="37"/>
      <c r="IN43" s="37"/>
      <c r="IO43" s="37"/>
      <c r="IP43" s="37"/>
    </row>
    <row r="44" spans="1:250" x14ac:dyDescent="0.3">
      <c r="A44" s="58">
        <v>0</v>
      </c>
      <c r="B44" s="68"/>
      <c r="C44" s="28">
        <f t="shared" si="480"/>
        <v>0</v>
      </c>
      <c r="D44" s="28">
        <v>0</v>
      </c>
      <c r="E44" s="28">
        <f t="shared" si="481"/>
        <v>0</v>
      </c>
      <c r="F44" s="28">
        <f t="shared" si="482"/>
        <v>0</v>
      </c>
      <c r="G44" s="28">
        <f t="shared" si="483"/>
        <v>0</v>
      </c>
      <c r="H44" s="72">
        <f t="shared" si="484"/>
        <v>0</v>
      </c>
      <c r="I44" s="72">
        <f t="shared" si="485"/>
        <v>0</v>
      </c>
      <c r="J44" s="70">
        <f t="shared" si="486"/>
        <v>0</v>
      </c>
      <c r="K44" s="71">
        <v>0</v>
      </c>
      <c r="L44" s="71">
        <v>0</v>
      </c>
      <c r="M44" s="72">
        <f t="shared" si="487"/>
        <v>0</v>
      </c>
      <c r="N44" s="72">
        <f t="shared" si="488"/>
        <v>0</v>
      </c>
      <c r="O44" s="70">
        <f t="shared" si="489"/>
        <v>0</v>
      </c>
      <c r="P44" s="73">
        <v>0</v>
      </c>
      <c r="Q44" s="74">
        <f t="shared" si="490"/>
        <v>0</v>
      </c>
      <c r="R44" s="303">
        <f t="shared" si="491"/>
        <v>0</v>
      </c>
      <c r="S44" s="58">
        <v>0</v>
      </c>
      <c r="T44" s="68"/>
      <c r="U44" s="28">
        <f t="shared" si="492"/>
        <v>0</v>
      </c>
      <c r="V44" s="28">
        <v>0</v>
      </c>
      <c r="W44" s="28">
        <f t="shared" si="493"/>
        <v>0</v>
      </c>
      <c r="X44" s="28">
        <f t="shared" si="494"/>
        <v>0</v>
      </c>
      <c r="Y44" s="28">
        <f t="shared" si="495"/>
        <v>0</v>
      </c>
      <c r="Z44" s="72">
        <f t="shared" si="496"/>
        <v>0</v>
      </c>
      <c r="AA44" s="72">
        <f t="shared" si="497"/>
        <v>0</v>
      </c>
      <c r="AB44" s="70">
        <f t="shared" si="498"/>
        <v>0</v>
      </c>
      <c r="AC44" s="71">
        <v>0</v>
      </c>
      <c r="AD44" s="71">
        <v>0</v>
      </c>
      <c r="AE44" s="72">
        <f t="shared" si="499"/>
        <v>0</v>
      </c>
      <c r="AF44" s="72">
        <f t="shared" si="500"/>
        <v>0</v>
      </c>
      <c r="AG44" s="70">
        <f t="shared" si="501"/>
        <v>0</v>
      </c>
      <c r="AH44" s="73">
        <v>0</v>
      </c>
      <c r="AI44" s="74">
        <f t="shared" si="502"/>
        <v>0</v>
      </c>
      <c r="AJ44" s="303">
        <f t="shared" si="503"/>
        <v>0</v>
      </c>
      <c r="AK44" s="58">
        <v>0</v>
      </c>
      <c r="AL44" s="68"/>
      <c r="AM44" s="28">
        <f t="shared" si="504"/>
        <v>0</v>
      </c>
      <c r="AN44" s="28">
        <v>0</v>
      </c>
      <c r="AO44" s="28">
        <f t="shared" si="505"/>
        <v>0</v>
      </c>
      <c r="AP44" s="28">
        <f t="shared" si="506"/>
        <v>0</v>
      </c>
      <c r="AQ44" s="28">
        <f t="shared" si="507"/>
        <v>0</v>
      </c>
      <c r="AR44" s="72">
        <f t="shared" si="508"/>
        <v>0</v>
      </c>
      <c r="AS44" s="72">
        <f t="shared" si="509"/>
        <v>0</v>
      </c>
      <c r="AT44" s="70">
        <f t="shared" si="510"/>
        <v>0</v>
      </c>
      <c r="AU44" s="71">
        <v>0</v>
      </c>
      <c r="AV44" s="71">
        <v>0</v>
      </c>
      <c r="AW44" s="72">
        <f t="shared" si="511"/>
        <v>0</v>
      </c>
      <c r="AX44" s="72">
        <f t="shared" si="512"/>
        <v>0</v>
      </c>
      <c r="AY44" s="70">
        <f t="shared" si="513"/>
        <v>0</v>
      </c>
      <c r="AZ44" s="73">
        <v>0</v>
      </c>
      <c r="BA44" s="74">
        <f t="shared" si="514"/>
        <v>0</v>
      </c>
      <c r="BB44" s="303">
        <f t="shared" si="515"/>
        <v>0</v>
      </c>
      <c r="BC44" s="58">
        <v>0</v>
      </c>
      <c r="BD44" s="68"/>
      <c r="BE44" s="28">
        <f t="shared" si="516"/>
        <v>0</v>
      </c>
      <c r="BF44" s="28">
        <v>0</v>
      </c>
      <c r="BG44" s="28">
        <f t="shared" si="517"/>
        <v>0</v>
      </c>
      <c r="BH44" s="28">
        <f t="shared" si="518"/>
        <v>0</v>
      </c>
      <c r="BI44" s="28">
        <f t="shared" si="519"/>
        <v>0</v>
      </c>
      <c r="BJ44" s="72">
        <f t="shared" si="520"/>
        <v>0</v>
      </c>
      <c r="BK44" s="72">
        <f t="shared" si="521"/>
        <v>0</v>
      </c>
      <c r="BL44" s="70">
        <f t="shared" si="522"/>
        <v>0</v>
      </c>
      <c r="BM44" s="71">
        <v>0</v>
      </c>
      <c r="BN44" s="71">
        <v>0</v>
      </c>
      <c r="BO44" s="72">
        <f t="shared" si="523"/>
        <v>0</v>
      </c>
      <c r="BP44" s="72">
        <f t="shared" si="524"/>
        <v>0</v>
      </c>
      <c r="BQ44" s="70">
        <f t="shared" si="525"/>
        <v>0</v>
      </c>
      <c r="BR44" s="73">
        <v>0</v>
      </c>
      <c r="BS44" s="74">
        <f t="shared" si="526"/>
        <v>0</v>
      </c>
      <c r="BT44" s="303">
        <f t="shared" si="527"/>
        <v>0</v>
      </c>
      <c r="BU44" s="58">
        <v>0</v>
      </c>
      <c r="BV44" s="68"/>
      <c r="BW44" s="28">
        <f t="shared" si="528"/>
        <v>0</v>
      </c>
      <c r="BX44" s="28">
        <v>0</v>
      </c>
      <c r="BY44" s="28">
        <f t="shared" si="529"/>
        <v>0</v>
      </c>
      <c r="BZ44" s="28">
        <f t="shared" si="530"/>
        <v>0</v>
      </c>
      <c r="CA44" s="28">
        <f t="shared" si="531"/>
        <v>0</v>
      </c>
      <c r="CB44" s="72">
        <f t="shared" si="532"/>
        <v>0</v>
      </c>
      <c r="CC44" s="72">
        <f t="shared" si="533"/>
        <v>0</v>
      </c>
      <c r="CD44" s="70">
        <f t="shared" si="534"/>
        <v>0</v>
      </c>
      <c r="CE44" s="71">
        <v>0</v>
      </c>
      <c r="CF44" s="71">
        <v>0</v>
      </c>
      <c r="CG44" s="72">
        <f t="shared" si="535"/>
        <v>0</v>
      </c>
      <c r="CH44" s="72">
        <f t="shared" si="536"/>
        <v>0</v>
      </c>
      <c r="CI44" s="70">
        <f t="shared" si="537"/>
        <v>0</v>
      </c>
      <c r="CJ44" s="73">
        <v>0</v>
      </c>
      <c r="CK44" s="74">
        <f t="shared" si="538"/>
        <v>0</v>
      </c>
      <c r="CL44" s="303">
        <f t="shared" si="539"/>
        <v>0</v>
      </c>
      <c r="CM44" s="58">
        <v>0</v>
      </c>
      <c r="CN44" s="68"/>
      <c r="CO44" s="28">
        <f t="shared" si="540"/>
        <v>0</v>
      </c>
      <c r="CP44" s="28">
        <v>0</v>
      </c>
      <c r="CQ44" s="28">
        <f t="shared" si="541"/>
        <v>0</v>
      </c>
      <c r="CR44" s="28">
        <f t="shared" si="542"/>
        <v>0</v>
      </c>
      <c r="CS44" s="28">
        <f t="shared" si="543"/>
        <v>0</v>
      </c>
      <c r="CT44" s="72">
        <f t="shared" si="544"/>
        <v>0</v>
      </c>
      <c r="CU44" s="72">
        <f t="shared" si="545"/>
        <v>0</v>
      </c>
      <c r="CV44" s="70">
        <f t="shared" si="546"/>
        <v>0</v>
      </c>
      <c r="CW44" s="71">
        <v>0</v>
      </c>
      <c r="CX44" s="71">
        <v>0</v>
      </c>
      <c r="CY44" s="72">
        <f t="shared" si="547"/>
        <v>0</v>
      </c>
      <c r="CZ44" s="72">
        <f t="shared" si="548"/>
        <v>0</v>
      </c>
      <c r="DA44" s="70">
        <f t="shared" si="549"/>
        <v>0</v>
      </c>
      <c r="DB44" s="73">
        <v>0</v>
      </c>
      <c r="DC44" s="74">
        <f t="shared" si="550"/>
        <v>0</v>
      </c>
      <c r="DD44" s="303">
        <f t="shared" si="551"/>
        <v>0</v>
      </c>
      <c r="DE44" s="58">
        <v>0</v>
      </c>
      <c r="DF44" s="68"/>
      <c r="DG44" s="28">
        <f t="shared" si="552"/>
        <v>0</v>
      </c>
      <c r="DH44" s="28">
        <v>0</v>
      </c>
      <c r="DI44" s="28">
        <f t="shared" si="553"/>
        <v>0</v>
      </c>
      <c r="DJ44" s="28">
        <f t="shared" si="554"/>
        <v>0</v>
      </c>
      <c r="DK44" s="28">
        <f t="shared" si="555"/>
        <v>0</v>
      </c>
      <c r="DL44" s="72">
        <f t="shared" si="556"/>
        <v>0</v>
      </c>
      <c r="DM44" s="72">
        <f t="shared" si="557"/>
        <v>0</v>
      </c>
      <c r="DN44" s="70">
        <f t="shared" si="558"/>
        <v>0</v>
      </c>
      <c r="DO44" s="71">
        <v>0</v>
      </c>
      <c r="DP44" s="71">
        <v>0</v>
      </c>
      <c r="DQ44" s="72">
        <f t="shared" si="559"/>
        <v>0</v>
      </c>
      <c r="DR44" s="72">
        <f t="shared" si="560"/>
        <v>0</v>
      </c>
      <c r="DS44" s="70">
        <f t="shared" si="561"/>
        <v>0</v>
      </c>
      <c r="DT44" s="73">
        <v>0</v>
      </c>
      <c r="DU44" s="74">
        <f t="shared" si="562"/>
        <v>0</v>
      </c>
      <c r="DV44" s="303">
        <f t="shared" si="563"/>
        <v>0</v>
      </c>
      <c r="DW44" s="58">
        <v>0</v>
      </c>
      <c r="DX44" s="68"/>
      <c r="DY44" s="28">
        <f t="shared" si="564"/>
        <v>0</v>
      </c>
      <c r="DZ44" s="28">
        <v>0</v>
      </c>
      <c r="EA44" s="28">
        <f t="shared" si="565"/>
        <v>0</v>
      </c>
      <c r="EB44" s="28">
        <f t="shared" si="566"/>
        <v>0</v>
      </c>
      <c r="EC44" s="28">
        <f t="shared" si="567"/>
        <v>0</v>
      </c>
      <c r="ED44" s="72">
        <f t="shared" si="568"/>
        <v>0</v>
      </c>
      <c r="EE44" s="72">
        <f t="shared" si="569"/>
        <v>0</v>
      </c>
      <c r="EF44" s="70">
        <f t="shared" si="570"/>
        <v>0</v>
      </c>
      <c r="EG44" s="71">
        <v>0</v>
      </c>
      <c r="EH44" s="71">
        <v>0</v>
      </c>
      <c r="EI44" s="72">
        <f t="shared" si="571"/>
        <v>0</v>
      </c>
      <c r="EJ44" s="72">
        <f t="shared" si="572"/>
        <v>0</v>
      </c>
      <c r="EK44" s="70">
        <f t="shared" si="573"/>
        <v>0</v>
      </c>
      <c r="EL44" s="73">
        <v>0</v>
      </c>
      <c r="EM44" s="74">
        <f t="shared" si="574"/>
        <v>0</v>
      </c>
      <c r="EN44" s="303">
        <f t="shared" si="575"/>
        <v>0</v>
      </c>
      <c r="EO44" s="58">
        <v>0</v>
      </c>
      <c r="EP44" s="68"/>
      <c r="EQ44" s="28">
        <f t="shared" si="576"/>
        <v>0</v>
      </c>
      <c r="ER44" s="28">
        <v>0</v>
      </c>
      <c r="ES44" s="28">
        <f t="shared" si="577"/>
        <v>0</v>
      </c>
      <c r="ET44" s="28">
        <f t="shared" si="578"/>
        <v>0</v>
      </c>
      <c r="EU44" s="28">
        <f t="shared" si="579"/>
        <v>0</v>
      </c>
      <c r="EV44" s="72">
        <f t="shared" si="580"/>
        <v>0</v>
      </c>
      <c r="EW44" s="72">
        <f t="shared" si="581"/>
        <v>0</v>
      </c>
      <c r="EX44" s="70">
        <f t="shared" si="582"/>
        <v>0</v>
      </c>
      <c r="EY44" s="71">
        <v>0</v>
      </c>
      <c r="EZ44" s="71">
        <v>0</v>
      </c>
      <c r="FA44" s="72">
        <f t="shared" si="583"/>
        <v>0</v>
      </c>
      <c r="FB44" s="72">
        <f t="shared" si="584"/>
        <v>0</v>
      </c>
      <c r="FC44" s="70">
        <f t="shared" si="585"/>
        <v>0</v>
      </c>
      <c r="FD44" s="73">
        <v>0</v>
      </c>
      <c r="FE44" s="74">
        <f t="shared" si="586"/>
        <v>0</v>
      </c>
      <c r="FF44" s="303">
        <f t="shared" si="587"/>
        <v>0</v>
      </c>
      <c r="FG44" s="58">
        <v>0</v>
      </c>
      <c r="FH44" s="68"/>
      <c r="FI44" s="28">
        <f t="shared" si="588"/>
        <v>0</v>
      </c>
      <c r="FJ44" s="28">
        <v>0</v>
      </c>
      <c r="FK44" s="28">
        <f t="shared" si="589"/>
        <v>0</v>
      </c>
      <c r="FL44" s="28">
        <f t="shared" si="590"/>
        <v>0</v>
      </c>
      <c r="FM44" s="28">
        <f t="shared" si="591"/>
        <v>0</v>
      </c>
      <c r="FN44" s="72">
        <f t="shared" si="592"/>
        <v>0</v>
      </c>
      <c r="FO44" s="72">
        <f t="shared" si="593"/>
        <v>0</v>
      </c>
      <c r="FP44" s="70">
        <f t="shared" si="594"/>
        <v>0</v>
      </c>
      <c r="FQ44" s="71">
        <v>0</v>
      </c>
      <c r="FR44" s="71">
        <v>0</v>
      </c>
      <c r="FS44" s="72">
        <f t="shared" si="595"/>
        <v>0</v>
      </c>
      <c r="FT44" s="72">
        <f t="shared" si="596"/>
        <v>0</v>
      </c>
      <c r="FU44" s="70">
        <f t="shared" si="597"/>
        <v>0</v>
      </c>
      <c r="FV44" s="73">
        <v>0</v>
      </c>
      <c r="FW44" s="74">
        <f t="shared" si="598"/>
        <v>0</v>
      </c>
      <c r="FX44" s="303">
        <f t="shared" si="599"/>
        <v>0</v>
      </c>
      <c r="FY44" s="58">
        <v>0</v>
      </c>
      <c r="FZ44" s="68"/>
      <c r="GA44" s="28">
        <f t="shared" si="600"/>
        <v>0</v>
      </c>
      <c r="GB44" s="28">
        <v>0</v>
      </c>
      <c r="GC44" s="28">
        <f t="shared" si="601"/>
        <v>0</v>
      </c>
      <c r="GD44" s="28">
        <f t="shared" si="602"/>
        <v>0</v>
      </c>
      <c r="GE44" s="28">
        <f t="shared" si="603"/>
        <v>0</v>
      </c>
      <c r="GF44" s="72">
        <f t="shared" si="604"/>
        <v>0</v>
      </c>
      <c r="GG44" s="72">
        <f t="shared" si="605"/>
        <v>0</v>
      </c>
      <c r="GH44" s="70">
        <f t="shared" si="606"/>
        <v>0</v>
      </c>
      <c r="GI44" s="71">
        <v>0</v>
      </c>
      <c r="GJ44" s="71">
        <v>0</v>
      </c>
      <c r="GK44" s="72">
        <f t="shared" si="607"/>
        <v>0</v>
      </c>
      <c r="GL44" s="72">
        <f t="shared" si="608"/>
        <v>0</v>
      </c>
      <c r="GM44" s="70">
        <f t="shared" si="609"/>
        <v>0</v>
      </c>
      <c r="GN44" s="73">
        <v>0</v>
      </c>
      <c r="GO44" s="74">
        <f t="shared" si="610"/>
        <v>0</v>
      </c>
      <c r="GP44" s="303">
        <f t="shared" si="611"/>
        <v>0</v>
      </c>
      <c r="GQ44" s="58">
        <v>0</v>
      </c>
      <c r="GR44" s="68"/>
      <c r="GS44" s="28">
        <f t="shared" si="612"/>
        <v>0</v>
      </c>
      <c r="GT44" s="28">
        <v>0</v>
      </c>
      <c r="GU44" s="28">
        <f t="shared" si="613"/>
        <v>0</v>
      </c>
      <c r="GV44" s="28">
        <f t="shared" si="614"/>
        <v>0</v>
      </c>
      <c r="GW44" s="28">
        <f t="shared" si="615"/>
        <v>0</v>
      </c>
      <c r="GX44" s="72">
        <f t="shared" si="616"/>
        <v>0</v>
      </c>
      <c r="GY44" s="72">
        <f t="shared" si="617"/>
        <v>0</v>
      </c>
      <c r="GZ44" s="70">
        <f t="shared" si="618"/>
        <v>0</v>
      </c>
      <c r="HA44" s="71">
        <v>0</v>
      </c>
      <c r="HB44" s="71">
        <v>0</v>
      </c>
      <c r="HC44" s="72">
        <f t="shared" si="619"/>
        <v>0</v>
      </c>
      <c r="HD44" s="72">
        <f t="shared" si="620"/>
        <v>0</v>
      </c>
      <c r="HE44" s="70">
        <f t="shared" si="621"/>
        <v>0</v>
      </c>
      <c r="HF44" s="73">
        <v>0</v>
      </c>
      <c r="HG44" s="74">
        <f t="shared" si="622"/>
        <v>0</v>
      </c>
      <c r="HH44" s="303">
        <f t="shared" si="623"/>
        <v>0</v>
      </c>
      <c r="HJ44" s="37"/>
      <c r="HK44" s="37"/>
      <c r="HL44" s="37"/>
      <c r="HM44" s="37"/>
      <c r="HN44" s="37"/>
      <c r="HO44" s="37"/>
      <c r="HP44" s="37"/>
      <c r="HQ44" s="37"/>
      <c r="HR44" s="37"/>
      <c r="HS44" s="37"/>
      <c r="HT44" s="37"/>
      <c r="HU44" s="37"/>
      <c r="HV44" s="37"/>
      <c r="HW44" s="37"/>
      <c r="HX44" s="37"/>
      <c r="HY44" s="37"/>
      <c r="HZ44" s="37"/>
      <c r="IA44" s="37"/>
      <c r="IB44" s="37"/>
      <c r="IC44" s="37"/>
      <c r="ID44" s="37"/>
      <c r="IE44" s="37"/>
      <c r="IF44" s="37"/>
      <c r="IG44" s="37"/>
      <c r="IH44" s="37"/>
      <c r="II44" s="37"/>
      <c r="IJ44" s="37"/>
      <c r="IK44" s="37"/>
      <c r="IL44" s="37"/>
      <c r="IM44" s="37"/>
      <c r="IN44" s="37"/>
      <c r="IO44" s="37"/>
      <c r="IP44" s="37"/>
    </row>
    <row r="45" spans="1:250" x14ac:dyDescent="0.3">
      <c r="A45" s="58">
        <v>0</v>
      </c>
      <c r="B45" s="68"/>
      <c r="C45" s="28">
        <f t="shared" si="480"/>
        <v>0</v>
      </c>
      <c r="D45" s="28">
        <v>0</v>
      </c>
      <c r="E45" s="28">
        <f t="shared" si="481"/>
        <v>0</v>
      </c>
      <c r="F45" s="28">
        <f t="shared" si="482"/>
        <v>0</v>
      </c>
      <c r="G45" s="28">
        <f t="shared" si="483"/>
        <v>0</v>
      </c>
      <c r="H45" s="72">
        <f t="shared" si="484"/>
        <v>0</v>
      </c>
      <c r="I45" s="72">
        <f t="shared" si="485"/>
        <v>0</v>
      </c>
      <c r="J45" s="70">
        <f t="shared" si="486"/>
        <v>0</v>
      </c>
      <c r="K45" s="71">
        <v>0</v>
      </c>
      <c r="L45" s="71">
        <v>0</v>
      </c>
      <c r="M45" s="72">
        <f t="shared" si="487"/>
        <v>0</v>
      </c>
      <c r="N45" s="72">
        <f t="shared" si="488"/>
        <v>0</v>
      </c>
      <c r="O45" s="70">
        <f t="shared" si="489"/>
        <v>0</v>
      </c>
      <c r="P45" s="73">
        <v>0</v>
      </c>
      <c r="Q45" s="74">
        <f t="shared" si="490"/>
        <v>0</v>
      </c>
      <c r="R45" s="303">
        <f t="shared" si="491"/>
        <v>0</v>
      </c>
      <c r="S45" s="58">
        <v>0</v>
      </c>
      <c r="T45" s="68"/>
      <c r="U45" s="28">
        <f t="shared" si="492"/>
        <v>0</v>
      </c>
      <c r="V45" s="28">
        <v>0</v>
      </c>
      <c r="W45" s="28">
        <f t="shared" si="493"/>
        <v>0</v>
      </c>
      <c r="X45" s="28">
        <f t="shared" si="494"/>
        <v>0</v>
      </c>
      <c r="Y45" s="28">
        <f t="shared" si="495"/>
        <v>0</v>
      </c>
      <c r="Z45" s="72">
        <f t="shared" si="496"/>
        <v>0</v>
      </c>
      <c r="AA45" s="72">
        <f t="shared" si="497"/>
        <v>0</v>
      </c>
      <c r="AB45" s="70">
        <f t="shared" si="498"/>
        <v>0</v>
      </c>
      <c r="AC45" s="71">
        <v>0</v>
      </c>
      <c r="AD45" s="71">
        <v>0</v>
      </c>
      <c r="AE45" s="72">
        <f t="shared" si="499"/>
        <v>0</v>
      </c>
      <c r="AF45" s="72">
        <f t="shared" si="500"/>
        <v>0</v>
      </c>
      <c r="AG45" s="70">
        <f t="shared" si="501"/>
        <v>0</v>
      </c>
      <c r="AH45" s="73">
        <v>0</v>
      </c>
      <c r="AI45" s="74">
        <f t="shared" si="502"/>
        <v>0</v>
      </c>
      <c r="AJ45" s="303">
        <f t="shared" si="503"/>
        <v>0</v>
      </c>
      <c r="AK45" s="58">
        <v>0</v>
      </c>
      <c r="AL45" s="68"/>
      <c r="AM45" s="28">
        <f t="shared" si="504"/>
        <v>0</v>
      </c>
      <c r="AN45" s="28">
        <v>0</v>
      </c>
      <c r="AO45" s="28">
        <f t="shared" si="505"/>
        <v>0</v>
      </c>
      <c r="AP45" s="28">
        <f t="shared" si="506"/>
        <v>0</v>
      </c>
      <c r="AQ45" s="28">
        <f t="shared" si="507"/>
        <v>0</v>
      </c>
      <c r="AR45" s="72">
        <f t="shared" si="508"/>
        <v>0</v>
      </c>
      <c r="AS45" s="72">
        <f t="shared" si="509"/>
        <v>0</v>
      </c>
      <c r="AT45" s="70">
        <f t="shared" si="510"/>
        <v>0</v>
      </c>
      <c r="AU45" s="71">
        <v>0</v>
      </c>
      <c r="AV45" s="71">
        <v>0</v>
      </c>
      <c r="AW45" s="72">
        <f t="shared" si="511"/>
        <v>0</v>
      </c>
      <c r="AX45" s="72">
        <f t="shared" si="512"/>
        <v>0</v>
      </c>
      <c r="AY45" s="70">
        <f t="shared" si="513"/>
        <v>0</v>
      </c>
      <c r="AZ45" s="73">
        <v>0</v>
      </c>
      <c r="BA45" s="74">
        <f t="shared" si="514"/>
        <v>0</v>
      </c>
      <c r="BB45" s="303">
        <f t="shared" si="515"/>
        <v>0</v>
      </c>
      <c r="BC45" s="58">
        <v>0</v>
      </c>
      <c r="BD45" s="68"/>
      <c r="BE45" s="28">
        <f t="shared" si="516"/>
        <v>0</v>
      </c>
      <c r="BF45" s="28">
        <v>0</v>
      </c>
      <c r="BG45" s="28">
        <f t="shared" si="517"/>
        <v>0</v>
      </c>
      <c r="BH45" s="28">
        <f t="shared" si="518"/>
        <v>0</v>
      </c>
      <c r="BI45" s="28">
        <f t="shared" si="519"/>
        <v>0</v>
      </c>
      <c r="BJ45" s="72">
        <f t="shared" si="520"/>
        <v>0</v>
      </c>
      <c r="BK45" s="72">
        <f t="shared" si="521"/>
        <v>0</v>
      </c>
      <c r="BL45" s="70">
        <f t="shared" si="522"/>
        <v>0</v>
      </c>
      <c r="BM45" s="71">
        <v>0</v>
      </c>
      <c r="BN45" s="71">
        <v>0</v>
      </c>
      <c r="BO45" s="72">
        <f t="shared" si="523"/>
        <v>0</v>
      </c>
      <c r="BP45" s="72">
        <f t="shared" si="524"/>
        <v>0</v>
      </c>
      <c r="BQ45" s="70">
        <f t="shared" si="525"/>
        <v>0</v>
      </c>
      <c r="BR45" s="73">
        <v>0</v>
      </c>
      <c r="BS45" s="74">
        <f t="shared" si="526"/>
        <v>0</v>
      </c>
      <c r="BT45" s="303">
        <f t="shared" si="527"/>
        <v>0</v>
      </c>
      <c r="BU45" s="58">
        <v>0</v>
      </c>
      <c r="BV45" s="68"/>
      <c r="BW45" s="28">
        <f t="shared" si="528"/>
        <v>0</v>
      </c>
      <c r="BX45" s="28">
        <v>0</v>
      </c>
      <c r="BY45" s="28">
        <f t="shared" si="529"/>
        <v>0</v>
      </c>
      <c r="BZ45" s="28">
        <f t="shared" si="530"/>
        <v>0</v>
      </c>
      <c r="CA45" s="28">
        <f t="shared" si="531"/>
        <v>0</v>
      </c>
      <c r="CB45" s="72">
        <f t="shared" si="532"/>
        <v>0</v>
      </c>
      <c r="CC45" s="72">
        <f t="shared" si="533"/>
        <v>0</v>
      </c>
      <c r="CD45" s="70">
        <f t="shared" si="534"/>
        <v>0</v>
      </c>
      <c r="CE45" s="71">
        <v>0</v>
      </c>
      <c r="CF45" s="71">
        <v>0</v>
      </c>
      <c r="CG45" s="72">
        <f t="shared" si="535"/>
        <v>0</v>
      </c>
      <c r="CH45" s="72">
        <f t="shared" si="536"/>
        <v>0</v>
      </c>
      <c r="CI45" s="70">
        <f t="shared" si="537"/>
        <v>0</v>
      </c>
      <c r="CJ45" s="73">
        <v>0</v>
      </c>
      <c r="CK45" s="74">
        <f t="shared" si="538"/>
        <v>0</v>
      </c>
      <c r="CL45" s="303">
        <f t="shared" si="539"/>
        <v>0</v>
      </c>
      <c r="CM45" s="58">
        <v>0</v>
      </c>
      <c r="CN45" s="68"/>
      <c r="CO45" s="28">
        <f t="shared" si="540"/>
        <v>0</v>
      </c>
      <c r="CP45" s="28">
        <v>0</v>
      </c>
      <c r="CQ45" s="28">
        <f t="shared" si="541"/>
        <v>0</v>
      </c>
      <c r="CR45" s="28">
        <f t="shared" si="542"/>
        <v>0</v>
      </c>
      <c r="CS45" s="28">
        <f t="shared" si="543"/>
        <v>0</v>
      </c>
      <c r="CT45" s="72">
        <f t="shared" si="544"/>
        <v>0</v>
      </c>
      <c r="CU45" s="72">
        <f t="shared" si="545"/>
        <v>0</v>
      </c>
      <c r="CV45" s="70">
        <f t="shared" si="546"/>
        <v>0</v>
      </c>
      <c r="CW45" s="71">
        <v>0</v>
      </c>
      <c r="CX45" s="71">
        <v>0</v>
      </c>
      <c r="CY45" s="72">
        <f t="shared" si="547"/>
        <v>0</v>
      </c>
      <c r="CZ45" s="72">
        <f t="shared" si="548"/>
        <v>0</v>
      </c>
      <c r="DA45" s="70">
        <f t="shared" si="549"/>
        <v>0</v>
      </c>
      <c r="DB45" s="73">
        <v>0</v>
      </c>
      <c r="DC45" s="74">
        <f t="shared" si="550"/>
        <v>0</v>
      </c>
      <c r="DD45" s="303">
        <f t="shared" si="551"/>
        <v>0</v>
      </c>
      <c r="DE45" s="58">
        <v>0</v>
      </c>
      <c r="DF45" s="68"/>
      <c r="DG45" s="28">
        <f t="shared" si="552"/>
        <v>0</v>
      </c>
      <c r="DH45" s="28">
        <v>0</v>
      </c>
      <c r="DI45" s="28">
        <f t="shared" si="553"/>
        <v>0</v>
      </c>
      <c r="DJ45" s="28">
        <f t="shared" si="554"/>
        <v>0</v>
      </c>
      <c r="DK45" s="28">
        <f t="shared" si="555"/>
        <v>0</v>
      </c>
      <c r="DL45" s="72">
        <f t="shared" si="556"/>
        <v>0</v>
      </c>
      <c r="DM45" s="72">
        <f t="shared" si="557"/>
        <v>0</v>
      </c>
      <c r="DN45" s="70">
        <f t="shared" si="558"/>
        <v>0</v>
      </c>
      <c r="DO45" s="71">
        <v>0</v>
      </c>
      <c r="DP45" s="71">
        <v>0</v>
      </c>
      <c r="DQ45" s="72">
        <f t="shared" si="559"/>
        <v>0</v>
      </c>
      <c r="DR45" s="72">
        <f t="shared" si="560"/>
        <v>0</v>
      </c>
      <c r="DS45" s="70">
        <f t="shared" si="561"/>
        <v>0</v>
      </c>
      <c r="DT45" s="73">
        <v>0</v>
      </c>
      <c r="DU45" s="74">
        <f t="shared" si="562"/>
        <v>0</v>
      </c>
      <c r="DV45" s="303">
        <f t="shared" si="563"/>
        <v>0</v>
      </c>
      <c r="DW45" s="58">
        <v>0</v>
      </c>
      <c r="DX45" s="68"/>
      <c r="DY45" s="28">
        <f t="shared" si="564"/>
        <v>0</v>
      </c>
      <c r="DZ45" s="28">
        <v>0</v>
      </c>
      <c r="EA45" s="28">
        <f t="shared" si="565"/>
        <v>0</v>
      </c>
      <c r="EB45" s="28">
        <f t="shared" si="566"/>
        <v>0</v>
      </c>
      <c r="EC45" s="28">
        <f t="shared" si="567"/>
        <v>0</v>
      </c>
      <c r="ED45" s="72">
        <f t="shared" si="568"/>
        <v>0</v>
      </c>
      <c r="EE45" s="72">
        <f t="shared" si="569"/>
        <v>0</v>
      </c>
      <c r="EF45" s="70">
        <f t="shared" si="570"/>
        <v>0</v>
      </c>
      <c r="EG45" s="71">
        <v>0</v>
      </c>
      <c r="EH45" s="71">
        <v>0</v>
      </c>
      <c r="EI45" s="72">
        <f t="shared" si="571"/>
        <v>0</v>
      </c>
      <c r="EJ45" s="72">
        <f t="shared" si="572"/>
        <v>0</v>
      </c>
      <c r="EK45" s="70">
        <f t="shared" si="573"/>
        <v>0</v>
      </c>
      <c r="EL45" s="73">
        <v>0</v>
      </c>
      <c r="EM45" s="74">
        <f t="shared" si="574"/>
        <v>0</v>
      </c>
      <c r="EN45" s="303">
        <f t="shared" si="575"/>
        <v>0</v>
      </c>
      <c r="EO45" s="58">
        <v>0</v>
      </c>
      <c r="EP45" s="68"/>
      <c r="EQ45" s="28">
        <f t="shared" si="576"/>
        <v>0</v>
      </c>
      <c r="ER45" s="28">
        <v>0</v>
      </c>
      <c r="ES45" s="28">
        <f t="shared" si="577"/>
        <v>0</v>
      </c>
      <c r="ET45" s="28">
        <f t="shared" si="578"/>
        <v>0</v>
      </c>
      <c r="EU45" s="28">
        <f t="shared" si="579"/>
        <v>0</v>
      </c>
      <c r="EV45" s="72">
        <f t="shared" si="580"/>
        <v>0</v>
      </c>
      <c r="EW45" s="72">
        <f t="shared" si="581"/>
        <v>0</v>
      </c>
      <c r="EX45" s="70">
        <f t="shared" si="582"/>
        <v>0</v>
      </c>
      <c r="EY45" s="71">
        <v>0</v>
      </c>
      <c r="EZ45" s="71">
        <v>0</v>
      </c>
      <c r="FA45" s="72">
        <f t="shared" si="583"/>
        <v>0</v>
      </c>
      <c r="FB45" s="72">
        <f t="shared" si="584"/>
        <v>0</v>
      </c>
      <c r="FC45" s="70">
        <f t="shared" si="585"/>
        <v>0</v>
      </c>
      <c r="FD45" s="73">
        <v>0</v>
      </c>
      <c r="FE45" s="74">
        <f t="shared" si="586"/>
        <v>0</v>
      </c>
      <c r="FF45" s="303">
        <f t="shared" si="587"/>
        <v>0</v>
      </c>
      <c r="FG45" s="58">
        <v>0</v>
      </c>
      <c r="FH45" s="68"/>
      <c r="FI45" s="28">
        <f t="shared" si="588"/>
        <v>0</v>
      </c>
      <c r="FJ45" s="28">
        <v>0</v>
      </c>
      <c r="FK45" s="28">
        <f t="shared" si="589"/>
        <v>0</v>
      </c>
      <c r="FL45" s="28">
        <f t="shared" si="590"/>
        <v>0</v>
      </c>
      <c r="FM45" s="28">
        <f t="shared" si="591"/>
        <v>0</v>
      </c>
      <c r="FN45" s="72">
        <f t="shared" si="592"/>
        <v>0</v>
      </c>
      <c r="FO45" s="72">
        <f t="shared" si="593"/>
        <v>0</v>
      </c>
      <c r="FP45" s="70">
        <f t="shared" si="594"/>
        <v>0</v>
      </c>
      <c r="FQ45" s="71">
        <v>0</v>
      </c>
      <c r="FR45" s="71">
        <v>0</v>
      </c>
      <c r="FS45" s="72">
        <f t="shared" si="595"/>
        <v>0</v>
      </c>
      <c r="FT45" s="72">
        <f t="shared" si="596"/>
        <v>0</v>
      </c>
      <c r="FU45" s="70">
        <f t="shared" si="597"/>
        <v>0</v>
      </c>
      <c r="FV45" s="73">
        <v>0</v>
      </c>
      <c r="FW45" s="74">
        <f t="shared" si="598"/>
        <v>0</v>
      </c>
      <c r="FX45" s="303">
        <f t="shared" si="599"/>
        <v>0</v>
      </c>
      <c r="FY45" s="58">
        <v>0</v>
      </c>
      <c r="FZ45" s="68"/>
      <c r="GA45" s="28">
        <f t="shared" si="600"/>
        <v>0</v>
      </c>
      <c r="GB45" s="28">
        <v>0</v>
      </c>
      <c r="GC45" s="28">
        <f t="shared" si="601"/>
        <v>0</v>
      </c>
      <c r="GD45" s="28">
        <f t="shared" si="602"/>
        <v>0</v>
      </c>
      <c r="GE45" s="28">
        <f t="shared" si="603"/>
        <v>0</v>
      </c>
      <c r="GF45" s="72">
        <f t="shared" si="604"/>
        <v>0</v>
      </c>
      <c r="GG45" s="72">
        <f t="shared" si="605"/>
        <v>0</v>
      </c>
      <c r="GH45" s="70">
        <f t="shared" si="606"/>
        <v>0</v>
      </c>
      <c r="GI45" s="71">
        <v>0</v>
      </c>
      <c r="GJ45" s="71">
        <v>0</v>
      </c>
      <c r="GK45" s="72">
        <f t="shared" si="607"/>
        <v>0</v>
      </c>
      <c r="GL45" s="72">
        <f t="shared" si="608"/>
        <v>0</v>
      </c>
      <c r="GM45" s="70">
        <f t="shared" si="609"/>
        <v>0</v>
      </c>
      <c r="GN45" s="73">
        <v>0</v>
      </c>
      <c r="GO45" s="74">
        <f t="shared" si="610"/>
        <v>0</v>
      </c>
      <c r="GP45" s="303">
        <f t="shared" si="611"/>
        <v>0</v>
      </c>
      <c r="GQ45" s="58">
        <v>0</v>
      </c>
      <c r="GR45" s="68"/>
      <c r="GS45" s="28">
        <f t="shared" si="612"/>
        <v>0</v>
      </c>
      <c r="GT45" s="28">
        <v>0</v>
      </c>
      <c r="GU45" s="28">
        <f t="shared" si="613"/>
        <v>0</v>
      </c>
      <c r="GV45" s="28">
        <f t="shared" si="614"/>
        <v>0</v>
      </c>
      <c r="GW45" s="28">
        <f t="shared" si="615"/>
        <v>0</v>
      </c>
      <c r="GX45" s="72">
        <f t="shared" si="616"/>
        <v>0</v>
      </c>
      <c r="GY45" s="72">
        <f t="shared" si="617"/>
        <v>0</v>
      </c>
      <c r="GZ45" s="70">
        <f t="shared" si="618"/>
        <v>0</v>
      </c>
      <c r="HA45" s="71">
        <v>0</v>
      </c>
      <c r="HB45" s="71">
        <v>0</v>
      </c>
      <c r="HC45" s="72">
        <f t="shared" si="619"/>
        <v>0</v>
      </c>
      <c r="HD45" s="72">
        <f t="shared" si="620"/>
        <v>0</v>
      </c>
      <c r="HE45" s="70">
        <f t="shared" si="621"/>
        <v>0</v>
      </c>
      <c r="HF45" s="73">
        <v>0</v>
      </c>
      <c r="HG45" s="74">
        <f t="shared" si="622"/>
        <v>0</v>
      </c>
      <c r="HH45" s="303">
        <f t="shared" si="623"/>
        <v>0</v>
      </c>
      <c r="HJ45" s="37"/>
      <c r="HK45" s="37"/>
      <c r="HL45" s="37"/>
      <c r="HM45" s="37"/>
      <c r="HN45" s="37"/>
      <c r="HO45" s="37"/>
      <c r="HP45" s="37"/>
      <c r="HQ45" s="37"/>
      <c r="HR45" s="37"/>
      <c r="HS45" s="37"/>
      <c r="HT45" s="37"/>
      <c r="HU45" s="37"/>
      <c r="HV45" s="37"/>
      <c r="HW45" s="37"/>
      <c r="HX45" s="37"/>
      <c r="HY45" s="37"/>
      <c r="HZ45" s="37"/>
      <c r="IA45" s="37"/>
      <c r="IB45" s="37"/>
      <c r="IC45" s="37"/>
      <c r="ID45" s="37"/>
      <c r="IE45" s="37"/>
      <c r="IF45" s="37"/>
      <c r="IG45" s="37"/>
      <c r="IH45" s="37"/>
      <c r="II45" s="37"/>
      <c r="IJ45" s="37"/>
      <c r="IK45" s="37"/>
      <c r="IL45" s="37"/>
      <c r="IM45" s="37"/>
      <c r="IN45" s="37"/>
      <c r="IO45" s="37"/>
      <c r="IP45" s="37"/>
    </row>
    <row r="46" spans="1:250" x14ac:dyDescent="0.3">
      <c r="A46" s="58">
        <v>0</v>
      </c>
      <c r="B46" s="68"/>
      <c r="C46" s="28">
        <f t="shared" si="480"/>
        <v>0</v>
      </c>
      <c r="D46" s="28">
        <v>0</v>
      </c>
      <c r="E46" s="28">
        <f t="shared" si="481"/>
        <v>0</v>
      </c>
      <c r="F46" s="28">
        <f t="shared" si="482"/>
        <v>0</v>
      </c>
      <c r="G46" s="28">
        <f t="shared" si="483"/>
        <v>0</v>
      </c>
      <c r="H46" s="72">
        <f t="shared" si="484"/>
        <v>0</v>
      </c>
      <c r="I46" s="72">
        <f t="shared" si="485"/>
        <v>0</v>
      </c>
      <c r="J46" s="70">
        <f t="shared" si="486"/>
        <v>0</v>
      </c>
      <c r="K46" s="71">
        <v>0</v>
      </c>
      <c r="L46" s="71">
        <v>0</v>
      </c>
      <c r="M46" s="72">
        <f t="shared" si="487"/>
        <v>0</v>
      </c>
      <c r="N46" s="72">
        <f t="shared" si="488"/>
        <v>0</v>
      </c>
      <c r="O46" s="70">
        <f t="shared" si="489"/>
        <v>0</v>
      </c>
      <c r="P46" s="73">
        <v>0</v>
      </c>
      <c r="Q46" s="74">
        <f t="shared" si="490"/>
        <v>0</v>
      </c>
      <c r="R46" s="303">
        <f t="shared" si="491"/>
        <v>0</v>
      </c>
      <c r="S46" s="58">
        <v>0</v>
      </c>
      <c r="T46" s="68"/>
      <c r="U46" s="28">
        <f t="shared" si="492"/>
        <v>0</v>
      </c>
      <c r="V46" s="28">
        <v>0</v>
      </c>
      <c r="W46" s="28">
        <f t="shared" si="493"/>
        <v>0</v>
      </c>
      <c r="X46" s="28">
        <f t="shared" si="494"/>
        <v>0</v>
      </c>
      <c r="Y46" s="28">
        <f t="shared" si="495"/>
        <v>0</v>
      </c>
      <c r="Z46" s="72">
        <f t="shared" si="496"/>
        <v>0</v>
      </c>
      <c r="AA46" s="72">
        <f t="shared" si="497"/>
        <v>0</v>
      </c>
      <c r="AB46" s="70">
        <f t="shared" si="498"/>
        <v>0</v>
      </c>
      <c r="AC46" s="71">
        <v>0</v>
      </c>
      <c r="AD46" s="71">
        <v>0</v>
      </c>
      <c r="AE46" s="72">
        <f t="shared" si="499"/>
        <v>0</v>
      </c>
      <c r="AF46" s="72">
        <f t="shared" si="500"/>
        <v>0</v>
      </c>
      <c r="AG46" s="70">
        <f t="shared" si="501"/>
        <v>0</v>
      </c>
      <c r="AH46" s="73">
        <v>0</v>
      </c>
      <c r="AI46" s="74">
        <f t="shared" si="502"/>
        <v>0</v>
      </c>
      <c r="AJ46" s="303">
        <f t="shared" si="503"/>
        <v>0</v>
      </c>
      <c r="AK46" s="58">
        <v>0</v>
      </c>
      <c r="AL46" s="68"/>
      <c r="AM46" s="28">
        <f t="shared" si="504"/>
        <v>0</v>
      </c>
      <c r="AN46" s="28">
        <v>0</v>
      </c>
      <c r="AO46" s="28">
        <f t="shared" si="505"/>
        <v>0</v>
      </c>
      <c r="AP46" s="28">
        <f t="shared" si="506"/>
        <v>0</v>
      </c>
      <c r="AQ46" s="28">
        <f t="shared" si="507"/>
        <v>0</v>
      </c>
      <c r="AR46" s="72">
        <f t="shared" si="508"/>
        <v>0</v>
      </c>
      <c r="AS46" s="72">
        <f t="shared" si="509"/>
        <v>0</v>
      </c>
      <c r="AT46" s="70">
        <f t="shared" si="510"/>
        <v>0</v>
      </c>
      <c r="AU46" s="71">
        <v>0</v>
      </c>
      <c r="AV46" s="71">
        <v>0</v>
      </c>
      <c r="AW46" s="72">
        <f t="shared" si="511"/>
        <v>0</v>
      </c>
      <c r="AX46" s="72">
        <f t="shared" si="512"/>
        <v>0</v>
      </c>
      <c r="AY46" s="70">
        <f t="shared" si="513"/>
        <v>0</v>
      </c>
      <c r="AZ46" s="73">
        <v>0</v>
      </c>
      <c r="BA46" s="74">
        <f t="shared" si="514"/>
        <v>0</v>
      </c>
      <c r="BB46" s="303">
        <f t="shared" si="515"/>
        <v>0</v>
      </c>
      <c r="BC46" s="58">
        <v>0</v>
      </c>
      <c r="BD46" s="68"/>
      <c r="BE46" s="28">
        <f t="shared" si="516"/>
        <v>0</v>
      </c>
      <c r="BF46" s="28">
        <v>0</v>
      </c>
      <c r="BG46" s="28">
        <f t="shared" si="517"/>
        <v>0</v>
      </c>
      <c r="BH46" s="28">
        <f t="shared" si="518"/>
        <v>0</v>
      </c>
      <c r="BI46" s="28">
        <f t="shared" si="519"/>
        <v>0</v>
      </c>
      <c r="BJ46" s="72">
        <f t="shared" si="520"/>
        <v>0</v>
      </c>
      <c r="BK46" s="72">
        <f t="shared" si="521"/>
        <v>0</v>
      </c>
      <c r="BL46" s="70">
        <f t="shared" si="522"/>
        <v>0</v>
      </c>
      <c r="BM46" s="71">
        <v>0</v>
      </c>
      <c r="BN46" s="71">
        <v>0</v>
      </c>
      <c r="BO46" s="72">
        <f t="shared" si="523"/>
        <v>0</v>
      </c>
      <c r="BP46" s="72">
        <f t="shared" si="524"/>
        <v>0</v>
      </c>
      <c r="BQ46" s="70">
        <f t="shared" si="525"/>
        <v>0</v>
      </c>
      <c r="BR46" s="73">
        <v>0</v>
      </c>
      <c r="BS46" s="74">
        <f t="shared" si="526"/>
        <v>0</v>
      </c>
      <c r="BT46" s="303">
        <f t="shared" si="527"/>
        <v>0</v>
      </c>
      <c r="BU46" s="58">
        <v>0</v>
      </c>
      <c r="BV46" s="68"/>
      <c r="BW46" s="28">
        <f t="shared" si="528"/>
        <v>0</v>
      </c>
      <c r="BX46" s="28">
        <v>0</v>
      </c>
      <c r="BY46" s="28">
        <f t="shared" si="529"/>
        <v>0</v>
      </c>
      <c r="BZ46" s="28">
        <f t="shared" si="530"/>
        <v>0</v>
      </c>
      <c r="CA46" s="28">
        <f t="shared" si="531"/>
        <v>0</v>
      </c>
      <c r="CB46" s="72">
        <f t="shared" si="532"/>
        <v>0</v>
      </c>
      <c r="CC46" s="72">
        <f t="shared" si="533"/>
        <v>0</v>
      </c>
      <c r="CD46" s="70">
        <f t="shared" si="534"/>
        <v>0</v>
      </c>
      <c r="CE46" s="71">
        <v>0</v>
      </c>
      <c r="CF46" s="71">
        <v>0</v>
      </c>
      <c r="CG46" s="72">
        <f t="shared" si="535"/>
        <v>0</v>
      </c>
      <c r="CH46" s="72">
        <f t="shared" si="536"/>
        <v>0</v>
      </c>
      <c r="CI46" s="70">
        <f t="shared" si="537"/>
        <v>0</v>
      </c>
      <c r="CJ46" s="73">
        <v>0</v>
      </c>
      <c r="CK46" s="74">
        <f t="shared" si="538"/>
        <v>0</v>
      </c>
      <c r="CL46" s="303">
        <f t="shared" si="539"/>
        <v>0</v>
      </c>
      <c r="CM46" s="58">
        <v>0</v>
      </c>
      <c r="CN46" s="68"/>
      <c r="CO46" s="28">
        <f t="shared" si="540"/>
        <v>0</v>
      </c>
      <c r="CP46" s="28">
        <v>0</v>
      </c>
      <c r="CQ46" s="28">
        <f t="shared" si="541"/>
        <v>0</v>
      </c>
      <c r="CR46" s="28">
        <f t="shared" si="542"/>
        <v>0</v>
      </c>
      <c r="CS46" s="28">
        <f t="shared" si="543"/>
        <v>0</v>
      </c>
      <c r="CT46" s="72">
        <f t="shared" si="544"/>
        <v>0</v>
      </c>
      <c r="CU46" s="72">
        <f t="shared" si="545"/>
        <v>0</v>
      </c>
      <c r="CV46" s="70">
        <f t="shared" si="546"/>
        <v>0</v>
      </c>
      <c r="CW46" s="71">
        <v>0</v>
      </c>
      <c r="CX46" s="71">
        <v>0</v>
      </c>
      <c r="CY46" s="72">
        <f t="shared" si="547"/>
        <v>0</v>
      </c>
      <c r="CZ46" s="72">
        <f t="shared" si="548"/>
        <v>0</v>
      </c>
      <c r="DA46" s="70">
        <f t="shared" si="549"/>
        <v>0</v>
      </c>
      <c r="DB46" s="73">
        <v>0</v>
      </c>
      <c r="DC46" s="74">
        <f t="shared" si="550"/>
        <v>0</v>
      </c>
      <c r="DD46" s="303">
        <f t="shared" si="551"/>
        <v>0</v>
      </c>
      <c r="DE46" s="58">
        <v>0</v>
      </c>
      <c r="DF46" s="68"/>
      <c r="DG46" s="28">
        <f t="shared" si="552"/>
        <v>0</v>
      </c>
      <c r="DH46" s="28">
        <v>0</v>
      </c>
      <c r="DI46" s="28">
        <f t="shared" si="553"/>
        <v>0</v>
      </c>
      <c r="DJ46" s="28">
        <f t="shared" si="554"/>
        <v>0</v>
      </c>
      <c r="DK46" s="28">
        <f t="shared" si="555"/>
        <v>0</v>
      </c>
      <c r="DL46" s="72">
        <f t="shared" si="556"/>
        <v>0</v>
      </c>
      <c r="DM46" s="72">
        <f t="shared" si="557"/>
        <v>0</v>
      </c>
      <c r="DN46" s="70">
        <f t="shared" si="558"/>
        <v>0</v>
      </c>
      <c r="DO46" s="71">
        <v>0</v>
      </c>
      <c r="DP46" s="71">
        <v>0</v>
      </c>
      <c r="DQ46" s="72">
        <f t="shared" si="559"/>
        <v>0</v>
      </c>
      <c r="DR46" s="72">
        <f t="shared" si="560"/>
        <v>0</v>
      </c>
      <c r="DS46" s="70">
        <f t="shared" si="561"/>
        <v>0</v>
      </c>
      <c r="DT46" s="73">
        <v>0</v>
      </c>
      <c r="DU46" s="74">
        <f t="shared" si="562"/>
        <v>0</v>
      </c>
      <c r="DV46" s="303">
        <f t="shared" si="563"/>
        <v>0</v>
      </c>
      <c r="DW46" s="58">
        <v>0</v>
      </c>
      <c r="DX46" s="68"/>
      <c r="DY46" s="28">
        <f t="shared" si="564"/>
        <v>0</v>
      </c>
      <c r="DZ46" s="28">
        <v>0</v>
      </c>
      <c r="EA46" s="28">
        <f t="shared" si="565"/>
        <v>0</v>
      </c>
      <c r="EB46" s="28">
        <f t="shared" si="566"/>
        <v>0</v>
      </c>
      <c r="EC46" s="28">
        <f t="shared" si="567"/>
        <v>0</v>
      </c>
      <c r="ED46" s="72">
        <f t="shared" si="568"/>
        <v>0</v>
      </c>
      <c r="EE46" s="72">
        <f t="shared" si="569"/>
        <v>0</v>
      </c>
      <c r="EF46" s="70">
        <f t="shared" si="570"/>
        <v>0</v>
      </c>
      <c r="EG46" s="71">
        <v>0</v>
      </c>
      <c r="EH46" s="71">
        <v>0</v>
      </c>
      <c r="EI46" s="72">
        <f t="shared" si="571"/>
        <v>0</v>
      </c>
      <c r="EJ46" s="72">
        <f t="shared" si="572"/>
        <v>0</v>
      </c>
      <c r="EK46" s="70">
        <f t="shared" si="573"/>
        <v>0</v>
      </c>
      <c r="EL46" s="73">
        <v>0</v>
      </c>
      <c r="EM46" s="74">
        <f t="shared" si="574"/>
        <v>0</v>
      </c>
      <c r="EN46" s="303">
        <f t="shared" si="575"/>
        <v>0</v>
      </c>
      <c r="EO46" s="58">
        <v>0</v>
      </c>
      <c r="EP46" s="68"/>
      <c r="EQ46" s="28">
        <f t="shared" si="576"/>
        <v>0</v>
      </c>
      <c r="ER46" s="28">
        <v>0</v>
      </c>
      <c r="ES46" s="28">
        <f t="shared" si="577"/>
        <v>0</v>
      </c>
      <c r="ET46" s="28">
        <f t="shared" si="578"/>
        <v>0</v>
      </c>
      <c r="EU46" s="28">
        <f t="shared" si="579"/>
        <v>0</v>
      </c>
      <c r="EV46" s="72">
        <f t="shared" si="580"/>
        <v>0</v>
      </c>
      <c r="EW46" s="72">
        <f t="shared" si="581"/>
        <v>0</v>
      </c>
      <c r="EX46" s="70">
        <f t="shared" si="582"/>
        <v>0</v>
      </c>
      <c r="EY46" s="71">
        <v>0</v>
      </c>
      <c r="EZ46" s="71">
        <v>0</v>
      </c>
      <c r="FA46" s="72">
        <f t="shared" si="583"/>
        <v>0</v>
      </c>
      <c r="FB46" s="72">
        <f t="shared" si="584"/>
        <v>0</v>
      </c>
      <c r="FC46" s="70">
        <f t="shared" si="585"/>
        <v>0</v>
      </c>
      <c r="FD46" s="73">
        <v>0</v>
      </c>
      <c r="FE46" s="74">
        <f t="shared" si="586"/>
        <v>0</v>
      </c>
      <c r="FF46" s="303">
        <f t="shared" si="587"/>
        <v>0</v>
      </c>
      <c r="FG46" s="58">
        <v>0</v>
      </c>
      <c r="FH46" s="68"/>
      <c r="FI46" s="28">
        <f t="shared" si="588"/>
        <v>0</v>
      </c>
      <c r="FJ46" s="28">
        <v>0</v>
      </c>
      <c r="FK46" s="28">
        <f t="shared" si="589"/>
        <v>0</v>
      </c>
      <c r="FL46" s="28">
        <f t="shared" si="590"/>
        <v>0</v>
      </c>
      <c r="FM46" s="28">
        <f t="shared" si="591"/>
        <v>0</v>
      </c>
      <c r="FN46" s="72">
        <f t="shared" si="592"/>
        <v>0</v>
      </c>
      <c r="FO46" s="72">
        <f t="shared" si="593"/>
        <v>0</v>
      </c>
      <c r="FP46" s="70">
        <f t="shared" si="594"/>
        <v>0</v>
      </c>
      <c r="FQ46" s="71">
        <v>0</v>
      </c>
      <c r="FR46" s="71">
        <v>0</v>
      </c>
      <c r="FS46" s="72">
        <f t="shared" si="595"/>
        <v>0</v>
      </c>
      <c r="FT46" s="72">
        <f t="shared" si="596"/>
        <v>0</v>
      </c>
      <c r="FU46" s="70">
        <f t="shared" si="597"/>
        <v>0</v>
      </c>
      <c r="FV46" s="73">
        <v>0</v>
      </c>
      <c r="FW46" s="74">
        <f t="shared" si="598"/>
        <v>0</v>
      </c>
      <c r="FX46" s="303">
        <f t="shared" si="599"/>
        <v>0</v>
      </c>
      <c r="FY46" s="58">
        <v>0</v>
      </c>
      <c r="FZ46" s="68"/>
      <c r="GA46" s="28">
        <f t="shared" si="600"/>
        <v>0</v>
      </c>
      <c r="GB46" s="28">
        <v>0</v>
      </c>
      <c r="GC46" s="28">
        <f t="shared" si="601"/>
        <v>0</v>
      </c>
      <c r="GD46" s="28">
        <f t="shared" si="602"/>
        <v>0</v>
      </c>
      <c r="GE46" s="28">
        <f t="shared" si="603"/>
        <v>0</v>
      </c>
      <c r="GF46" s="72">
        <f t="shared" si="604"/>
        <v>0</v>
      </c>
      <c r="GG46" s="72">
        <f t="shared" si="605"/>
        <v>0</v>
      </c>
      <c r="GH46" s="70">
        <f t="shared" si="606"/>
        <v>0</v>
      </c>
      <c r="GI46" s="71">
        <v>0</v>
      </c>
      <c r="GJ46" s="71">
        <v>0</v>
      </c>
      <c r="GK46" s="72">
        <f t="shared" si="607"/>
        <v>0</v>
      </c>
      <c r="GL46" s="72">
        <f t="shared" si="608"/>
        <v>0</v>
      </c>
      <c r="GM46" s="70">
        <f t="shared" si="609"/>
        <v>0</v>
      </c>
      <c r="GN46" s="73">
        <v>0</v>
      </c>
      <c r="GO46" s="74">
        <f t="shared" si="610"/>
        <v>0</v>
      </c>
      <c r="GP46" s="303">
        <f t="shared" si="611"/>
        <v>0</v>
      </c>
      <c r="GQ46" s="58">
        <v>0</v>
      </c>
      <c r="GR46" s="68"/>
      <c r="GS46" s="28">
        <f t="shared" si="612"/>
        <v>0</v>
      </c>
      <c r="GT46" s="28">
        <v>0</v>
      </c>
      <c r="GU46" s="28">
        <f t="shared" si="613"/>
        <v>0</v>
      </c>
      <c r="GV46" s="28">
        <f t="shared" si="614"/>
        <v>0</v>
      </c>
      <c r="GW46" s="28">
        <f t="shared" si="615"/>
        <v>0</v>
      </c>
      <c r="GX46" s="72">
        <f t="shared" si="616"/>
        <v>0</v>
      </c>
      <c r="GY46" s="72">
        <f t="shared" si="617"/>
        <v>0</v>
      </c>
      <c r="GZ46" s="70">
        <f t="shared" si="618"/>
        <v>0</v>
      </c>
      <c r="HA46" s="71">
        <v>0</v>
      </c>
      <c r="HB46" s="71">
        <v>0</v>
      </c>
      <c r="HC46" s="72">
        <f t="shared" si="619"/>
        <v>0</v>
      </c>
      <c r="HD46" s="72">
        <f t="shared" si="620"/>
        <v>0</v>
      </c>
      <c r="HE46" s="70">
        <f t="shared" si="621"/>
        <v>0</v>
      </c>
      <c r="HF46" s="73">
        <v>0</v>
      </c>
      <c r="HG46" s="74">
        <f t="shared" si="622"/>
        <v>0</v>
      </c>
      <c r="HH46" s="303">
        <f t="shared" si="623"/>
        <v>0</v>
      </c>
      <c r="HJ46" s="37"/>
      <c r="HK46" s="37"/>
      <c r="HL46" s="37"/>
      <c r="HM46" s="37"/>
      <c r="HN46" s="37"/>
      <c r="HO46" s="37"/>
      <c r="HP46" s="37"/>
      <c r="HQ46" s="37"/>
      <c r="HR46" s="37"/>
      <c r="HS46" s="37"/>
      <c r="HT46" s="37"/>
      <c r="HU46" s="37"/>
      <c r="HV46" s="37"/>
      <c r="HW46" s="37"/>
      <c r="HX46" s="37"/>
      <c r="HY46" s="37"/>
      <c r="HZ46" s="37"/>
      <c r="IA46" s="37"/>
      <c r="IB46" s="37"/>
      <c r="IC46" s="37"/>
      <c r="ID46" s="37"/>
      <c r="IE46" s="37"/>
      <c r="IF46" s="37"/>
      <c r="IG46" s="37"/>
      <c r="IH46" s="37"/>
      <c r="II46" s="37"/>
      <c r="IJ46" s="37"/>
      <c r="IK46" s="37"/>
      <c r="IL46" s="37"/>
      <c r="IM46" s="37"/>
      <c r="IN46" s="37"/>
      <c r="IO46" s="37"/>
      <c r="IP46" s="37"/>
    </row>
    <row r="47" spans="1:250" x14ac:dyDescent="0.3">
      <c r="A47" s="58">
        <v>0</v>
      </c>
      <c r="B47" s="68"/>
      <c r="C47" s="28">
        <f t="shared" si="480"/>
        <v>0</v>
      </c>
      <c r="D47" s="28">
        <v>0</v>
      </c>
      <c r="E47" s="28">
        <f t="shared" si="481"/>
        <v>0</v>
      </c>
      <c r="F47" s="28">
        <f t="shared" si="482"/>
        <v>0</v>
      </c>
      <c r="G47" s="28">
        <f t="shared" si="483"/>
        <v>0</v>
      </c>
      <c r="H47" s="72">
        <f t="shared" si="484"/>
        <v>0</v>
      </c>
      <c r="I47" s="72">
        <f t="shared" si="485"/>
        <v>0</v>
      </c>
      <c r="J47" s="70">
        <f t="shared" si="486"/>
        <v>0</v>
      </c>
      <c r="K47" s="71">
        <v>0</v>
      </c>
      <c r="L47" s="71">
        <v>0</v>
      </c>
      <c r="M47" s="72">
        <f t="shared" si="487"/>
        <v>0</v>
      </c>
      <c r="N47" s="72">
        <f t="shared" si="488"/>
        <v>0</v>
      </c>
      <c r="O47" s="70">
        <f t="shared" si="489"/>
        <v>0</v>
      </c>
      <c r="P47" s="73">
        <v>0</v>
      </c>
      <c r="Q47" s="74">
        <f t="shared" si="490"/>
        <v>0</v>
      </c>
      <c r="R47" s="303">
        <f t="shared" si="491"/>
        <v>0</v>
      </c>
      <c r="S47" s="58">
        <v>0</v>
      </c>
      <c r="T47" s="68"/>
      <c r="U47" s="28">
        <f t="shared" si="492"/>
        <v>0</v>
      </c>
      <c r="V47" s="28">
        <v>0</v>
      </c>
      <c r="W47" s="28">
        <f t="shared" si="493"/>
        <v>0</v>
      </c>
      <c r="X47" s="28">
        <f t="shared" si="494"/>
        <v>0</v>
      </c>
      <c r="Y47" s="28">
        <f t="shared" si="495"/>
        <v>0</v>
      </c>
      <c r="Z47" s="72">
        <f t="shared" si="496"/>
        <v>0</v>
      </c>
      <c r="AA47" s="72">
        <f t="shared" si="497"/>
        <v>0</v>
      </c>
      <c r="AB47" s="70">
        <f t="shared" si="498"/>
        <v>0</v>
      </c>
      <c r="AC47" s="71">
        <v>0</v>
      </c>
      <c r="AD47" s="71">
        <v>0</v>
      </c>
      <c r="AE47" s="72">
        <f t="shared" si="499"/>
        <v>0</v>
      </c>
      <c r="AF47" s="72">
        <f t="shared" si="500"/>
        <v>0</v>
      </c>
      <c r="AG47" s="70">
        <f t="shared" si="501"/>
        <v>0</v>
      </c>
      <c r="AH47" s="73">
        <v>0</v>
      </c>
      <c r="AI47" s="74">
        <f t="shared" si="502"/>
        <v>0</v>
      </c>
      <c r="AJ47" s="303">
        <f t="shared" si="503"/>
        <v>0</v>
      </c>
      <c r="AK47" s="58">
        <v>0</v>
      </c>
      <c r="AL47" s="68"/>
      <c r="AM47" s="28">
        <f t="shared" si="504"/>
        <v>0</v>
      </c>
      <c r="AN47" s="28">
        <v>0</v>
      </c>
      <c r="AO47" s="28">
        <f t="shared" si="505"/>
        <v>0</v>
      </c>
      <c r="AP47" s="28">
        <f t="shared" si="506"/>
        <v>0</v>
      </c>
      <c r="AQ47" s="28">
        <f t="shared" si="507"/>
        <v>0</v>
      </c>
      <c r="AR47" s="72">
        <f t="shared" si="508"/>
        <v>0</v>
      </c>
      <c r="AS47" s="72">
        <f t="shared" si="509"/>
        <v>0</v>
      </c>
      <c r="AT47" s="70">
        <f t="shared" si="510"/>
        <v>0</v>
      </c>
      <c r="AU47" s="71">
        <v>0</v>
      </c>
      <c r="AV47" s="71">
        <v>0</v>
      </c>
      <c r="AW47" s="72">
        <f t="shared" si="511"/>
        <v>0</v>
      </c>
      <c r="AX47" s="72">
        <f t="shared" si="512"/>
        <v>0</v>
      </c>
      <c r="AY47" s="70">
        <f t="shared" si="513"/>
        <v>0</v>
      </c>
      <c r="AZ47" s="73">
        <v>0</v>
      </c>
      <c r="BA47" s="74">
        <f t="shared" si="514"/>
        <v>0</v>
      </c>
      <c r="BB47" s="303">
        <f t="shared" si="515"/>
        <v>0</v>
      </c>
      <c r="BC47" s="58">
        <v>0</v>
      </c>
      <c r="BD47" s="68"/>
      <c r="BE47" s="28">
        <f t="shared" si="516"/>
        <v>0</v>
      </c>
      <c r="BF47" s="28">
        <v>0</v>
      </c>
      <c r="BG47" s="28">
        <f t="shared" si="517"/>
        <v>0</v>
      </c>
      <c r="BH47" s="28">
        <f t="shared" si="518"/>
        <v>0</v>
      </c>
      <c r="BI47" s="28">
        <f t="shared" si="519"/>
        <v>0</v>
      </c>
      <c r="BJ47" s="72">
        <f t="shared" si="520"/>
        <v>0</v>
      </c>
      <c r="BK47" s="72">
        <f t="shared" si="521"/>
        <v>0</v>
      </c>
      <c r="BL47" s="70">
        <f t="shared" si="522"/>
        <v>0</v>
      </c>
      <c r="BM47" s="71">
        <v>0</v>
      </c>
      <c r="BN47" s="71">
        <v>0</v>
      </c>
      <c r="BO47" s="72">
        <f t="shared" si="523"/>
        <v>0</v>
      </c>
      <c r="BP47" s="72">
        <f t="shared" si="524"/>
        <v>0</v>
      </c>
      <c r="BQ47" s="70">
        <f t="shared" si="525"/>
        <v>0</v>
      </c>
      <c r="BR47" s="73">
        <v>0</v>
      </c>
      <c r="BS47" s="74">
        <f t="shared" si="526"/>
        <v>0</v>
      </c>
      <c r="BT47" s="303">
        <f t="shared" si="527"/>
        <v>0</v>
      </c>
      <c r="BU47" s="58">
        <v>0</v>
      </c>
      <c r="BV47" s="68"/>
      <c r="BW47" s="28">
        <f t="shared" si="528"/>
        <v>0</v>
      </c>
      <c r="BX47" s="28">
        <v>0</v>
      </c>
      <c r="BY47" s="28">
        <f t="shared" si="529"/>
        <v>0</v>
      </c>
      <c r="BZ47" s="28">
        <f t="shared" si="530"/>
        <v>0</v>
      </c>
      <c r="CA47" s="28">
        <f t="shared" si="531"/>
        <v>0</v>
      </c>
      <c r="CB47" s="72">
        <f t="shared" si="532"/>
        <v>0</v>
      </c>
      <c r="CC47" s="72">
        <f t="shared" si="533"/>
        <v>0</v>
      </c>
      <c r="CD47" s="70">
        <f t="shared" si="534"/>
        <v>0</v>
      </c>
      <c r="CE47" s="71">
        <v>0</v>
      </c>
      <c r="CF47" s="71">
        <v>0</v>
      </c>
      <c r="CG47" s="72">
        <f t="shared" si="535"/>
        <v>0</v>
      </c>
      <c r="CH47" s="72">
        <f t="shared" si="536"/>
        <v>0</v>
      </c>
      <c r="CI47" s="70">
        <f t="shared" si="537"/>
        <v>0</v>
      </c>
      <c r="CJ47" s="73">
        <v>0</v>
      </c>
      <c r="CK47" s="74">
        <f t="shared" si="538"/>
        <v>0</v>
      </c>
      <c r="CL47" s="303">
        <f t="shared" si="539"/>
        <v>0</v>
      </c>
      <c r="CM47" s="58">
        <v>0</v>
      </c>
      <c r="CN47" s="68"/>
      <c r="CO47" s="28">
        <f t="shared" si="540"/>
        <v>0</v>
      </c>
      <c r="CP47" s="28">
        <v>0</v>
      </c>
      <c r="CQ47" s="28">
        <f t="shared" si="541"/>
        <v>0</v>
      </c>
      <c r="CR47" s="28">
        <f t="shared" si="542"/>
        <v>0</v>
      </c>
      <c r="CS47" s="28">
        <f t="shared" si="543"/>
        <v>0</v>
      </c>
      <c r="CT47" s="72">
        <f t="shared" si="544"/>
        <v>0</v>
      </c>
      <c r="CU47" s="72">
        <f t="shared" si="545"/>
        <v>0</v>
      </c>
      <c r="CV47" s="70">
        <f t="shared" si="546"/>
        <v>0</v>
      </c>
      <c r="CW47" s="71">
        <v>0</v>
      </c>
      <c r="CX47" s="71">
        <v>0</v>
      </c>
      <c r="CY47" s="72">
        <f t="shared" si="547"/>
        <v>0</v>
      </c>
      <c r="CZ47" s="72">
        <f t="shared" si="548"/>
        <v>0</v>
      </c>
      <c r="DA47" s="70">
        <f t="shared" si="549"/>
        <v>0</v>
      </c>
      <c r="DB47" s="73">
        <v>0</v>
      </c>
      <c r="DC47" s="74">
        <f t="shared" si="550"/>
        <v>0</v>
      </c>
      <c r="DD47" s="303">
        <f t="shared" si="551"/>
        <v>0</v>
      </c>
      <c r="DE47" s="58">
        <v>0</v>
      </c>
      <c r="DF47" s="68"/>
      <c r="DG47" s="28">
        <f t="shared" si="552"/>
        <v>0</v>
      </c>
      <c r="DH47" s="28">
        <v>0</v>
      </c>
      <c r="DI47" s="28">
        <f t="shared" si="553"/>
        <v>0</v>
      </c>
      <c r="DJ47" s="28">
        <f t="shared" si="554"/>
        <v>0</v>
      </c>
      <c r="DK47" s="28">
        <f t="shared" si="555"/>
        <v>0</v>
      </c>
      <c r="DL47" s="72">
        <f t="shared" si="556"/>
        <v>0</v>
      </c>
      <c r="DM47" s="72">
        <f t="shared" si="557"/>
        <v>0</v>
      </c>
      <c r="DN47" s="70">
        <f t="shared" si="558"/>
        <v>0</v>
      </c>
      <c r="DO47" s="71">
        <v>0</v>
      </c>
      <c r="DP47" s="71">
        <v>0</v>
      </c>
      <c r="DQ47" s="72">
        <f t="shared" si="559"/>
        <v>0</v>
      </c>
      <c r="DR47" s="72">
        <f t="shared" si="560"/>
        <v>0</v>
      </c>
      <c r="DS47" s="70">
        <f t="shared" si="561"/>
        <v>0</v>
      </c>
      <c r="DT47" s="73">
        <v>0</v>
      </c>
      <c r="DU47" s="74">
        <f t="shared" si="562"/>
        <v>0</v>
      </c>
      <c r="DV47" s="303">
        <f t="shared" si="563"/>
        <v>0</v>
      </c>
      <c r="DW47" s="58">
        <v>0</v>
      </c>
      <c r="DX47" s="68"/>
      <c r="DY47" s="28">
        <f t="shared" si="564"/>
        <v>0</v>
      </c>
      <c r="DZ47" s="28">
        <v>0</v>
      </c>
      <c r="EA47" s="28">
        <f t="shared" si="565"/>
        <v>0</v>
      </c>
      <c r="EB47" s="28">
        <f t="shared" si="566"/>
        <v>0</v>
      </c>
      <c r="EC47" s="28">
        <f t="shared" si="567"/>
        <v>0</v>
      </c>
      <c r="ED47" s="72">
        <f t="shared" si="568"/>
        <v>0</v>
      </c>
      <c r="EE47" s="72">
        <f t="shared" si="569"/>
        <v>0</v>
      </c>
      <c r="EF47" s="70">
        <f t="shared" si="570"/>
        <v>0</v>
      </c>
      <c r="EG47" s="71">
        <v>0</v>
      </c>
      <c r="EH47" s="71">
        <v>0</v>
      </c>
      <c r="EI47" s="72">
        <f t="shared" si="571"/>
        <v>0</v>
      </c>
      <c r="EJ47" s="72">
        <f t="shared" si="572"/>
        <v>0</v>
      </c>
      <c r="EK47" s="70">
        <f t="shared" si="573"/>
        <v>0</v>
      </c>
      <c r="EL47" s="73">
        <v>0</v>
      </c>
      <c r="EM47" s="74">
        <f t="shared" si="574"/>
        <v>0</v>
      </c>
      <c r="EN47" s="303">
        <f t="shared" si="575"/>
        <v>0</v>
      </c>
      <c r="EO47" s="58">
        <v>0</v>
      </c>
      <c r="EP47" s="68"/>
      <c r="EQ47" s="28">
        <f t="shared" si="576"/>
        <v>0</v>
      </c>
      <c r="ER47" s="28">
        <v>0</v>
      </c>
      <c r="ES47" s="28">
        <f t="shared" si="577"/>
        <v>0</v>
      </c>
      <c r="ET47" s="28">
        <f t="shared" si="578"/>
        <v>0</v>
      </c>
      <c r="EU47" s="28">
        <f t="shared" si="579"/>
        <v>0</v>
      </c>
      <c r="EV47" s="72">
        <f t="shared" si="580"/>
        <v>0</v>
      </c>
      <c r="EW47" s="72">
        <f t="shared" si="581"/>
        <v>0</v>
      </c>
      <c r="EX47" s="70">
        <f t="shared" si="582"/>
        <v>0</v>
      </c>
      <c r="EY47" s="71">
        <v>0</v>
      </c>
      <c r="EZ47" s="71">
        <v>0</v>
      </c>
      <c r="FA47" s="72">
        <f t="shared" si="583"/>
        <v>0</v>
      </c>
      <c r="FB47" s="72">
        <f t="shared" si="584"/>
        <v>0</v>
      </c>
      <c r="FC47" s="70">
        <f t="shared" si="585"/>
        <v>0</v>
      </c>
      <c r="FD47" s="73">
        <v>0</v>
      </c>
      <c r="FE47" s="74">
        <f t="shared" si="586"/>
        <v>0</v>
      </c>
      <c r="FF47" s="303">
        <f t="shared" si="587"/>
        <v>0</v>
      </c>
      <c r="FG47" s="58">
        <v>0</v>
      </c>
      <c r="FH47" s="68"/>
      <c r="FI47" s="28">
        <f t="shared" si="588"/>
        <v>0</v>
      </c>
      <c r="FJ47" s="28">
        <v>0</v>
      </c>
      <c r="FK47" s="28">
        <f t="shared" si="589"/>
        <v>0</v>
      </c>
      <c r="FL47" s="28">
        <f t="shared" si="590"/>
        <v>0</v>
      </c>
      <c r="FM47" s="28">
        <f t="shared" si="591"/>
        <v>0</v>
      </c>
      <c r="FN47" s="72">
        <f t="shared" si="592"/>
        <v>0</v>
      </c>
      <c r="FO47" s="72">
        <f t="shared" si="593"/>
        <v>0</v>
      </c>
      <c r="FP47" s="70">
        <f t="shared" si="594"/>
        <v>0</v>
      </c>
      <c r="FQ47" s="71">
        <v>0</v>
      </c>
      <c r="FR47" s="71">
        <v>0</v>
      </c>
      <c r="FS47" s="72">
        <f t="shared" si="595"/>
        <v>0</v>
      </c>
      <c r="FT47" s="72">
        <f t="shared" si="596"/>
        <v>0</v>
      </c>
      <c r="FU47" s="70">
        <f t="shared" si="597"/>
        <v>0</v>
      </c>
      <c r="FV47" s="73">
        <v>0</v>
      </c>
      <c r="FW47" s="74">
        <f t="shared" si="598"/>
        <v>0</v>
      </c>
      <c r="FX47" s="303">
        <f t="shared" si="599"/>
        <v>0</v>
      </c>
      <c r="FY47" s="58">
        <v>0</v>
      </c>
      <c r="FZ47" s="68"/>
      <c r="GA47" s="28">
        <f t="shared" si="600"/>
        <v>0</v>
      </c>
      <c r="GB47" s="28">
        <v>0</v>
      </c>
      <c r="GC47" s="28">
        <f t="shared" si="601"/>
        <v>0</v>
      </c>
      <c r="GD47" s="28">
        <f t="shared" si="602"/>
        <v>0</v>
      </c>
      <c r="GE47" s="28">
        <f t="shared" si="603"/>
        <v>0</v>
      </c>
      <c r="GF47" s="72">
        <f t="shared" si="604"/>
        <v>0</v>
      </c>
      <c r="GG47" s="72">
        <f t="shared" si="605"/>
        <v>0</v>
      </c>
      <c r="GH47" s="70">
        <f t="shared" si="606"/>
        <v>0</v>
      </c>
      <c r="GI47" s="71">
        <v>0</v>
      </c>
      <c r="GJ47" s="71">
        <v>0</v>
      </c>
      <c r="GK47" s="72">
        <f t="shared" si="607"/>
        <v>0</v>
      </c>
      <c r="GL47" s="72">
        <f t="shared" si="608"/>
        <v>0</v>
      </c>
      <c r="GM47" s="70">
        <f t="shared" si="609"/>
        <v>0</v>
      </c>
      <c r="GN47" s="73">
        <v>0</v>
      </c>
      <c r="GO47" s="74">
        <f t="shared" si="610"/>
        <v>0</v>
      </c>
      <c r="GP47" s="303">
        <f t="shared" si="611"/>
        <v>0</v>
      </c>
      <c r="GQ47" s="58">
        <v>0</v>
      </c>
      <c r="GR47" s="68"/>
      <c r="GS47" s="28">
        <f t="shared" si="612"/>
        <v>0</v>
      </c>
      <c r="GT47" s="28">
        <v>0</v>
      </c>
      <c r="GU47" s="28">
        <f t="shared" si="613"/>
        <v>0</v>
      </c>
      <c r="GV47" s="28">
        <f t="shared" si="614"/>
        <v>0</v>
      </c>
      <c r="GW47" s="28">
        <f t="shared" si="615"/>
        <v>0</v>
      </c>
      <c r="GX47" s="72">
        <f t="shared" si="616"/>
        <v>0</v>
      </c>
      <c r="GY47" s="72">
        <f t="shared" si="617"/>
        <v>0</v>
      </c>
      <c r="GZ47" s="70">
        <f t="shared" si="618"/>
        <v>0</v>
      </c>
      <c r="HA47" s="71">
        <v>0</v>
      </c>
      <c r="HB47" s="71">
        <v>0</v>
      </c>
      <c r="HC47" s="72">
        <f t="shared" si="619"/>
        <v>0</v>
      </c>
      <c r="HD47" s="72">
        <f t="shared" si="620"/>
        <v>0</v>
      </c>
      <c r="HE47" s="70">
        <f t="shared" si="621"/>
        <v>0</v>
      </c>
      <c r="HF47" s="73">
        <v>0</v>
      </c>
      <c r="HG47" s="74">
        <f t="shared" si="622"/>
        <v>0</v>
      </c>
      <c r="HH47" s="303">
        <f t="shared" si="623"/>
        <v>0</v>
      </c>
      <c r="HJ47" s="37"/>
      <c r="HK47" s="37"/>
      <c r="HL47" s="37"/>
      <c r="HM47" s="37"/>
      <c r="HN47" s="37"/>
      <c r="HO47" s="37"/>
      <c r="HP47" s="37"/>
      <c r="HQ47" s="37"/>
      <c r="HR47" s="37"/>
      <c r="HS47" s="37"/>
      <c r="HT47" s="37"/>
      <c r="HU47" s="37"/>
      <c r="HV47" s="37"/>
      <c r="HW47" s="37"/>
      <c r="HX47" s="37"/>
      <c r="HY47" s="37"/>
      <c r="HZ47" s="37"/>
      <c r="IA47" s="37"/>
      <c r="IB47" s="37"/>
      <c r="IC47" s="37"/>
      <c r="ID47" s="37"/>
      <c r="IE47" s="37"/>
      <c r="IF47" s="37"/>
      <c r="IG47" s="37"/>
      <c r="IH47" s="37"/>
      <c r="II47" s="37"/>
      <c r="IJ47" s="37"/>
      <c r="IK47" s="37"/>
      <c r="IL47" s="37"/>
      <c r="IM47" s="37"/>
      <c r="IN47" s="37"/>
      <c r="IO47" s="37"/>
      <c r="IP47" s="37"/>
    </row>
    <row r="48" spans="1:250" ht="15.6" x14ac:dyDescent="0.3">
      <c r="A48" s="541"/>
      <c r="B48" s="537"/>
      <c r="C48" s="537"/>
      <c r="D48" s="537"/>
      <c r="E48" s="537"/>
      <c r="F48" s="537"/>
      <c r="G48" s="537"/>
      <c r="H48" s="537"/>
      <c r="I48" s="537"/>
      <c r="J48" s="537"/>
      <c r="K48" s="537"/>
      <c r="L48" s="537"/>
      <c r="M48" s="537"/>
      <c r="N48" s="537"/>
      <c r="O48" s="537"/>
      <c r="P48" s="538"/>
      <c r="Q48" s="423" t="s">
        <v>8</v>
      </c>
      <c r="R48" s="304">
        <f>SUM(R42:R47)</f>
        <v>0</v>
      </c>
      <c r="S48" s="541"/>
      <c r="T48" s="537"/>
      <c r="U48" s="537"/>
      <c r="V48" s="537"/>
      <c r="W48" s="537"/>
      <c r="X48" s="537"/>
      <c r="Y48" s="537"/>
      <c r="Z48" s="537"/>
      <c r="AA48" s="537"/>
      <c r="AB48" s="537"/>
      <c r="AC48" s="537"/>
      <c r="AD48" s="537"/>
      <c r="AE48" s="537"/>
      <c r="AF48" s="537"/>
      <c r="AG48" s="537"/>
      <c r="AH48" s="538"/>
      <c r="AI48" s="423" t="s">
        <v>8</v>
      </c>
      <c r="AJ48" s="304">
        <f>SUM(AJ42:AJ47)</f>
        <v>0</v>
      </c>
      <c r="AK48" s="541"/>
      <c r="AL48" s="537"/>
      <c r="AM48" s="537"/>
      <c r="AN48" s="537"/>
      <c r="AO48" s="537"/>
      <c r="AP48" s="537"/>
      <c r="AQ48" s="537"/>
      <c r="AR48" s="537"/>
      <c r="AS48" s="537"/>
      <c r="AT48" s="537"/>
      <c r="AU48" s="537"/>
      <c r="AV48" s="537"/>
      <c r="AW48" s="537"/>
      <c r="AX48" s="537"/>
      <c r="AY48" s="537"/>
      <c r="AZ48" s="538"/>
      <c r="BA48" s="423" t="s">
        <v>8</v>
      </c>
      <c r="BB48" s="304">
        <f>SUM(BB42:BB47)</f>
        <v>0</v>
      </c>
      <c r="BC48" s="541"/>
      <c r="BD48" s="537"/>
      <c r="BE48" s="537"/>
      <c r="BF48" s="537"/>
      <c r="BG48" s="537"/>
      <c r="BH48" s="537"/>
      <c r="BI48" s="537"/>
      <c r="BJ48" s="537"/>
      <c r="BK48" s="537"/>
      <c r="BL48" s="537"/>
      <c r="BM48" s="537"/>
      <c r="BN48" s="537"/>
      <c r="BO48" s="537"/>
      <c r="BP48" s="537"/>
      <c r="BQ48" s="537"/>
      <c r="BR48" s="538"/>
      <c r="BS48" s="423" t="s">
        <v>8</v>
      </c>
      <c r="BT48" s="304">
        <f>SUM(BT42:BT47)</f>
        <v>0</v>
      </c>
      <c r="BU48" s="541"/>
      <c r="BV48" s="537"/>
      <c r="BW48" s="537"/>
      <c r="BX48" s="537"/>
      <c r="BY48" s="537"/>
      <c r="BZ48" s="537"/>
      <c r="CA48" s="537"/>
      <c r="CB48" s="537"/>
      <c r="CC48" s="537"/>
      <c r="CD48" s="537"/>
      <c r="CE48" s="537"/>
      <c r="CF48" s="537"/>
      <c r="CG48" s="537"/>
      <c r="CH48" s="537"/>
      <c r="CI48" s="537"/>
      <c r="CJ48" s="538"/>
      <c r="CK48" s="423" t="s">
        <v>8</v>
      </c>
      <c r="CL48" s="304">
        <f>SUM(CL42:CL47)</f>
        <v>0</v>
      </c>
      <c r="CM48" s="541"/>
      <c r="CN48" s="537"/>
      <c r="CO48" s="537"/>
      <c r="CP48" s="537"/>
      <c r="CQ48" s="537"/>
      <c r="CR48" s="537"/>
      <c r="CS48" s="537"/>
      <c r="CT48" s="537"/>
      <c r="CU48" s="537"/>
      <c r="CV48" s="537"/>
      <c r="CW48" s="537"/>
      <c r="CX48" s="537"/>
      <c r="CY48" s="537"/>
      <c r="CZ48" s="537"/>
      <c r="DA48" s="537"/>
      <c r="DB48" s="538"/>
      <c r="DC48" s="423" t="s">
        <v>8</v>
      </c>
      <c r="DD48" s="304">
        <f>SUM(DD42:DD47)</f>
        <v>0</v>
      </c>
      <c r="DE48" s="541"/>
      <c r="DF48" s="537"/>
      <c r="DG48" s="537"/>
      <c r="DH48" s="537"/>
      <c r="DI48" s="537"/>
      <c r="DJ48" s="537"/>
      <c r="DK48" s="537"/>
      <c r="DL48" s="537"/>
      <c r="DM48" s="537"/>
      <c r="DN48" s="537"/>
      <c r="DO48" s="537"/>
      <c r="DP48" s="537"/>
      <c r="DQ48" s="537"/>
      <c r="DR48" s="537"/>
      <c r="DS48" s="537"/>
      <c r="DT48" s="538"/>
      <c r="DU48" s="423" t="s">
        <v>8</v>
      </c>
      <c r="DV48" s="304">
        <f>SUM(DV42:DV47)</f>
        <v>0</v>
      </c>
      <c r="DW48" s="541"/>
      <c r="DX48" s="537"/>
      <c r="DY48" s="537"/>
      <c r="DZ48" s="537"/>
      <c r="EA48" s="537"/>
      <c r="EB48" s="537"/>
      <c r="EC48" s="537"/>
      <c r="ED48" s="537"/>
      <c r="EE48" s="537"/>
      <c r="EF48" s="537"/>
      <c r="EG48" s="537"/>
      <c r="EH48" s="537"/>
      <c r="EI48" s="537"/>
      <c r="EJ48" s="537"/>
      <c r="EK48" s="537"/>
      <c r="EL48" s="538"/>
      <c r="EM48" s="423" t="s">
        <v>8</v>
      </c>
      <c r="EN48" s="304">
        <f>SUM(EN42:EN47)</f>
        <v>0</v>
      </c>
      <c r="EO48" s="541"/>
      <c r="EP48" s="537"/>
      <c r="EQ48" s="537"/>
      <c r="ER48" s="537"/>
      <c r="ES48" s="537"/>
      <c r="ET48" s="537"/>
      <c r="EU48" s="537"/>
      <c r="EV48" s="537"/>
      <c r="EW48" s="537"/>
      <c r="EX48" s="537"/>
      <c r="EY48" s="537"/>
      <c r="EZ48" s="537"/>
      <c r="FA48" s="537"/>
      <c r="FB48" s="537"/>
      <c r="FC48" s="537"/>
      <c r="FD48" s="538"/>
      <c r="FE48" s="423" t="s">
        <v>8</v>
      </c>
      <c r="FF48" s="304">
        <f>SUM(FF42:FF47)</f>
        <v>0</v>
      </c>
      <c r="FG48" s="541"/>
      <c r="FH48" s="537"/>
      <c r="FI48" s="537"/>
      <c r="FJ48" s="537"/>
      <c r="FK48" s="537"/>
      <c r="FL48" s="537"/>
      <c r="FM48" s="537"/>
      <c r="FN48" s="537"/>
      <c r="FO48" s="537"/>
      <c r="FP48" s="537"/>
      <c r="FQ48" s="537"/>
      <c r="FR48" s="537"/>
      <c r="FS48" s="537"/>
      <c r="FT48" s="537"/>
      <c r="FU48" s="537"/>
      <c r="FV48" s="538"/>
      <c r="FW48" s="423" t="s">
        <v>8</v>
      </c>
      <c r="FX48" s="304">
        <f>SUM(FX42:FX47)</f>
        <v>0</v>
      </c>
      <c r="FY48" s="541"/>
      <c r="FZ48" s="537"/>
      <c r="GA48" s="537"/>
      <c r="GB48" s="537"/>
      <c r="GC48" s="537"/>
      <c r="GD48" s="537"/>
      <c r="GE48" s="537"/>
      <c r="GF48" s="537"/>
      <c r="GG48" s="537"/>
      <c r="GH48" s="537"/>
      <c r="GI48" s="537"/>
      <c r="GJ48" s="537"/>
      <c r="GK48" s="537"/>
      <c r="GL48" s="537"/>
      <c r="GM48" s="537"/>
      <c r="GN48" s="538"/>
      <c r="GO48" s="423" t="s">
        <v>8</v>
      </c>
      <c r="GP48" s="304">
        <f>SUM(GP42:GP47)</f>
        <v>0</v>
      </c>
      <c r="GQ48" s="541"/>
      <c r="GR48" s="537"/>
      <c r="GS48" s="537"/>
      <c r="GT48" s="537"/>
      <c r="GU48" s="537"/>
      <c r="GV48" s="537"/>
      <c r="GW48" s="537"/>
      <c r="GX48" s="537"/>
      <c r="GY48" s="537"/>
      <c r="GZ48" s="537"/>
      <c r="HA48" s="537"/>
      <c r="HB48" s="537"/>
      <c r="HC48" s="537"/>
      <c r="HD48" s="537"/>
      <c r="HE48" s="537"/>
      <c r="HF48" s="538"/>
      <c r="HG48" s="423" t="s">
        <v>8</v>
      </c>
      <c r="HH48" s="304">
        <f>SUM(HH42:HH47)</f>
        <v>0</v>
      </c>
      <c r="HJ48" s="37"/>
      <c r="HK48" s="37"/>
      <c r="HL48" s="37"/>
      <c r="HM48" s="37"/>
      <c r="HN48" s="37"/>
      <c r="HO48" s="37"/>
      <c r="HP48" s="37"/>
      <c r="HQ48" s="37"/>
      <c r="HR48" s="37"/>
      <c r="HS48" s="37"/>
      <c r="HT48" s="37"/>
      <c r="HU48" s="37"/>
      <c r="HV48" s="37"/>
      <c r="HW48" s="37"/>
      <c r="HX48" s="37"/>
      <c r="HY48" s="37"/>
      <c r="HZ48" s="37"/>
      <c r="IA48" s="37"/>
      <c r="IB48" s="37"/>
      <c r="IC48" s="37"/>
      <c r="ID48" s="37"/>
      <c r="IE48" s="37"/>
      <c r="IF48" s="37"/>
      <c r="IG48" s="37"/>
      <c r="IH48" s="37"/>
      <c r="II48" s="37"/>
      <c r="IJ48" s="37"/>
      <c r="IK48" s="37"/>
      <c r="IL48" s="37"/>
      <c r="IM48" s="37"/>
      <c r="IN48" s="37"/>
      <c r="IO48" s="37"/>
      <c r="IP48" s="37"/>
    </row>
    <row r="49" spans="1:250" ht="15.6" x14ac:dyDescent="0.3">
      <c r="A49" s="543"/>
      <c r="B49" s="544"/>
      <c r="C49" s="544"/>
      <c r="D49" s="544"/>
      <c r="E49" s="742" t="s">
        <v>250</v>
      </c>
      <c r="F49" s="742"/>
      <c r="G49" s="742"/>
      <c r="H49" s="742"/>
      <c r="I49" s="742"/>
      <c r="J49" s="742"/>
      <c r="K49" s="742"/>
      <c r="L49" s="742"/>
      <c r="M49" s="742"/>
      <c r="N49" s="544"/>
      <c r="O49" s="544"/>
      <c r="P49" s="544"/>
      <c r="Q49" s="544"/>
      <c r="R49" s="545"/>
      <c r="S49" s="543"/>
      <c r="T49" s="544"/>
      <c r="U49" s="544"/>
      <c r="V49" s="544"/>
      <c r="W49" s="742" t="s">
        <v>250</v>
      </c>
      <c r="X49" s="742"/>
      <c r="Y49" s="742"/>
      <c r="Z49" s="742"/>
      <c r="AA49" s="742"/>
      <c r="AB49" s="742"/>
      <c r="AC49" s="742"/>
      <c r="AD49" s="742"/>
      <c r="AE49" s="742"/>
      <c r="AF49" s="544"/>
      <c r="AG49" s="544"/>
      <c r="AH49" s="544"/>
      <c r="AI49" s="544"/>
      <c r="AJ49" s="545"/>
      <c r="AK49" s="543"/>
      <c r="AL49" s="544"/>
      <c r="AM49" s="544"/>
      <c r="AN49" s="544"/>
      <c r="AO49" s="742" t="s">
        <v>250</v>
      </c>
      <c r="AP49" s="742"/>
      <c r="AQ49" s="742"/>
      <c r="AR49" s="742"/>
      <c r="AS49" s="742"/>
      <c r="AT49" s="742"/>
      <c r="AU49" s="742"/>
      <c r="AV49" s="742"/>
      <c r="AW49" s="742"/>
      <c r="AX49" s="544"/>
      <c r="AY49" s="544"/>
      <c r="AZ49" s="544"/>
      <c r="BA49" s="544"/>
      <c r="BB49" s="545"/>
      <c r="BC49" s="543"/>
      <c r="BD49" s="544"/>
      <c r="BE49" s="544"/>
      <c r="BF49" s="544"/>
      <c r="BG49" s="742" t="s">
        <v>250</v>
      </c>
      <c r="BH49" s="742"/>
      <c r="BI49" s="742"/>
      <c r="BJ49" s="742"/>
      <c r="BK49" s="742"/>
      <c r="BL49" s="742"/>
      <c r="BM49" s="742"/>
      <c r="BN49" s="742"/>
      <c r="BO49" s="742"/>
      <c r="BP49" s="544"/>
      <c r="BQ49" s="544"/>
      <c r="BR49" s="544"/>
      <c r="BS49" s="544"/>
      <c r="BT49" s="545"/>
      <c r="BU49" s="543"/>
      <c r="BV49" s="544"/>
      <c r="BW49" s="544"/>
      <c r="BX49" s="544"/>
      <c r="BY49" s="742" t="s">
        <v>250</v>
      </c>
      <c r="BZ49" s="742"/>
      <c r="CA49" s="742"/>
      <c r="CB49" s="742"/>
      <c r="CC49" s="742"/>
      <c r="CD49" s="742"/>
      <c r="CE49" s="742"/>
      <c r="CF49" s="742"/>
      <c r="CG49" s="742"/>
      <c r="CH49" s="544"/>
      <c r="CI49" s="544"/>
      <c r="CJ49" s="544"/>
      <c r="CK49" s="544"/>
      <c r="CL49" s="545"/>
      <c r="CM49" s="543"/>
      <c r="CN49" s="544"/>
      <c r="CO49" s="544"/>
      <c r="CP49" s="544"/>
      <c r="CQ49" s="742" t="s">
        <v>250</v>
      </c>
      <c r="CR49" s="742"/>
      <c r="CS49" s="742"/>
      <c r="CT49" s="742"/>
      <c r="CU49" s="742"/>
      <c r="CV49" s="742"/>
      <c r="CW49" s="742"/>
      <c r="CX49" s="742"/>
      <c r="CY49" s="742"/>
      <c r="CZ49" s="544"/>
      <c r="DA49" s="544"/>
      <c r="DB49" s="544"/>
      <c r="DC49" s="544"/>
      <c r="DD49" s="545"/>
      <c r="DE49" s="543"/>
      <c r="DF49" s="544"/>
      <c r="DG49" s="544"/>
      <c r="DH49" s="544"/>
      <c r="DI49" s="742" t="s">
        <v>250</v>
      </c>
      <c r="DJ49" s="742"/>
      <c r="DK49" s="742"/>
      <c r="DL49" s="742"/>
      <c r="DM49" s="742"/>
      <c r="DN49" s="742"/>
      <c r="DO49" s="742"/>
      <c r="DP49" s="742"/>
      <c r="DQ49" s="742"/>
      <c r="DR49" s="544"/>
      <c r="DS49" s="544"/>
      <c r="DT49" s="544"/>
      <c r="DU49" s="544"/>
      <c r="DV49" s="545"/>
      <c r="DW49" s="543"/>
      <c r="DX49" s="544"/>
      <c r="DY49" s="544"/>
      <c r="DZ49" s="544"/>
      <c r="EA49" s="742" t="s">
        <v>250</v>
      </c>
      <c r="EB49" s="742"/>
      <c r="EC49" s="742"/>
      <c r="ED49" s="742"/>
      <c r="EE49" s="742"/>
      <c r="EF49" s="742"/>
      <c r="EG49" s="742"/>
      <c r="EH49" s="742"/>
      <c r="EI49" s="742"/>
      <c r="EJ49" s="544"/>
      <c r="EK49" s="544"/>
      <c r="EL49" s="544"/>
      <c r="EM49" s="544"/>
      <c r="EN49" s="545"/>
      <c r="EO49" s="543"/>
      <c r="EP49" s="544"/>
      <c r="EQ49" s="544"/>
      <c r="ER49" s="544"/>
      <c r="ES49" s="742" t="s">
        <v>250</v>
      </c>
      <c r="ET49" s="742"/>
      <c r="EU49" s="742"/>
      <c r="EV49" s="742"/>
      <c r="EW49" s="742"/>
      <c r="EX49" s="742"/>
      <c r="EY49" s="742"/>
      <c r="EZ49" s="742"/>
      <c r="FA49" s="742"/>
      <c r="FB49" s="544"/>
      <c r="FC49" s="544"/>
      <c r="FD49" s="544"/>
      <c r="FE49" s="544"/>
      <c r="FF49" s="545"/>
      <c r="FG49" s="543"/>
      <c r="FH49" s="544"/>
      <c r="FI49" s="544"/>
      <c r="FJ49" s="544"/>
      <c r="FK49" s="742" t="s">
        <v>250</v>
      </c>
      <c r="FL49" s="742"/>
      <c r="FM49" s="742"/>
      <c r="FN49" s="742"/>
      <c r="FO49" s="742"/>
      <c r="FP49" s="742"/>
      <c r="FQ49" s="742"/>
      <c r="FR49" s="742"/>
      <c r="FS49" s="742"/>
      <c r="FT49" s="544"/>
      <c r="FU49" s="544"/>
      <c r="FV49" s="544"/>
      <c r="FW49" s="544"/>
      <c r="FX49" s="545"/>
      <c r="FY49" s="543"/>
      <c r="FZ49" s="544"/>
      <c r="GA49" s="544"/>
      <c r="GB49" s="544"/>
      <c r="GC49" s="742" t="s">
        <v>250</v>
      </c>
      <c r="GD49" s="742"/>
      <c r="GE49" s="742"/>
      <c r="GF49" s="742"/>
      <c r="GG49" s="742"/>
      <c r="GH49" s="742"/>
      <c r="GI49" s="742"/>
      <c r="GJ49" s="742"/>
      <c r="GK49" s="742"/>
      <c r="GL49" s="544"/>
      <c r="GM49" s="544"/>
      <c r="GN49" s="544"/>
      <c r="GO49" s="544"/>
      <c r="GP49" s="545"/>
      <c r="GQ49" s="543"/>
      <c r="GR49" s="544"/>
      <c r="GS49" s="544"/>
      <c r="GT49" s="544"/>
      <c r="GU49" s="742" t="s">
        <v>250</v>
      </c>
      <c r="GV49" s="742"/>
      <c r="GW49" s="742"/>
      <c r="GX49" s="742"/>
      <c r="GY49" s="742"/>
      <c r="GZ49" s="742"/>
      <c r="HA49" s="742"/>
      <c r="HB49" s="742"/>
      <c r="HC49" s="742"/>
      <c r="HD49" s="544"/>
      <c r="HE49" s="544"/>
      <c r="HF49" s="544"/>
      <c r="HG49" s="544"/>
      <c r="HH49" s="545"/>
      <c r="HJ49" s="37"/>
      <c r="HK49" s="37"/>
      <c r="HL49" s="37"/>
      <c r="HM49" s="37"/>
      <c r="HN49" s="37"/>
      <c r="HO49" s="37"/>
      <c r="HP49" s="37"/>
      <c r="HQ49" s="37"/>
      <c r="HR49" s="37"/>
      <c r="HS49" s="37"/>
      <c r="HT49" s="37"/>
      <c r="HU49" s="37"/>
      <c r="HV49" s="37"/>
      <c r="HW49" s="37"/>
      <c r="HX49" s="37"/>
      <c r="HY49" s="37"/>
      <c r="HZ49" s="37"/>
      <c r="IA49" s="37"/>
      <c r="IB49" s="37"/>
      <c r="IC49" s="37"/>
      <c r="ID49" s="37"/>
      <c r="IE49" s="37"/>
      <c r="IF49" s="37"/>
      <c r="IG49" s="37"/>
      <c r="IH49" s="37"/>
      <c r="II49" s="37"/>
      <c r="IJ49" s="37"/>
      <c r="IK49" s="37"/>
      <c r="IL49" s="37"/>
      <c r="IM49" s="37"/>
      <c r="IN49" s="37"/>
      <c r="IO49" s="37"/>
      <c r="IP49" s="37"/>
    </row>
    <row r="50" spans="1:250" x14ac:dyDescent="0.3">
      <c r="A50" s="58">
        <v>0</v>
      </c>
      <c r="B50" s="68" t="s">
        <v>133</v>
      </c>
      <c r="C50" s="28">
        <f t="shared" ref="C50:C55" si="624">D50/$AM$4</f>
        <v>0</v>
      </c>
      <c r="D50" s="69">
        <v>0</v>
      </c>
      <c r="E50" s="28">
        <f t="shared" ref="E50:E55" si="625">D50*E$6</f>
        <v>0</v>
      </c>
      <c r="F50" s="28">
        <f>D50*F$6</f>
        <v>0</v>
      </c>
      <c r="G50" s="28">
        <f t="shared" ref="G50:G55" si="626">D50/G$6</f>
        <v>0</v>
      </c>
      <c r="H50" s="72">
        <f t="shared" ref="H50:H55" si="627">G50/H$6</f>
        <v>0</v>
      </c>
      <c r="I50" s="72">
        <f t="shared" ref="I50:I55" si="628">D50/I$6</f>
        <v>0</v>
      </c>
      <c r="J50" s="70">
        <f t="shared" ref="J50:J55" si="629">SUM(D50:I50)</f>
        <v>0</v>
      </c>
      <c r="K50" s="71">
        <v>0</v>
      </c>
      <c r="L50" s="71">
        <v>0</v>
      </c>
      <c r="M50" s="72">
        <f t="shared" ref="M50:M55" si="630">((C50*M$6)+(C50*$AO$6)+(C50*$AP$6))*K50</f>
        <v>0</v>
      </c>
      <c r="N50" s="72">
        <f t="shared" ref="N50:N55" si="631">((C50*N$6)+(C50*$AO$6)+(C50*$AP$6))*L50</f>
        <v>0</v>
      </c>
      <c r="O50" s="70">
        <f t="shared" ref="O50:O55" si="632">SUM(M50:N50)</f>
        <v>0</v>
      </c>
      <c r="P50" s="73">
        <v>0</v>
      </c>
      <c r="Q50" s="74">
        <f t="shared" ref="Q50:Q55" si="633">IF(A50=1,($C$1*$Q$6),0)</f>
        <v>0</v>
      </c>
      <c r="R50" s="303">
        <f t="shared" ref="R50:R55" si="634">J50+O50+P50+Q50</f>
        <v>0</v>
      </c>
      <c r="S50" s="58">
        <v>0</v>
      </c>
      <c r="T50" s="68" t="s">
        <v>133</v>
      </c>
      <c r="U50" s="28">
        <f t="shared" ref="U50:U55" si="635">V50/$AM$4</f>
        <v>0</v>
      </c>
      <c r="V50" s="69">
        <v>0</v>
      </c>
      <c r="W50" s="28">
        <f t="shared" ref="W50:W55" si="636">V50*W$6</f>
        <v>0</v>
      </c>
      <c r="X50" s="28">
        <f>V50*X$6</f>
        <v>0</v>
      </c>
      <c r="Y50" s="28">
        <f t="shared" ref="Y50:Y55" si="637">V50/Y$6</f>
        <v>0</v>
      </c>
      <c r="Z50" s="72">
        <f t="shared" ref="Z50:Z55" si="638">Y50/Z$6</f>
        <v>0</v>
      </c>
      <c r="AA50" s="72">
        <f t="shared" ref="AA50:AA55" si="639">V50/AA$6</f>
        <v>0</v>
      </c>
      <c r="AB50" s="70">
        <f t="shared" ref="AB50:AB55" si="640">SUM(V50:AA50)</f>
        <v>0</v>
      </c>
      <c r="AC50" s="71">
        <v>0</v>
      </c>
      <c r="AD50" s="71">
        <v>0</v>
      </c>
      <c r="AE50" s="72">
        <f t="shared" ref="AE50:AE55" si="641">((U50*AE$6)+(U50*$AO$6)+(U50*$AP$6))*AC50</f>
        <v>0</v>
      </c>
      <c r="AF50" s="72">
        <f t="shared" ref="AF50:AF55" si="642">((U50*AF$6)+(U50*$AO$6)+(U50*$AP$6))*AD50</f>
        <v>0</v>
      </c>
      <c r="AG50" s="70">
        <f t="shared" ref="AG50:AG55" si="643">SUM(AE50:AF50)</f>
        <v>0</v>
      </c>
      <c r="AH50" s="73">
        <v>0</v>
      </c>
      <c r="AI50" s="74">
        <f t="shared" ref="AI50:AI55" si="644">IF(S50=1,($C$1*$Q$6),0)</f>
        <v>0</v>
      </c>
      <c r="AJ50" s="303">
        <f t="shared" ref="AJ50:AJ55" si="645">AB50+AG50+AH50+AI50</f>
        <v>0</v>
      </c>
      <c r="AK50" s="58">
        <v>0</v>
      </c>
      <c r="AL50" s="68" t="s">
        <v>133</v>
      </c>
      <c r="AM50" s="28">
        <f t="shared" ref="AM50:AM55" si="646">AN50/$AM$4</f>
        <v>0</v>
      </c>
      <c r="AN50" s="69">
        <v>0</v>
      </c>
      <c r="AO50" s="28">
        <f t="shared" ref="AO50:AO55" si="647">AN50*AO$6</f>
        <v>0</v>
      </c>
      <c r="AP50" s="28">
        <f>AN50*AP$6</f>
        <v>0</v>
      </c>
      <c r="AQ50" s="28">
        <f t="shared" ref="AQ50:AQ55" si="648">AN50/AQ$6</f>
        <v>0</v>
      </c>
      <c r="AR50" s="72">
        <f t="shared" ref="AR50:AR55" si="649">AQ50/AR$6</f>
        <v>0</v>
      </c>
      <c r="AS50" s="72">
        <f t="shared" ref="AS50:AS55" si="650">AN50/AS$6</f>
        <v>0</v>
      </c>
      <c r="AT50" s="70">
        <f t="shared" ref="AT50:AT55" si="651">SUM(AN50:AS50)</f>
        <v>0</v>
      </c>
      <c r="AU50" s="71">
        <v>0</v>
      </c>
      <c r="AV50" s="71">
        <v>0</v>
      </c>
      <c r="AW50" s="72">
        <f t="shared" ref="AW50:AW55" si="652">((AM50*AW$6)+(AM50*$AO$6)+(AM50*$AP$6))*AU50</f>
        <v>0</v>
      </c>
      <c r="AX50" s="72">
        <f t="shared" ref="AX50:AX55" si="653">((AM50*AX$6)+(AM50*$AO$6)+(AM50*$AP$6))*AV50</f>
        <v>0</v>
      </c>
      <c r="AY50" s="70">
        <f t="shared" ref="AY50:AY55" si="654">SUM(AW50:AX50)</f>
        <v>0</v>
      </c>
      <c r="AZ50" s="73">
        <v>0</v>
      </c>
      <c r="BA50" s="74">
        <f t="shared" ref="BA50:BA55" si="655">IF(AK50=1,($C$1*$Q$6),0)</f>
        <v>0</v>
      </c>
      <c r="BB50" s="303">
        <f t="shared" ref="BB50:BB55" si="656">AT50+AY50+AZ50+BA50</f>
        <v>0</v>
      </c>
      <c r="BC50" s="58">
        <v>0</v>
      </c>
      <c r="BD50" s="68" t="s">
        <v>133</v>
      </c>
      <c r="BE50" s="28">
        <f t="shared" ref="BE50:BE55" si="657">BF50/$AM$4</f>
        <v>0</v>
      </c>
      <c r="BF50" s="69">
        <v>0</v>
      </c>
      <c r="BG50" s="28">
        <f t="shared" ref="BG50:BG55" si="658">BF50*BG$6</f>
        <v>0</v>
      </c>
      <c r="BH50" s="28">
        <f>BF50*BH$6</f>
        <v>0</v>
      </c>
      <c r="BI50" s="28">
        <f t="shared" ref="BI50:BI55" si="659">BF50/BI$6</f>
        <v>0</v>
      </c>
      <c r="BJ50" s="72">
        <f t="shared" ref="BJ50:BJ55" si="660">BI50/BJ$6</f>
        <v>0</v>
      </c>
      <c r="BK50" s="72">
        <f t="shared" ref="BK50:BK55" si="661">BF50/BK$6</f>
        <v>0</v>
      </c>
      <c r="BL50" s="70">
        <f t="shared" ref="BL50:BL55" si="662">SUM(BF50:BK50)</f>
        <v>0</v>
      </c>
      <c r="BM50" s="71">
        <v>0</v>
      </c>
      <c r="BN50" s="71">
        <v>0</v>
      </c>
      <c r="BO50" s="72">
        <f t="shared" ref="BO50:BO55" si="663">((BE50*BO$6)+(BE50*$AO$6)+(BE50*$AP$6))*BM50</f>
        <v>0</v>
      </c>
      <c r="BP50" s="72">
        <f t="shared" ref="BP50:BP55" si="664">((BE50*BP$6)+(BE50*$AO$6)+(BE50*$AP$6))*BN50</f>
        <v>0</v>
      </c>
      <c r="BQ50" s="70">
        <f t="shared" ref="BQ50:BQ55" si="665">SUM(BO50:BP50)</f>
        <v>0</v>
      </c>
      <c r="BR50" s="73">
        <v>0</v>
      </c>
      <c r="BS50" s="74">
        <f t="shared" ref="BS50:BS55" si="666">IF(BC50=1,($C$1*$Q$6),0)</f>
        <v>0</v>
      </c>
      <c r="BT50" s="303">
        <f t="shared" ref="BT50:BT55" si="667">BL50+BQ50+BR50+BS50</f>
        <v>0</v>
      </c>
      <c r="BU50" s="58">
        <v>0</v>
      </c>
      <c r="BV50" s="68" t="s">
        <v>133</v>
      </c>
      <c r="BW50" s="28">
        <f t="shared" ref="BW50:BW55" si="668">BX50/$AM$4</f>
        <v>0</v>
      </c>
      <c r="BX50" s="69">
        <v>0</v>
      </c>
      <c r="BY50" s="28">
        <f t="shared" ref="BY50:BY55" si="669">BX50*BY$6</f>
        <v>0</v>
      </c>
      <c r="BZ50" s="28">
        <f>BX50*BZ$6</f>
        <v>0</v>
      </c>
      <c r="CA50" s="28">
        <f t="shared" ref="CA50:CA55" si="670">BX50/CA$6</f>
        <v>0</v>
      </c>
      <c r="CB50" s="72">
        <f t="shared" ref="CB50:CB55" si="671">CA50/CB$6</f>
        <v>0</v>
      </c>
      <c r="CC50" s="72">
        <f t="shared" ref="CC50:CC55" si="672">BX50/CC$6</f>
        <v>0</v>
      </c>
      <c r="CD50" s="70">
        <f t="shared" ref="CD50:CD55" si="673">SUM(BX50:CC50)</f>
        <v>0</v>
      </c>
      <c r="CE50" s="71">
        <v>0</v>
      </c>
      <c r="CF50" s="71">
        <v>0</v>
      </c>
      <c r="CG50" s="72">
        <f t="shared" ref="CG50:CG55" si="674">((BW50*CG$6)+(BW50*$AO$6)+(BW50*$AP$6))*CE50</f>
        <v>0</v>
      </c>
      <c r="CH50" s="72">
        <f t="shared" ref="CH50:CH55" si="675">((BW50*CH$6)+(BW50*$AO$6)+(BW50*$AP$6))*CF50</f>
        <v>0</v>
      </c>
      <c r="CI50" s="70">
        <f t="shared" ref="CI50:CI55" si="676">SUM(CG50:CH50)</f>
        <v>0</v>
      </c>
      <c r="CJ50" s="73">
        <v>0</v>
      </c>
      <c r="CK50" s="74">
        <f t="shared" ref="CK50:CK55" si="677">IF(BU50=1,($C$1*$Q$6),0)</f>
        <v>0</v>
      </c>
      <c r="CL50" s="303">
        <f t="shared" ref="CL50:CL55" si="678">CD50+CI50+CJ50+CK50</f>
        <v>0</v>
      </c>
      <c r="CM50" s="58">
        <v>0</v>
      </c>
      <c r="CN50" s="68" t="s">
        <v>133</v>
      </c>
      <c r="CO50" s="28">
        <f t="shared" ref="CO50:CO55" si="679">CP50/$AM$4</f>
        <v>0</v>
      </c>
      <c r="CP50" s="69">
        <v>0</v>
      </c>
      <c r="CQ50" s="28">
        <f t="shared" ref="CQ50:CQ55" si="680">CP50*CQ$6</f>
        <v>0</v>
      </c>
      <c r="CR50" s="28">
        <f>CP50*CR$6</f>
        <v>0</v>
      </c>
      <c r="CS50" s="28">
        <f t="shared" ref="CS50:CS55" si="681">CP50/CS$6</f>
        <v>0</v>
      </c>
      <c r="CT50" s="72">
        <f t="shared" ref="CT50:CT55" si="682">CS50/CT$6</f>
        <v>0</v>
      </c>
      <c r="CU50" s="72">
        <f t="shared" ref="CU50:CU55" si="683">CP50/CU$6</f>
        <v>0</v>
      </c>
      <c r="CV50" s="70">
        <f t="shared" ref="CV50:CV55" si="684">SUM(CP50:CU50)</f>
        <v>0</v>
      </c>
      <c r="CW50" s="71">
        <v>0</v>
      </c>
      <c r="CX50" s="71">
        <v>0</v>
      </c>
      <c r="CY50" s="72">
        <f t="shared" ref="CY50:CY55" si="685">((CO50*CY$6)+(CO50*$AO$6)+(CO50*$AP$6))*CW50</f>
        <v>0</v>
      </c>
      <c r="CZ50" s="72">
        <f t="shared" ref="CZ50:CZ55" si="686">((CO50*CZ$6)+(CO50*$AO$6)+(CO50*$AP$6))*CX50</f>
        <v>0</v>
      </c>
      <c r="DA50" s="70">
        <f t="shared" ref="DA50:DA55" si="687">SUM(CY50:CZ50)</f>
        <v>0</v>
      </c>
      <c r="DB50" s="73">
        <v>0</v>
      </c>
      <c r="DC50" s="74">
        <f t="shared" ref="DC50:DC55" si="688">IF(CM50=1,($C$1*$Q$6),0)</f>
        <v>0</v>
      </c>
      <c r="DD50" s="303">
        <f t="shared" ref="DD50:DD55" si="689">CV50+DA50+DB50+DC50</f>
        <v>0</v>
      </c>
      <c r="DE50" s="58">
        <v>0</v>
      </c>
      <c r="DF50" s="68" t="s">
        <v>133</v>
      </c>
      <c r="DG50" s="28">
        <f t="shared" ref="DG50:DG55" si="690">DH50/$AM$4</f>
        <v>0</v>
      </c>
      <c r="DH50" s="69">
        <v>0</v>
      </c>
      <c r="DI50" s="28">
        <f t="shared" ref="DI50:DI55" si="691">DH50*DI$6</f>
        <v>0</v>
      </c>
      <c r="DJ50" s="28">
        <f>DH50*DJ$6</f>
        <v>0</v>
      </c>
      <c r="DK50" s="28">
        <f t="shared" ref="DK50:DK55" si="692">DH50/DK$6</f>
        <v>0</v>
      </c>
      <c r="DL50" s="72">
        <f t="shared" ref="DL50:DL55" si="693">DK50/DL$6</f>
        <v>0</v>
      </c>
      <c r="DM50" s="72">
        <f t="shared" ref="DM50:DM55" si="694">DH50/DM$6</f>
        <v>0</v>
      </c>
      <c r="DN50" s="70">
        <f t="shared" ref="DN50:DN55" si="695">SUM(DH50:DM50)</f>
        <v>0</v>
      </c>
      <c r="DO50" s="71">
        <v>0</v>
      </c>
      <c r="DP50" s="71">
        <v>0</v>
      </c>
      <c r="DQ50" s="72">
        <f t="shared" ref="DQ50:DQ55" si="696">((DG50*DQ$6)+(DG50*$AO$6)+(DG50*$AP$6))*DO50</f>
        <v>0</v>
      </c>
      <c r="DR50" s="72">
        <f t="shared" ref="DR50:DR55" si="697">((DG50*DR$6)+(DG50*$AO$6)+(DG50*$AP$6))*DP50</f>
        <v>0</v>
      </c>
      <c r="DS50" s="70">
        <f t="shared" ref="DS50:DS55" si="698">SUM(DQ50:DR50)</f>
        <v>0</v>
      </c>
      <c r="DT50" s="73">
        <v>0</v>
      </c>
      <c r="DU50" s="74">
        <f t="shared" ref="DU50:DU55" si="699">IF(DE50=1,($C$1*$Q$6),0)</f>
        <v>0</v>
      </c>
      <c r="DV50" s="303">
        <f t="shared" ref="DV50:DV55" si="700">DN50+DS50+DT50+DU50</f>
        <v>0</v>
      </c>
      <c r="DW50" s="58">
        <v>0</v>
      </c>
      <c r="DX50" s="68" t="s">
        <v>133</v>
      </c>
      <c r="DY50" s="28">
        <f t="shared" ref="DY50:DY55" si="701">DZ50/$AM$4</f>
        <v>0</v>
      </c>
      <c r="DZ50" s="69">
        <v>0</v>
      </c>
      <c r="EA50" s="28">
        <f t="shared" ref="EA50:EA55" si="702">DZ50*EA$6</f>
        <v>0</v>
      </c>
      <c r="EB50" s="28">
        <f>DZ50*EB$6</f>
        <v>0</v>
      </c>
      <c r="EC50" s="28">
        <f t="shared" ref="EC50:EC55" si="703">DZ50/EC$6</f>
        <v>0</v>
      </c>
      <c r="ED50" s="72">
        <f t="shared" ref="ED50:ED55" si="704">EC50/ED$6</f>
        <v>0</v>
      </c>
      <c r="EE50" s="72">
        <f t="shared" ref="EE50:EE55" si="705">DZ50/EE$6</f>
        <v>0</v>
      </c>
      <c r="EF50" s="70">
        <f t="shared" ref="EF50:EF55" si="706">SUM(DZ50:EE50)</f>
        <v>0</v>
      </c>
      <c r="EG50" s="71">
        <v>0</v>
      </c>
      <c r="EH50" s="71">
        <v>0</v>
      </c>
      <c r="EI50" s="72">
        <f t="shared" ref="EI50:EI55" si="707">((DY50*EI$6)+(DY50*$AO$6)+(DY50*$AP$6))*EG50</f>
        <v>0</v>
      </c>
      <c r="EJ50" s="72">
        <f t="shared" ref="EJ50:EJ55" si="708">((DY50*EJ$6)+(DY50*$AO$6)+(DY50*$AP$6))*EH50</f>
        <v>0</v>
      </c>
      <c r="EK50" s="70">
        <f t="shared" ref="EK50:EK55" si="709">SUM(EI50:EJ50)</f>
        <v>0</v>
      </c>
      <c r="EL50" s="73">
        <v>0</v>
      </c>
      <c r="EM50" s="74">
        <f t="shared" ref="EM50:EM55" si="710">IF(DW50=1,($C$1*$Q$6),0)</f>
        <v>0</v>
      </c>
      <c r="EN50" s="303">
        <f t="shared" ref="EN50:EN55" si="711">EF50+EK50+EL50+EM50</f>
        <v>0</v>
      </c>
      <c r="EO50" s="58">
        <v>0</v>
      </c>
      <c r="EP50" s="68" t="s">
        <v>133</v>
      </c>
      <c r="EQ50" s="28">
        <f t="shared" ref="EQ50:EQ55" si="712">ER50/$AM$4</f>
        <v>0</v>
      </c>
      <c r="ER50" s="69">
        <v>0</v>
      </c>
      <c r="ES50" s="28">
        <f t="shared" ref="ES50:ES55" si="713">ER50*ES$6</f>
        <v>0</v>
      </c>
      <c r="ET50" s="28">
        <f>ER50*ET$6</f>
        <v>0</v>
      </c>
      <c r="EU50" s="28">
        <f t="shared" ref="EU50:EU55" si="714">ER50/EU$6</f>
        <v>0</v>
      </c>
      <c r="EV50" s="72">
        <f t="shared" ref="EV50:EV55" si="715">EU50/EV$6</f>
        <v>0</v>
      </c>
      <c r="EW50" s="72">
        <f t="shared" ref="EW50:EW55" si="716">ER50/EW$6</f>
        <v>0</v>
      </c>
      <c r="EX50" s="70">
        <f t="shared" ref="EX50:EX55" si="717">SUM(ER50:EW50)</f>
        <v>0</v>
      </c>
      <c r="EY50" s="71">
        <v>0</v>
      </c>
      <c r="EZ50" s="71">
        <v>0</v>
      </c>
      <c r="FA50" s="72">
        <f t="shared" ref="FA50:FA55" si="718">((EQ50*FA$6)+(EQ50*$AO$6)+(EQ50*$AP$6))*EY50</f>
        <v>0</v>
      </c>
      <c r="FB50" s="72">
        <f t="shared" ref="FB50:FB55" si="719">((EQ50*FB$6)+(EQ50*$AO$6)+(EQ50*$AP$6))*EZ50</f>
        <v>0</v>
      </c>
      <c r="FC50" s="70">
        <f t="shared" ref="FC50:FC55" si="720">SUM(FA50:FB50)</f>
        <v>0</v>
      </c>
      <c r="FD50" s="73">
        <v>0</v>
      </c>
      <c r="FE50" s="74">
        <f t="shared" ref="FE50:FE55" si="721">IF(EO50=1,($C$1*$Q$6),0)</f>
        <v>0</v>
      </c>
      <c r="FF50" s="303">
        <f t="shared" ref="FF50:FF55" si="722">EX50+FC50+FD50+FE50</f>
        <v>0</v>
      </c>
      <c r="FG50" s="58">
        <v>0</v>
      </c>
      <c r="FH50" s="68" t="s">
        <v>133</v>
      </c>
      <c r="FI50" s="28">
        <f t="shared" ref="FI50:FI55" si="723">FJ50/$AM$4</f>
        <v>0</v>
      </c>
      <c r="FJ50" s="69">
        <v>0</v>
      </c>
      <c r="FK50" s="28">
        <f t="shared" ref="FK50:FK55" si="724">FJ50*FK$6</f>
        <v>0</v>
      </c>
      <c r="FL50" s="28">
        <f>FJ50*FL$6</f>
        <v>0</v>
      </c>
      <c r="FM50" s="28">
        <f t="shared" ref="FM50:FM55" si="725">FJ50/FM$6</f>
        <v>0</v>
      </c>
      <c r="FN50" s="72">
        <f t="shared" ref="FN50:FN55" si="726">FM50/FN$6</f>
        <v>0</v>
      </c>
      <c r="FO50" s="72">
        <f t="shared" ref="FO50:FO55" si="727">FJ50/FO$6</f>
        <v>0</v>
      </c>
      <c r="FP50" s="70">
        <f t="shared" ref="FP50:FP55" si="728">SUM(FJ50:FO50)</f>
        <v>0</v>
      </c>
      <c r="FQ50" s="71">
        <v>0</v>
      </c>
      <c r="FR50" s="71">
        <v>0</v>
      </c>
      <c r="FS50" s="72">
        <f t="shared" ref="FS50:FS55" si="729">((FI50*FS$6)+(FI50*$AO$6)+(FI50*$AP$6))*FQ50</f>
        <v>0</v>
      </c>
      <c r="FT50" s="72">
        <f t="shared" ref="FT50:FT55" si="730">((FI50*FT$6)+(FI50*$AO$6)+(FI50*$AP$6))*FR50</f>
        <v>0</v>
      </c>
      <c r="FU50" s="70">
        <f t="shared" ref="FU50:FU55" si="731">SUM(FS50:FT50)</f>
        <v>0</v>
      </c>
      <c r="FV50" s="73">
        <v>0</v>
      </c>
      <c r="FW50" s="74">
        <f t="shared" ref="FW50:FW55" si="732">IF(FG50=1,($C$1*$Q$6),0)</f>
        <v>0</v>
      </c>
      <c r="FX50" s="303">
        <f t="shared" ref="FX50:FX55" si="733">FP50+FU50+FV50+FW50</f>
        <v>0</v>
      </c>
      <c r="FY50" s="58">
        <v>0</v>
      </c>
      <c r="FZ50" s="68" t="s">
        <v>133</v>
      </c>
      <c r="GA50" s="28">
        <f t="shared" ref="GA50:GA55" si="734">GB50/$AM$4</f>
        <v>0</v>
      </c>
      <c r="GB50" s="69">
        <v>0</v>
      </c>
      <c r="GC50" s="28">
        <f t="shared" ref="GC50:GC55" si="735">GB50*GC$6</f>
        <v>0</v>
      </c>
      <c r="GD50" s="28">
        <f>GB50*GD$6</f>
        <v>0</v>
      </c>
      <c r="GE50" s="28">
        <f t="shared" ref="GE50:GE55" si="736">GB50/GE$6</f>
        <v>0</v>
      </c>
      <c r="GF50" s="72">
        <f t="shared" ref="GF50:GF55" si="737">GE50/GF$6</f>
        <v>0</v>
      </c>
      <c r="GG50" s="72">
        <f t="shared" ref="GG50:GG55" si="738">GB50/GG$6</f>
        <v>0</v>
      </c>
      <c r="GH50" s="70">
        <f t="shared" ref="GH50:GH55" si="739">SUM(GB50:GG50)</f>
        <v>0</v>
      </c>
      <c r="GI50" s="71">
        <v>0</v>
      </c>
      <c r="GJ50" s="71">
        <v>0</v>
      </c>
      <c r="GK50" s="72">
        <f t="shared" ref="GK50:GK55" si="740">((GA50*GK$6)+(GA50*$AO$6)+(GA50*$AP$6))*GI50</f>
        <v>0</v>
      </c>
      <c r="GL50" s="72">
        <f t="shared" ref="GL50:GL55" si="741">((GA50*GL$6)+(GA50*$AO$6)+(GA50*$AP$6))*GJ50</f>
        <v>0</v>
      </c>
      <c r="GM50" s="70">
        <f t="shared" ref="GM50:GM55" si="742">SUM(GK50:GL50)</f>
        <v>0</v>
      </c>
      <c r="GN50" s="73">
        <v>0</v>
      </c>
      <c r="GO50" s="74">
        <f t="shared" ref="GO50:GO55" si="743">IF(FY50=1,($C$1*$Q$6),0)</f>
        <v>0</v>
      </c>
      <c r="GP50" s="303">
        <f t="shared" ref="GP50:GP55" si="744">GH50+GM50+GN50+GO50</f>
        <v>0</v>
      </c>
      <c r="GQ50" s="58">
        <v>0</v>
      </c>
      <c r="GR50" s="68" t="s">
        <v>133</v>
      </c>
      <c r="GS50" s="28">
        <f t="shared" ref="GS50:GS55" si="745">GT50/$AM$4</f>
        <v>0</v>
      </c>
      <c r="GT50" s="69">
        <v>0</v>
      </c>
      <c r="GU50" s="28">
        <f t="shared" ref="GU50:GU55" si="746">GT50*GU$6</f>
        <v>0</v>
      </c>
      <c r="GV50" s="28">
        <f>GT50*GV$6</f>
        <v>0</v>
      </c>
      <c r="GW50" s="28">
        <f t="shared" ref="GW50:GW55" si="747">GT50/GW$6</f>
        <v>0</v>
      </c>
      <c r="GX50" s="72">
        <f t="shared" ref="GX50:GX55" si="748">GW50/GX$6</f>
        <v>0</v>
      </c>
      <c r="GY50" s="72">
        <f t="shared" ref="GY50:GY55" si="749">GT50/GY$6</f>
        <v>0</v>
      </c>
      <c r="GZ50" s="70">
        <f t="shared" ref="GZ50:GZ55" si="750">SUM(GT50:GY50)</f>
        <v>0</v>
      </c>
      <c r="HA50" s="71">
        <v>0</v>
      </c>
      <c r="HB50" s="71">
        <v>0</v>
      </c>
      <c r="HC50" s="72">
        <f t="shared" ref="HC50:HC55" si="751">((GS50*HC$6)+(GS50*$AO$6)+(GS50*$AP$6))*HA50</f>
        <v>0</v>
      </c>
      <c r="HD50" s="72">
        <f t="shared" ref="HD50:HD55" si="752">((GS50*HD$6)+(GS50*$AO$6)+(GS50*$AP$6))*HB50</f>
        <v>0</v>
      </c>
      <c r="HE50" s="70">
        <f t="shared" ref="HE50:HE55" si="753">SUM(HC50:HD50)</f>
        <v>0</v>
      </c>
      <c r="HF50" s="73">
        <v>0</v>
      </c>
      <c r="HG50" s="74">
        <f t="shared" ref="HG50:HG55" si="754">IF(GQ50=1,($C$1*$Q$6),0)</f>
        <v>0</v>
      </c>
      <c r="HH50" s="303">
        <f t="shared" ref="HH50:HH55" si="755">GZ50+HE50+HF50+HG50</f>
        <v>0</v>
      </c>
      <c r="HJ50" s="37"/>
      <c r="HK50" s="37"/>
      <c r="HL50" s="37"/>
      <c r="HM50" s="37"/>
      <c r="HN50" s="37"/>
      <c r="HO50" s="37"/>
      <c r="HP50" s="37"/>
      <c r="HQ50" s="37"/>
      <c r="HR50" s="37"/>
      <c r="HS50" s="37"/>
      <c r="HT50" s="37"/>
      <c r="HU50" s="37"/>
      <c r="HV50" s="37"/>
      <c r="HW50" s="37"/>
      <c r="HX50" s="37"/>
      <c r="HY50" s="37"/>
      <c r="HZ50" s="37"/>
      <c r="IA50" s="37"/>
      <c r="IB50" s="37"/>
      <c r="IC50" s="37"/>
      <c r="ID50" s="37"/>
      <c r="IE50" s="37"/>
      <c r="IF50" s="37"/>
      <c r="IG50" s="37"/>
      <c r="IH50" s="37"/>
      <c r="II50" s="37"/>
      <c r="IJ50" s="37"/>
      <c r="IK50" s="37"/>
      <c r="IL50" s="37"/>
      <c r="IM50" s="37"/>
      <c r="IN50" s="37"/>
      <c r="IO50" s="37"/>
      <c r="IP50" s="37"/>
    </row>
    <row r="51" spans="1:250" x14ac:dyDescent="0.3">
      <c r="A51" s="58">
        <v>0</v>
      </c>
      <c r="B51" s="68"/>
      <c r="C51" s="28">
        <f t="shared" si="624"/>
        <v>0</v>
      </c>
      <c r="D51" s="28">
        <v>0</v>
      </c>
      <c r="E51" s="28">
        <f t="shared" si="625"/>
        <v>0</v>
      </c>
      <c r="F51" s="28">
        <f>D51*F6</f>
        <v>0</v>
      </c>
      <c r="G51" s="28">
        <f t="shared" si="626"/>
        <v>0</v>
      </c>
      <c r="H51" s="72">
        <f t="shared" si="627"/>
        <v>0</v>
      </c>
      <c r="I51" s="72">
        <f t="shared" si="628"/>
        <v>0</v>
      </c>
      <c r="J51" s="70">
        <f t="shared" si="629"/>
        <v>0</v>
      </c>
      <c r="K51" s="71">
        <v>0</v>
      </c>
      <c r="L51" s="71">
        <v>0</v>
      </c>
      <c r="M51" s="72">
        <f t="shared" si="630"/>
        <v>0</v>
      </c>
      <c r="N51" s="72">
        <f t="shared" si="631"/>
        <v>0</v>
      </c>
      <c r="O51" s="70">
        <f t="shared" si="632"/>
        <v>0</v>
      </c>
      <c r="P51" s="73">
        <v>0</v>
      </c>
      <c r="Q51" s="74">
        <f t="shared" si="633"/>
        <v>0</v>
      </c>
      <c r="R51" s="303">
        <f t="shared" si="634"/>
        <v>0</v>
      </c>
      <c r="S51" s="58">
        <v>0</v>
      </c>
      <c r="T51" s="68"/>
      <c r="U51" s="28">
        <f t="shared" si="635"/>
        <v>0</v>
      </c>
      <c r="V51" s="28">
        <v>0</v>
      </c>
      <c r="W51" s="28">
        <f t="shared" si="636"/>
        <v>0</v>
      </c>
      <c r="X51" s="28">
        <f>V51*X6</f>
        <v>0</v>
      </c>
      <c r="Y51" s="28">
        <f t="shared" si="637"/>
        <v>0</v>
      </c>
      <c r="Z51" s="72">
        <f t="shared" si="638"/>
        <v>0</v>
      </c>
      <c r="AA51" s="72">
        <f t="shared" si="639"/>
        <v>0</v>
      </c>
      <c r="AB51" s="70">
        <f t="shared" si="640"/>
        <v>0</v>
      </c>
      <c r="AC51" s="71">
        <v>0</v>
      </c>
      <c r="AD51" s="71">
        <v>0</v>
      </c>
      <c r="AE51" s="72">
        <f t="shared" si="641"/>
        <v>0</v>
      </c>
      <c r="AF51" s="72">
        <f t="shared" si="642"/>
        <v>0</v>
      </c>
      <c r="AG51" s="70">
        <f t="shared" si="643"/>
        <v>0</v>
      </c>
      <c r="AH51" s="73">
        <v>0</v>
      </c>
      <c r="AI51" s="74">
        <f t="shared" si="644"/>
        <v>0</v>
      </c>
      <c r="AJ51" s="303">
        <f t="shared" si="645"/>
        <v>0</v>
      </c>
      <c r="AK51" s="58">
        <v>0</v>
      </c>
      <c r="AL51" s="68"/>
      <c r="AM51" s="28">
        <f t="shared" si="646"/>
        <v>0</v>
      </c>
      <c r="AN51" s="28">
        <v>0</v>
      </c>
      <c r="AO51" s="28">
        <f t="shared" si="647"/>
        <v>0</v>
      </c>
      <c r="AP51" s="28">
        <f>AN51*AP6</f>
        <v>0</v>
      </c>
      <c r="AQ51" s="28">
        <f t="shared" si="648"/>
        <v>0</v>
      </c>
      <c r="AR51" s="72">
        <f t="shared" si="649"/>
        <v>0</v>
      </c>
      <c r="AS51" s="72">
        <f t="shared" si="650"/>
        <v>0</v>
      </c>
      <c r="AT51" s="70">
        <f t="shared" si="651"/>
        <v>0</v>
      </c>
      <c r="AU51" s="71">
        <v>0</v>
      </c>
      <c r="AV51" s="71">
        <v>0</v>
      </c>
      <c r="AW51" s="72">
        <f t="shared" si="652"/>
        <v>0</v>
      </c>
      <c r="AX51" s="72">
        <f t="shared" si="653"/>
        <v>0</v>
      </c>
      <c r="AY51" s="70">
        <f t="shared" si="654"/>
        <v>0</v>
      </c>
      <c r="AZ51" s="73">
        <v>0</v>
      </c>
      <c r="BA51" s="74">
        <f t="shared" si="655"/>
        <v>0</v>
      </c>
      <c r="BB51" s="303">
        <f t="shared" si="656"/>
        <v>0</v>
      </c>
      <c r="BC51" s="58">
        <v>0</v>
      </c>
      <c r="BD51" s="68"/>
      <c r="BE51" s="28">
        <f t="shared" si="657"/>
        <v>0</v>
      </c>
      <c r="BF51" s="28">
        <v>0</v>
      </c>
      <c r="BG51" s="28">
        <f t="shared" si="658"/>
        <v>0</v>
      </c>
      <c r="BH51" s="28">
        <f>BF51*BH6</f>
        <v>0</v>
      </c>
      <c r="BI51" s="28">
        <f t="shared" si="659"/>
        <v>0</v>
      </c>
      <c r="BJ51" s="72">
        <f t="shared" si="660"/>
        <v>0</v>
      </c>
      <c r="BK51" s="72">
        <f t="shared" si="661"/>
        <v>0</v>
      </c>
      <c r="BL51" s="70">
        <f t="shared" si="662"/>
        <v>0</v>
      </c>
      <c r="BM51" s="71">
        <v>0</v>
      </c>
      <c r="BN51" s="71">
        <v>0</v>
      </c>
      <c r="BO51" s="72">
        <f t="shared" si="663"/>
        <v>0</v>
      </c>
      <c r="BP51" s="72">
        <f t="shared" si="664"/>
        <v>0</v>
      </c>
      <c r="BQ51" s="70">
        <f t="shared" si="665"/>
        <v>0</v>
      </c>
      <c r="BR51" s="73">
        <v>0</v>
      </c>
      <c r="BS51" s="74">
        <f t="shared" si="666"/>
        <v>0</v>
      </c>
      <c r="BT51" s="303">
        <f t="shared" si="667"/>
        <v>0</v>
      </c>
      <c r="BU51" s="58">
        <v>0</v>
      </c>
      <c r="BV51" s="68"/>
      <c r="BW51" s="28">
        <f t="shared" si="668"/>
        <v>0</v>
      </c>
      <c r="BX51" s="28">
        <v>0</v>
      </c>
      <c r="BY51" s="28">
        <f t="shared" si="669"/>
        <v>0</v>
      </c>
      <c r="BZ51" s="28">
        <f>BX51*BZ6</f>
        <v>0</v>
      </c>
      <c r="CA51" s="28">
        <f t="shared" si="670"/>
        <v>0</v>
      </c>
      <c r="CB51" s="72">
        <f t="shared" si="671"/>
        <v>0</v>
      </c>
      <c r="CC51" s="72">
        <f t="shared" si="672"/>
        <v>0</v>
      </c>
      <c r="CD51" s="70">
        <f t="shared" si="673"/>
        <v>0</v>
      </c>
      <c r="CE51" s="71">
        <v>0</v>
      </c>
      <c r="CF51" s="71">
        <v>0</v>
      </c>
      <c r="CG51" s="72">
        <f t="shared" si="674"/>
        <v>0</v>
      </c>
      <c r="CH51" s="72">
        <f t="shared" si="675"/>
        <v>0</v>
      </c>
      <c r="CI51" s="70">
        <f t="shared" si="676"/>
        <v>0</v>
      </c>
      <c r="CJ51" s="73">
        <v>0</v>
      </c>
      <c r="CK51" s="74">
        <f t="shared" si="677"/>
        <v>0</v>
      </c>
      <c r="CL51" s="303">
        <f t="shared" si="678"/>
        <v>0</v>
      </c>
      <c r="CM51" s="58">
        <v>0</v>
      </c>
      <c r="CN51" s="68"/>
      <c r="CO51" s="28">
        <f t="shared" si="679"/>
        <v>0</v>
      </c>
      <c r="CP51" s="28">
        <v>0</v>
      </c>
      <c r="CQ51" s="28">
        <f t="shared" si="680"/>
        <v>0</v>
      </c>
      <c r="CR51" s="28">
        <f>CP51*CR6</f>
        <v>0</v>
      </c>
      <c r="CS51" s="28">
        <f t="shared" si="681"/>
        <v>0</v>
      </c>
      <c r="CT51" s="72">
        <f t="shared" si="682"/>
        <v>0</v>
      </c>
      <c r="CU51" s="72">
        <f t="shared" si="683"/>
        <v>0</v>
      </c>
      <c r="CV51" s="70">
        <f t="shared" si="684"/>
        <v>0</v>
      </c>
      <c r="CW51" s="71">
        <v>0</v>
      </c>
      <c r="CX51" s="71">
        <v>0</v>
      </c>
      <c r="CY51" s="72">
        <f t="shared" si="685"/>
        <v>0</v>
      </c>
      <c r="CZ51" s="72">
        <f t="shared" si="686"/>
        <v>0</v>
      </c>
      <c r="DA51" s="70">
        <f t="shared" si="687"/>
        <v>0</v>
      </c>
      <c r="DB51" s="73">
        <v>0</v>
      </c>
      <c r="DC51" s="74">
        <f t="shared" si="688"/>
        <v>0</v>
      </c>
      <c r="DD51" s="303">
        <f t="shared" si="689"/>
        <v>0</v>
      </c>
      <c r="DE51" s="58">
        <v>0</v>
      </c>
      <c r="DF51" s="68"/>
      <c r="DG51" s="28">
        <f t="shared" si="690"/>
        <v>0</v>
      </c>
      <c r="DH51" s="28">
        <v>0</v>
      </c>
      <c r="DI51" s="28">
        <f t="shared" si="691"/>
        <v>0</v>
      </c>
      <c r="DJ51" s="28">
        <f>DH51*DJ6</f>
        <v>0</v>
      </c>
      <c r="DK51" s="28">
        <f t="shared" si="692"/>
        <v>0</v>
      </c>
      <c r="DL51" s="72">
        <f t="shared" si="693"/>
        <v>0</v>
      </c>
      <c r="DM51" s="72">
        <f t="shared" si="694"/>
        <v>0</v>
      </c>
      <c r="DN51" s="70">
        <f t="shared" si="695"/>
        <v>0</v>
      </c>
      <c r="DO51" s="71">
        <v>0</v>
      </c>
      <c r="DP51" s="71">
        <v>0</v>
      </c>
      <c r="DQ51" s="72">
        <f t="shared" si="696"/>
        <v>0</v>
      </c>
      <c r="DR51" s="72">
        <f t="shared" si="697"/>
        <v>0</v>
      </c>
      <c r="DS51" s="70">
        <f t="shared" si="698"/>
        <v>0</v>
      </c>
      <c r="DT51" s="73">
        <v>0</v>
      </c>
      <c r="DU51" s="74">
        <f t="shared" si="699"/>
        <v>0</v>
      </c>
      <c r="DV51" s="303">
        <f t="shared" si="700"/>
        <v>0</v>
      </c>
      <c r="DW51" s="58">
        <v>0</v>
      </c>
      <c r="DX51" s="68"/>
      <c r="DY51" s="28">
        <f t="shared" si="701"/>
        <v>0</v>
      </c>
      <c r="DZ51" s="28">
        <v>0</v>
      </c>
      <c r="EA51" s="28">
        <f t="shared" si="702"/>
        <v>0</v>
      </c>
      <c r="EB51" s="28">
        <f>DZ51*EB6</f>
        <v>0</v>
      </c>
      <c r="EC51" s="28">
        <f t="shared" si="703"/>
        <v>0</v>
      </c>
      <c r="ED51" s="72">
        <f t="shared" si="704"/>
        <v>0</v>
      </c>
      <c r="EE51" s="72">
        <f t="shared" si="705"/>
        <v>0</v>
      </c>
      <c r="EF51" s="70">
        <f t="shared" si="706"/>
        <v>0</v>
      </c>
      <c r="EG51" s="71">
        <v>0</v>
      </c>
      <c r="EH51" s="71">
        <v>0</v>
      </c>
      <c r="EI51" s="72">
        <f t="shared" si="707"/>
        <v>0</v>
      </c>
      <c r="EJ51" s="72">
        <f t="shared" si="708"/>
        <v>0</v>
      </c>
      <c r="EK51" s="70">
        <f t="shared" si="709"/>
        <v>0</v>
      </c>
      <c r="EL51" s="73">
        <v>0</v>
      </c>
      <c r="EM51" s="74">
        <f t="shared" si="710"/>
        <v>0</v>
      </c>
      <c r="EN51" s="303">
        <f t="shared" si="711"/>
        <v>0</v>
      </c>
      <c r="EO51" s="58">
        <v>0</v>
      </c>
      <c r="EP51" s="68"/>
      <c r="EQ51" s="28">
        <f t="shared" si="712"/>
        <v>0</v>
      </c>
      <c r="ER51" s="28">
        <v>0</v>
      </c>
      <c r="ES51" s="28">
        <f t="shared" si="713"/>
        <v>0</v>
      </c>
      <c r="ET51" s="28">
        <f>ER51*ET6</f>
        <v>0</v>
      </c>
      <c r="EU51" s="28">
        <f t="shared" si="714"/>
        <v>0</v>
      </c>
      <c r="EV51" s="72">
        <f t="shared" si="715"/>
        <v>0</v>
      </c>
      <c r="EW51" s="72">
        <f t="shared" si="716"/>
        <v>0</v>
      </c>
      <c r="EX51" s="70">
        <f t="shared" si="717"/>
        <v>0</v>
      </c>
      <c r="EY51" s="71">
        <v>0</v>
      </c>
      <c r="EZ51" s="71">
        <v>0</v>
      </c>
      <c r="FA51" s="72">
        <f t="shared" si="718"/>
        <v>0</v>
      </c>
      <c r="FB51" s="72">
        <f t="shared" si="719"/>
        <v>0</v>
      </c>
      <c r="FC51" s="70">
        <f t="shared" si="720"/>
        <v>0</v>
      </c>
      <c r="FD51" s="73">
        <v>0</v>
      </c>
      <c r="FE51" s="74">
        <f t="shared" si="721"/>
        <v>0</v>
      </c>
      <c r="FF51" s="303">
        <f t="shared" si="722"/>
        <v>0</v>
      </c>
      <c r="FG51" s="58">
        <v>0</v>
      </c>
      <c r="FH51" s="68"/>
      <c r="FI51" s="28">
        <f t="shared" si="723"/>
        <v>0</v>
      </c>
      <c r="FJ51" s="28">
        <v>0</v>
      </c>
      <c r="FK51" s="28">
        <f t="shared" si="724"/>
        <v>0</v>
      </c>
      <c r="FL51" s="28">
        <f>FJ51*FL6</f>
        <v>0</v>
      </c>
      <c r="FM51" s="28">
        <f t="shared" si="725"/>
        <v>0</v>
      </c>
      <c r="FN51" s="72">
        <f t="shared" si="726"/>
        <v>0</v>
      </c>
      <c r="FO51" s="72">
        <f t="shared" si="727"/>
        <v>0</v>
      </c>
      <c r="FP51" s="70">
        <f t="shared" si="728"/>
        <v>0</v>
      </c>
      <c r="FQ51" s="71">
        <v>0</v>
      </c>
      <c r="FR51" s="71">
        <v>0</v>
      </c>
      <c r="FS51" s="72">
        <f t="shared" si="729"/>
        <v>0</v>
      </c>
      <c r="FT51" s="72">
        <f t="shared" si="730"/>
        <v>0</v>
      </c>
      <c r="FU51" s="70">
        <f t="shared" si="731"/>
        <v>0</v>
      </c>
      <c r="FV51" s="73">
        <v>0</v>
      </c>
      <c r="FW51" s="74">
        <f t="shared" si="732"/>
        <v>0</v>
      </c>
      <c r="FX51" s="303">
        <f t="shared" si="733"/>
        <v>0</v>
      </c>
      <c r="FY51" s="58">
        <v>0</v>
      </c>
      <c r="FZ51" s="68"/>
      <c r="GA51" s="28">
        <f t="shared" si="734"/>
        <v>0</v>
      </c>
      <c r="GB51" s="28">
        <v>0</v>
      </c>
      <c r="GC51" s="28">
        <f t="shared" si="735"/>
        <v>0</v>
      </c>
      <c r="GD51" s="28">
        <f>GB51*GD6</f>
        <v>0</v>
      </c>
      <c r="GE51" s="28">
        <f t="shared" si="736"/>
        <v>0</v>
      </c>
      <c r="GF51" s="72">
        <f t="shared" si="737"/>
        <v>0</v>
      </c>
      <c r="GG51" s="72">
        <f t="shared" si="738"/>
        <v>0</v>
      </c>
      <c r="GH51" s="70">
        <f t="shared" si="739"/>
        <v>0</v>
      </c>
      <c r="GI51" s="71">
        <v>0</v>
      </c>
      <c r="GJ51" s="71">
        <v>0</v>
      </c>
      <c r="GK51" s="72">
        <f t="shared" si="740"/>
        <v>0</v>
      </c>
      <c r="GL51" s="72">
        <f t="shared" si="741"/>
        <v>0</v>
      </c>
      <c r="GM51" s="70">
        <f t="shared" si="742"/>
        <v>0</v>
      </c>
      <c r="GN51" s="73">
        <v>0</v>
      </c>
      <c r="GO51" s="74">
        <f t="shared" si="743"/>
        <v>0</v>
      </c>
      <c r="GP51" s="303">
        <f t="shared" si="744"/>
        <v>0</v>
      </c>
      <c r="GQ51" s="58">
        <v>0</v>
      </c>
      <c r="GR51" s="68"/>
      <c r="GS51" s="28">
        <f t="shared" si="745"/>
        <v>0</v>
      </c>
      <c r="GT51" s="28">
        <v>0</v>
      </c>
      <c r="GU51" s="28">
        <f t="shared" si="746"/>
        <v>0</v>
      </c>
      <c r="GV51" s="28">
        <f>GT51*GV6</f>
        <v>0</v>
      </c>
      <c r="GW51" s="28">
        <f t="shared" si="747"/>
        <v>0</v>
      </c>
      <c r="GX51" s="72">
        <f t="shared" si="748"/>
        <v>0</v>
      </c>
      <c r="GY51" s="72">
        <f t="shared" si="749"/>
        <v>0</v>
      </c>
      <c r="GZ51" s="70">
        <f t="shared" si="750"/>
        <v>0</v>
      </c>
      <c r="HA51" s="71">
        <v>0</v>
      </c>
      <c r="HB51" s="71">
        <v>0</v>
      </c>
      <c r="HC51" s="72">
        <f t="shared" si="751"/>
        <v>0</v>
      </c>
      <c r="HD51" s="72">
        <f t="shared" si="752"/>
        <v>0</v>
      </c>
      <c r="HE51" s="70">
        <f t="shared" si="753"/>
        <v>0</v>
      </c>
      <c r="HF51" s="73">
        <v>0</v>
      </c>
      <c r="HG51" s="74">
        <f t="shared" si="754"/>
        <v>0</v>
      </c>
      <c r="HH51" s="303">
        <f t="shared" si="755"/>
        <v>0</v>
      </c>
      <c r="HJ51" s="37"/>
      <c r="HK51" s="37"/>
      <c r="HL51" s="37"/>
      <c r="HM51" s="37"/>
      <c r="HN51" s="37"/>
      <c r="HO51" s="37"/>
      <c r="HP51" s="37"/>
      <c r="HQ51" s="37"/>
      <c r="HR51" s="37"/>
      <c r="HS51" s="37"/>
      <c r="HT51" s="37"/>
      <c r="HU51" s="37"/>
      <c r="HV51" s="37"/>
      <c r="HW51" s="37"/>
      <c r="HX51" s="37"/>
      <c r="HY51" s="37"/>
      <c r="HZ51" s="37"/>
      <c r="IA51" s="37"/>
      <c r="IB51" s="37"/>
      <c r="IC51" s="37"/>
      <c r="ID51" s="37"/>
      <c r="IE51" s="37"/>
      <c r="IF51" s="37"/>
      <c r="IG51" s="37"/>
      <c r="IH51" s="37"/>
      <c r="II51" s="37"/>
      <c r="IJ51" s="37"/>
      <c r="IK51" s="37"/>
      <c r="IL51" s="37"/>
      <c r="IM51" s="37"/>
      <c r="IN51" s="37"/>
      <c r="IO51" s="37"/>
      <c r="IP51" s="37"/>
    </row>
    <row r="52" spans="1:250" x14ac:dyDescent="0.3">
      <c r="A52" s="58">
        <v>0</v>
      </c>
      <c r="B52" s="68"/>
      <c r="C52" s="28">
        <f t="shared" si="624"/>
        <v>0</v>
      </c>
      <c r="D52" s="28">
        <v>0</v>
      </c>
      <c r="E52" s="28">
        <f t="shared" si="625"/>
        <v>0</v>
      </c>
      <c r="F52" s="28">
        <f>D52*F7</f>
        <v>0</v>
      </c>
      <c r="G52" s="28">
        <f t="shared" si="626"/>
        <v>0</v>
      </c>
      <c r="H52" s="72">
        <f t="shared" si="627"/>
        <v>0</v>
      </c>
      <c r="I52" s="72">
        <f t="shared" si="628"/>
        <v>0</v>
      </c>
      <c r="J52" s="70">
        <f t="shared" si="629"/>
        <v>0</v>
      </c>
      <c r="K52" s="71">
        <v>0</v>
      </c>
      <c r="L52" s="71">
        <v>0</v>
      </c>
      <c r="M52" s="72">
        <f t="shared" si="630"/>
        <v>0</v>
      </c>
      <c r="N52" s="72">
        <f t="shared" si="631"/>
        <v>0</v>
      </c>
      <c r="O52" s="70">
        <f t="shared" si="632"/>
        <v>0</v>
      </c>
      <c r="P52" s="73">
        <v>0</v>
      </c>
      <c r="Q52" s="74">
        <f t="shared" si="633"/>
        <v>0</v>
      </c>
      <c r="R52" s="303">
        <f t="shared" si="634"/>
        <v>0</v>
      </c>
      <c r="S52" s="58">
        <v>0</v>
      </c>
      <c r="T52" s="68"/>
      <c r="U52" s="28">
        <f t="shared" si="635"/>
        <v>0</v>
      </c>
      <c r="V52" s="28">
        <v>0</v>
      </c>
      <c r="W52" s="28">
        <f t="shared" si="636"/>
        <v>0</v>
      </c>
      <c r="X52" s="28">
        <f>V52*X7</f>
        <v>0</v>
      </c>
      <c r="Y52" s="28">
        <f t="shared" si="637"/>
        <v>0</v>
      </c>
      <c r="Z52" s="72">
        <f t="shared" si="638"/>
        <v>0</v>
      </c>
      <c r="AA52" s="72">
        <f t="shared" si="639"/>
        <v>0</v>
      </c>
      <c r="AB52" s="70">
        <f t="shared" si="640"/>
        <v>0</v>
      </c>
      <c r="AC52" s="71">
        <v>0</v>
      </c>
      <c r="AD52" s="71">
        <v>0</v>
      </c>
      <c r="AE52" s="72">
        <f t="shared" si="641"/>
        <v>0</v>
      </c>
      <c r="AF52" s="72">
        <f t="shared" si="642"/>
        <v>0</v>
      </c>
      <c r="AG52" s="70">
        <f t="shared" si="643"/>
        <v>0</v>
      </c>
      <c r="AH52" s="73">
        <v>0</v>
      </c>
      <c r="AI52" s="74">
        <f t="shared" si="644"/>
        <v>0</v>
      </c>
      <c r="AJ52" s="303">
        <f t="shared" si="645"/>
        <v>0</v>
      </c>
      <c r="AK52" s="58">
        <v>0</v>
      </c>
      <c r="AL52" s="68"/>
      <c r="AM52" s="28">
        <f t="shared" si="646"/>
        <v>0</v>
      </c>
      <c r="AN52" s="28">
        <v>0</v>
      </c>
      <c r="AO52" s="28">
        <f t="shared" si="647"/>
        <v>0</v>
      </c>
      <c r="AP52" s="28">
        <f>AN52*AP7</f>
        <v>0</v>
      </c>
      <c r="AQ52" s="28">
        <f t="shared" si="648"/>
        <v>0</v>
      </c>
      <c r="AR52" s="72">
        <f t="shared" si="649"/>
        <v>0</v>
      </c>
      <c r="AS52" s="72">
        <f t="shared" si="650"/>
        <v>0</v>
      </c>
      <c r="AT52" s="70">
        <f t="shared" si="651"/>
        <v>0</v>
      </c>
      <c r="AU52" s="71">
        <v>0</v>
      </c>
      <c r="AV52" s="71">
        <v>0</v>
      </c>
      <c r="AW52" s="72">
        <f t="shared" si="652"/>
        <v>0</v>
      </c>
      <c r="AX52" s="72">
        <f t="shared" si="653"/>
        <v>0</v>
      </c>
      <c r="AY52" s="70">
        <f t="shared" si="654"/>
        <v>0</v>
      </c>
      <c r="AZ52" s="73">
        <v>0</v>
      </c>
      <c r="BA52" s="74">
        <f t="shared" si="655"/>
        <v>0</v>
      </c>
      <c r="BB52" s="303">
        <f t="shared" si="656"/>
        <v>0</v>
      </c>
      <c r="BC52" s="58">
        <v>0</v>
      </c>
      <c r="BD52" s="68"/>
      <c r="BE52" s="28">
        <f t="shared" si="657"/>
        <v>0</v>
      </c>
      <c r="BF52" s="28">
        <v>0</v>
      </c>
      <c r="BG52" s="28">
        <f t="shared" si="658"/>
        <v>0</v>
      </c>
      <c r="BH52" s="28">
        <f>BF52*BH7</f>
        <v>0</v>
      </c>
      <c r="BI52" s="28">
        <f t="shared" si="659"/>
        <v>0</v>
      </c>
      <c r="BJ52" s="72">
        <f t="shared" si="660"/>
        <v>0</v>
      </c>
      <c r="BK52" s="72">
        <f t="shared" si="661"/>
        <v>0</v>
      </c>
      <c r="BL52" s="70">
        <f t="shared" si="662"/>
        <v>0</v>
      </c>
      <c r="BM52" s="71">
        <v>0</v>
      </c>
      <c r="BN52" s="71">
        <v>0</v>
      </c>
      <c r="BO52" s="72">
        <f t="shared" si="663"/>
        <v>0</v>
      </c>
      <c r="BP52" s="72">
        <f t="shared" si="664"/>
        <v>0</v>
      </c>
      <c r="BQ52" s="70">
        <f t="shared" si="665"/>
        <v>0</v>
      </c>
      <c r="BR52" s="73">
        <v>0</v>
      </c>
      <c r="BS52" s="74">
        <f t="shared" si="666"/>
        <v>0</v>
      </c>
      <c r="BT52" s="303">
        <f t="shared" si="667"/>
        <v>0</v>
      </c>
      <c r="BU52" s="58">
        <v>0</v>
      </c>
      <c r="BV52" s="68"/>
      <c r="BW52" s="28">
        <f t="shared" si="668"/>
        <v>0</v>
      </c>
      <c r="BX52" s="28">
        <v>0</v>
      </c>
      <c r="BY52" s="28">
        <f t="shared" si="669"/>
        <v>0</v>
      </c>
      <c r="BZ52" s="28">
        <f>BX52*BZ7</f>
        <v>0</v>
      </c>
      <c r="CA52" s="28">
        <f t="shared" si="670"/>
        <v>0</v>
      </c>
      <c r="CB52" s="72">
        <f t="shared" si="671"/>
        <v>0</v>
      </c>
      <c r="CC52" s="72">
        <f t="shared" si="672"/>
        <v>0</v>
      </c>
      <c r="CD52" s="70">
        <f t="shared" si="673"/>
        <v>0</v>
      </c>
      <c r="CE52" s="71">
        <v>0</v>
      </c>
      <c r="CF52" s="71">
        <v>0</v>
      </c>
      <c r="CG52" s="72">
        <f t="shared" si="674"/>
        <v>0</v>
      </c>
      <c r="CH52" s="72">
        <f t="shared" si="675"/>
        <v>0</v>
      </c>
      <c r="CI52" s="70">
        <f t="shared" si="676"/>
        <v>0</v>
      </c>
      <c r="CJ52" s="73">
        <v>0</v>
      </c>
      <c r="CK52" s="74">
        <f t="shared" si="677"/>
        <v>0</v>
      </c>
      <c r="CL52" s="303">
        <f t="shared" si="678"/>
        <v>0</v>
      </c>
      <c r="CM52" s="58">
        <v>0</v>
      </c>
      <c r="CN52" s="68"/>
      <c r="CO52" s="28">
        <f t="shared" si="679"/>
        <v>0</v>
      </c>
      <c r="CP52" s="28">
        <v>0</v>
      </c>
      <c r="CQ52" s="28">
        <f t="shared" si="680"/>
        <v>0</v>
      </c>
      <c r="CR52" s="28">
        <f>CP52*CR7</f>
        <v>0</v>
      </c>
      <c r="CS52" s="28">
        <f t="shared" si="681"/>
        <v>0</v>
      </c>
      <c r="CT52" s="72">
        <f t="shared" si="682"/>
        <v>0</v>
      </c>
      <c r="CU52" s="72">
        <f t="shared" si="683"/>
        <v>0</v>
      </c>
      <c r="CV52" s="70">
        <f t="shared" si="684"/>
        <v>0</v>
      </c>
      <c r="CW52" s="71">
        <v>0</v>
      </c>
      <c r="CX52" s="71">
        <v>0</v>
      </c>
      <c r="CY52" s="72">
        <f t="shared" si="685"/>
        <v>0</v>
      </c>
      <c r="CZ52" s="72">
        <f t="shared" si="686"/>
        <v>0</v>
      </c>
      <c r="DA52" s="70">
        <f t="shared" si="687"/>
        <v>0</v>
      </c>
      <c r="DB52" s="73">
        <v>0</v>
      </c>
      <c r="DC52" s="74">
        <f t="shared" si="688"/>
        <v>0</v>
      </c>
      <c r="DD52" s="303">
        <f t="shared" si="689"/>
        <v>0</v>
      </c>
      <c r="DE52" s="58">
        <v>0</v>
      </c>
      <c r="DF52" s="68"/>
      <c r="DG52" s="28">
        <f t="shared" si="690"/>
        <v>0</v>
      </c>
      <c r="DH52" s="28">
        <v>0</v>
      </c>
      <c r="DI52" s="28">
        <f t="shared" si="691"/>
        <v>0</v>
      </c>
      <c r="DJ52" s="28">
        <f>DH52*DJ7</f>
        <v>0</v>
      </c>
      <c r="DK52" s="28">
        <f t="shared" si="692"/>
        <v>0</v>
      </c>
      <c r="DL52" s="72">
        <f t="shared" si="693"/>
        <v>0</v>
      </c>
      <c r="DM52" s="72">
        <f t="shared" si="694"/>
        <v>0</v>
      </c>
      <c r="DN52" s="70">
        <f t="shared" si="695"/>
        <v>0</v>
      </c>
      <c r="DO52" s="71">
        <v>0</v>
      </c>
      <c r="DP52" s="71">
        <v>0</v>
      </c>
      <c r="DQ52" s="72">
        <f t="shared" si="696"/>
        <v>0</v>
      </c>
      <c r="DR52" s="72">
        <f t="shared" si="697"/>
        <v>0</v>
      </c>
      <c r="DS52" s="70">
        <f t="shared" si="698"/>
        <v>0</v>
      </c>
      <c r="DT52" s="73">
        <v>0</v>
      </c>
      <c r="DU52" s="74">
        <f t="shared" si="699"/>
        <v>0</v>
      </c>
      <c r="DV52" s="303">
        <f t="shared" si="700"/>
        <v>0</v>
      </c>
      <c r="DW52" s="58">
        <v>0</v>
      </c>
      <c r="DX52" s="68"/>
      <c r="DY52" s="28">
        <f t="shared" si="701"/>
        <v>0</v>
      </c>
      <c r="DZ52" s="28">
        <v>0</v>
      </c>
      <c r="EA52" s="28">
        <f t="shared" si="702"/>
        <v>0</v>
      </c>
      <c r="EB52" s="28">
        <f>DZ52*EB7</f>
        <v>0</v>
      </c>
      <c r="EC52" s="28">
        <f t="shared" si="703"/>
        <v>0</v>
      </c>
      <c r="ED52" s="72">
        <f t="shared" si="704"/>
        <v>0</v>
      </c>
      <c r="EE52" s="72">
        <f t="shared" si="705"/>
        <v>0</v>
      </c>
      <c r="EF52" s="70">
        <f t="shared" si="706"/>
        <v>0</v>
      </c>
      <c r="EG52" s="71">
        <v>0</v>
      </c>
      <c r="EH52" s="71">
        <v>0</v>
      </c>
      <c r="EI52" s="72">
        <f t="shared" si="707"/>
        <v>0</v>
      </c>
      <c r="EJ52" s="72">
        <f t="shared" si="708"/>
        <v>0</v>
      </c>
      <c r="EK52" s="70">
        <f t="shared" si="709"/>
        <v>0</v>
      </c>
      <c r="EL52" s="73">
        <v>0</v>
      </c>
      <c r="EM52" s="74">
        <f t="shared" si="710"/>
        <v>0</v>
      </c>
      <c r="EN52" s="303">
        <f t="shared" si="711"/>
        <v>0</v>
      </c>
      <c r="EO52" s="58">
        <v>0</v>
      </c>
      <c r="EP52" s="68"/>
      <c r="EQ52" s="28">
        <f t="shared" si="712"/>
        <v>0</v>
      </c>
      <c r="ER52" s="28">
        <v>0</v>
      </c>
      <c r="ES52" s="28">
        <f t="shared" si="713"/>
        <v>0</v>
      </c>
      <c r="ET52" s="28">
        <f>ER52*ET7</f>
        <v>0</v>
      </c>
      <c r="EU52" s="28">
        <f t="shared" si="714"/>
        <v>0</v>
      </c>
      <c r="EV52" s="72">
        <f t="shared" si="715"/>
        <v>0</v>
      </c>
      <c r="EW52" s="72">
        <f t="shared" si="716"/>
        <v>0</v>
      </c>
      <c r="EX52" s="70">
        <f t="shared" si="717"/>
        <v>0</v>
      </c>
      <c r="EY52" s="71">
        <v>0</v>
      </c>
      <c r="EZ52" s="71">
        <v>0</v>
      </c>
      <c r="FA52" s="72">
        <f t="shared" si="718"/>
        <v>0</v>
      </c>
      <c r="FB52" s="72">
        <f t="shared" si="719"/>
        <v>0</v>
      </c>
      <c r="FC52" s="70">
        <f t="shared" si="720"/>
        <v>0</v>
      </c>
      <c r="FD52" s="73">
        <v>0</v>
      </c>
      <c r="FE52" s="74">
        <f t="shared" si="721"/>
        <v>0</v>
      </c>
      <c r="FF52" s="303">
        <f t="shared" si="722"/>
        <v>0</v>
      </c>
      <c r="FG52" s="58">
        <v>0</v>
      </c>
      <c r="FH52" s="68"/>
      <c r="FI52" s="28">
        <f t="shared" si="723"/>
        <v>0</v>
      </c>
      <c r="FJ52" s="28">
        <v>0</v>
      </c>
      <c r="FK52" s="28">
        <f t="shared" si="724"/>
        <v>0</v>
      </c>
      <c r="FL52" s="28">
        <f>FJ52*FL7</f>
        <v>0</v>
      </c>
      <c r="FM52" s="28">
        <f t="shared" si="725"/>
        <v>0</v>
      </c>
      <c r="FN52" s="72">
        <f t="shared" si="726"/>
        <v>0</v>
      </c>
      <c r="FO52" s="72">
        <f t="shared" si="727"/>
        <v>0</v>
      </c>
      <c r="FP52" s="70">
        <f t="shared" si="728"/>
        <v>0</v>
      </c>
      <c r="FQ52" s="71">
        <v>0</v>
      </c>
      <c r="FR52" s="71">
        <v>0</v>
      </c>
      <c r="FS52" s="72">
        <f t="shared" si="729"/>
        <v>0</v>
      </c>
      <c r="FT52" s="72">
        <f t="shared" si="730"/>
        <v>0</v>
      </c>
      <c r="FU52" s="70">
        <f t="shared" si="731"/>
        <v>0</v>
      </c>
      <c r="FV52" s="73">
        <v>0</v>
      </c>
      <c r="FW52" s="74">
        <f t="shared" si="732"/>
        <v>0</v>
      </c>
      <c r="FX52" s="303">
        <f t="shared" si="733"/>
        <v>0</v>
      </c>
      <c r="FY52" s="58">
        <v>0</v>
      </c>
      <c r="FZ52" s="68"/>
      <c r="GA52" s="28">
        <f t="shared" si="734"/>
        <v>0</v>
      </c>
      <c r="GB52" s="28">
        <v>0</v>
      </c>
      <c r="GC52" s="28">
        <f t="shared" si="735"/>
        <v>0</v>
      </c>
      <c r="GD52" s="28">
        <f>GB52*GD7</f>
        <v>0</v>
      </c>
      <c r="GE52" s="28">
        <f t="shared" si="736"/>
        <v>0</v>
      </c>
      <c r="GF52" s="72">
        <f t="shared" si="737"/>
        <v>0</v>
      </c>
      <c r="GG52" s="72">
        <f t="shared" si="738"/>
        <v>0</v>
      </c>
      <c r="GH52" s="70">
        <f t="shared" si="739"/>
        <v>0</v>
      </c>
      <c r="GI52" s="71">
        <v>0</v>
      </c>
      <c r="GJ52" s="71">
        <v>0</v>
      </c>
      <c r="GK52" s="72">
        <f t="shared" si="740"/>
        <v>0</v>
      </c>
      <c r="GL52" s="72">
        <f t="shared" si="741"/>
        <v>0</v>
      </c>
      <c r="GM52" s="70">
        <f t="shared" si="742"/>
        <v>0</v>
      </c>
      <c r="GN52" s="73">
        <v>0</v>
      </c>
      <c r="GO52" s="74">
        <f t="shared" si="743"/>
        <v>0</v>
      </c>
      <c r="GP52" s="303">
        <f t="shared" si="744"/>
        <v>0</v>
      </c>
      <c r="GQ52" s="58">
        <v>0</v>
      </c>
      <c r="GR52" s="68"/>
      <c r="GS52" s="28">
        <f t="shared" si="745"/>
        <v>0</v>
      </c>
      <c r="GT52" s="28">
        <v>0</v>
      </c>
      <c r="GU52" s="28">
        <f t="shared" si="746"/>
        <v>0</v>
      </c>
      <c r="GV52" s="28">
        <f>GT52*GV7</f>
        <v>0</v>
      </c>
      <c r="GW52" s="28">
        <f t="shared" si="747"/>
        <v>0</v>
      </c>
      <c r="GX52" s="72">
        <f t="shared" si="748"/>
        <v>0</v>
      </c>
      <c r="GY52" s="72">
        <f t="shared" si="749"/>
        <v>0</v>
      </c>
      <c r="GZ52" s="70">
        <f t="shared" si="750"/>
        <v>0</v>
      </c>
      <c r="HA52" s="71">
        <v>0</v>
      </c>
      <c r="HB52" s="71">
        <v>0</v>
      </c>
      <c r="HC52" s="72">
        <f t="shared" si="751"/>
        <v>0</v>
      </c>
      <c r="HD52" s="72">
        <f t="shared" si="752"/>
        <v>0</v>
      </c>
      <c r="HE52" s="70">
        <f t="shared" si="753"/>
        <v>0</v>
      </c>
      <c r="HF52" s="73">
        <v>0</v>
      </c>
      <c r="HG52" s="74">
        <f t="shared" si="754"/>
        <v>0</v>
      </c>
      <c r="HH52" s="303">
        <f t="shared" si="755"/>
        <v>0</v>
      </c>
      <c r="HJ52" s="37"/>
      <c r="HK52" s="37"/>
      <c r="HL52" s="37"/>
      <c r="HM52" s="37"/>
      <c r="HN52" s="37"/>
      <c r="HO52" s="37"/>
      <c r="HP52" s="37"/>
      <c r="HQ52" s="37"/>
      <c r="HR52" s="37"/>
      <c r="HS52" s="37"/>
      <c r="HT52" s="37"/>
      <c r="HU52" s="37"/>
      <c r="HV52" s="37"/>
      <c r="HW52" s="37"/>
      <c r="HX52" s="37"/>
      <c r="HY52" s="37"/>
      <c r="HZ52" s="37"/>
      <c r="IA52" s="37"/>
      <c r="IB52" s="37"/>
      <c r="IC52" s="37"/>
      <c r="ID52" s="37"/>
      <c r="IE52" s="37"/>
      <c r="IF52" s="37"/>
      <c r="IG52" s="37"/>
      <c r="IH52" s="37"/>
      <c r="II52" s="37"/>
      <c r="IJ52" s="37"/>
      <c r="IK52" s="37"/>
      <c r="IL52" s="37"/>
      <c r="IM52" s="37"/>
      <c r="IN52" s="37"/>
      <c r="IO52" s="37"/>
      <c r="IP52" s="37"/>
    </row>
    <row r="53" spans="1:250" x14ac:dyDescent="0.3">
      <c r="A53" s="58">
        <v>0</v>
      </c>
      <c r="B53" s="68"/>
      <c r="C53" s="28">
        <f t="shared" si="624"/>
        <v>0</v>
      </c>
      <c r="D53" s="28">
        <v>0</v>
      </c>
      <c r="E53" s="28">
        <f t="shared" si="625"/>
        <v>0</v>
      </c>
      <c r="F53" s="28">
        <f>D53*F8</f>
        <v>0</v>
      </c>
      <c r="G53" s="28">
        <f t="shared" si="626"/>
        <v>0</v>
      </c>
      <c r="H53" s="72">
        <f t="shared" si="627"/>
        <v>0</v>
      </c>
      <c r="I53" s="72">
        <f t="shared" si="628"/>
        <v>0</v>
      </c>
      <c r="J53" s="70">
        <f t="shared" si="629"/>
        <v>0</v>
      </c>
      <c r="K53" s="71">
        <v>0</v>
      </c>
      <c r="L53" s="71">
        <v>0</v>
      </c>
      <c r="M53" s="72">
        <f t="shared" si="630"/>
        <v>0</v>
      </c>
      <c r="N53" s="72">
        <f t="shared" si="631"/>
        <v>0</v>
      </c>
      <c r="O53" s="70">
        <f t="shared" si="632"/>
        <v>0</v>
      </c>
      <c r="P53" s="73">
        <v>0</v>
      </c>
      <c r="Q53" s="74">
        <f t="shared" si="633"/>
        <v>0</v>
      </c>
      <c r="R53" s="303">
        <f t="shared" si="634"/>
        <v>0</v>
      </c>
      <c r="S53" s="58">
        <v>0</v>
      </c>
      <c r="T53" s="68"/>
      <c r="U53" s="28">
        <f t="shared" si="635"/>
        <v>0</v>
      </c>
      <c r="V53" s="28">
        <v>0</v>
      </c>
      <c r="W53" s="28">
        <f t="shared" si="636"/>
        <v>0</v>
      </c>
      <c r="X53" s="28">
        <f>V53*X8</f>
        <v>0</v>
      </c>
      <c r="Y53" s="28">
        <f t="shared" si="637"/>
        <v>0</v>
      </c>
      <c r="Z53" s="72">
        <f t="shared" si="638"/>
        <v>0</v>
      </c>
      <c r="AA53" s="72">
        <f t="shared" si="639"/>
        <v>0</v>
      </c>
      <c r="AB53" s="70">
        <f t="shared" si="640"/>
        <v>0</v>
      </c>
      <c r="AC53" s="71">
        <v>0</v>
      </c>
      <c r="AD53" s="71">
        <v>0</v>
      </c>
      <c r="AE53" s="72">
        <f t="shared" si="641"/>
        <v>0</v>
      </c>
      <c r="AF53" s="72">
        <f t="shared" si="642"/>
        <v>0</v>
      </c>
      <c r="AG53" s="70">
        <f t="shared" si="643"/>
        <v>0</v>
      </c>
      <c r="AH53" s="73">
        <v>0</v>
      </c>
      <c r="AI53" s="74">
        <f t="shared" si="644"/>
        <v>0</v>
      </c>
      <c r="AJ53" s="303">
        <f t="shared" si="645"/>
        <v>0</v>
      </c>
      <c r="AK53" s="58">
        <v>0</v>
      </c>
      <c r="AL53" s="68"/>
      <c r="AM53" s="28">
        <f t="shared" si="646"/>
        <v>0</v>
      </c>
      <c r="AN53" s="28">
        <v>0</v>
      </c>
      <c r="AO53" s="28">
        <f t="shared" si="647"/>
        <v>0</v>
      </c>
      <c r="AP53" s="28">
        <f>AN53*AP8</f>
        <v>0</v>
      </c>
      <c r="AQ53" s="28">
        <f t="shared" si="648"/>
        <v>0</v>
      </c>
      <c r="AR53" s="72">
        <f t="shared" si="649"/>
        <v>0</v>
      </c>
      <c r="AS53" s="72">
        <f t="shared" si="650"/>
        <v>0</v>
      </c>
      <c r="AT53" s="70">
        <f t="shared" si="651"/>
        <v>0</v>
      </c>
      <c r="AU53" s="71">
        <v>0</v>
      </c>
      <c r="AV53" s="71">
        <v>0</v>
      </c>
      <c r="AW53" s="72">
        <f t="shared" si="652"/>
        <v>0</v>
      </c>
      <c r="AX53" s="72">
        <f t="shared" si="653"/>
        <v>0</v>
      </c>
      <c r="AY53" s="70">
        <f t="shared" si="654"/>
        <v>0</v>
      </c>
      <c r="AZ53" s="73">
        <v>0</v>
      </c>
      <c r="BA53" s="74">
        <f t="shared" si="655"/>
        <v>0</v>
      </c>
      <c r="BB53" s="303">
        <f t="shared" si="656"/>
        <v>0</v>
      </c>
      <c r="BC53" s="58">
        <v>0</v>
      </c>
      <c r="BD53" s="68"/>
      <c r="BE53" s="28">
        <f t="shared" si="657"/>
        <v>0</v>
      </c>
      <c r="BF53" s="28">
        <v>0</v>
      </c>
      <c r="BG53" s="28">
        <f t="shared" si="658"/>
        <v>0</v>
      </c>
      <c r="BH53" s="28">
        <f>BF53*BH8</f>
        <v>0</v>
      </c>
      <c r="BI53" s="28">
        <f t="shared" si="659"/>
        <v>0</v>
      </c>
      <c r="BJ53" s="72">
        <f t="shared" si="660"/>
        <v>0</v>
      </c>
      <c r="BK53" s="72">
        <f t="shared" si="661"/>
        <v>0</v>
      </c>
      <c r="BL53" s="70">
        <f t="shared" si="662"/>
        <v>0</v>
      </c>
      <c r="BM53" s="71">
        <v>0</v>
      </c>
      <c r="BN53" s="71">
        <v>0</v>
      </c>
      <c r="BO53" s="72">
        <f t="shared" si="663"/>
        <v>0</v>
      </c>
      <c r="BP53" s="72">
        <f t="shared" si="664"/>
        <v>0</v>
      </c>
      <c r="BQ53" s="70">
        <f t="shared" si="665"/>
        <v>0</v>
      </c>
      <c r="BR53" s="73">
        <v>0</v>
      </c>
      <c r="BS53" s="74">
        <f t="shared" si="666"/>
        <v>0</v>
      </c>
      <c r="BT53" s="303">
        <f t="shared" si="667"/>
        <v>0</v>
      </c>
      <c r="BU53" s="58">
        <v>0</v>
      </c>
      <c r="BV53" s="68"/>
      <c r="BW53" s="28">
        <f t="shared" si="668"/>
        <v>0</v>
      </c>
      <c r="BX53" s="28">
        <v>0</v>
      </c>
      <c r="BY53" s="28">
        <f t="shared" si="669"/>
        <v>0</v>
      </c>
      <c r="BZ53" s="28">
        <f>BX53*BZ8</f>
        <v>0</v>
      </c>
      <c r="CA53" s="28">
        <f t="shared" si="670"/>
        <v>0</v>
      </c>
      <c r="CB53" s="72">
        <f t="shared" si="671"/>
        <v>0</v>
      </c>
      <c r="CC53" s="72">
        <f t="shared" si="672"/>
        <v>0</v>
      </c>
      <c r="CD53" s="70">
        <f t="shared" si="673"/>
        <v>0</v>
      </c>
      <c r="CE53" s="71">
        <v>0</v>
      </c>
      <c r="CF53" s="71">
        <v>0</v>
      </c>
      <c r="CG53" s="72">
        <f t="shared" si="674"/>
        <v>0</v>
      </c>
      <c r="CH53" s="72">
        <f t="shared" si="675"/>
        <v>0</v>
      </c>
      <c r="CI53" s="70">
        <f t="shared" si="676"/>
        <v>0</v>
      </c>
      <c r="CJ53" s="73">
        <v>0</v>
      </c>
      <c r="CK53" s="74">
        <f t="shared" si="677"/>
        <v>0</v>
      </c>
      <c r="CL53" s="303">
        <f t="shared" si="678"/>
        <v>0</v>
      </c>
      <c r="CM53" s="58">
        <v>0</v>
      </c>
      <c r="CN53" s="68"/>
      <c r="CO53" s="28">
        <f t="shared" si="679"/>
        <v>0</v>
      </c>
      <c r="CP53" s="28">
        <v>0</v>
      </c>
      <c r="CQ53" s="28">
        <f t="shared" si="680"/>
        <v>0</v>
      </c>
      <c r="CR53" s="28">
        <f>CP53*CR8</f>
        <v>0</v>
      </c>
      <c r="CS53" s="28">
        <f t="shared" si="681"/>
        <v>0</v>
      </c>
      <c r="CT53" s="72">
        <f t="shared" si="682"/>
        <v>0</v>
      </c>
      <c r="CU53" s="72">
        <f t="shared" si="683"/>
        <v>0</v>
      </c>
      <c r="CV53" s="70">
        <f t="shared" si="684"/>
        <v>0</v>
      </c>
      <c r="CW53" s="71">
        <v>0</v>
      </c>
      <c r="CX53" s="71">
        <v>0</v>
      </c>
      <c r="CY53" s="72">
        <f t="shared" si="685"/>
        <v>0</v>
      </c>
      <c r="CZ53" s="72">
        <f t="shared" si="686"/>
        <v>0</v>
      </c>
      <c r="DA53" s="70">
        <f t="shared" si="687"/>
        <v>0</v>
      </c>
      <c r="DB53" s="73">
        <v>0</v>
      </c>
      <c r="DC53" s="74">
        <f t="shared" si="688"/>
        <v>0</v>
      </c>
      <c r="DD53" s="303">
        <f t="shared" si="689"/>
        <v>0</v>
      </c>
      <c r="DE53" s="58">
        <v>0</v>
      </c>
      <c r="DF53" s="68"/>
      <c r="DG53" s="28">
        <f t="shared" si="690"/>
        <v>0</v>
      </c>
      <c r="DH53" s="28">
        <v>0</v>
      </c>
      <c r="DI53" s="28">
        <f t="shared" si="691"/>
        <v>0</v>
      </c>
      <c r="DJ53" s="28">
        <f>DH53*DJ8</f>
        <v>0</v>
      </c>
      <c r="DK53" s="28">
        <f t="shared" si="692"/>
        <v>0</v>
      </c>
      <c r="DL53" s="72">
        <f t="shared" si="693"/>
        <v>0</v>
      </c>
      <c r="DM53" s="72">
        <f t="shared" si="694"/>
        <v>0</v>
      </c>
      <c r="DN53" s="70">
        <f t="shared" si="695"/>
        <v>0</v>
      </c>
      <c r="DO53" s="71">
        <v>0</v>
      </c>
      <c r="DP53" s="71">
        <v>0</v>
      </c>
      <c r="DQ53" s="72">
        <f t="shared" si="696"/>
        <v>0</v>
      </c>
      <c r="DR53" s="72">
        <f t="shared" si="697"/>
        <v>0</v>
      </c>
      <c r="DS53" s="70">
        <f t="shared" si="698"/>
        <v>0</v>
      </c>
      <c r="DT53" s="73">
        <v>0</v>
      </c>
      <c r="DU53" s="74">
        <f t="shared" si="699"/>
        <v>0</v>
      </c>
      <c r="DV53" s="303">
        <f t="shared" si="700"/>
        <v>0</v>
      </c>
      <c r="DW53" s="58">
        <v>0</v>
      </c>
      <c r="DX53" s="68"/>
      <c r="DY53" s="28">
        <f t="shared" si="701"/>
        <v>0</v>
      </c>
      <c r="DZ53" s="28">
        <v>0</v>
      </c>
      <c r="EA53" s="28">
        <f t="shared" si="702"/>
        <v>0</v>
      </c>
      <c r="EB53" s="28">
        <f>DZ53*EB8</f>
        <v>0</v>
      </c>
      <c r="EC53" s="28">
        <f t="shared" si="703"/>
        <v>0</v>
      </c>
      <c r="ED53" s="72">
        <f t="shared" si="704"/>
        <v>0</v>
      </c>
      <c r="EE53" s="72">
        <f t="shared" si="705"/>
        <v>0</v>
      </c>
      <c r="EF53" s="70">
        <f t="shared" si="706"/>
        <v>0</v>
      </c>
      <c r="EG53" s="71">
        <v>0</v>
      </c>
      <c r="EH53" s="71">
        <v>0</v>
      </c>
      <c r="EI53" s="72">
        <f t="shared" si="707"/>
        <v>0</v>
      </c>
      <c r="EJ53" s="72">
        <f t="shared" si="708"/>
        <v>0</v>
      </c>
      <c r="EK53" s="70">
        <f t="shared" si="709"/>
        <v>0</v>
      </c>
      <c r="EL53" s="73">
        <v>0</v>
      </c>
      <c r="EM53" s="74">
        <f t="shared" si="710"/>
        <v>0</v>
      </c>
      <c r="EN53" s="303">
        <f t="shared" si="711"/>
        <v>0</v>
      </c>
      <c r="EO53" s="58">
        <v>0</v>
      </c>
      <c r="EP53" s="68"/>
      <c r="EQ53" s="28">
        <f t="shared" si="712"/>
        <v>0</v>
      </c>
      <c r="ER53" s="28">
        <v>0</v>
      </c>
      <c r="ES53" s="28">
        <f t="shared" si="713"/>
        <v>0</v>
      </c>
      <c r="ET53" s="28">
        <f>ER53*ET8</f>
        <v>0</v>
      </c>
      <c r="EU53" s="28">
        <f t="shared" si="714"/>
        <v>0</v>
      </c>
      <c r="EV53" s="72">
        <f t="shared" si="715"/>
        <v>0</v>
      </c>
      <c r="EW53" s="72">
        <f t="shared" si="716"/>
        <v>0</v>
      </c>
      <c r="EX53" s="70">
        <f t="shared" si="717"/>
        <v>0</v>
      </c>
      <c r="EY53" s="71">
        <v>0</v>
      </c>
      <c r="EZ53" s="71">
        <v>0</v>
      </c>
      <c r="FA53" s="72">
        <f t="shared" si="718"/>
        <v>0</v>
      </c>
      <c r="FB53" s="72">
        <f t="shared" si="719"/>
        <v>0</v>
      </c>
      <c r="FC53" s="70">
        <f t="shared" si="720"/>
        <v>0</v>
      </c>
      <c r="FD53" s="73">
        <v>0</v>
      </c>
      <c r="FE53" s="74">
        <f t="shared" si="721"/>
        <v>0</v>
      </c>
      <c r="FF53" s="303">
        <f t="shared" si="722"/>
        <v>0</v>
      </c>
      <c r="FG53" s="58">
        <v>0</v>
      </c>
      <c r="FH53" s="68"/>
      <c r="FI53" s="28">
        <f t="shared" si="723"/>
        <v>0</v>
      </c>
      <c r="FJ53" s="28">
        <v>0</v>
      </c>
      <c r="FK53" s="28">
        <f t="shared" si="724"/>
        <v>0</v>
      </c>
      <c r="FL53" s="28">
        <f>FJ53*FL8</f>
        <v>0</v>
      </c>
      <c r="FM53" s="28">
        <f t="shared" si="725"/>
        <v>0</v>
      </c>
      <c r="FN53" s="72">
        <f t="shared" si="726"/>
        <v>0</v>
      </c>
      <c r="FO53" s="72">
        <f t="shared" si="727"/>
        <v>0</v>
      </c>
      <c r="FP53" s="70">
        <f t="shared" si="728"/>
        <v>0</v>
      </c>
      <c r="FQ53" s="71">
        <v>0</v>
      </c>
      <c r="FR53" s="71">
        <v>0</v>
      </c>
      <c r="FS53" s="72">
        <f t="shared" si="729"/>
        <v>0</v>
      </c>
      <c r="FT53" s="72">
        <f t="shared" si="730"/>
        <v>0</v>
      </c>
      <c r="FU53" s="70">
        <f t="shared" si="731"/>
        <v>0</v>
      </c>
      <c r="FV53" s="73">
        <v>0</v>
      </c>
      <c r="FW53" s="74">
        <f t="shared" si="732"/>
        <v>0</v>
      </c>
      <c r="FX53" s="303">
        <f t="shared" si="733"/>
        <v>0</v>
      </c>
      <c r="FY53" s="58">
        <v>0</v>
      </c>
      <c r="FZ53" s="68"/>
      <c r="GA53" s="28">
        <f t="shared" si="734"/>
        <v>0</v>
      </c>
      <c r="GB53" s="28">
        <v>0</v>
      </c>
      <c r="GC53" s="28">
        <f t="shared" si="735"/>
        <v>0</v>
      </c>
      <c r="GD53" s="28">
        <f>GB53*GD8</f>
        <v>0</v>
      </c>
      <c r="GE53" s="28">
        <f t="shared" si="736"/>
        <v>0</v>
      </c>
      <c r="GF53" s="72">
        <f t="shared" si="737"/>
        <v>0</v>
      </c>
      <c r="GG53" s="72">
        <f t="shared" si="738"/>
        <v>0</v>
      </c>
      <c r="GH53" s="70">
        <f t="shared" si="739"/>
        <v>0</v>
      </c>
      <c r="GI53" s="71">
        <v>0</v>
      </c>
      <c r="GJ53" s="71">
        <v>0</v>
      </c>
      <c r="GK53" s="72">
        <f t="shared" si="740"/>
        <v>0</v>
      </c>
      <c r="GL53" s="72">
        <f t="shared" si="741"/>
        <v>0</v>
      </c>
      <c r="GM53" s="70">
        <f t="shared" si="742"/>
        <v>0</v>
      </c>
      <c r="GN53" s="73">
        <v>0</v>
      </c>
      <c r="GO53" s="74">
        <f t="shared" si="743"/>
        <v>0</v>
      </c>
      <c r="GP53" s="303">
        <f t="shared" si="744"/>
        <v>0</v>
      </c>
      <c r="GQ53" s="58">
        <v>0</v>
      </c>
      <c r="GR53" s="68"/>
      <c r="GS53" s="28">
        <f t="shared" si="745"/>
        <v>0</v>
      </c>
      <c r="GT53" s="28">
        <v>0</v>
      </c>
      <c r="GU53" s="28">
        <f t="shared" si="746"/>
        <v>0</v>
      </c>
      <c r="GV53" s="28">
        <f>GT53*GV8</f>
        <v>0</v>
      </c>
      <c r="GW53" s="28">
        <f t="shared" si="747"/>
        <v>0</v>
      </c>
      <c r="GX53" s="72">
        <f t="shared" si="748"/>
        <v>0</v>
      </c>
      <c r="GY53" s="72">
        <f t="shared" si="749"/>
        <v>0</v>
      </c>
      <c r="GZ53" s="70">
        <f t="shared" si="750"/>
        <v>0</v>
      </c>
      <c r="HA53" s="71">
        <v>0</v>
      </c>
      <c r="HB53" s="71">
        <v>0</v>
      </c>
      <c r="HC53" s="72">
        <f t="shared" si="751"/>
        <v>0</v>
      </c>
      <c r="HD53" s="72">
        <f t="shared" si="752"/>
        <v>0</v>
      </c>
      <c r="HE53" s="70">
        <f t="shared" si="753"/>
        <v>0</v>
      </c>
      <c r="HF53" s="73">
        <v>0</v>
      </c>
      <c r="HG53" s="74">
        <f t="shared" si="754"/>
        <v>0</v>
      </c>
      <c r="HH53" s="303">
        <f t="shared" si="755"/>
        <v>0</v>
      </c>
      <c r="HJ53" s="37"/>
      <c r="HK53" s="37"/>
      <c r="HL53" s="37"/>
      <c r="HM53" s="37"/>
      <c r="HN53" s="37"/>
      <c r="HO53" s="37"/>
      <c r="HP53" s="37"/>
      <c r="HQ53" s="37"/>
      <c r="HR53" s="37"/>
      <c r="HS53" s="37"/>
      <c r="HT53" s="37"/>
      <c r="HU53" s="37"/>
      <c r="HV53" s="37"/>
      <c r="HW53" s="37"/>
      <c r="HX53" s="37"/>
      <c r="HY53" s="37"/>
      <c r="HZ53" s="37"/>
      <c r="IA53" s="37"/>
      <c r="IB53" s="37"/>
      <c r="IC53" s="37"/>
      <c r="ID53" s="37"/>
      <c r="IE53" s="37"/>
      <c r="IF53" s="37"/>
      <c r="IG53" s="37"/>
      <c r="IH53" s="37"/>
      <c r="II53" s="37"/>
      <c r="IJ53" s="37"/>
      <c r="IK53" s="37"/>
      <c r="IL53" s="37"/>
      <c r="IM53" s="37"/>
      <c r="IN53" s="37"/>
      <c r="IO53" s="37"/>
      <c r="IP53" s="37"/>
    </row>
    <row r="54" spans="1:250" x14ac:dyDescent="0.3">
      <c r="A54" s="58">
        <v>0</v>
      </c>
      <c r="B54" s="68"/>
      <c r="C54" s="28">
        <f t="shared" si="624"/>
        <v>0</v>
      </c>
      <c r="D54" s="28">
        <v>0</v>
      </c>
      <c r="E54" s="28">
        <f t="shared" si="625"/>
        <v>0</v>
      </c>
      <c r="F54" s="28">
        <f>D54*F9</f>
        <v>0</v>
      </c>
      <c r="G54" s="28">
        <f t="shared" si="626"/>
        <v>0</v>
      </c>
      <c r="H54" s="72">
        <f t="shared" si="627"/>
        <v>0</v>
      </c>
      <c r="I54" s="72">
        <f t="shared" si="628"/>
        <v>0</v>
      </c>
      <c r="J54" s="70">
        <f t="shared" si="629"/>
        <v>0</v>
      </c>
      <c r="K54" s="71">
        <v>0</v>
      </c>
      <c r="L54" s="71">
        <v>0</v>
      </c>
      <c r="M54" s="72">
        <f t="shared" si="630"/>
        <v>0</v>
      </c>
      <c r="N54" s="72">
        <f t="shared" si="631"/>
        <v>0</v>
      </c>
      <c r="O54" s="70">
        <f t="shared" si="632"/>
        <v>0</v>
      </c>
      <c r="P54" s="73">
        <v>0</v>
      </c>
      <c r="Q54" s="74">
        <f t="shared" si="633"/>
        <v>0</v>
      </c>
      <c r="R54" s="303">
        <f t="shared" si="634"/>
        <v>0</v>
      </c>
      <c r="S54" s="58">
        <v>0</v>
      </c>
      <c r="T54" s="68"/>
      <c r="U54" s="28">
        <f t="shared" si="635"/>
        <v>0</v>
      </c>
      <c r="V54" s="28">
        <v>0</v>
      </c>
      <c r="W54" s="28">
        <f t="shared" si="636"/>
        <v>0</v>
      </c>
      <c r="X54" s="28">
        <f>V54*X9</f>
        <v>0</v>
      </c>
      <c r="Y54" s="28">
        <f t="shared" si="637"/>
        <v>0</v>
      </c>
      <c r="Z54" s="72">
        <f t="shared" si="638"/>
        <v>0</v>
      </c>
      <c r="AA54" s="72">
        <f t="shared" si="639"/>
        <v>0</v>
      </c>
      <c r="AB54" s="70">
        <f t="shared" si="640"/>
        <v>0</v>
      </c>
      <c r="AC54" s="71">
        <v>0</v>
      </c>
      <c r="AD54" s="71">
        <v>0</v>
      </c>
      <c r="AE54" s="72">
        <f t="shared" si="641"/>
        <v>0</v>
      </c>
      <c r="AF54" s="72">
        <f t="shared" si="642"/>
        <v>0</v>
      </c>
      <c r="AG54" s="70">
        <f t="shared" si="643"/>
        <v>0</v>
      </c>
      <c r="AH54" s="73">
        <v>0</v>
      </c>
      <c r="AI54" s="74">
        <f t="shared" si="644"/>
        <v>0</v>
      </c>
      <c r="AJ54" s="303">
        <f t="shared" si="645"/>
        <v>0</v>
      </c>
      <c r="AK54" s="58">
        <v>0</v>
      </c>
      <c r="AL54" s="68"/>
      <c r="AM54" s="28">
        <f t="shared" si="646"/>
        <v>0</v>
      </c>
      <c r="AN54" s="28">
        <v>0</v>
      </c>
      <c r="AO54" s="28">
        <f t="shared" si="647"/>
        <v>0</v>
      </c>
      <c r="AP54" s="28">
        <f>AN54*AP9</f>
        <v>0</v>
      </c>
      <c r="AQ54" s="28">
        <f t="shared" si="648"/>
        <v>0</v>
      </c>
      <c r="AR54" s="72">
        <f t="shared" si="649"/>
        <v>0</v>
      </c>
      <c r="AS54" s="72">
        <f t="shared" si="650"/>
        <v>0</v>
      </c>
      <c r="AT54" s="70">
        <f t="shared" si="651"/>
        <v>0</v>
      </c>
      <c r="AU54" s="71">
        <v>0</v>
      </c>
      <c r="AV54" s="71">
        <v>0</v>
      </c>
      <c r="AW54" s="72">
        <f t="shared" si="652"/>
        <v>0</v>
      </c>
      <c r="AX54" s="72">
        <f t="shared" si="653"/>
        <v>0</v>
      </c>
      <c r="AY54" s="70">
        <f t="shared" si="654"/>
        <v>0</v>
      </c>
      <c r="AZ54" s="73">
        <v>0</v>
      </c>
      <c r="BA54" s="74">
        <f t="shared" si="655"/>
        <v>0</v>
      </c>
      <c r="BB54" s="303">
        <f t="shared" si="656"/>
        <v>0</v>
      </c>
      <c r="BC54" s="58">
        <v>0</v>
      </c>
      <c r="BD54" s="68"/>
      <c r="BE54" s="28">
        <f t="shared" si="657"/>
        <v>0</v>
      </c>
      <c r="BF54" s="28">
        <v>0</v>
      </c>
      <c r="BG54" s="28">
        <f t="shared" si="658"/>
        <v>0</v>
      </c>
      <c r="BH54" s="28">
        <f>BF54*BH9</f>
        <v>0</v>
      </c>
      <c r="BI54" s="28">
        <f t="shared" si="659"/>
        <v>0</v>
      </c>
      <c r="BJ54" s="72">
        <f t="shared" si="660"/>
        <v>0</v>
      </c>
      <c r="BK54" s="72">
        <f t="shared" si="661"/>
        <v>0</v>
      </c>
      <c r="BL54" s="70">
        <f t="shared" si="662"/>
        <v>0</v>
      </c>
      <c r="BM54" s="71">
        <v>0</v>
      </c>
      <c r="BN54" s="71">
        <v>0</v>
      </c>
      <c r="BO54" s="72">
        <f t="shared" si="663"/>
        <v>0</v>
      </c>
      <c r="BP54" s="72">
        <f t="shared" si="664"/>
        <v>0</v>
      </c>
      <c r="BQ54" s="70">
        <f t="shared" si="665"/>
        <v>0</v>
      </c>
      <c r="BR54" s="73">
        <v>0</v>
      </c>
      <c r="BS54" s="74">
        <f t="shared" si="666"/>
        <v>0</v>
      </c>
      <c r="BT54" s="303">
        <f t="shared" si="667"/>
        <v>0</v>
      </c>
      <c r="BU54" s="58">
        <v>0</v>
      </c>
      <c r="BV54" s="68"/>
      <c r="BW54" s="28">
        <f t="shared" si="668"/>
        <v>0</v>
      </c>
      <c r="BX54" s="28">
        <v>0</v>
      </c>
      <c r="BY54" s="28">
        <f t="shared" si="669"/>
        <v>0</v>
      </c>
      <c r="BZ54" s="28">
        <f>BX54*BZ9</f>
        <v>0</v>
      </c>
      <c r="CA54" s="28">
        <f t="shared" si="670"/>
        <v>0</v>
      </c>
      <c r="CB54" s="72">
        <f t="shared" si="671"/>
        <v>0</v>
      </c>
      <c r="CC54" s="72">
        <f t="shared" si="672"/>
        <v>0</v>
      </c>
      <c r="CD54" s="70">
        <f t="shared" si="673"/>
        <v>0</v>
      </c>
      <c r="CE54" s="71">
        <v>0</v>
      </c>
      <c r="CF54" s="71">
        <v>0</v>
      </c>
      <c r="CG54" s="72">
        <f t="shared" si="674"/>
        <v>0</v>
      </c>
      <c r="CH54" s="72">
        <f t="shared" si="675"/>
        <v>0</v>
      </c>
      <c r="CI54" s="70">
        <f t="shared" si="676"/>
        <v>0</v>
      </c>
      <c r="CJ54" s="73">
        <v>0</v>
      </c>
      <c r="CK54" s="74">
        <f t="shared" si="677"/>
        <v>0</v>
      </c>
      <c r="CL54" s="303">
        <f t="shared" si="678"/>
        <v>0</v>
      </c>
      <c r="CM54" s="58">
        <v>0</v>
      </c>
      <c r="CN54" s="68"/>
      <c r="CO54" s="28">
        <f t="shared" si="679"/>
        <v>0</v>
      </c>
      <c r="CP54" s="28">
        <v>0</v>
      </c>
      <c r="CQ54" s="28">
        <f t="shared" si="680"/>
        <v>0</v>
      </c>
      <c r="CR54" s="28">
        <f>CP54*CR9</f>
        <v>0</v>
      </c>
      <c r="CS54" s="28">
        <f t="shared" si="681"/>
        <v>0</v>
      </c>
      <c r="CT54" s="72">
        <f t="shared" si="682"/>
        <v>0</v>
      </c>
      <c r="CU54" s="72">
        <f t="shared" si="683"/>
        <v>0</v>
      </c>
      <c r="CV54" s="70">
        <f t="shared" si="684"/>
        <v>0</v>
      </c>
      <c r="CW54" s="71">
        <v>0</v>
      </c>
      <c r="CX54" s="71">
        <v>0</v>
      </c>
      <c r="CY54" s="72">
        <f t="shared" si="685"/>
        <v>0</v>
      </c>
      <c r="CZ54" s="72">
        <f t="shared" si="686"/>
        <v>0</v>
      </c>
      <c r="DA54" s="70">
        <f t="shared" si="687"/>
        <v>0</v>
      </c>
      <c r="DB54" s="73">
        <v>0</v>
      </c>
      <c r="DC54" s="74">
        <f t="shared" si="688"/>
        <v>0</v>
      </c>
      <c r="DD54" s="303">
        <f t="shared" si="689"/>
        <v>0</v>
      </c>
      <c r="DE54" s="58">
        <v>0</v>
      </c>
      <c r="DF54" s="68"/>
      <c r="DG54" s="28">
        <f t="shared" si="690"/>
        <v>0</v>
      </c>
      <c r="DH54" s="28">
        <v>0</v>
      </c>
      <c r="DI54" s="28">
        <f t="shared" si="691"/>
        <v>0</v>
      </c>
      <c r="DJ54" s="28">
        <f>DH54*DJ9</f>
        <v>0</v>
      </c>
      <c r="DK54" s="28">
        <f t="shared" si="692"/>
        <v>0</v>
      </c>
      <c r="DL54" s="72">
        <f t="shared" si="693"/>
        <v>0</v>
      </c>
      <c r="DM54" s="72">
        <f t="shared" si="694"/>
        <v>0</v>
      </c>
      <c r="DN54" s="70">
        <f t="shared" si="695"/>
        <v>0</v>
      </c>
      <c r="DO54" s="71">
        <v>0</v>
      </c>
      <c r="DP54" s="71">
        <v>0</v>
      </c>
      <c r="DQ54" s="72">
        <f t="shared" si="696"/>
        <v>0</v>
      </c>
      <c r="DR54" s="72">
        <f t="shared" si="697"/>
        <v>0</v>
      </c>
      <c r="DS54" s="70">
        <f t="shared" si="698"/>
        <v>0</v>
      </c>
      <c r="DT54" s="73">
        <v>0</v>
      </c>
      <c r="DU54" s="74">
        <f t="shared" si="699"/>
        <v>0</v>
      </c>
      <c r="DV54" s="303">
        <f t="shared" si="700"/>
        <v>0</v>
      </c>
      <c r="DW54" s="58">
        <v>0</v>
      </c>
      <c r="DX54" s="68"/>
      <c r="DY54" s="28">
        <f t="shared" si="701"/>
        <v>0</v>
      </c>
      <c r="DZ54" s="28">
        <v>0</v>
      </c>
      <c r="EA54" s="28">
        <f t="shared" si="702"/>
        <v>0</v>
      </c>
      <c r="EB54" s="28">
        <f>DZ54*EB9</f>
        <v>0</v>
      </c>
      <c r="EC54" s="28">
        <f t="shared" si="703"/>
        <v>0</v>
      </c>
      <c r="ED54" s="72">
        <f t="shared" si="704"/>
        <v>0</v>
      </c>
      <c r="EE54" s="72">
        <f t="shared" si="705"/>
        <v>0</v>
      </c>
      <c r="EF54" s="70">
        <f t="shared" si="706"/>
        <v>0</v>
      </c>
      <c r="EG54" s="71">
        <v>0</v>
      </c>
      <c r="EH54" s="71">
        <v>0</v>
      </c>
      <c r="EI54" s="72">
        <f t="shared" si="707"/>
        <v>0</v>
      </c>
      <c r="EJ54" s="72">
        <f t="shared" si="708"/>
        <v>0</v>
      </c>
      <c r="EK54" s="70">
        <f t="shared" si="709"/>
        <v>0</v>
      </c>
      <c r="EL54" s="73">
        <v>0</v>
      </c>
      <c r="EM54" s="74">
        <f t="shared" si="710"/>
        <v>0</v>
      </c>
      <c r="EN54" s="303">
        <f t="shared" si="711"/>
        <v>0</v>
      </c>
      <c r="EO54" s="58">
        <v>0</v>
      </c>
      <c r="EP54" s="68"/>
      <c r="EQ54" s="28">
        <f t="shared" si="712"/>
        <v>0</v>
      </c>
      <c r="ER54" s="28">
        <v>0</v>
      </c>
      <c r="ES54" s="28">
        <f t="shared" si="713"/>
        <v>0</v>
      </c>
      <c r="ET54" s="28">
        <f>ER54*ET9</f>
        <v>0</v>
      </c>
      <c r="EU54" s="28">
        <f t="shared" si="714"/>
        <v>0</v>
      </c>
      <c r="EV54" s="72">
        <f t="shared" si="715"/>
        <v>0</v>
      </c>
      <c r="EW54" s="72">
        <f t="shared" si="716"/>
        <v>0</v>
      </c>
      <c r="EX54" s="70">
        <f t="shared" si="717"/>
        <v>0</v>
      </c>
      <c r="EY54" s="71">
        <v>0</v>
      </c>
      <c r="EZ54" s="71">
        <v>0</v>
      </c>
      <c r="FA54" s="72">
        <f t="shared" si="718"/>
        <v>0</v>
      </c>
      <c r="FB54" s="72">
        <f t="shared" si="719"/>
        <v>0</v>
      </c>
      <c r="FC54" s="70">
        <f t="shared" si="720"/>
        <v>0</v>
      </c>
      <c r="FD54" s="73">
        <v>0</v>
      </c>
      <c r="FE54" s="74">
        <f t="shared" si="721"/>
        <v>0</v>
      </c>
      <c r="FF54" s="303">
        <f t="shared" si="722"/>
        <v>0</v>
      </c>
      <c r="FG54" s="58">
        <v>0</v>
      </c>
      <c r="FH54" s="68"/>
      <c r="FI54" s="28">
        <f t="shared" si="723"/>
        <v>0</v>
      </c>
      <c r="FJ54" s="28">
        <v>0</v>
      </c>
      <c r="FK54" s="28">
        <f t="shared" si="724"/>
        <v>0</v>
      </c>
      <c r="FL54" s="28">
        <f>FJ54*FL9</f>
        <v>0</v>
      </c>
      <c r="FM54" s="28">
        <f t="shared" si="725"/>
        <v>0</v>
      </c>
      <c r="FN54" s="72">
        <f t="shared" si="726"/>
        <v>0</v>
      </c>
      <c r="FO54" s="72">
        <f t="shared" si="727"/>
        <v>0</v>
      </c>
      <c r="FP54" s="70">
        <f t="shared" si="728"/>
        <v>0</v>
      </c>
      <c r="FQ54" s="71">
        <v>0</v>
      </c>
      <c r="FR54" s="71">
        <v>0</v>
      </c>
      <c r="FS54" s="72">
        <f t="shared" si="729"/>
        <v>0</v>
      </c>
      <c r="FT54" s="72">
        <f t="shared" si="730"/>
        <v>0</v>
      </c>
      <c r="FU54" s="70">
        <f t="shared" si="731"/>
        <v>0</v>
      </c>
      <c r="FV54" s="73">
        <v>0</v>
      </c>
      <c r="FW54" s="74">
        <f t="shared" si="732"/>
        <v>0</v>
      </c>
      <c r="FX54" s="303">
        <f t="shared" si="733"/>
        <v>0</v>
      </c>
      <c r="FY54" s="58">
        <v>0</v>
      </c>
      <c r="FZ54" s="68"/>
      <c r="GA54" s="28">
        <f t="shared" si="734"/>
        <v>0</v>
      </c>
      <c r="GB54" s="28">
        <v>0</v>
      </c>
      <c r="GC54" s="28">
        <f t="shared" si="735"/>
        <v>0</v>
      </c>
      <c r="GD54" s="28">
        <f>GB54*GD9</f>
        <v>0</v>
      </c>
      <c r="GE54" s="28">
        <f t="shared" si="736"/>
        <v>0</v>
      </c>
      <c r="GF54" s="72">
        <f t="shared" si="737"/>
        <v>0</v>
      </c>
      <c r="GG54" s="72">
        <f t="shared" si="738"/>
        <v>0</v>
      </c>
      <c r="GH54" s="70">
        <f t="shared" si="739"/>
        <v>0</v>
      </c>
      <c r="GI54" s="71">
        <v>0</v>
      </c>
      <c r="GJ54" s="71">
        <v>0</v>
      </c>
      <c r="GK54" s="72">
        <f t="shared" si="740"/>
        <v>0</v>
      </c>
      <c r="GL54" s="72">
        <f t="shared" si="741"/>
        <v>0</v>
      </c>
      <c r="GM54" s="70">
        <f t="shared" si="742"/>
        <v>0</v>
      </c>
      <c r="GN54" s="73">
        <v>0</v>
      </c>
      <c r="GO54" s="74">
        <f t="shared" si="743"/>
        <v>0</v>
      </c>
      <c r="GP54" s="303">
        <f t="shared" si="744"/>
        <v>0</v>
      </c>
      <c r="GQ54" s="58">
        <v>0</v>
      </c>
      <c r="GR54" s="68"/>
      <c r="GS54" s="28">
        <f t="shared" si="745"/>
        <v>0</v>
      </c>
      <c r="GT54" s="28">
        <v>0</v>
      </c>
      <c r="GU54" s="28">
        <f t="shared" si="746"/>
        <v>0</v>
      </c>
      <c r="GV54" s="28">
        <f>GT54*GV9</f>
        <v>0</v>
      </c>
      <c r="GW54" s="28">
        <f t="shared" si="747"/>
        <v>0</v>
      </c>
      <c r="GX54" s="72">
        <f t="shared" si="748"/>
        <v>0</v>
      </c>
      <c r="GY54" s="72">
        <f t="shared" si="749"/>
        <v>0</v>
      </c>
      <c r="GZ54" s="70">
        <f t="shared" si="750"/>
        <v>0</v>
      </c>
      <c r="HA54" s="71">
        <v>0</v>
      </c>
      <c r="HB54" s="71">
        <v>0</v>
      </c>
      <c r="HC54" s="72">
        <f t="shared" si="751"/>
        <v>0</v>
      </c>
      <c r="HD54" s="72">
        <f t="shared" si="752"/>
        <v>0</v>
      </c>
      <c r="HE54" s="70">
        <f t="shared" si="753"/>
        <v>0</v>
      </c>
      <c r="HF54" s="73">
        <v>0</v>
      </c>
      <c r="HG54" s="74">
        <f t="shared" si="754"/>
        <v>0</v>
      </c>
      <c r="HH54" s="303">
        <f t="shared" si="755"/>
        <v>0</v>
      </c>
      <c r="HJ54" s="37"/>
      <c r="HK54" s="37"/>
      <c r="HL54" s="37"/>
      <c r="HM54" s="37"/>
      <c r="HN54" s="37"/>
      <c r="HO54" s="37"/>
      <c r="HP54" s="37"/>
      <c r="HQ54" s="37"/>
      <c r="HR54" s="37"/>
      <c r="HS54" s="37"/>
      <c r="HT54" s="37"/>
      <c r="HU54" s="37"/>
      <c r="HV54" s="37"/>
      <c r="HW54" s="37"/>
      <c r="HX54" s="37"/>
      <c r="HY54" s="37"/>
      <c r="HZ54" s="37"/>
      <c r="IA54" s="37"/>
      <c r="IB54" s="37"/>
      <c r="IC54" s="37"/>
      <c r="ID54" s="37"/>
      <c r="IE54" s="37"/>
      <c r="IF54" s="37"/>
      <c r="IG54" s="37"/>
      <c r="IH54" s="37"/>
      <c r="II54" s="37"/>
      <c r="IJ54" s="37"/>
      <c r="IK54" s="37"/>
      <c r="IL54" s="37"/>
      <c r="IM54" s="37"/>
      <c r="IN54" s="37"/>
      <c r="IO54" s="37"/>
      <c r="IP54" s="37"/>
    </row>
    <row r="55" spans="1:250" x14ac:dyDescent="0.3">
      <c r="A55" s="58">
        <v>0</v>
      </c>
      <c r="B55" s="68"/>
      <c r="C55" s="28">
        <f t="shared" si="624"/>
        <v>0</v>
      </c>
      <c r="D55" s="28">
        <v>0</v>
      </c>
      <c r="E55" s="28">
        <f t="shared" si="625"/>
        <v>0</v>
      </c>
      <c r="F55" s="28">
        <f>D55*F10</f>
        <v>0</v>
      </c>
      <c r="G55" s="28">
        <f t="shared" si="626"/>
        <v>0</v>
      </c>
      <c r="H55" s="72">
        <f t="shared" si="627"/>
        <v>0</v>
      </c>
      <c r="I55" s="72">
        <f t="shared" si="628"/>
        <v>0</v>
      </c>
      <c r="J55" s="70">
        <f t="shared" si="629"/>
        <v>0</v>
      </c>
      <c r="K55" s="71">
        <v>0</v>
      </c>
      <c r="L55" s="71">
        <v>0</v>
      </c>
      <c r="M55" s="72">
        <f t="shared" si="630"/>
        <v>0</v>
      </c>
      <c r="N55" s="72">
        <f t="shared" si="631"/>
        <v>0</v>
      </c>
      <c r="O55" s="70">
        <f t="shared" si="632"/>
        <v>0</v>
      </c>
      <c r="P55" s="73">
        <v>0</v>
      </c>
      <c r="Q55" s="74">
        <f t="shared" si="633"/>
        <v>0</v>
      </c>
      <c r="R55" s="303">
        <f t="shared" si="634"/>
        <v>0</v>
      </c>
      <c r="S55" s="58">
        <v>0</v>
      </c>
      <c r="T55" s="68"/>
      <c r="U55" s="28">
        <f t="shared" si="635"/>
        <v>0</v>
      </c>
      <c r="V55" s="28">
        <v>0</v>
      </c>
      <c r="W55" s="28">
        <f t="shared" si="636"/>
        <v>0</v>
      </c>
      <c r="X55" s="28">
        <f>V55*X10</f>
        <v>0</v>
      </c>
      <c r="Y55" s="28">
        <f t="shared" si="637"/>
        <v>0</v>
      </c>
      <c r="Z55" s="72">
        <f t="shared" si="638"/>
        <v>0</v>
      </c>
      <c r="AA55" s="72">
        <f t="shared" si="639"/>
        <v>0</v>
      </c>
      <c r="AB55" s="70">
        <f t="shared" si="640"/>
        <v>0</v>
      </c>
      <c r="AC55" s="71">
        <v>0</v>
      </c>
      <c r="AD55" s="71">
        <v>0</v>
      </c>
      <c r="AE55" s="72">
        <f t="shared" si="641"/>
        <v>0</v>
      </c>
      <c r="AF55" s="72">
        <f t="shared" si="642"/>
        <v>0</v>
      </c>
      <c r="AG55" s="70">
        <f t="shared" si="643"/>
        <v>0</v>
      </c>
      <c r="AH55" s="73">
        <v>0</v>
      </c>
      <c r="AI55" s="74">
        <f t="shared" si="644"/>
        <v>0</v>
      </c>
      <c r="AJ55" s="303">
        <f t="shared" si="645"/>
        <v>0</v>
      </c>
      <c r="AK55" s="58">
        <v>0</v>
      </c>
      <c r="AL55" s="68"/>
      <c r="AM55" s="28">
        <f t="shared" si="646"/>
        <v>0</v>
      </c>
      <c r="AN55" s="28">
        <v>0</v>
      </c>
      <c r="AO55" s="28">
        <f t="shared" si="647"/>
        <v>0</v>
      </c>
      <c r="AP55" s="28">
        <f>AN55*AP10</f>
        <v>0</v>
      </c>
      <c r="AQ55" s="28">
        <f t="shared" si="648"/>
        <v>0</v>
      </c>
      <c r="AR55" s="72">
        <f t="shared" si="649"/>
        <v>0</v>
      </c>
      <c r="AS55" s="72">
        <f t="shared" si="650"/>
        <v>0</v>
      </c>
      <c r="AT55" s="70">
        <f t="shared" si="651"/>
        <v>0</v>
      </c>
      <c r="AU55" s="71">
        <v>0</v>
      </c>
      <c r="AV55" s="71">
        <v>0</v>
      </c>
      <c r="AW55" s="72">
        <f t="shared" si="652"/>
        <v>0</v>
      </c>
      <c r="AX55" s="72">
        <f t="shared" si="653"/>
        <v>0</v>
      </c>
      <c r="AY55" s="70">
        <f t="shared" si="654"/>
        <v>0</v>
      </c>
      <c r="AZ55" s="73">
        <v>0</v>
      </c>
      <c r="BA55" s="74">
        <f t="shared" si="655"/>
        <v>0</v>
      </c>
      <c r="BB55" s="303">
        <f t="shared" si="656"/>
        <v>0</v>
      </c>
      <c r="BC55" s="58">
        <v>0</v>
      </c>
      <c r="BD55" s="68"/>
      <c r="BE55" s="28">
        <f t="shared" si="657"/>
        <v>0</v>
      </c>
      <c r="BF55" s="28">
        <v>0</v>
      </c>
      <c r="BG55" s="28">
        <f t="shared" si="658"/>
        <v>0</v>
      </c>
      <c r="BH55" s="28">
        <f>BF55*BH10</f>
        <v>0</v>
      </c>
      <c r="BI55" s="28">
        <f t="shared" si="659"/>
        <v>0</v>
      </c>
      <c r="BJ55" s="72">
        <f t="shared" si="660"/>
        <v>0</v>
      </c>
      <c r="BK55" s="72">
        <f t="shared" si="661"/>
        <v>0</v>
      </c>
      <c r="BL55" s="70">
        <f t="shared" si="662"/>
        <v>0</v>
      </c>
      <c r="BM55" s="71">
        <v>0</v>
      </c>
      <c r="BN55" s="71">
        <v>0</v>
      </c>
      <c r="BO55" s="72">
        <f t="shared" si="663"/>
        <v>0</v>
      </c>
      <c r="BP55" s="72">
        <f t="shared" si="664"/>
        <v>0</v>
      </c>
      <c r="BQ55" s="70">
        <f t="shared" si="665"/>
        <v>0</v>
      </c>
      <c r="BR55" s="73">
        <v>0</v>
      </c>
      <c r="BS55" s="74">
        <f t="shared" si="666"/>
        <v>0</v>
      </c>
      <c r="BT55" s="303">
        <f t="shared" si="667"/>
        <v>0</v>
      </c>
      <c r="BU55" s="58">
        <v>0</v>
      </c>
      <c r="BV55" s="68"/>
      <c r="BW55" s="28">
        <f t="shared" si="668"/>
        <v>0</v>
      </c>
      <c r="BX55" s="28">
        <v>0</v>
      </c>
      <c r="BY55" s="28">
        <f t="shared" si="669"/>
        <v>0</v>
      </c>
      <c r="BZ55" s="28">
        <f>BX55*BZ10</f>
        <v>0</v>
      </c>
      <c r="CA55" s="28">
        <f t="shared" si="670"/>
        <v>0</v>
      </c>
      <c r="CB55" s="72">
        <f t="shared" si="671"/>
        <v>0</v>
      </c>
      <c r="CC55" s="72">
        <f t="shared" si="672"/>
        <v>0</v>
      </c>
      <c r="CD55" s="70">
        <f t="shared" si="673"/>
        <v>0</v>
      </c>
      <c r="CE55" s="71">
        <v>0</v>
      </c>
      <c r="CF55" s="71">
        <v>0</v>
      </c>
      <c r="CG55" s="72">
        <f t="shared" si="674"/>
        <v>0</v>
      </c>
      <c r="CH55" s="72">
        <f t="shared" si="675"/>
        <v>0</v>
      </c>
      <c r="CI55" s="70">
        <f t="shared" si="676"/>
        <v>0</v>
      </c>
      <c r="CJ55" s="73">
        <v>0</v>
      </c>
      <c r="CK55" s="74">
        <f t="shared" si="677"/>
        <v>0</v>
      </c>
      <c r="CL55" s="303">
        <f t="shared" si="678"/>
        <v>0</v>
      </c>
      <c r="CM55" s="58">
        <v>0</v>
      </c>
      <c r="CN55" s="68"/>
      <c r="CO55" s="28">
        <f t="shared" si="679"/>
        <v>0</v>
      </c>
      <c r="CP55" s="28">
        <v>0</v>
      </c>
      <c r="CQ55" s="28">
        <f t="shared" si="680"/>
        <v>0</v>
      </c>
      <c r="CR55" s="28">
        <f>CP55*CR10</f>
        <v>0</v>
      </c>
      <c r="CS55" s="28">
        <f t="shared" si="681"/>
        <v>0</v>
      </c>
      <c r="CT55" s="72">
        <f t="shared" si="682"/>
        <v>0</v>
      </c>
      <c r="CU55" s="72">
        <f t="shared" si="683"/>
        <v>0</v>
      </c>
      <c r="CV55" s="70">
        <f t="shared" si="684"/>
        <v>0</v>
      </c>
      <c r="CW55" s="71">
        <v>0</v>
      </c>
      <c r="CX55" s="71">
        <v>0</v>
      </c>
      <c r="CY55" s="72">
        <f t="shared" si="685"/>
        <v>0</v>
      </c>
      <c r="CZ55" s="72">
        <f t="shared" si="686"/>
        <v>0</v>
      </c>
      <c r="DA55" s="70">
        <f t="shared" si="687"/>
        <v>0</v>
      </c>
      <c r="DB55" s="73">
        <v>0</v>
      </c>
      <c r="DC55" s="74">
        <f t="shared" si="688"/>
        <v>0</v>
      </c>
      <c r="DD55" s="303">
        <f t="shared" si="689"/>
        <v>0</v>
      </c>
      <c r="DE55" s="58">
        <v>0</v>
      </c>
      <c r="DF55" s="68"/>
      <c r="DG55" s="28">
        <f t="shared" si="690"/>
        <v>0</v>
      </c>
      <c r="DH55" s="28">
        <v>0</v>
      </c>
      <c r="DI55" s="28">
        <f t="shared" si="691"/>
        <v>0</v>
      </c>
      <c r="DJ55" s="28">
        <f>DH55*DJ10</f>
        <v>0</v>
      </c>
      <c r="DK55" s="28">
        <f t="shared" si="692"/>
        <v>0</v>
      </c>
      <c r="DL55" s="72">
        <f t="shared" si="693"/>
        <v>0</v>
      </c>
      <c r="DM55" s="72">
        <f t="shared" si="694"/>
        <v>0</v>
      </c>
      <c r="DN55" s="70">
        <f t="shared" si="695"/>
        <v>0</v>
      </c>
      <c r="DO55" s="71">
        <v>0</v>
      </c>
      <c r="DP55" s="71">
        <v>0</v>
      </c>
      <c r="DQ55" s="72">
        <f t="shared" si="696"/>
        <v>0</v>
      </c>
      <c r="DR55" s="72">
        <f t="shared" si="697"/>
        <v>0</v>
      </c>
      <c r="DS55" s="70">
        <f t="shared" si="698"/>
        <v>0</v>
      </c>
      <c r="DT55" s="73">
        <v>0</v>
      </c>
      <c r="DU55" s="74">
        <f t="shared" si="699"/>
        <v>0</v>
      </c>
      <c r="DV55" s="303">
        <f t="shared" si="700"/>
        <v>0</v>
      </c>
      <c r="DW55" s="58">
        <v>0</v>
      </c>
      <c r="DX55" s="68"/>
      <c r="DY55" s="28">
        <f t="shared" si="701"/>
        <v>0</v>
      </c>
      <c r="DZ55" s="28">
        <v>0</v>
      </c>
      <c r="EA55" s="28">
        <f t="shared" si="702"/>
        <v>0</v>
      </c>
      <c r="EB55" s="28">
        <f>DZ55*EB10</f>
        <v>0</v>
      </c>
      <c r="EC55" s="28">
        <f t="shared" si="703"/>
        <v>0</v>
      </c>
      <c r="ED55" s="72">
        <f t="shared" si="704"/>
        <v>0</v>
      </c>
      <c r="EE55" s="72">
        <f t="shared" si="705"/>
        <v>0</v>
      </c>
      <c r="EF55" s="70">
        <f t="shared" si="706"/>
        <v>0</v>
      </c>
      <c r="EG55" s="71">
        <v>0</v>
      </c>
      <c r="EH55" s="71">
        <v>0</v>
      </c>
      <c r="EI55" s="72">
        <f t="shared" si="707"/>
        <v>0</v>
      </c>
      <c r="EJ55" s="72">
        <f t="shared" si="708"/>
        <v>0</v>
      </c>
      <c r="EK55" s="70">
        <f t="shared" si="709"/>
        <v>0</v>
      </c>
      <c r="EL55" s="73">
        <v>0</v>
      </c>
      <c r="EM55" s="74">
        <f t="shared" si="710"/>
        <v>0</v>
      </c>
      <c r="EN55" s="303">
        <f t="shared" si="711"/>
        <v>0</v>
      </c>
      <c r="EO55" s="58">
        <v>0</v>
      </c>
      <c r="EP55" s="68"/>
      <c r="EQ55" s="28">
        <f t="shared" si="712"/>
        <v>0</v>
      </c>
      <c r="ER55" s="28">
        <v>0</v>
      </c>
      <c r="ES55" s="28">
        <f t="shared" si="713"/>
        <v>0</v>
      </c>
      <c r="ET55" s="28">
        <f>ER55*ET10</f>
        <v>0</v>
      </c>
      <c r="EU55" s="28">
        <f t="shared" si="714"/>
        <v>0</v>
      </c>
      <c r="EV55" s="72">
        <f t="shared" si="715"/>
        <v>0</v>
      </c>
      <c r="EW55" s="72">
        <f t="shared" si="716"/>
        <v>0</v>
      </c>
      <c r="EX55" s="70">
        <f t="shared" si="717"/>
        <v>0</v>
      </c>
      <c r="EY55" s="71">
        <v>0</v>
      </c>
      <c r="EZ55" s="71">
        <v>0</v>
      </c>
      <c r="FA55" s="72">
        <f t="shared" si="718"/>
        <v>0</v>
      </c>
      <c r="FB55" s="72">
        <f t="shared" si="719"/>
        <v>0</v>
      </c>
      <c r="FC55" s="70">
        <f t="shared" si="720"/>
        <v>0</v>
      </c>
      <c r="FD55" s="73">
        <v>0</v>
      </c>
      <c r="FE55" s="74">
        <f t="shared" si="721"/>
        <v>0</v>
      </c>
      <c r="FF55" s="303">
        <f t="shared" si="722"/>
        <v>0</v>
      </c>
      <c r="FG55" s="58">
        <v>0</v>
      </c>
      <c r="FH55" s="68"/>
      <c r="FI55" s="28">
        <f t="shared" si="723"/>
        <v>0</v>
      </c>
      <c r="FJ55" s="28">
        <v>0</v>
      </c>
      <c r="FK55" s="28">
        <f t="shared" si="724"/>
        <v>0</v>
      </c>
      <c r="FL55" s="28">
        <f>FJ55*FL10</f>
        <v>0</v>
      </c>
      <c r="FM55" s="28">
        <f t="shared" si="725"/>
        <v>0</v>
      </c>
      <c r="FN55" s="72">
        <f t="shared" si="726"/>
        <v>0</v>
      </c>
      <c r="FO55" s="72">
        <f t="shared" si="727"/>
        <v>0</v>
      </c>
      <c r="FP55" s="70">
        <f t="shared" si="728"/>
        <v>0</v>
      </c>
      <c r="FQ55" s="71">
        <v>0</v>
      </c>
      <c r="FR55" s="71">
        <v>0</v>
      </c>
      <c r="FS55" s="72">
        <f t="shared" si="729"/>
        <v>0</v>
      </c>
      <c r="FT55" s="72">
        <f t="shared" si="730"/>
        <v>0</v>
      </c>
      <c r="FU55" s="70">
        <f t="shared" si="731"/>
        <v>0</v>
      </c>
      <c r="FV55" s="73">
        <v>0</v>
      </c>
      <c r="FW55" s="74">
        <f t="shared" si="732"/>
        <v>0</v>
      </c>
      <c r="FX55" s="303">
        <f t="shared" si="733"/>
        <v>0</v>
      </c>
      <c r="FY55" s="58">
        <v>0</v>
      </c>
      <c r="FZ55" s="68"/>
      <c r="GA55" s="28">
        <f t="shared" si="734"/>
        <v>0</v>
      </c>
      <c r="GB55" s="28">
        <v>0</v>
      </c>
      <c r="GC55" s="28">
        <f t="shared" si="735"/>
        <v>0</v>
      </c>
      <c r="GD55" s="28">
        <f>GB55*GD10</f>
        <v>0</v>
      </c>
      <c r="GE55" s="28">
        <f t="shared" si="736"/>
        <v>0</v>
      </c>
      <c r="GF55" s="72">
        <f t="shared" si="737"/>
        <v>0</v>
      </c>
      <c r="GG55" s="72">
        <f t="shared" si="738"/>
        <v>0</v>
      </c>
      <c r="GH55" s="70">
        <f t="shared" si="739"/>
        <v>0</v>
      </c>
      <c r="GI55" s="71">
        <v>0</v>
      </c>
      <c r="GJ55" s="71">
        <v>0</v>
      </c>
      <c r="GK55" s="72">
        <f t="shared" si="740"/>
        <v>0</v>
      </c>
      <c r="GL55" s="72">
        <f t="shared" si="741"/>
        <v>0</v>
      </c>
      <c r="GM55" s="70">
        <f t="shared" si="742"/>
        <v>0</v>
      </c>
      <c r="GN55" s="73">
        <v>0</v>
      </c>
      <c r="GO55" s="74">
        <f t="shared" si="743"/>
        <v>0</v>
      </c>
      <c r="GP55" s="303">
        <f t="shared" si="744"/>
        <v>0</v>
      </c>
      <c r="GQ55" s="58">
        <v>0</v>
      </c>
      <c r="GR55" s="68"/>
      <c r="GS55" s="28">
        <f t="shared" si="745"/>
        <v>0</v>
      </c>
      <c r="GT55" s="28">
        <v>0</v>
      </c>
      <c r="GU55" s="28">
        <f t="shared" si="746"/>
        <v>0</v>
      </c>
      <c r="GV55" s="28">
        <f>GT55*GV10</f>
        <v>0</v>
      </c>
      <c r="GW55" s="28">
        <f t="shared" si="747"/>
        <v>0</v>
      </c>
      <c r="GX55" s="72">
        <f t="shared" si="748"/>
        <v>0</v>
      </c>
      <c r="GY55" s="72">
        <f t="shared" si="749"/>
        <v>0</v>
      </c>
      <c r="GZ55" s="70">
        <f t="shared" si="750"/>
        <v>0</v>
      </c>
      <c r="HA55" s="71">
        <v>0</v>
      </c>
      <c r="HB55" s="71">
        <v>0</v>
      </c>
      <c r="HC55" s="72">
        <f t="shared" si="751"/>
        <v>0</v>
      </c>
      <c r="HD55" s="72">
        <f t="shared" si="752"/>
        <v>0</v>
      </c>
      <c r="HE55" s="70">
        <f t="shared" si="753"/>
        <v>0</v>
      </c>
      <c r="HF55" s="73">
        <v>0</v>
      </c>
      <c r="HG55" s="74">
        <f t="shared" si="754"/>
        <v>0</v>
      </c>
      <c r="HH55" s="303">
        <f t="shared" si="755"/>
        <v>0</v>
      </c>
      <c r="HJ55" s="37"/>
      <c r="HK55" s="37"/>
      <c r="HL55" s="37"/>
      <c r="HM55" s="37"/>
      <c r="HN55" s="37"/>
      <c r="HO55" s="37"/>
      <c r="HP55" s="37"/>
      <c r="HQ55" s="37"/>
      <c r="HR55" s="37"/>
      <c r="HS55" s="37"/>
      <c r="HT55" s="37"/>
      <c r="HU55" s="37"/>
      <c r="HV55" s="37"/>
      <c r="HW55" s="37"/>
      <c r="HX55" s="37"/>
      <c r="HY55" s="37"/>
      <c r="HZ55" s="37"/>
      <c r="IA55" s="37"/>
      <c r="IB55" s="37"/>
      <c r="IC55" s="37"/>
      <c r="ID55" s="37"/>
      <c r="IE55" s="37"/>
      <c r="IF55" s="37"/>
      <c r="IG55" s="37"/>
      <c r="IH55" s="37"/>
      <c r="II55" s="37"/>
      <c r="IJ55" s="37"/>
      <c r="IK55" s="37"/>
      <c r="IL55" s="37"/>
      <c r="IM55" s="37"/>
      <c r="IN55" s="37"/>
      <c r="IO55" s="37"/>
      <c r="IP55" s="37"/>
    </row>
    <row r="56" spans="1:250" ht="15.6" x14ac:dyDescent="0.3">
      <c r="A56" s="541"/>
      <c r="B56" s="537"/>
      <c r="C56" s="537"/>
      <c r="D56" s="537"/>
      <c r="E56" s="537"/>
      <c r="F56" s="537"/>
      <c r="G56" s="537"/>
      <c r="H56" s="537"/>
      <c r="I56" s="537"/>
      <c r="J56" s="537"/>
      <c r="K56" s="537"/>
      <c r="L56" s="537"/>
      <c r="M56" s="537"/>
      <c r="N56" s="537"/>
      <c r="O56" s="537"/>
      <c r="P56" s="538"/>
      <c r="Q56" s="423" t="s">
        <v>8</v>
      </c>
      <c r="R56" s="304">
        <f>SUM(R50:R55)</f>
        <v>0</v>
      </c>
      <c r="S56" s="541"/>
      <c r="T56" s="537"/>
      <c r="U56" s="537"/>
      <c r="V56" s="537"/>
      <c r="W56" s="537"/>
      <c r="X56" s="537"/>
      <c r="Y56" s="537"/>
      <c r="Z56" s="537"/>
      <c r="AA56" s="537"/>
      <c r="AB56" s="537"/>
      <c r="AC56" s="537"/>
      <c r="AD56" s="537"/>
      <c r="AE56" s="537"/>
      <c r="AF56" s="537"/>
      <c r="AG56" s="537"/>
      <c r="AH56" s="538"/>
      <c r="AI56" s="423" t="s">
        <v>8</v>
      </c>
      <c r="AJ56" s="304">
        <f>SUM(AJ50:AJ55)</f>
        <v>0</v>
      </c>
      <c r="AK56" s="541"/>
      <c r="AL56" s="537"/>
      <c r="AM56" s="537"/>
      <c r="AN56" s="537"/>
      <c r="AO56" s="537"/>
      <c r="AP56" s="537"/>
      <c r="AQ56" s="537"/>
      <c r="AR56" s="537"/>
      <c r="AS56" s="537"/>
      <c r="AT56" s="537"/>
      <c r="AU56" s="537"/>
      <c r="AV56" s="537"/>
      <c r="AW56" s="537"/>
      <c r="AX56" s="537"/>
      <c r="AY56" s="537"/>
      <c r="AZ56" s="538"/>
      <c r="BA56" s="423" t="s">
        <v>8</v>
      </c>
      <c r="BB56" s="304">
        <f>SUM(BB50:BB55)</f>
        <v>0</v>
      </c>
      <c r="BC56" s="541"/>
      <c r="BD56" s="537"/>
      <c r="BE56" s="537"/>
      <c r="BF56" s="537"/>
      <c r="BG56" s="537"/>
      <c r="BH56" s="537"/>
      <c r="BI56" s="537"/>
      <c r="BJ56" s="537"/>
      <c r="BK56" s="537"/>
      <c r="BL56" s="537"/>
      <c r="BM56" s="537"/>
      <c r="BN56" s="537"/>
      <c r="BO56" s="537"/>
      <c r="BP56" s="537"/>
      <c r="BQ56" s="537"/>
      <c r="BR56" s="538"/>
      <c r="BS56" s="423" t="s">
        <v>8</v>
      </c>
      <c r="BT56" s="304">
        <f>SUM(BT50:BT55)</f>
        <v>0</v>
      </c>
      <c r="BU56" s="541"/>
      <c r="BV56" s="537"/>
      <c r="BW56" s="537"/>
      <c r="BX56" s="537"/>
      <c r="BY56" s="537"/>
      <c r="BZ56" s="537"/>
      <c r="CA56" s="537"/>
      <c r="CB56" s="537"/>
      <c r="CC56" s="537"/>
      <c r="CD56" s="537"/>
      <c r="CE56" s="537"/>
      <c r="CF56" s="537"/>
      <c r="CG56" s="537"/>
      <c r="CH56" s="537"/>
      <c r="CI56" s="537"/>
      <c r="CJ56" s="538"/>
      <c r="CK56" s="423" t="s">
        <v>8</v>
      </c>
      <c r="CL56" s="304">
        <f>SUM(CL50:CL55)</f>
        <v>0</v>
      </c>
      <c r="CM56" s="541"/>
      <c r="CN56" s="537"/>
      <c r="CO56" s="537"/>
      <c r="CP56" s="537"/>
      <c r="CQ56" s="537"/>
      <c r="CR56" s="537"/>
      <c r="CS56" s="537"/>
      <c r="CT56" s="537"/>
      <c r="CU56" s="537"/>
      <c r="CV56" s="537"/>
      <c r="CW56" s="537"/>
      <c r="CX56" s="537"/>
      <c r="CY56" s="537"/>
      <c r="CZ56" s="537"/>
      <c r="DA56" s="537"/>
      <c r="DB56" s="538"/>
      <c r="DC56" s="423" t="s">
        <v>8</v>
      </c>
      <c r="DD56" s="304">
        <f>SUM(DD50:DD55)</f>
        <v>0</v>
      </c>
      <c r="DE56" s="541"/>
      <c r="DF56" s="537"/>
      <c r="DG56" s="537"/>
      <c r="DH56" s="537"/>
      <c r="DI56" s="537"/>
      <c r="DJ56" s="537"/>
      <c r="DK56" s="537"/>
      <c r="DL56" s="537"/>
      <c r="DM56" s="537"/>
      <c r="DN56" s="537"/>
      <c r="DO56" s="537"/>
      <c r="DP56" s="537"/>
      <c r="DQ56" s="537"/>
      <c r="DR56" s="537"/>
      <c r="DS56" s="537"/>
      <c r="DT56" s="538"/>
      <c r="DU56" s="423" t="s">
        <v>8</v>
      </c>
      <c r="DV56" s="304">
        <f>SUM(DV50:DV55)</f>
        <v>0</v>
      </c>
      <c r="DW56" s="541"/>
      <c r="DX56" s="537"/>
      <c r="DY56" s="537"/>
      <c r="DZ56" s="537"/>
      <c r="EA56" s="537"/>
      <c r="EB56" s="537"/>
      <c r="EC56" s="537"/>
      <c r="ED56" s="537"/>
      <c r="EE56" s="537"/>
      <c r="EF56" s="537"/>
      <c r="EG56" s="537"/>
      <c r="EH56" s="537"/>
      <c r="EI56" s="537"/>
      <c r="EJ56" s="537"/>
      <c r="EK56" s="537"/>
      <c r="EL56" s="538"/>
      <c r="EM56" s="423" t="s">
        <v>8</v>
      </c>
      <c r="EN56" s="304">
        <f>SUM(EN50:EN55)</f>
        <v>0</v>
      </c>
      <c r="EO56" s="541"/>
      <c r="EP56" s="537"/>
      <c r="EQ56" s="537"/>
      <c r="ER56" s="537"/>
      <c r="ES56" s="537"/>
      <c r="ET56" s="537"/>
      <c r="EU56" s="537"/>
      <c r="EV56" s="537"/>
      <c r="EW56" s="537"/>
      <c r="EX56" s="537"/>
      <c r="EY56" s="537"/>
      <c r="EZ56" s="537"/>
      <c r="FA56" s="537"/>
      <c r="FB56" s="537"/>
      <c r="FC56" s="537"/>
      <c r="FD56" s="538"/>
      <c r="FE56" s="423" t="s">
        <v>8</v>
      </c>
      <c r="FF56" s="304">
        <f>SUM(FF50:FF55)</f>
        <v>0</v>
      </c>
      <c r="FG56" s="541"/>
      <c r="FH56" s="537"/>
      <c r="FI56" s="537"/>
      <c r="FJ56" s="537"/>
      <c r="FK56" s="537"/>
      <c r="FL56" s="537"/>
      <c r="FM56" s="537"/>
      <c r="FN56" s="537"/>
      <c r="FO56" s="537"/>
      <c r="FP56" s="537"/>
      <c r="FQ56" s="537"/>
      <c r="FR56" s="537"/>
      <c r="FS56" s="537"/>
      <c r="FT56" s="537"/>
      <c r="FU56" s="537"/>
      <c r="FV56" s="538"/>
      <c r="FW56" s="423" t="s">
        <v>8</v>
      </c>
      <c r="FX56" s="304">
        <f>SUM(FX50:FX55)</f>
        <v>0</v>
      </c>
      <c r="FY56" s="541"/>
      <c r="FZ56" s="537"/>
      <c r="GA56" s="537"/>
      <c r="GB56" s="537"/>
      <c r="GC56" s="537"/>
      <c r="GD56" s="537"/>
      <c r="GE56" s="537"/>
      <c r="GF56" s="537"/>
      <c r="GG56" s="537"/>
      <c r="GH56" s="537"/>
      <c r="GI56" s="537"/>
      <c r="GJ56" s="537"/>
      <c r="GK56" s="537"/>
      <c r="GL56" s="537"/>
      <c r="GM56" s="537"/>
      <c r="GN56" s="538"/>
      <c r="GO56" s="423" t="s">
        <v>8</v>
      </c>
      <c r="GP56" s="304">
        <f>SUM(GP50:GP55)</f>
        <v>0</v>
      </c>
      <c r="GQ56" s="541"/>
      <c r="GR56" s="537"/>
      <c r="GS56" s="537"/>
      <c r="GT56" s="537"/>
      <c r="GU56" s="537"/>
      <c r="GV56" s="537"/>
      <c r="GW56" s="537"/>
      <c r="GX56" s="537"/>
      <c r="GY56" s="537"/>
      <c r="GZ56" s="537"/>
      <c r="HA56" s="537"/>
      <c r="HB56" s="537"/>
      <c r="HC56" s="537"/>
      <c r="HD56" s="537"/>
      <c r="HE56" s="537"/>
      <c r="HF56" s="538"/>
      <c r="HG56" s="423" t="s">
        <v>8</v>
      </c>
      <c r="HH56" s="304">
        <f>SUM(HH50:HH55)</f>
        <v>0</v>
      </c>
      <c r="HJ56" s="37"/>
      <c r="HK56" s="37"/>
      <c r="HL56" s="37"/>
      <c r="HM56" s="37"/>
      <c r="HN56" s="37"/>
      <c r="HO56" s="37"/>
      <c r="HP56" s="37"/>
      <c r="HQ56" s="37"/>
      <c r="HR56" s="37"/>
      <c r="HS56" s="37"/>
      <c r="HT56" s="37"/>
      <c r="HU56" s="37"/>
      <c r="HV56" s="37"/>
      <c r="HW56" s="37"/>
      <c r="HX56" s="37"/>
      <c r="HY56" s="37"/>
      <c r="HZ56" s="37"/>
      <c r="IA56" s="37"/>
      <c r="IB56" s="37"/>
      <c r="IC56" s="37"/>
      <c r="ID56" s="37"/>
      <c r="IE56" s="37"/>
      <c r="IF56" s="37"/>
      <c r="IG56" s="37"/>
      <c r="IH56" s="37"/>
      <c r="II56" s="37"/>
      <c r="IJ56" s="37"/>
      <c r="IK56" s="37"/>
      <c r="IL56" s="37"/>
      <c r="IM56" s="37"/>
      <c r="IN56" s="37"/>
      <c r="IO56" s="37"/>
      <c r="IP56" s="37"/>
    </row>
    <row r="57" spans="1:250" ht="15.6" x14ac:dyDescent="0.3">
      <c r="A57" s="543"/>
      <c r="B57" s="544"/>
      <c r="C57" s="544"/>
      <c r="D57" s="544"/>
      <c r="E57" s="742" t="s">
        <v>52</v>
      </c>
      <c r="F57" s="742"/>
      <c r="G57" s="742"/>
      <c r="H57" s="742"/>
      <c r="I57" s="742"/>
      <c r="J57" s="742"/>
      <c r="K57" s="742"/>
      <c r="L57" s="742"/>
      <c r="M57" s="742"/>
      <c r="N57" s="544"/>
      <c r="O57" s="544"/>
      <c r="P57" s="544"/>
      <c r="Q57" s="544"/>
      <c r="R57" s="545"/>
      <c r="S57" s="543"/>
      <c r="T57" s="544"/>
      <c r="U57" s="544"/>
      <c r="V57" s="544"/>
      <c r="W57" s="742" t="s">
        <v>52</v>
      </c>
      <c r="X57" s="742"/>
      <c r="Y57" s="742"/>
      <c r="Z57" s="742"/>
      <c r="AA57" s="742"/>
      <c r="AB57" s="742"/>
      <c r="AC57" s="742"/>
      <c r="AD57" s="742"/>
      <c r="AE57" s="742"/>
      <c r="AF57" s="544"/>
      <c r="AG57" s="544"/>
      <c r="AH57" s="544"/>
      <c r="AI57" s="544"/>
      <c r="AJ57" s="545"/>
      <c r="AK57" s="543"/>
      <c r="AL57" s="544"/>
      <c r="AM57" s="544"/>
      <c r="AN57" s="544"/>
      <c r="AO57" s="742" t="s">
        <v>52</v>
      </c>
      <c r="AP57" s="742"/>
      <c r="AQ57" s="742"/>
      <c r="AR57" s="742"/>
      <c r="AS57" s="742"/>
      <c r="AT57" s="742"/>
      <c r="AU57" s="742"/>
      <c r="AV57" s="742"/>
      <c r="AW57" s="742"/>
      <c r="AX57" s="544"/>
      <c r="AY57" s="544"/>
      <c r="AZ57" s="544"/>
      <c r="BA57" s="544"/>
      <c r="BB57" s="545"/>
      <c r="BC57" s="543"/>
      <c r="BD57" s="544"/>
      <c r="BE57" s="544"/>
      <c r="BF57" s="544"/>
      <c r="BG57" s="742" t="s">
        <v>52</v>
      </c>
      <c r="BH57" s="742"/>
      <c r="BI57" s="742"/>
      <c r="BJ57" s="742"/>
      <c r="BK57" s="742"/>
      <c r="BL57" s="742"/>
      <c r="BM57" s="742"/>
      <c r="BN57" s="742"/>
      <c r="BO57" s="742"/>
      <c r="BP57" s="544"/>
      <c r="BQ57" s="544"/>
      <c r="BR57" s="544"/>
      <c r="BS57" s="544"/>
      <c r="BT57" s="545"/>
      <c r="BU57" s="543"/>
      <c r="BV57" s="544"/>
      <c r="BW57" s="544"/>
      <c r="BX57" s="544"/>
      <c r="BY57" s="742" t="s">
        <v>52</v>
      </c>
      <c r="BZ57" s="742"/>
      <c r="CA57" s="742"/>
      <c r="CB57" s="742"/>
      <c r="CC57" s="742"/>
      <c r="CD57" s="742"/>
      <c r="CE57" s="742"/>
      <c r="CF57" s="742"/>
      <c r="CG57" s="742"/>
      <c r="CH57" s="544"/>
      <c r="CI57" s="544"/>
      <c r="CJ57" s="544"/>
      <c r="CK57" s="544"/>
      <c r="CL57" s="545"/>
      <c r="CM57" s="543"/>
      <c r="CN57" s="544"/>
      <c r="CO57" s="544"/>
      <c r="CP57" s="544"/>
      <c r="CQ57" s="742" t="s">
        <v>52</v>
      </c>
      <c r="CR57" s="742"/>
      <c r="CS57" s="742"/>
      <c r="CT57" s="742"/>
      <c r="CU57" s="742"/>
      <c r="CV57" s="742"/>
      <c r="CW57" s="742"/>
      <c r="CX57" s="742"/>
      <c r="CY57" s="742"/>
      <c r="CZ57" s="544"/>
      <c r="DA57" s="544"/>
      <c r="DB57" s="544"/>
      <c r="DC57" s="544"/>
      <c r="DD57" s="545"/>
      <c r="DE57" s="543"/>
      <c r="DF57" s="544"/>
      <c r="DG57" s="544"/>
      <c r="DH57" s="544"/>
      <c r="DI57" s="742" t="s">
        <v>52</v>
      </c>
      <c r="DJ57" s="742"/>
      <c r="DK57" s="742"/>
      <c r="DL57" s="742"/>
      <c r="DM57" s="742"/>
      <c r="DN57" s="742"/>
      <c r="DO57" s="742"/>
      <c r="DP57" s="742"/>
      <c r="DQ57" s="742"/>
      <c r="DR57" s="544"/>
      <c r="DS57" s="544"/>
      <c r="DT57" s="544"/>
      <c r="DU57" s="544"/>
      <c r="DV57" s="545"/>
      <c r="DW57" s="543"/>
      <c r="DX57" s="544"/>
      <c r="DY57" s="544"/>
      <c r="DZ57" s="544"/>
      <c r="EA57" s="742" t="s">
        <v>52</v>
      </c>
      <c r="EB57" s="742"/>
      <c r="EC57" s="742"/>
      <c r="ED57" s="742"/>
      <c r="EE57" s="742"/>
      <c r="EF57" s="742"/>
      <c r="EG57" s="742"/>
      <c r="EH57" s="742"/>
      <c r="EI57" s="742"/>
      <c r="EJ57" s="544"/>
      <c r="EK57" s="544"/>
      <c r="EL57" s="544"/>
      <c r="EM57" s="544"/>
      <c r="EN57" s="545"/>
      <c r="EO57" s="543"/>
      <c r="EP57" s="544"/>
      <c r="EQ57" s="544"/>
      <c r="ER57" s="544"/>
      <c r="ES57" s="742" t="s">
        <v>52</v>
      </c>
      <c r="ET57" s="742"/>
      <c r="EU57" s="742"/>
      <c r="EV57" s="742"/>
      <c r="EW57" s="742"/>
      <c r="EX57" s="742"/>
      <c r="EY57" s="742"/>
      <c r="EZ57" s="742"/>
      <c r="FA57" s="742"/>
      <c r="FB57" s="544"/>
      <c r="FC57" s="544"/>
      <c r="FD57" s="544"/>
      <c r="FE57" s="544"/>
      <c r="FF57" s="545"/>
      <c r="FG57" s="543"/>
      <c r="FH57" s="544"/>
      <c r="FI57" s="544"/>
      <c r="FJ57" s="544"/>
      <c r="FK57" s="742" t="s">
        <v>52</v>
      </c>
      <c r="FL57" s="742"/>
      <c r="FM57" s="742"/>
      <c r="FN57" s="742"/>
      <c r="FO57" s="742"/>
      <c r="FP57" s="742"/>
      <c r="FQ57" s="742"/>
      <c r="FR57" s="742"/>
      <c r="FS57" s="742"/>
      <c r="FT57" s="544"/>
      <c r="FU57" s="544"/>
      <c r="FV57" s="544"/>
      <c r="FW57" s="544"/>
      <c r="FX57" s="545"/>
      <c r="FY57" s="543"/>
      <c r="FZ57" s="544"/>
      <c r="GA57" s="544"/>
      <c r="GB57" s="544"/>
      <c r="GC57" s="742" t="s">
        <v>52</v>
      </c>
      <c r="GD57" s="742"/>
      <c r="GE57" s="742"/>
      <c r="GF57" s="742"/>
      <c r="GG57" s="742"/>
      <c r="GH57" s="742"/>
      <c r="GI57" s="742"/>
      <c r="GJ57" s="742"/>
      <c r="GK57" s="742"/>
      <c r="GL57" s="544"/>
      <c r="GM57" s="544"/>
      <c r="GN57" s="544"/>
      <c r="GO57" s="544"/>
      <c r="GP57" s="545"/>
      <c r="GQ57" s="543"/>
      <c r="GR57" s="544"/>
      <c r="GS57" s="544"/>
      <c r="GT57" s="544"/>
      <c r="GU57" s="742" t="s">
        <v>52</v>
      </c>
      <c r="GV57" s="742"/>
      <c r="GW57" s="742"/>
      <c r="GX57" s="742"/>
      <c r="GY57" s="742"/>
      <c r="GZ57" s="742"/>
      <c r="HA57" s="742"/>
      <c r="HB57" s="742"/>
      <c r="HC57" s="742"/>
      <c r="HD57" s="544"/>
      <c r="HE57" s="544"/>
      <c r="HF57" s="544"/>
      <c r="HG57" s="544"/>
      <c r="HH57" s="545"/>
      <c r="HJ57" s="37"/>
      <c r="HK57" s="37"/>
      <c r="HL57" s="37"/>
      <c r="HM57" s="37"/>
      <c r="HN57" s="37"/>
      <c r="HO57" s="37"/>
      <c r="HP57" s="37"/>
      <c r="HQ57" s="37"/>
      <c r="HR57" s="37"/>
      <c r="HS57" s="37"/>
      <c r="HT57" s="37"/>
      <c r="HU57" s="37"/>
      <c r="HV57" s="37"/>
      <c r="HW57" s="37"/>
      <c r="HX57" s="37"/>
      <c r="HY57" s="37"/>
      <c r="HZ57" s="37"/>
      <c r="IA57" s="37"/>
      <c r="IB57" s="37"/>
      <c r="IC57" s="37"/>
      <c r="ID57" s="37"/>
      <c r="IE57" s="37"/>
      <c r="IF57" s="37"/>
      <c r="IG57" s="37"/>
      <c r="IH57" s="37"/>
      <c r="II57" s="37"/>
      <c r="IJ57" s="37"/>
      <c r="IK57" s="37"/>
      <c r="IL57" s="37"/>
      <c r="IM57" s="37"/>
      <c r="IN57" s="37"/>
      <c r="IO57" s="37"/>
      <c r="IP57" s="37"/>
    </row>
    <row r="58" spans="1:250" x14ac:dyDescent="0.3">
      <c r="A58" s="58">
        <v>0</v>
      </c>
      <c r="B58" s="68" t="s">
        <v>133</v>
      </c>
      <c r="C58" s="28">
        <f t="shared" ref="C58:C61" si="756">D58/$AM$4</f>
        <v>0</v>
      </c>
      <c r="D58" s="28">
        <v>0</v>
      </c>
      <c r="E58" s="28">
        <f>D58*E$6</f>
        <v>0</v>
      </c>
      <c r="F58" s="28">
        <f>D58*F$6</f>
        <v>0</v>
      </c>
      <c r="G58" s="28">
        <f>D58/G$6</f>
        <v>0</v>
      </c>
      <c r="H58" s="72">
        <f>G58/H$6</f>
        <v>0</v>
      </c>
      <c r="I58" s="72">
        <f>D58/I$6</f>
        <v>0</v>
      </c>
      <c r="J58" s="70">
        <f>SUM(D58:I58)</f>
        <v>0</v>
      </c>
      <c r="K58" s="71">
        <v>0</v>
      </c>
      <c r="L58" s="71">
        <v>0</v>
      </c>
      <c r="M58" s="72">
        <f t="shared" ref="M58:M61" si="757">((C58*M$6)+(C58*$AO$6)+(C58*$AP$6))*K58</f>
        <v>0</v>
      </c>
      <c r="N58" s="72">
        <f t="shared" ref="N58:N61" si="758">((C58*N$6)+(C58*$AO$6)+(C58*$AP$6))*L58</f>
        <v>0</v>
      </c>
      <c r="O58" s="70">
        <f>SUM(M58:N58)</f>
        <v>0</v>
      </c>
      <c r="P58" s="75">
        <v>0</v>
      </c>
      <c r="Q58" s="74">
        <f t="shared" ref="Q58:Q61" si="759">IF(A58=1,($C$1*$Q$6),0)</f>
        <v>0</v>
      </c>
      <c r="R58" s="303">
        <f t="shared" ref="R58:R61" si="760">J58+O58+P58+Q58</f>
        <v>0</v>
      </c>
      <c r="S58" s="58">
        <v>0</v>
      </c>
      <c r="T58" s="68" t="s">
        <v>133</v>
      </c>
      <c r="U58" s="28">
        <f t="shared" ref="U58:U61" si="761">V58/$AM$4</f>
        <v>0</v>
      </c>
      <c r="V58" s="28">
        <v>0</v>
      </c>
      <c r="W58" s="28">
        <f>V58*W$6</f>
        <v>0</v>
      </c>
      <c r="X58" s="28">
        <f>V58*X$6</f>
        <v>0</v>
      </c>
      <c r="Y58" s="28">
        <f>V58/Y$6</f>
        <v>0</v>
      </c>
      <c r="Z58" s="72">
        <f>Y58/Z$6</f>
        <v>0</v>
      </c>
      <c r="AA58" s="72">
        <f>V58/AA$6</f>
        <v>0</v>
      </c>
      <c r="AB58" s="70">
        <f>SUM(V58:AA58)</f>
        <v>0</v>
      </c>
      <c r="AC58" s="71">
        <v>0</v>
      </c>
      <c r="AD58" s="71">
        <v>0</v>
      </c>
      <c r="AE58" s="72">
        <f t="shared" ref="AE58:AE61" si="762">((U58*AE$6)+(U58*$AO$6)+(U58*$AP$6))*AC58</f>
        <v>0</v>
      </c>
      <c r="AF58" s="72">
        <f t="shared" ref="AF58:AF61" si="763">((U58*AF$6)+(U58*$AO$6)+(U58*$AP$6))*AD58</f>
        <v>0</v>
      </c>
      <c r="AG58" s="70">
        <f>SUM(AE58:AF58)</f>
        <v>0</v>
      </c>
      <c r="AH58" s="75">
        <v>0</v>
      </c>
      <c r="AI58" s="74">
        <f t="shared" ref="AI58:AI61" si="764">IF(S58=1,($C$1*$Q$6),0)</f>
        <v>0</v>
      </c>
      <c r="AJ58" s="303">
        <f t="shared" ref="AJ58:AJ61" si="765">AB58+AG58+AH58+AI58</f>
        <v>0</v>
      </c>
      <c r="AK58" s="58">
        <v>0</v>
      </c>
      <c r="AL58" s="68" t="s">
        <v>133</v>
      </c>
      <c r="AM58" s="28">
        <f t="shared" ref="AM58:AM61" si="766">AN58/$AM$4</f>
        <v>0</v>
      </c>
      <c r="AN58" s="28">
        <v>0</v>
      </c>
      <c r="AO58" s="28">
        <f>AN58*AO$6</f>
        <v>0</v>
      </c>
      <c r="AP58" s="28">
        <f>AN58*AP$6</f>
        <v>0</v>
      </c>
      <c r="AQ58" s="28">
        <f>AN58/AQ$6</f>
        <v>0</v>
      </c>
      <c r="AR58" s="72">
        <f>AQ58/AR$6</f>
        <v>0</v>
      </c>
      <c r="AS58" s="72">
        <f>AN58/AS$6</f>
        <v>0</v>
      </c>
      <c r="AT58" s="70">
        <f>SUM(AN58:AS58)</f>
        <v>0</v>
      </c>
      <c r="AU58" s="71">
        <v>0</v>
      </c>
      <c r="AV58" s="71">
        <v>0</v>
      </c>
      <c r="AW58" s="72">
        <f t="shared" ref="AW58:AW61" si="767">((AM58*AW$6)+(AM58*$AO$6)+(AM58*$AP$6))*AU58</f>
        <v>0</v>
      </c>
      <c r="AX58" s="72">
        <f t="shared" ref="AX58:AX61" si="768">((AM58*AX$6)+(AM58*$AO$6)+(AM58*$AP$6))*AV58</f>
        <v>0</v>
      </c>
      <c r="AY58" s="70">
        <f>SUM(AW58:AX58)</f>
        <v>0</v>
      </c>
      <c r="AZ58" s="75">
        <v>0</v>
      </c>
      <c r="BA58" s="74">
        <f t="shared" ref="BA58:BA61" si="769">IF(AK58=1,($C$1*$Q$6),0)</f>
        <v>0</v>
      </c>
      <c r="BB58" s="303">
        <f t="shared" ref="BB58:BB61" si="770">AT58+AY58+AZ58+BA58</f>
        <v>0</v>
      </c>
      <c r="BC58" s="58">
        <v>0</v>
      </c>
      <c r="BD58" s="68" t="s">
        <v>133</v>
      </c>
      <c r="BE58" s="28">
        <f t="shared" ref="BE58:BE61" si="771">BF58/$AM$4</f>
        <v>0</v>
      </c>
      <c r="BF58" s="28">
        <v>0</v>
      </c>
      <c r="BG58" s="28">
        <f>BF58*BG$6</f>
        <v>0</v>
      </c>
      <c r="BH58" s="28">
        <f>BF58*BH$6</f>
        <v>0</v>
      </c>
      <c r="BI58" s="28">
        <f>BF58/BI$6</f>
        <v>0</v>
      </c>
      <c r="BJ58" s="72">
        <f>BI58/BJ$6</f>
        <v>0</v>
      </c>
      <c r="BK58" s="72">
        <f>BF58/BK$6</f>
        <v>0</v>
      </c>
      <c r="BL58" s="70">
        <f>SUM(BF58:BK58)</f>
        <v>0</v>
      </c>
      <c r="BM58" s="71">
        <v>0</v>
      </c>
      <c r="BN58" s="71">
        <v>0</v>
      </c>
      <c r="BO58" s="72">
        <f t="shared" ref="BO58:BO61" si="772">((BE58*BO$6)+(BE58*$AO$6)+(BE58*$AP$6))*BM58</f>
        <v>0</v>
      </c>
      <c r="BP58" s="72">
        <f t="shared" ref="BP58:BP61" si="773">((BE58*BP$6)+(BE58*$AO$6)+(BE58*$AP$6))*BN58</f>
        <v>0</v>
      </c>
      <c r="BQ58" s="70">
        <f>SUM(BO58:BP58)</f>
        <v>0</v>
      </c>
      <c r="BR58" s="75">
        <v>0</v>
      </c>
      <c r="BS58" s="74">
        <f t="shared" ref="BS58:BS61" si="774">IF(BC58=1,($C$1*$Q$6),0)</f>
        <v>0</v>
      </c>
      <c r="BT58" s="303">
        <f t="shared" ref="BT58:BT61" si="775">BL58+BQ58+BR58+BS58</f>
        <v>0</v>
      </c>
      <c r="BU58" s="58">
        <v>0</v>
      </c>
      <c r="BV58" s="68" t="s">
        <v>133</v>
      </c>
      <c r="BW58" s="28">
        <f t="shared" ref="BW58:BW61" si="776">BX58/$AM$4</f>
        <v>0</v>
      </c>
      <c r="BX58" s="28">
        <v>0</v>
      </c>
      <c r="BY58" s="28">
        <f>BX58*BY$6</f>
        <v>0</v>
      </c>
      <c r="BZ58" s="28">
        <f>BX58*BZ$6</f>
        <v>0</v>
      </c>
      <c r="CA58" s="28">
        <f>BX58/CA$6</f>
        <v>0</v>
      </c>
      <c r="CB58" s="72">
        <f>CA58/CB$6</f>
        <v>0</v>
      </c>
      <c r="CC58" s="72">
        <f>BX58/CC$6</f>
        <v>0</v>
      </c>
      <c r="CD58" s="70">
        <f>SUM(BX58:CC58)</f>
        <v>0</v>
      </c>
      <c r="CE58" s="71">
        <v>0</v>
      </c>
      <c r="CF58" s="71">
        <v>0</v>
      </c>
      <c r="CG58" s="72">
        <f t="shared" ref="CG58:CG61" si="777">((BW58*CG$6)+(BW58*$AO$6)+(BW58*$AP$6))*CE58</f>
        <v>0</v>
      </c>
      <c r="CH58" s="72">
        <f t="shared" ref="CH58:CH61" si="778">((BW58*CH$6)+(BW58*$AO$6)+(BW58*$AP$6))*CF58</f>
        <v>0</v>
      </c>
      <c r="CI58" s="70">
        <f>SUM(CG58:CH58)</f>
        <v>0</v>
      </c>
      <c r="CJ58" s="75">
        <v>0</v>
      </c>
      <c r="CK58" s="74">
        <f t="shared" ref="CK58:CK61" si="779">IF(BU58=1,($C$1*$Q$6),0)</f>
        <v>0</v>
      </c>
      <c r="CL58" s="303">
        <f t="shared" ref="CL58:CL61" si="780">CD58+CI58+CJ58+CK58</f>
        <v>0</v>
      </c>
      <c r="CM58" s="58">
        <v>0</v>
      </c>
      <c r="CN58" s="68" t="s">
        <v>133</v>
      </c>
      <c r="CO58" s="28">
        <f t="shared" ref="CO58:CO61" si="781">CP58/$AM$4</f>
        <v>0</v>
      </c>
      <c r="CP58" s="28">
        <v>0</v>
      </c>
      <c r="CQ58" s="28">
        <f>CP58*CQ$6</f>
        <v>0</v>
      </c>
      <c r="CR58" s="28">
        <f>CP58*CR$6</f>
        <v>0</v>
      </c>
      <c r="CS58" s="28">
        <f>CP58/CS$6</f>
        <v>0</v>
      </c>
      <c r="CT58" s="72">
        <f>CS58/CT$6</f>
        <v>0</v>
      </c>
      <c r="CU58" s="72">
        <f>CP58/CU$6</f>
        <v>0</v>
      </c>
      <c r="CV58" s="70">
        <f>SUM(CP58:CU58)</f>
        <v>0</v>
      </c>
      <c r="CW58" s="71">
        <v>0</v>
      </c>
      <c r="CX58" s="71">
        <v>0</v>
      </c>
      <c r="CY58" s="72">
        <f t="shared" ref="CY58:CY61" si="782">((CO58*CY$6)+(CO58*$AO$6)+(CO58*$AP$6))*CW58</f>
        <v>0</v>
      </c>
      <c r="CZ58" s="72">
        <f t="shared" ref="CZ58:CZ61" si="783">((CO58*CZ$6)+(CO58*$AO$6)+(CO58*$AP$6))*CX58</f>
        <v>0</v>
      </c>
      <c r="DA58" s="70">
        <f>SUM(CY58:CZ58)</f>
        <v>0</v>
      </c>
      <c r="DB58" s="75">
        <v>0</v>
      </c>
      <c r="DC58" s="74">
        <f t="shared" ref="DC58:DC61" si="784">IF(CM58=1,($C$1*$Q$6),0)</f>
        <v>0</v>
      </c>
      <c r="DD58" s="303">
        <f t="shared" ref="DD58:DD61" si="785">CV58+DA58+DB58+DC58</f>
        <v>0</v>
      </c>
      <c r="DE58" s="58">
        <v>0</v>
      </c>
      <c r="DF58" s="68" t="s">
        <v>133</v>
      </c>
      <c r="DG58" s="28">
        <f t="shared" ref="DG58:DG61" si="786">DH58/$AM$4</f>
        <v>0</v>
      </c>
      <c r="DH58" s="28">
        <v>0</v>
      </c>
      <c r="DI58" s="28">
        <f>DH58*DI$6</f>
        <v>0</v>
      </c>
      <c r="DJ58" s="28">
        <f>DH58*DJ$6</f>
        <v>0</v>
      </c>
      <c r="DK58" s="28">
        <f>DH58/DK$6</f>
        <v>0</v>
      </c>
      <c r="DL58" s="72">
        <f>DK58/DL$6</f>
        <v>0</v>
      </c>
      <c r="DM58" s="72">
        <f>DH58/DM$6</f>
        <v>0</v>
      </c>
      <c r="DN58" s="70">
        <f>SUM(DH58:DM58)</f>
        <v>0</v>
      </c>
      <c r="DO58" s="71">
        <v>0</v>
      </c>
      <c r="DP58" s="71">
        <v>0</v>
      </c>
      <c r="DQ58" s="72">
        <f t="shared" ref="DQ58:DQ61" si="787">((DG58*DQ$6)+(DG58*$AO$6)+(DG58*$AP$6))*DO58</f>
        <v>0</v>
      </c>
      <c r="DR58" s="72">
        <f t="shared" ref="DR58:DR61" si="788">((DG58*DR$6)+(DG58*$AO$6)+(DG58*$AP$6))*DP58</f>
        <v>0</v>
      </c>
      <c r="DS58" s="70">
        <f>SUM(DQ58:DR58)</f>
        <v>0</v>
      </c>
      <c r="DT58" s="75">
        <v>0</v>
      </c>
      <c r="DU58" s="74">
        <f t="shared" ref="DU58:DU61" si="789">IF(DE58=1,($C$1*$Q$6),0)</f>
        <v>0</v>
      </c>
      <c r="DV58" s="303">
        <f t="shared" ref="DV58:DV61" si="790">DN58+DS58+DT58+DU58</f>
        <v>0</v>
      </c>
      <c r="DW58" s="58">
        <v>0</v>
      </c>
      <c r="DX58" s="68" t="s">
        <v>133</v>
      </c>
      <c r="DY58" s="28">
        <f t="shared" ref="DY58:DY61" si="791">DZ58/$AM$4</f>
        <v>0</v>
      </c>
      <c r="DZ58" s="28">
        <v>0</v>
      </c>
      <c r="EA58" s="28">
        <f>DZ58*EA$6</f>
        <v>0</v>
      </c>
      <c r="EB58" s="28">
        <f>DZ58*EB$6</f>
        <v>0</v>
      </c>
      <c r="EC58" s="28">
        <f>DZ58/EC$6</f>
        <v>0</v>
      </c>
      <c r="ED58" s="72">
        <f>EC58/ED$6</f>
        <v>0</v>
      </c>
      <c r="EE58" s="72">
        <f>DZ58/EE$6</f>
        <v>0</v>
      </c>
      <c r="EF58" s="70">
        <f>SUM(DZ58:EE58)</f>
        <v>0</v>
      </c>
      <c r="EG58" s="71">
        <v>0</v>
      </c>
      <c r="EH58" s="71">
        <v>0</v>
      </c>
      <c r="EI58" s="72">
        <f t="shared" ref="EI58:EI61" si="792">((DY58*EI$6)+(DY58*$AO$6)+(DY58*$AP$6))*EG58</f>
        <v>0</v>
      </c>
      <c r="EJ58" s="72">
        <f t="shared" ref="EJ58:EJ61" si="793">((DY58*EJ$6)+(DY58*$AO$6)+(DY58*$AP$6))*EH58</f>
        <v>0</v>
      </c>
      <c r="EK58" s="70">
        <f>SUM(EI58:EJ58)</f>
        <v>0</v>
      </c>
      <c r="EL58" s="75">
        <v>0</v>
      </c>
      <c r="EM58" s="74">
        <f t="shared" ref="EM58:EM61" si="794">IF(DW58=1,($C$1*$Q$6),0)</f>
        <v>0</v>
      </c>
      <c r="EN58" s="303">
        <f t="shared" ref="EN58:EN61" si="795">EF58+EK58+EL58+EM58</f>
        <v>0</v>
      </c>
      <c r="EO58" s="58">
        <v>0</v>
      </c>
      <c r="EP58" s="68" t="s">
        <v>133</v>
      </c>
      <c r="EQ58" s="28">
        <f t="shared" ref="EQ58:EQ61" si="796">ER58/$AM$4</f>
        <v>0</v>
      </c>
      <c r="ER58" s="28">
        <v>0</v>
      </c>
      <c r="ES58" s="28">
        <f>ER58*ES$6</f>
        <v>0</v>
      </c>
      <c r="ET58" s="28">
        <f>ER58*ET$6</f>
        <v>0</v>
      </c>
      <c r="EU58" s="28">
        <f>ER58/EU$6</f>
        <v>0</v>
      </c>
      <c r="EV58" s="72">
        <f>EU58/EV$6</f>
        <v>0</v>
      </c>
      <c r="EW58" s="72">
        <f>ER58/EW$6</f>
        <v>0</v>
      </c>
      <c r="EX58" s="70">
        <f>SUM(ER58:EW58)</f>
        <v>0</v>
      </c>
      <c r="EY58" s="71">
        <v>0</v>
      </c>
      <c r="EZ58" s="71">
        <v>0</v>
      </c>
      <c r="FA58" s="72">
        <f t="shared" ref="FA58:FA61" si="797">((EQ58*FA$6)+(EQ58*$AO$6)+(EQ58*$AP$6))*EY58</f>
        <v>0</v>
      </c>
      <c r="FB58" s="72">
        <f t="shared" ref="FB58:FB61" si="798">((EQ58*FB$6)+(EQ58*$AO$6)+(EQ58*$AP$6))*EZ58</f>
        <v>0</v>
      </c>
      <c r="FC58" s="70">
        <f>SUM(FA58:FB58)</f>
        <v>0</v>
      </c>
      <c r="FD58" s="75">
        <v>0</v>
      </c>
      <c r="FE58" s="74">
        <f t="shared" ref="FE58:FE61" si="799">IF(EO58=1,($C$1*$Q$6),0)</f>
        <v>0</v>
      </c>
      <c r="FF58" s="303">
        <f t="shared" ref="FF58:FF61" si="800">EX58+FC58+FD58+FE58</f>
        <v>0</v>
      </c>
      <c r="FG58" s="58">
        <v>0</v>
      </c>
      <c r="FH58" s="68" t="s">
        <v>133</v>
      </c>
      <c r="FI58" s="28">
        <f t="shared" ref="FI58:FI61" si="801">FJ58/$AM$4</f>
        <v>0</v>
      </c>
      <c r="FJ58" s="28">
        <v>0</v>
      </c>
      <c r="FK58" s="28">
        <f>FJ58*FK$6</f>
        <v>0</v>
      </c>
      <c r="FL58" s="28">
        <f>FJ58*FL$6</f>
        <v>0</v>
      </c>
      <c r="FM58" s="28">
        <f>FJ58/FM$6</f>
        <v>0</v>
      </c>
      <c r="FN58" s="72">
        <f>FM58/FN$6</f>
        <v>0</v>
      </c>
      <c r="FO58" s="72">
        <f>FJ58/FO$6</f>
        <v>0</v>
      </c>
      <c r="FP58" s="70">
        <f>SUM(FJ58:FO58)</f>
        <v>0</v>
      </c>
      <c r="FQ58" s="71">
        <v>0</v>
      </c>
      <c r="FR58" s="71">
        <v>0</v>
      </c>
      <c r="FS58" s="72">
        <f t="shared" ref="FS58:FS61" si="802">((FI58*FS$6)+(FI58*$AO$6)+(FI58*$AP$6))*FQ58</f>
        <v>0</v>
      </c>
      <c r="FT58" s="72">
        <f t="shared" ref="FT58:FT61" si="803">((FI58*FT$6)+(FI58*$AO$6)+(FI58*$AP$6))*FR58</f>
        <v>0</v>
      </c>
      <c r="FU58" s="70">
        <f>SUM(FS58:FT58)</f>
        <v>0</v>
      </c>
      <c r="FV58" s="75">
        <v>0</v>
      </c>
      <c r="FW58" s="74">
        <f t="shared" ref="FW58:FW61" si="804">IF(FG58=1,($C$1*$Q$6),0)</f>
        <v>0</v>
      </c>
      <c r="FX58" s="303">
        <f t="shared" ref="FX58:FX61" si="805">FP58+FU58+FV58+FW58</f>
        <v>0</v>
      </c>
      <c r="FY58" s="58">
        <v>0</v>
      </c>
      <c r="FZ58" s="68" t="s">
        <v>133</v>
      </c>
      <c r="GA58" s="28">
        <f t="shared" ref="GA58:GA61" si="806">GB58/$AM$4</f>
        <v>0</v>
      </c>
      <c r="GB58" s="28">
        <v>0</v>
      </c>
      <c r="GC58" s="28">
        <f>GB58*GC$6</f>
        <v>0</v>
      </c>
      <c r="GD58" s="28">
        <f>GB58*GD$6</f>
        <v>0</v>
      </c>
      <c r="GE58" s="28">
        <f>GB58/GE$6</f>
        <v>0</v>
      </c>
      <c r="GF58" s="72">
        <f>GE58/GF$6</f>
        <v>0</v>
      </c>
      <c r="GG58" s="72">
        <f>GB58/GG$6</f>
        <v>0</v>
      </c>
      <c r="GH58" s="70">
        <f>SUM(GB58:GG58)</f>
        <v>0</v>
      </c>
      <c r="GI58" s="71">
        <v>0</v>
      </c>
      <c r="GJ58" s="71">
        <v>0</v>
      </c>
      <c r="GK58" s="72">
        <f t="shared" ref="GK58:GK61" si="807">((GA58*GK$6)+(GA58*$AO$6)+(GA58*$AP$6))*GI58</f>
        <v>0</v>
      </c>
      <c r="GL58" s="72">
        <f t="shared" ref="GL58:GL61" si="808">((GA58*GL$6)+(GA58*$AO$6)+(GA58*$AP$6))*GJ58</f>
        <v>0</v>
      </c>
      <c r="GM58" s="70">
        <f>SUM(GK58:GL58)</f>
        <v>0</v>
      </c>
      <c r="GN58" s="75">
        <v>0</v>
      </c>
      <c r="GO58" s="74">
        <f t="shared" ref="GO58:GO61" si="809">IF(FY58=1,($C$1*$Q$6),0)</f>
        <v>0</v>
      </c>
      <c r="GP58" s="303">
        <f t="shared" ref="GP58:GP61" si="810">GH58+GM58+GN58+GO58</f>
        <v>0</v>
      </c>
      <c r="GQ58" s="58">
        <v>0</v>
      </c>
      <c r="GR58" s="68" t="s">
        <v>133</v>
      </c>
      <c r="GS58" s="28">
        <f t="shared" ref="GS58:GS61" si="811">GT58/$AM$4</f>
        <v>0</v>
      </c>
      <c r="GT58" s="28">
        <v>0</v>
      </c>
      <c r="GU58" s="28">
        <f>GT58*GU$6</f>
        <v>0</v>
      </c>
      <c r="GV58" s="28">
        <f>GT58*GV$6</f>
        <v>0</v>
      </c>
      <c r="GW58" s="28">
        <f>GT58/GW$6</f>
        <v>0</v>
      </c>
      <c r="GX58" s="72">
        <f>GW58/GX$6</f>
        <v>0</v>
      </c>
      <c r="GY58" s="72">
        <f>GT58/GY$6</f>
        <v>0</v>
      </c>
      <c r="GZ58" s="70">
        <f>SUM(GT58:GY58)</f>
        <v>0</v>
      </c>
      <c r="HA58" s="71">
        <v>0</v>
      </c>
      <c r="HB58" s="71">
        <v>0</v>
      </c>
      <c r="HC58" s="72">
        <f t="shared" ref="HC58:HC61" si="812">((GS58*HC$6)+(GS58*$AO$6)+(GS58*$AP$6))*HA58</f>
        <v>0</v>
      </c>
      <c r="HD58" s="72">
        <f t="shared" ref="HD58:HD61" si="813">((GS58*HD$6)+(GS58*$AO$6)+(GS58*$AP$6))*HB58</f>
        <v>0</v>
      </c>
      <c r="HE58" s="70">
        <f>SUM(HC58:HD58)</f>
        <v>0</v>
      </c>
      <c r="HF58" s="75">
        <v>0</v>
      </c>
      <c r="HG58" s="74">
        <f t="shared" ref="HG58:HG61" si="814">IF(GQ58=1,($C$1*$Q$6),0)</f>
        <v>0</v>
      </c>
      <c r="HH58" s="303">
        <f t="shared" ref="HH58:HH61" si="815">GZ58+HE58+HF58+HG58</f>
        <v>0</v>
      </c>
      <c r="HJ58" s="37"/>
      <c r="HK58" s="37"/>
      <c r="HL58" s="37"/>
      <c r="HM58" s="37"/>
      <c r="HN58" s="37"/>
      <c r="HO58" s="37"/>
      <c r="HP58" s="37"/>
      <c r="HQ58" s="37"/>
      <c r="HR58" s="37"/>
      <c r="HS58" s="37"/>
      <c r="HT58" s="37"/>
      <c r="HU58" s="37"/>
      <c r="HV58" s="37"/>
      <c r="HW58" s="37"/>
      <c r="HX58" s="37"/>
      <c r="HY58" s="37"/>
      <c r="HZ58" s="37"/>
      <c r="IA58" s="37"/>
      <c r="IB58" s="37"/>
      <c r="IC58" s="37"/>
      <c r="ID58" s="37"/>
      <c r="IE58" s="37"/>
      <c r="IF58" s="37"/>
      <c r="IG58" s="37"/>
      <c r="IH58" s="37"/>
      <c r="II58" s="37"/>
      <c r="IJ58" s="37"/>
      <c r="IK58" s="37"/>
      <c r="IL58" s="37"/>
      <c r="IM58" s="37"/>
      <c r="IN58" s="37"/>
      <c r="IO58" s="37"/>
      <c r="IP58" s="37"/>
    </row>
    <row r="59" spans="1:250" x14ac:dyDescent="0.3">
      <c r="A59" s="58">
        <v>0</v>
      </c>
      <c r="B59" s="68"/>
      <c r="C59" s="28">
        <f t="shared" si="756"/>
        <v>0</v>
      </c>
      <c r="D59" s="28">
        <v>0</v>
      </c>
      <c r="E59" s="28">
        <f>D59*E$6</f>
        <v>0</v>
      </c>
      <c r="F59" s="28">
        <f>D59*F$6</f>
        <v>0</v>
      </c>
      <c r="G59" s="28">
        <f>D59/G$6</f>
        <v>0</v>
      </c>
      <c r="H59" s="72">
        <f>G59/H$6</f>
        <v>0</v>
      </c>
      <c r="I59" s="72">
        <f>D59/I$6</f>
        <v>0</v>
      </c>
      <c r="J59" s="70">
        <f>SUM(D59:I59)</f>
        <v>0</v>
      </c>
      <c r="K59" s="71">
        <v>0</v>
      </c>
      <c r="L59" s="71">
        <v>0</v>
      </c>
      <c r="M59" s="72">
        <f t="shared" si="757"/>
        <v>0</v>
      </c>
      <c r="N59" s="72">
        <f t="shared" si="758"/>
        <v>0</v>
      </c>
      <c r="O59" s="70">
        <f>SUM(M59:N59)</f>
        <v>0</v>
      </c>
      <c r="P59" s="75">
        <v>0</v>
      </c>
      <c r="Q59" s="74">
        <f t="shared" si="759"/>
        <v>0</v>
      </c>
      <c r="R59" s="303">
        <f t="shared" si="760"/>
        <v>0</v>
      </c>
      <c r="S59" s="58">
        <v>0</v>
      </c>
      <c r="T59" s="68"/>
      <c r="U59" s="28">
        <f t="shared" si="761"/>
        <v>0</v>
      </c>
      <c r="V59" s="28">
        <v>0</v>
      </c>
      <c r="W59" s="28">
        <f>V59*W$6</f>
        <v>0</v>
      </c>
      <c r="X59" s="28">
        <f>V59*X$6</f>
        <v>0</v>
      </c>
      <c r="Y59" s="28">
        <f>V59/Y$6</f>
        <v>0</v>
      </c>
      <c r="Z59" s="72">
        <f>Y59/Z$6</f>
        <v>0</v>
      </c>
      <c r="AA59" s="72">
        <f>V59/AA$6</f>
        <v>0</v>
      </c>
      <c r="AB59" s="70">
        <f>SUM(V59:AA59)</f>
        <v>0</v>
      </c>
      <c r="AC59" s="71">
        <v>0</v>
      </c>
      <c r="AD59" s="71">
        <v>0</v>
      </c>
      <c r="AE59" s="72">
        <f t="shared" si="762"/>
        <v>0</v>
      </c>
      <c r="AF59" s="72">
        <f t="shared" si="763"/>
        <v>0</v>
      </c>
      <c r="AG59" s="70">
        <f>SUM(AE59:AF59)</f>
        <v>0</v>
      </c>
      <c r="AH59" s="75">
        <v>0</v>
      </c>
      <c r="AI59" s="74">
        <f t="shared" si="764"/>
        <v>0</v>
      </c>
      <c r="AJ59" s="303">
        <f t="shared" si="765"/>
        <v>0</v>
      </c>
      <c r="AK59" s="58">
        <v>0</v>
      </c>
      <c r="AL59" s="68"/>
      <c r="AM59" s="28">
        <f t="shared" si="766"/>
        <v>0</v>
      </c>
      <c r="AN59" s="28">
        <v>0</v>
      </c>
      <c r="AO59" s="28">
        <f>AN59*AO$6</f>
        <v>0</v>
      </c>
      <c r="AP59" s="28">
        <f>AN59*AP$6</f>
        <v>0</v>
      </c>
      <c r="AQ59" s="28">
        <f>AN59/AQ$6</f>
        <v>0</v>
      </c>
      <c r="AR59" s="72">
        <f>AQ59/AR$6</f>
        <v>0</v>
      </c>
      <c r="AS59" s="72">
        <f>AN59/AS$6</f>
        <v>0</v>
      </c>
      <c r="AT59" s="70">
        <f>SUM(AN59:AS59)</f>
        <v>0</v>
      </c>
      <c r="AU59" s="71">
        <v>0</v>
      </c>
      <c r="AV59" s="71">
        <v>0</v>
      </c>
      <c r="AW59" s="72">
        <f t="shared" si="767"/>
        <v>0</v>
      </c>
      <c r="AX59" s="72">
        <f t="shared" si="768"/>
        <v>0</v>
      </c>
      <c r="AY59" s="70">
        <f>SUM(AW59:AX59)</f>
        <v>0</v>
      </c>
      <c r="AZ59" s="75">
        <v>0</v>
      </c>
      <c r="BA59" s="74">
        <f t="shared" si="769"/>
        <v>0</v>
      </c>
      <c r="BB59" s="303">
        <f t="shared" si="770"/>
        <v>0</v>
      </c>
      <c r="BC59" s="58">
        <v>0</v>
      </c>
      <c r="BD59" s="68"/>
      <c r="BE59" s="28">
        <f t="shared" si="771"/>
        <v>0</v>
      </c>
      <c r="BF59" s="28">
        <v>0</v>
      </c>
      <c r="BG59" s="28">
        <f>BF59*BG$6</f>
        <v>0</v>
      </c>
      <c r="BH59" s="28">
        <f>BF59*BH$6</f>
        <v>0</v>
      </c>
      <c r="BI59" s="28">
        <f>BF59/BI$6</f>
        <v>0</v>
      </c>
      <c r="BJ59" s="72">
        <f>BI59/BJ$6</f>
        <v>0</v>
      </c>
      <c r="BK59" s="72">
        <f>BF59/BK$6</f>
        <v>0</v>
      </c>
      <c r="BL59" s="70">
        <f>SUM(BF59:BK59)</f>
        <v>0</v>
      </c>
      <c r="BM59" s="71">
        <v>0</v>
      </c>
      <c r="BN59" s="71">
        <v>0</v>
      </c>
      <c r="BO59" s="72">
        <f t="shared" si="772"/>
        <v>0</v>
      </c>
      <c r="BP59" s="72">
        <f t="shared" si="773"/>
        <v>0</v>
      </c>
      <c r="BQ59" s="70">
        <f>SUM(BO59:BP59)</f>
        <v>0</v>
      </c>
      <c r="BR59" s="75">
        <v>0</v>
      </c>
      <c r="BS59" s="74">
        <f t="shared" si="774"/>
        <v>0</v>
      </c>
      <c r="BT59" s="303">
        <f t="shared" si="775"/>
        <v>0</v>
      </c>
      <c r="BU59" s="58">
        <v>0</v>
      </c>
      <c r="BV59" s="68"/>
      <c r="BW59" s="28">
        <f t="shared" si="776"/>
        <v>0</v>
      </c>
      <c r="BX59" s="28">
        <v>0</v>
      </c>
      <c r="BY59" s="28">
        <f>BX59*BY$6</f>
        <v>0</v>
      </c>
      <c r="BZ59" s="28">
        <f>BX59*BZ$6</f>
        <v>0</v>
      </c>
      <c r="CA59" s="28">
        <f>BX59/CA$6</f>
        <v>0</v>
      </c>
      <c r="CB59" s="72">
        <f>CA59/CB$6</f>
        <v>0</v>
      </c>
      <c r="CC59" s="72">
        <f>BX59/CC$6</f>
        <v>0</v>
      </c>
      <c r="CD59" s="70">
        <f>SUM(BX59:CC59)</f>
        <v>0</v>
      </c>
      <c r="CE59" s="71">
        <v>0</v>
      </c>
      <c r="CF59" s="71">
        <v>0</v>
      </c>
      <c r="CG59" s="72">
        <f t="shared" si="777"/>
        <v>0</v>
      </c>
      <c r="CH59" s="72">
        <f t="shared" si="778"/>
        <v>0</v>
      </c>
      <c r="CI59" s="70">
        <f>SUM(CG59:CH59)</f>
        <v>0</v>
      </c>
      <c r="CJ59" s="75">
        <v>0</v>
      </c>
      <c r="CK59" s="74">
        <f t="shared" si="779"/>
        <v>0</v>
      </c>
      <c r="CL59" s="303">
        <f t="shared" si="780"/>
        <v>0</v>
      </c>
      <c r="CM59" s="58">
        <v>0</v>
      </c>
      <c r="CN59" s="68"/>
      <c r="CO59" s="28">
        <f t="shared" si="781"/>
        <v>0</v>
      </c>
      <c r="CP59" s="28">
        <v>0</v>
      </c>
      <c r="CQ59" s="28">
        <f>CP59*CQ$6</f>
        <v>0</v>
      </c>
      <c r="CR59" s="28">
        <f>CP59*CR$6</f>
        <v>0</v>
      </c>
      <c r="CS59" s="28">
        <f>CP59/CS$6</f>
        <v>0</v>
      </c>
      <c r="CT59" s="72">
        <f>CS59/CT$6</f>
        <v>0</v>
      </c>
      <c r="CU59" s="72">
        <f>CP59/CU$6</f>
        <v>0</v>
      </c>
      <c r="CV59" s="70">
        <f>SUM(CP59:CU59)</f>
        <v>0</v>
      </c>
      <c r="CW59" s="71">
        <v>0</v>
      </c>
      <c r="CX59" s="71">
        <v>0</v>
      </c>
      <c r="CY59" s="72">
        <f t="shared" si="782"/>
        <v>0</v>
      </c>
      <c r="CZ59" s="72">
        <f t="shared" si="783"/>
        <v>0</v>
      </c>
      <c r="DA59" s="70">
        <f>SUM(CY59:CZ59)</f>
        <v>0</v>
      </c>
      <c r="DB59" s="75">
        <v>0</v>
      </c>
      <c r="DC59" s="74">
        <f t="shared" si="784"/>
        <v>0</v>
      </c>
      <c r="DD59" s="303">
        <f t="shared" si="785"/>
        <v>0</v>
      </c>
      <c r="DE59" s="58">
        <v>0</v>
      </c>
      <c r="DF59" s="68"/>
      <c r="DG59" s="28">
        <f t="shared" si="786"/>
        <v>0</v>
      </c>
      <c r="DH59" s="28">
        <v>0</v>
      </c>
      <c r="DI59" s="28">
        <f>DH59*DI$6</f>
        <v>0</v>
      </c>
      <c r="DJ59" s="28">
        <f>DH59*DJ$6</f>
        <v>0</v>
      </c>
      <c r="DK59" s="28">
        <f>DH59/DK$6</f>
        <v>0</v>
      </c>
      <c r="DL59" s="72">
        <f>DK59/DL$6</f>
        <v>0</v>
      </c>
      <c r="DM59" s="72">
        <f>DH59/DM$6</f>
        <v>0</v>
      </c>
      <c r="DN59" s="70">
        <f>SUM(DH59:DM59)</f>
        <v>0</v>
      </c>
      <c r="DO59" s="71">
        <v>0</v>
      </c>
      <c r="DP59" s="71">
        <v>0</v>
      </c>
      <c r="DQ59" s="72">
        <f t="shared" si="787"/>
        <v>0</v>
      </c>
      <c r="DR59" s="72">
        <f t="shared" si="788"/>
        <v>0</v>
      </c>
      <c r="DS59" s="70">
        <f>SUM(DQ59:DR59)</f>
        <v>0</v>
      </c>
      <c r="DT59" s="75">
        <v>0</v>
      </c>
      <c r="DU59" s="74">
        <f t="shared" si="789"/>
        <v>0</v>
      </c>
      <c r="DV59" s="303">
        <f t="shared" si="790"/>
        <v>0</v>
      </c>
      <c r="DW59" s="58">
        <v>0</v>
      </c>
      <c r="DX59" s="68"/>
      <c r="DY59" s="28">
        <f t="shared" si="791"/>
        <v>0</v>
      </c>
      <c r="DZ59" s="28">
        <v>0</v>
      </c>
      <c r="EA59" s="28">
        <f>DZ59*EA$6</f>
        <v>0</v>
      </c>
      <c r="EB59" s="28">
        <f>DZ59*EB$6</f>
        <v>0</v>
      </c>
      <c r="EC59" s="28">
        <f>DZ59/EC$6</f>
        <v>0</v>
      </c>
      <c r="ED59" s="72">
        <f>EC59/ED$6</f>
        <v>0</v>
      </c>
      <c r="EE59" s="72">
        <f>DZ59/EE$6</f>
        <v>0</v>
      </c>
      <c r="EF59" s="70">
        <f>SUM(DZ59:EE59)</f>
        <v>0</v>
      </c>
      <c r="EG59" s="71">
        <v>0</v>
      </c>
      <c r="EH59" s="71">
        <v>0</v>
      </c>
      <c r="EI59" s="72">
        <f t="shared" si="792"/>
        <v>0</v>
      </c>
      <c r="EJ59" s="72">
        <f t="shared" si="793"/>
        <v>0</v>
      </c>
      <c r="EK59" s="70">
        <f>SUM(EI59:EJ59)</f>
        <v>0</v>
      </c>
      <c r="EL59" s="75">
        <v>0</v>
      </c>
      <c r="EM59" s="74">
        <f t="shared" si="794"/>
        <v>0</v>
      </c>
      <c r="EN59" s="303">
        <f t="shared" si="795"/>
        <v>0</v>
      </c>
      <c r="EO59" s="58">
        <v>0</v>
      </c>
      <c r="EP59" s="68"/>
      <c r="EQ59" s="28">
        <f t="shared" si="796"/>
        <v>0</v>
      </c>
      <c r="ER59" s="28">
        <v>0</v>
      </c>
      <c r="ES59" s="28">
        <f>ER59*ES$6</f>
        <v>0</v>
      </c>
      <c r="ET59" s="28">
        <f>ER59*ET$6</f>
        <v>0</v>
      </c>
      <c r="EU59" s="28">
        <f>ER59/EU$6</f>
        <v>0</v>
      </c>
      <c r="EV59" s="72">
        <f>EU59/EV$6</f>
        <v>0</v>
      </c>
      <c r="EW59" s="72">
        <f>ER59/EW$6</f>
        <v>0</v>
      </c>
      <c r="EX59" s="70">
        <f>SUM(ER59:EW59)</f>
        <v>0</v>
      </c>
      <c r="EY59" s="71">
        <v>0</v>
      </c>
      <c r="EZ59" s="71">
        <v>0</v>
      </c>
      <c r="FA59" s="72">
        <f t="shared" si="797"/>
        <v>0</v>
      </c>
      <c r="FB59" s="72">
        <f t="shared" si="798"/>
        <v>0</v>
      </c>
      <c r="FC59" s="70">
        <f>SUM(FA59:FB59)</f>
        <v>0</v>
      </c>
      <c r="FD59" s="75">
        <v>0</v>
      </c>
      <c r="FE59" s="74">
        <f t="shared" si="799"/>
        <v>0</v>
      </c>
      <c r="FF59" s="303">
        <f t="shared" si="800"/>
        <v>0</v>
      </c>
      <c r="FG59" s="58">
        <v>0</v>
      </c>
      <c r="FH59" s="68"/>
      <c r="FI59" s="28">
        <f t="shared" si="801"/>
        <v>0</v>
      </c>
      <c r="FJ59" s="28">
        <v>0</v>
      </c>
      <c r="FK59" s="28">
        <f>FJ59*FK$6</f>
        <v>0</v>
      </c>
      <c r="FL59" s="28">
        <f>FJ59*FL$6</f>
        <v>0</v>
      </c>
      <c r="FM59" s="28">
        <f>FJ59/FM$6</f>
        <v>0</v>
      </c>
      <c r="FN59" s="72">
        <f>FM59/FN$6</f>
        <v>0</v>
      </c>
      <c r="FO59" s="72">
        <f>FJ59/FO$6</f>
        <v>0</v>
      </c>
      <c r="FP59" s="70">
        <f>SUM(FJ59:FO59)</f>
        <v>0</v>
      </c>
      <c r="FQ59" s="71">
        <v>0</v>
      </c>
      <c r="FR59" s="71">
        <v>0</v>
      </c>
      <c r="FS59" s="72">
        <f t="shared" si="802"/>
        <v>0</v>
      </c>
      <c r="FT59" s="72">
        <f t="shared" si="803"/>
        <v>0</v>
      </c>
      <c r="FU59" s="70">
        <f>SUM(FS59:FT59)</f>
        <v>0</v>
      </c>
      <c r="FV59" s="75">
        <v>0</v>
      </c>
      <c r="FW59" s="74">
        <f t="shared" si="804"/>
        <v>0</v>
      </c>
      <c r="FX59" s="303">
        <f t="shared" si="805"/>
        <v>0</v>
      </c>
      <c r="FY59" s="58">
        <v>0</v>
      </c>
      <c r="FZ59" s="68"/>
      <c r="GA59" s="28">
        <f t="shared" si="806"/>
        <v>0</v>
      </c>
      <c r="GB59" s="28">
        <v>0</v>
      </c>
      <c r="GC59" s="28">
        <f>GB59*GC$6</f>
        <v>0</v>
      </c>
      <c r="GD59" s="28">
        <f>GB59*GD$6</f>
        <v>0</v>
      </c>
      <c r="GE59" s="28">
        <f>GB59/GE$6</f>
        <v>0</v>
      </c>
      <c r="GF59" s="72">
        <f>GE59/GF$6</f>
        <v>0</v>
      </c>
      <c r="GG59" s="72">
        <f>GB59/GG$6</f>
        <v>0</v>
      </c>
      <c r="GH59" s="70">
        <f>SUM(GB59:GG59)</f>
        <v>0</v>
      </c>
      <c r="GI59" s="71">
        <v>0</v>
      </c>
      <c r="GJ59" s="71">
        <v>0</v>
      </c>
      <c r="GK59" s="72">
        <f t="shared" si="807"/>
        <v>0</v>
      </c>
      <c r="GL59" s="72">
        <f t="shared" si="808"/>
        <v>0</v>
      </c>
      <c r="GM59" s="70">
        <f>SUM(GK59:GL59)</f>
        <v>0</v>
      </c>
      <c r="GN59" s="75">
        <v>0</v>
      </c>
      <c r="GO59" s="74">
        <f t="shared" si="809"/>
        <v>0</v>
      </c>
      <c r="GP59" s="303">
        <f t="shared" si="810"/>
        <v>0</v>
      </c>
      <c r="GQ59" s="58">
        <v>0</v>
      </c>
      <c r="GR59" s="68"/>
      <c r="GS59" s="28">
        <f t="shared" si="811"/>
        <v>0</v>
      </c>
      <c r="GT59" s="28">
        <v>0</v>
      </c>
      <c r="GU59" s="28">
        <f>GT59*GU$6</f>
        <v>0</v>
      </c>
      <c r="GV59" s="28">
        <f>GT59*GV$6</f>
        <v>0</v>
      </c>
      <c r="GW59" s="28">
        <f>GT59/GW$6</f>
        <v>0</v>
      </c>
      <c r="GX59" s="72">
        <f>GW59/GX$6</f>
        <v>0</v>
      </c>
      <c r="GY59" s="72">
        <f>GT59/GY$6</f>
        <v>0</v>
      </c>
      <c r="GZ59" s="70">
        <f>SUM(GT59:GY59)</f>
        <v>0</v>
      </c>
      <c r="HA59" s="71">
        <v>0</v>
      </c>
      <c r="HB59" s="71">
        <v>0</v>
      </c>
      <c r="HC59" s="72">
        <f t="shared" si="812"/>
        <v>0</v>
      </c>
      <c r="HD59" s="72">
        <f t="shared" si="813"/>
        <v>0</v>
      </c>
      <c r="HE59" s="70">
        <f>SUM(HC59:HD59)</f>
        <v>0</v>
      </c>
      <c r="HF59" s="75">
        <v>0</v>
      </c>
      <c r="HG59" s="74">
        <f t="shared" si="814"/>
        <v>0</v>
      </c>
      <c r="HH59" s="303">
        <f t="shared" si="815"/>
        <v>0</v>
      </c>
      <c r="HJ59" s="37"/>
      <c r="HK59" s="37"/>
      <c r="HL59" s="37"/>
      <c r="HM59" s="37"/>
      <c r="HN59" s="37"/>
      <c r="HO59" s="37"/>
      <c r="HP59" s="37"/>
      <c r="HQ59" s="37"/>
      <c r="HR59" s="37"/>
      <c r="HS59" s="37"/>
      <c r="HT59" s="37"/>
      <c r="HU59" s="37"/>
      <c r="HV59" s="37"/>
      <c r="HW59" s="37"/>
      <c r="HX59" s="37"/>
      <c r="HY59" s="37"/>
      <c r="HZ59" s="37"/>
      <c r="IA59" s="37"/>
      <c r="IB59" s="37"/>
      <c r="IC59" s="37"/>
      <c r="ID59" s="37"/>
      <c r="IE59" s="37"/>
      <c r="IF59" s="37"/>
      <c r="IG59" s="37"/>
      <c r="IH59" s="37"/>
      <c r="II59" s="37"/>
      <c r="IJ59" s="37"/>
      <c r="IK59" s="37"/>
      <c r="IL59" s="37"/>
      <c r="IM59" s="37"/>
      <c r="IN59" s="37"/>
      <c r="IO59" s="37"/>
      <c r="IP59" s="37"/>
    </row>
    <row r="60" spans="1:250" x14ac:dyDescent="0.3">
      <c r="A60" s="58">
        <v>0</v>
      </c>
      <c r="B60" s="68"/>
      <c r="C60" s="28">
        <f t="shared" si="756"/>
        <v>0</v>
      </c>
      <c r="D60" s="28">
        <v>0</v>
      </c>
      <c r="E60" s="28">
        <f>D60*E$6</f>
        <v>0</v>
      </c>
      <c r="F60" s="28">
        <f>D60*F$6</f>
        <v>0</v>
      </c>
      <c r="G60" s="28">
        <f>D60/G$6</f>
        <v>0</v>
      </c>
      <c r="H60" s="72">
        <f>G60/H$6</f>
        <v>0</v>
      </c>
      <c r="I60" s="72">
        <f>D60/I$6</f>
        <v>0</v>
      </c>
      <c r="J60" s="70">
        <f>SUM(D60:I60)</f>
        <v>0</v>
      </c>
      <c r="K60" s="71">
        <v>0</v>
      </c>
      <c r="L60" s="71">
        <v>0</v>
      </c>
      <c r="M60" s="72">
        <f t="shared" si="757"/>
        <v>0</v>
      </c>
      <c r="N60" s="72">
        <f t="shared" si="758"/>
        <v>0</v>
      </c>
      <c r="O60" s="70">
        <f>SUM(M60:N60)</f>
        <v>0</v>
      </c>
      <c r="P60" s="75">
        <v>0</v>
      </c>
      <c r="Q60" s="74">
        <f t="shared" si="759"/>
        <v>0</v>
      </c>
      <c r="R60" s="303">
        <f t="shared" si="760"/>
        <v>0</v>
      </c>
      <c r="S60" s="58">
        <v>0</v>
      </c>
      <c r="T60" s="68"/>
      <c r="U60" s="28">
        <f t="shared" si="761"/>
        <v>0</v>
      </c>
      <c r="V60" s="28">
        <v>0</v>
      </c>
      <c r="W60" s="28">
        <f>V60*W$6</f>
        <v>0</v>
      </c>
      <c r="X60" s="28">
        <f>V60*X$6</f>
        <v>0</v>
      </c>
      <c r="Y60" s="28">
        <f>V60/Y$6</f>
        <v>0</v>
      </c>
      <c r="Z60" s="72">
        <f>Y60/Z$6</f>
        <v>0</v>
      </c>
      <c r="AA60" s="72">
        <f>V60/AA$6</f>
        <v>0</v>
      </c>
      <c r="AB60" s="70">
        <f>SUM(V60:AA60)</f>
        <v>0</v>
      </c>
      <c r="AC60" s="71">
        <v>0</v>
      </c>
      <c r="AD60" s="71">
        <v>0</v>
      </c>
      <c r="AE60" s="72">
        <f t="shared" si="762"/>
        <v>0</v>
      </c>
      <c r="AF60" s="72">
        <f t="shared" si="763"/>
        <v>0</v>
      </c>
      <c r="AG60" s="70">
        <f>SUM(AE60:AF60)</f>
        <v>0</v>
      </c>
      <c r="AH60" s="75">
        <v>0</v>
      </c>
      <c r="AI60" s="74">
        <f t="shared" si="764"/>
        <v>0</v>
      </c>
      <c r="AJ60" s="303">
        <f t="shared" si="765"/>
        <v>0</v>
      </c>
      <c r="AK60" s="58">
        <v>0</v>
      </c>
      <c r="AL60" s="68"/>
      <c r="AM60" s="28">
        <f t="shared" si="766"/>
        <v>0</v>
      </c>
      <c r="AN60" s="28">
        <v>0</v>
      </c>
      <c r="AO60" s="28">
        <f>AN60*AO$6</f>
        <v>0</v>
      </c>
      <c r="AP60" s="28">
        <f>AN60*AP$6</f>
        <v>0</v>
      </c>
      <c r="AQ60" s="28">
        <f>AN60/AQ$6</f>
        <v>0</v>
      </c>
      <c r="AR60" s="72">
        <f>AQ60/AR$6</f>
        <v>0</v>
      </c>
      <c r="AS60" s="72">
        <f>AN60/AS$6</f>
        <v>0</v>
      </c>
      <c r="AT60" s="70">
        <f>SUM(AN60:AS60)</f>
        <v>0</v>
      </c>
      <c r="AU60" s="71">
        <v>0</v>
      </c>
      <c r="AV60" s="71">
        <v>0</v>
      </c>
      <c r="AW60" s="72">
        <f t="shared" si="767"/>
        <v>0</v>
      </c>
      <c r="AX60" s="72">
        <f t="shared" si="768"/>
        <v>0</v>
      </c>
      <c r="AY60" s="70">
        <f>SUM(AW60:AX60)</f>
        <v>0</v>
      </c>
      <c r="AZ60" s="75">
        <v>0</v>
      </c>
      <c r="BA60" s="74">
        <f t="shared" si="769"/>
        <v>0</v>
      </c>
      <c r="BB60" s="303">
        <f t="shared" si="770"/>
        <v>0</v>
      </c>
      <c r="BC60" s="58">
        <v>0</v>
      </c>
      <c r="BD60" s="68"/>
      <c r="BE60" s="28">
        <f t="shared" si="771"/>
        <v>0</v>
      </c>
      <c r="BF60" s="28">
        <v>0</v>
      </c>
      <c r="BG60" s="28">
        <f>BF60*BG$6</f>
        <v>0</v>
      </c>
      <c r="BH60" s="28">
        <f>BF60*BH$6</f>
        <v>0</v>
      </c>
      <c r="BI60" s="28">
        <f>BF60/BI$6</f>
        <v>0</v>
      </c>
      <c r="BJ60" s="72">
        <f>BI60/BJ$6</f>
        <v>0</v>
      </c>
      <c r="BK60" s="72">
        <f>BF60/BK$6</f>
        <v>0</v>
      </c>
      <c r="BL60" s="70">
        <f>SUM(BF60:BK60)</f>
        <v>0</v>
      </c>
      <c r="BM60" s="71">
        <v>0</v>
      </c>
      <c r="BN60" s="71">
        <v>0</v>
      </c>
      <c r="BO60" s="72">
        <f t="shared" si="772"/>
        <v>0</v>
      </c>
      <c r="BP60" s="72">
        <f t="shared" si="773"/>
        <v>0</v>
      </c>
      <c r="BQ60" s="70">
        <f>SUM(BO60:BP60)</f>
        <v>0</v>
      </c>
      <c r="BR60" s="75">
        <v>0</v>
      </c>
      <c r="BS60" s="74">
        <f t="shared" si="774"/>
        <v>0</v>
      </c>
      <c r="BT60" s="303">
        <f t="shared" si="775"/>
        <v>0</v>
      </c>
      <c r="BU60" s="58">
        <v>0</v>
      </c>
      <c r="BV60" s="68"/>
      <c r="BW60" s="28">
        <f t="shared" si="776"/>
        <v>0</v>
      </c>
      <c r="BX60" s="28">
        <v>0</v>
      </c>
      <c r="BY60" s="28">
        <f>BX60*BY$6</f>
        <v>0</v>
      </c>
      <c r="BZ60" s="28">
        <f>BX60*BZ$6</f>
        <v>0</v>
      </c>
      <c r="CA60" s="28">
        <f>BX60/CA$6</f>
        <v>0</v>
      </c>
      <c r="CB60" s="72">
        <f>CA60/CB$6</f>
        <v>0</v>
      </c>
      <c r="CC60" s="72">
        <f>BX60/CC$6</f>
        <v>0</v>
      </c>
      <c r="CD60" s="70">
        <f>SUM(BX60:CC60)</f>
        <v>0</v>
      </c>
      <c r="CE60" s="71">
        <v>0</v>
      </c>
      <c r="CF60" s="71">
        <v>0</v>
      </c>
      <c r="CG60" s="72">
        <f t="shared" si="777"/>
        <v>0</v>
      </c>
      <c r="CH60" s="72">
        <f t="shared" si="778"/>
        <v>0</v>
      </c>
      <c r="CI60" s="70">
        <f>SUM(CG60:CH60)</f>
        <v>0</v>
      </c>
      <c r="CJ60" s="75">
        <v>0</v>
      </c>
      <c r="CK60" s="74">
        <f t="shared" si="779"/>
        <v>0</v>
      </c>
      <c r="CL60" s="303">
        <f t="shared" si="780"/>
        <v>0</v>
      </c>
      <c r="CM60" s="58">
        <v>0</v>
      </c>
      <c r="CN60" s="68"/>
      <c r="CO60" s="28">
        <f t="shared" si="781"/>
        <v>0</v>
      </c>
      <c r="CP60" s="28">
        <v>0</v>
      </c>
      <c r="CQ60" s="28">
        <f>CP60*CQ$6</f>
        <v>0</v>
      </c>
      <c r="CR60" s="28">
        <f>CP60*CR$6</f>
        <v>0</v>
      </c>
      <c r="CS60" s="28">
        <f>CP60/CS$6</f>
        <v>0</v>
      </c>
      <c r="CT60" s="72">
        <f>CS60/CT$6</f>
        <v>0</v>
      </c>
      <c r="CU60" s="72">
        <f>CP60/CU$6</f>
        <v>0</v>
      </c>
      <c r="CV60" s="70">
        <f>SUM(CP60:CU60)</f>
        <v>0</v>
      </c>
      <c r="CW60" s="71">
        <v>0</v>
      </c>
      <c r="CX60" s="71">
        <v>0</v>
      </c>
      <c r="CY60" s="72">
        <f t="shared" si="782"/>
        <v>0</v>
      </c>
      <c r="CZ60" s="72">
        <f t="shared" si="783"/>
        <v>0</v>
      </c>
      <c r="DA60" s="70">
        <f>SUM(CY60:CZ60)</f>
        <v>0</v>
      </c>
      <c r="DB60" s="75">
        <v>0</v>
      </c>
      <c r="DC60" s="74">
        <f t="shared" si="784"/>
        <v>0</v>
      </c>
      <c r="DD60" s="303">
        <f t="shared" si="785"/>
        <v>0</v>
      </c>
      <c r="DE60" s="58">
        <v>0</v>
      </c>
      <c r="DF60" s="68"/>
      <c r="DG60" s="28">
        <f t="shared" si="786"/>
        <v>0</v>
      </c>
      <c r="DH60" s="28">
        <v>0</v>
      </c>
      <c r="DI60" s="28">
        <f>DH60*DI$6</f>
        <v>0</v>
      </c>
      <c r="DJ60" s="28">
        <f>DH60*DJ$6</f>
        <v>0</v>
      </c>
      <c r="DK60" s="28">
        <f>DH60/DK$6</f>
        <v>0</v>
      </c>
      <c r="DL60" s="72">
        <f>DK60/DL$6</f>
        <v>0</v>
      </c>
      <c r="DM60" s="72">
        <f>DH60/DM$6</f>
        <v>0</v>
      </c>
      <c r="DN60" s="70">
        <f>SUM(DH60:DM60)</f>
        <v>0</v>
      </c>
      <c r="DO60" s="71">
        <v>0</v>
      </c>
      <c r="DP60" s="71">
        <v>0</v>
      </c>
      <c r="DQ60" s="72">
        <f t="shared" si="787"/>
        <v>0</v>
      </c>
      <c r="DR60" s="72">
        <f t="shared" si="788"/>
        <v>0</v>
      </c>
      <c r="DS60" s="70">
        <f>SUM(DQ60:DR60)</f>
        <v>0</v>
      </c>
      <c r="DT60" s="75">
        <v>0</v>
      </c>
      <c r="DU60" s="74">
        <f t="shared" si="789"/>
        <v>0</v>
      </c>
      <c r="DV60" s="303">
        <f t="shared" si="790"/>
        <v>0</v>
      </c>
      <c r="DW60" s="58">
        <v>0</v>
      </c>
      <c r="DX60" s="68"/>
      <c r="DY60" s="28">
        <f t="shared" si="791"/>
        <v>0</v>
      </c>
      <c r="DZ60" s="28">
        <v>0</v>
      </c>
      <c r="EA60" s="28">
        <f>DZ60*EA$6</f>
        <v>0</v>
      </c>
      <c r="EB60" s="28">
        <f>DZ60*EB$6</f>
        <v>0</v>
      </c>
      <c r="EC60" s="28">
        <f>DZ60/EC$6</f>
        <v>0</v>
      </c>
      <c r="ED60" s="72">
        <f>EC60/ED$6</f>
        <v>0</v>
      </c>
      <c r="EE60" s="72">
        <f>DZ60/EE$6</f>
        <v>0</v>
      </c>
      <c r="EF60" s="70">
        <f>SUM(DZ60:EE60)</f>
        <v>0</v>
      </c>
      <c r="EG60" s="71">
        <v>0</v>
      </c>
      <c r="EH60" s="71">
        <v>0</v>
      </c>
      <c r="EI60" s="72">
        <f t="shared" si="792"/>
        <v>0</v>
      </c>
      <c r="EJ60" s="72">
        <f t="shared" si="793"/>
        <v>0</v>
      </c>
      <c r="EK60" s="70">
        <f>SUM(EI60:EJ60)</f>
        <v>0</v>
      </c>
      <c r="EL60" s="75">
        <v>0</v>
      </c>
      <c r="EM60" s="74">
        <f t="shared" si="794"/>
        <v>0</v>
      </c>
      <c r="EN60" s="303">
        <f t="shared" si="795"/>
        <v>0</v>
      </c>
      <c r="EO60" s="58">
        <v>0</v>
      </c>
      <c r="EP60" s="68"/>
      <c r="EQ60" s="28">
        <f t="shared" si="796"/>
        <v>0</v>
      </c>
      <c r="ER60" s="28">
        <v>0</v>
      </c>
      <c r="ES60" s="28">
        <f>ER60*ES$6</f>
        <v>0</v>
      </c>
      <c r="ET60" s="28">
        <f>ER60*ET$6</f>
        <v>0</v>
      </c>
      <c r="EU60" s="28">
        <f>ER60/EU$6</f>
        <v>0</v>
      </c>
      <c r="EV60" s="72">
        <f>EU60/EV$6</f>
        <v>0</v>
      </c>
      <c r="EW60" s="72">
        <f>ER60/EW$6</f>
        <v>0</v>
      </c>
      <c r="EX60" s="70">
        <f>SUM(ER60:EW60)</f>
        <v>0</v>
      </c>
      <c r="EY60" s="71">
        <v>0</v>
      </c>
      <c r="EZ60" s="71">
        <v>0</v>
      </c>
      <c r="FA60" s="72">
        <f t="shared" si="797"/>
        <v>0</v>
      </c>
      <c r="FB60" s="72">
        <f t="shared" si="798"/>
        <v>0</v>
      </c>
      <c r="FC60" s="70">
        <f>SUM(FA60:FB60)</f>
        <v>0</v>
      </c>
      <c r="FD60" s="75">
        <v>0</v>
      </c>
      <c r="FE60" s="74">
        <f t="shared" si="799"/>
        <v>0</v>
      </c>
      <c r="FF60" s="303">
        <f t="shared" si="800"/>
        <v>0</v>
      </c>
      <c r="FG60" s="58">
        <v>0</v>
      </c>
      <c r="FH60" s="68"/>
      <c r="FI60" s="28">
        <f t="shared" si="801"/>
        <v>0</v>
      </c>
      <c r="FJ60" s="28">
        <v>0</v>
      </c>
      <c r="FK60" s="28">
        <f>FJ60*FK$6</f>
        <v>0</v>
      </c>
      <c r="FL60" s="28">
        <f>FJ60*FL$6</f>
        <v>0</v>
      </c>
      <c r="FM60" s="28">
        <f>FJ60/FM$6</f>
        <v>0</v>
      </c>
      <c r="FN60" s="72">
        <f>FM60/FN$6</f>
        <v>0</v>
      </c>
      <c r="FO60" s="72">
        <f>FJ60/FO$6</f>
        <v>0</v>
      </c>
      <c r="FP60" s="70">
        <f>SUM(FJ60:FO60)</f>
        <v>0</v>
      </c>
      <c r="FQ60" s="71">
        <v>0</v>
      </c>
      <c r="FR60" s="71">
        <v>0</v>
      </c>
      <c r="FS60" s="72">
        <f t="shared" si="802"/>
        <v>0</v>
      </c>
      <c r="FT60" s="72">
        <f t="shared" si="803"/>
        <v>0</v>
      </c>
      <c r="FU60" s="70">
        <f>SUM(FS60:FT60)</f>
        <v>0</v>
      </c>
      <c r="FV60" s="75">
        <v>0</v>
      </c>
      <c r="FW60" s="74">
        <f t="shared" si="804"/>
        <v>0</v>
      </c>
      <c r="FX60" s="303">
        <f t="shared" si="805"/>
        <v>0</v>
      </c>
      <c r="FY60" s="58">
        <v>0</v>
      </c>
      <c r="FZ60" s="68"/>
      <c r="GA60" s="28">
        <f t="shared" si="806"/>
        <v>0</v>
      </c>
      <c r="GB60" s="28">
        <v>0</v>
      </c>
      <c r="GC60" s="28">
        <f>GB60*GC$6</f>
        <v>0</v>
      </c>
      <c r="GD60" s="28">
        <f>GB60*GD$6</f>
        <v>0</v>
      </c>
      <c r="GE60" s="28">
        <f>GB60/GE$6</f>
        <v>0</v>
      </c>
      <c r="GF60" s="72">
        <f>GE60/GF$6</f>
        <v>0</v>
      </c>
      <c r="GG60" s="72">
        <f>GB60/GG$6</f>
        <v>0</v>
      </c>
      <c r="GH60" s="70">
        <f>SUM(GB60:GG60)</f>
        <v>0</v>
      </c>
      <c r="GI60" s="71">
        <v>0</v>
      </c>
      <c r="GJ60" s="71">
        <v>0</v>
      </c>
      <c r="GK60" s="72">
        <f t="shared" si="807"/>
        <v>0</v>
      </c>
      <c r="GL60" s="72">
        <f t="shared" si="808"/>
        <v>0</v>
      </c>
      <c r="GM60" s="70">
        <f>SUM(GK60:GL60)</f>
        <v>0</v>
      </c>
      <c r="GN60" s="75">
        <v>0</v>
      </c>
      <c r="GO60" s="74">
        <f t="shared" si="809"/>
        <v>0</v>
      </c>
      <c r="GP60" s="303">
        <f t="shared" si="810"/>
        <v>0</v>
      </c>
      <c r="GQ60" s="58">
        <v>0</v>
      </c>
      <c r="GR60" s="68"/>
      <c r="GS60" s="28">
        <f t="shared" si="811"/>
        <v>0</v>
      </c>
      <c r="GT60" s="28">
        <v>0</v>
      </c>
      <c r="GU60" s="28">
        <f>GT60*GU$6</f>
        <v>0</v>
      </c>
      <c r="GV60" s="28">
        <f>GT60*GV$6</f>
        <v>0</v>
      </c>
      <c r="GW60" s="28">
        <f>GT60/GW$6</f>
        <v>0</v>
      </c>
      <c r="GX60" s="72">
        <f>GW60/GX$6</f>
        <v>0</v>
      </c>
      <c r="GY60" s="72">
        <f>GT60/GY$6</f>
        <v>0</v>
      </c>
      <c r="GZ60" s="70">
        <f>SUM(GT60:GY60)</f>
        <v>0</v>
      </c>
      <c r="HA60" s="71">
        <v>0</v>
      </c>
      <c r="HB60" s="71">
        <v>0</v>
      </c>
      <c r="HC60" s="72">
        <f t="shared" si="812"/>
        <v>0</v>
      </c>
      <c r="HD60" s="72">
        <f t="shared" si="813"/>
        <v>0</v>
      </c>
      <c r="HE60" s="70">
        <f>SUM(HC60:HD60)</f>
        <v>0</v>
      </c>
      <c r="HF60" s="75">
        <v>0</v>
      </c>
      <c r="HG60" s="74">
        <f t="shared" si="814"/>
        <v>0</v>
      </c>
      <c r="HH60" s="303">
        <f t="shared" si="815"/>
        <v>0</v>
      </c>
      <c r="HJ60" s="37"/>
      <c r="HK60" s="37"/>
      <c r="HL60" s="37"/>
      <c r="HM60" s="37"/>
      <c r="HN60" s="37"/>
      <c r="HO60" s="37"/>
      <c r="HP60" s="37"/>
      <c r="HQ60" s="37"/>
      <c r="HR60" s="37"/>
      <c r="HS60" s="37"/>
      <c r="HT60" s="37"/>
      <c r="HU60" s="37"/>
      <c r="HV60" s="37"/>
      <c r="HW60" s="37"/>
      <c r="HX60" s="37"/>
      <c r="HY60" s="37"/>
      <c r="HZ60" s="37"/>
      <c r="IA60" s="37"/>
      <c r="IB60" s="37"/>
      <c r="IC60" s="37"/>
      <c r="ID60" s="37"/>
      <c r="IE60" s="37"/>
      <c r="IF60" s="37"/>
      <c r="IG60" s="37"/>
      <c r="IH60" s="37"/>
      <c r="II60" s="37"/>
      <c r="IJ60" s="37"/>
      <c r="IK60" s="37"/>
      <c r="IL60" s="37"/>
      <c r="IM60" s="37"/>
      <c r="IN60" s="37"/>
      <c r="IO60" s="37"/>
      <c r="IP60" s="37"/>
    </row>
    <row r="61" spans="1:250" x14ac:dyDescent="0.3">
      <c r="A61" s="58">
        <v>0</v>
      </c>
      <c r="B61" s="68"/>
      <c r="C61" s="28">
        <f t="shared" si="756"/>
        <v>0</v>
      </c>
      <c r="D61" s="28">
        <v>0</v>
      </c>
      <c r="E61" s="28">
        <f>D61*E$6</f>
        <v>0</v>
      </c>
      <c r="F61" s="28">
        <f>D61*F$6</f>
        <v>0</v>
      </c>
      <c r="G61" s="28">
        <f>D61/G$6</f>
        <v>0</v>
      </c>
      <c r="H61" s="72">
        <f>G61/H$6</f>
        <v>0</v>
      </c>
      <c r="I61" s="72">
        <f>D61/I$6</f>
        <v>0</v>
      </c>
      <c r="J61" s="70">
        <f>SUM(D61:I61)</f>
        <v>0</v>
      </c>
      <c r="K61" s="71">
        <v>0</v>
      </c>
      <c r="L61" s="71">
        <v>0</v>
      </c>
      <c r="M61" s="72">
        <f t="shared" si="757"/>
        <v>0</v>
      </c>
      <c r="N61" s="72">
        <f t="shared" si="758"/>
        <v>0</v>
      </c>
      <c r="O61" s="70">
        <f>SUM(M61:N61)</f>
        <v>0</v>
      </c>
      <c r="P61" s="75">
        <v>0</v>
      </c>
      <c r="Q61" s="74">
        <f t="shared" si="759"/>
        <v>0</v>
      </c>
      <c r="R61" s="303">
        <f t="shared" si="760"/>
        <v>0</v>
      </c>
      <c r="S61" s="58">
        <v>0</v>
      </c>
      <c r="T61" s="68"/>
      <c r="U61" s="28">
        <f t="shared" si="761"/>
        <v>0</v>
      </c>
      <c r="V61" s="28">
        <v>0</v>
      </c>
      <c r="W61" s="28">
        <f>V61*W$6</f>
        <v>0</v>
      </c>
      <c r="X61" s="28">
        <f>V61*X$6</f>
        <v>0</v>
      </c>
      <c r="Y61" s="28">
        <f>V61/Y$6</f>
        <v>0</v>
      </c>
      <c r="Z61" s="72">
        <f>Y61/Z$6</f>
        <v>0</v>
      </c>
      <c r="AA61" s="72">
        <f>V61/AA$6</f>
        <v>0</v>
      </c>
      <c r="AB61" s="70">
        <f>SUM(V61:AA61)</f>
        <v>0</v>
      </c>
      <c r="AC61" s="71">
        <v>0</v>
      </c>
      <c r="AD61" s="71">
        <v>0</v>
      </c>
      <c r="AE61" s="72">
        <f t="shared" si="762"/>
        <v>0</v>
      </c>
      <c r="AF61" s="72">
        <f t="shared" si="763"/>
        <v>0</v>
      </c>
      <c r="AG61" s="70">
        <f>SUM(AE61:AF61)</f>
        <v>0</v>
      </c>
      <c r="AH61" s="75">
        <v>0</v>
      </c>
      <c r="AI61" s="74">
        <f t="shared" si="764"/>
        <v>0</v>
      </c>
      <c r="AJ61" s="303">
        <f t="shared" si="765"/>
        <v>0</v>
      </c>
      <c r="AK61" s="58">
        <v>0</v>
      </c>
      <c r="AL61" s="68"/>
      <c r="AM61" s="28">
        <f t="shared" si="766"/>
        <v>0</v>
      </c>
      <c r="AN61" s="28">
        <v>0</v>
      </c>
      <c r="AO61" s="28">
        <f>AN61*AO$6</f>
        <v>0</v>
      </c>
      <c r="AP61" s="28">
        <f>AN61*AP$6</f>
        <v>0</v>
      </c>
      <c r="AQ61" s="28">
        <f>AN61/AQ$6</f>
        <v>0</v>
      </c>
      <c r="AR61" s="72">
        <f>AQ61/AR$6</f>
        <v>0</v>
      </c>
      <c r="AS61" s="72">
        <f>AN61/AS$6</f>
        <v>0</v>
      </c>
      <c r="AT61" s="70">
        <f>SUM(AN61:AS61)</f>
        <v>0</v>
      </c>
      <c r="AU61" s="71">
        <v>0</v>
      </c>
      <c r="AV61" s="71">
        <v>0</v>
      </c>
      <c r="AW61" s="72">
        <f t="shared" si="767"/>
        <v>0</v>
      </c>
      <c r="AX61" s="72">
        <f t="shared" si="768"/>
        <v>0</v>
      </c>
      <c r="AY61" s="70">
        <f>SUM(AW61:AX61)</f>
        <v>0</v>
      </c>
      <c r="AZ61" s="75">
        <v>0</v>
      </c>
      <c r="BA61" s="74">
        <f t="shared" si="769"/>
        <v>0</v>
      </c>
      <c r="BB61" s="303">
        <f t="shared" si="770"/>
        <v>0</v>
      </c>
      <c r="BC61" s="58">
        <v>0</v>
      </c>
      <c r="BD61" s="68"/>
      <c r="BE61" s="28">
        <f t="shared" si="771"/>
        <v>0</v>
      </c>
      <c r="BF61" s="28">
        <v>0</v>
      </c>
      <c r="BG61" s="28">
        <f>BF61*BG$6</f>
        <v>0</v>
      </c>
      <c r="BH61" s="28">
        <f>BF61*BH$6</f>
        <v>0</v>
      </c>
      <c r="BI61" s="28">
        <f>BF61/BI$6</f>
        <v>0</v>
      </c>
      <c r="BJ61" s="72">
        <f>BI61/BJ$6</f>
        <v>0</v>
      </c>
      <c r="BK61" s="72">
        <f>BF61/BK$6</f>
        <v>0</v>
      </c>
      <c r="BL61" s="70">
        <f>SUM(BF61:BK61)</f>
        <v>0</v>
      </c>
      <c r="BM61" s="71">
        <v>0</v>
      </c>
      <c r="BN61" s="71">
        <v>0</v>
      </c>
      <c r="BO61" s="72">
        <f t="shared" si="772"/>
        <v>0</v>
      </c>
      <c r="BP61" s="72">
        <f t="shared" si="773"/>
        <v>0</v>
      </c>
      <c r="BQ61" s="70">
        <f>SUM(BO61:BP61)</f>
        <v>0</v>
      </c>
      <c r="BR61" s="75">
        <v>0</v>
      </c>
      <c r="BS61" s="74">
        <f t="shared" si="774"/>
        <v>0</v>
      </c>
      <c r="BT61" s="303">
        <f t="shared" si="775"/>
        <v>0</v>
      </c>
      <c r="BU61" s="58">
        <v>0</v>
      </c>
      <c r="BV61" s="68"/>
      <c r="BW61" s="28">
        <f t="shared" si="776"/>
        <v>0</v>
      </c>
      <c r="BX61" s="28">
        <v>0</v>
      </c>
      <c r="BY61" s="28">
        <f>BX61*BY$6</f>
        <v>0</v>
      </c>
      <c r="BZ61" s="28">
        <f>BX61*BZ$6</f>
        <v>0</v>
      </c>
      <c r="CA61" s="28">
        <f>BX61/CA$6</f>
        <v>0</v>
      </c>
      <c r="CB61" s="72">
        <f>CA61/CB$6</f>
        <v>0</v>
      </c>
      <c r="CC61" s="72">
        <f>BX61/CC$6</f>
        <v>0</v>
      </c>
      <c r="CD61" s="70">
        <f>SUM(BX61:CC61)</f>
        <v>0</v>
      </c>
      <c r="CE61" s="71">
        <v>0</v>
      </c>
      <c r="CF61" s="71">
        <v>0</v>
      </c>
      <c r="CG61" s="72">
        <f t="shared" si="777"/>
        <v>0</v>
      </c>
      <c r="CH61" s="72">
        <f t="shared" si="778"/>
        <v>0</v>
      </c>
      <c r="CI61" s="70">
        <f>SUM(CG61:CH61)</f>
        <v>0</v>
      </c>
      <c r="CJ61" s="75">
        <v>0</v>
      </c>
      <c r="CK61" s="74">
        <f t="shared" si="779"/>
        <v>0</v>
      </c>
      <c r="CL61" s="303">
        <f t="shared" si="780"/>
        <v>0</v>
      </c>
      <c r="CM61" s="58">
        <v>0</v>
      </c>
      <c r="CN61" s="68"/>
      <c r="CO61" s="28">
        <f t="shared" si="781"/>
        <v>0</v>
      </c>
      <c r="CP61" s="28">
        <v>0</v>
      </c>
      <c r="CQ61" s="28">
        <f>CP61*CQ$6</f>
        <v>0</v>
      </c>
      <c r="CR61" s="28">
        <f>CP61*CR$6</f>
        <v>0</v>
      </c>
      <c r="CS61" s="28">
        <f>CP61/CS$6</f>
        <v>0</v>
      </c>
      <c r="CT61" s="72">
        <f>CS61/CT$6</f>
        <v>0</v>
      </c>
      <c r="CU61" s="72">
        <f>CP61/CU$6</f>
        <v>0</v>
      </c>
      <c r="CV61" s="70">
        <f>SUM(CP61:CU61)</f>
        <v>0</v>
      </c>
      <c r="CW61" s="71">
        <v>0</v>
      </c>
      <c r="CX61" s="71">
        <v>0</v>
      </c>
      <c r="CY61" s="72">
        <f t="shared" si="782"/>
        <v>0</v>
      </c>
      <c r="CZ61" s="72">
        <f t="shared" si="783"/>
        <v>0</v>
      </c>
      <c r="DA61" s="70">
        <f>SUM(CY61:CZ61)</f>
        <v>0</v>
      </c>
      <c r="DB61" s="75">
        <v>0</v>
      </c>
      <c r="DC61" s="74">
        <f t="shared" si="784"/>
        <v>0</v>
      </c>
      <c r="DD61" s="303">
        <f t="shared" si="785"/>
        <v>0</v>
      </c>
      <c r="DE61" s="58">
        <v>0</v>
      </c>
      <c r="DF61" s="68"/>
      <c r="DG61" s="28">
        <f t="shared" si="786"/>
        <v>0</v>
      </c>
      <c r="DH61" s="28">
        <v>0</v>
      </c>
      <c r="DI61" s="28">
        <f>DH61*DI$6</f>
        <v>0</v>
      </c>
      <c r="DJ61" s="28">
        <f>DH61*DJ$6</f>
        <v>0</v>
      </c>
      <c r="DK61" s="28">
        <f>DH61/DK$6</f>
        <v>0</v>
      </c>
      <c r="DL61" s="72">
        <f>DK61/DL$6</f>
        <v>0</v>
      </c>
      <c r="DM61" s="72">
        <f>DH61/DM$6</f>
        <v>0</v>
      </c>
      <c r="DN61" s="70">
        <f>SUM(DH61:DM61)</f>
        <v>0</v>
      </c>
      <c r="DO61" s="71">
        <v>0</v>
      </c>
      <c r="DP61" s="71">
        <v>0</v>
      </c>
      <c r="DQ61" s="72">
        <f t="shared" si="787"/>
        <v>0</v>
      </c>
      <c r="DR61" s="72">
        <f t="shared" si="788"/>
        <v>0</v>
      </c>
      <c r="DS61" s="70">
        <f>SUM(DQ61:DR61)</f>
        <v>0</v>
      </c>
      <c r="DT61" s="75">
        <v>0</v>
      </c>
      <c r="DU61" s="74">
        <f t="shared" si="789"/>
        <v>0</v>
      </c>
      <c r="DV61" s="303">
        <f t="shared" si="790"/>
        <v>0</v>
      </c>
      <c r="DW61" s="58">
        <v>0</v>
      </c>
      <c r="DX61" s="68"/>
      <c r="DY61" s="28">
        <f t="shared" si="791"/>
        <v>0</v>
      </c>
      <c r="DZ61" s="28">
        <v>0</v>
      </c>
      <c r="EA61" s="28">
        <f>DZ61*EA$6</f>
        <v>0</v>
      </c>
      <c r="EB61" s="28">
        <f>DZ61*EB$6</f>
        <v>0</v>
      </c>
      <c r="EC61" s="28">
        <f>DZ61/EC$6</f>
        <v>0</v>
      </c>
      <c r="ED61" s="72">
        <f>EC61/ED$6</f>
        <v>0</v>
      </c>
      <c r="EE61" s="72">
        <f>DZ61/EE$6</f>
        <v>0</v>
      </c>
      <c r="EF61" s="70">
        <f>SUM(DZ61:EE61)</f>
        <v>0</v>
      </c>
      <c r="EG61" s="71">
        <v>0</v>
      </c>
      <c r="EH61" s="71">
        <v>0</v>
      </c>
      <c r="EI61" s="72">
        <f t="shared" si="792"/>
        <v>0</v>
      </c>
      <c r="EJ61" s="72">
        <f t="shared" si="793"/>
        <v>0</v>
      </c>
      <c r="EK61" s="70">
        <f>SUM(EI61:EJ61)</f>
        <v>0</v>
      </c>
      <c r="EL61" s="75">
        <v>0</v>
      </c>
      <c r="EM61" s="74">
        <f t="shared" si="794"/>
        <v>0</v>
      </c>
      <c r="EN61" s="303">
        <f t="shared" si="795"/>
        <v>0</v>
      </c>
      <c r="EO61" s="58">
        <v>0</v>
      </c>
      <c r="EP61" s="68"/>
      <c r="EQ61" s="28">
        <f t="shared" si="796"/>
        <v>0</v>
      </c>
      <c r="ER61" s="28">
        <v>0</v>
      </c>
      <c r="ES61" s="28">
        <f>ER61*ES$6</f>
        <v>0</v>
      </c>
      <c r="ET61" s="28">
        <f>ER61*ET$6</f>
        <v>0</v>
      </c>
      <c r="EU61" s="28">
        <f>ER61/EU$6</f>
        <v>0</v>
      </c>
      <c r="EV61" s="72">
        <f>EU61/EV$6</f>
        <v>0</v>
      </c>
      <c r="EW61" s="72">
        <f>ER61/EW$6</f>
        <v>0</v>
      </c>
      <c r="EX61" s="70">
        <f>SUM(ER61:EW61)</f>
        <v>0</v>
      </c>
      <c r="EY61" s="71">
        <v>0</v>
      </c>
      <c r="EZ61" s="71">
        <v>0</v>
      </c>
      <c r="FA61" s="72">
        <f t="shared" si="797"/>
        <v>0</v>
      </c>
      <c r="FB61" s="72">
        <f t="shared" si="798"/>
        <v>0</v>
      </c>
      <c r="FC61" s="70">
        <f>SUM(FA61:FB61)</f>
        <v>0</v>
      </c>
      <c r="FD61" s="75">
        <v>0</v>
      </c>
      <c r="FE61" s="74">
        <f t="shared" si="799"/>
        <v>0</v>
      </c>
      <c r="FF61" s="303">
        <f t="shared" si="800"/>
        <v>0</v>
      </c>
      <c r="FG61" s="58">
        <v>0</v>
      </c>
      <c r="FH61" s="68"/>
      <c r="FI61" s="28">
        <f t="shared" si="801"/>
        <v>0</v>
      </c>
      <c r="FJ61" s="28">
        <v>0</v>
      </c>
      <c r="FK61" s="28">
        <f>FJ61*FK$6</f>
        <v>0</v>
      </c>
      <c r="FL61" s="28">
        <f>FJ61*FL$6</f>
        <v>0</v>
      </c>
      <c r="FM61" s="28">
        <f>FJ61/FM$6</f>
        <v>0</v>
      </c>
      <c r="FN61" s="72">
        <f>FM61/FN$6</f>
        <v>0</v>
      </c>
      <c r="FO61" s="72">
        <f>FJ61/FO$6</f>
        <v>0</v>
      </c>
      <c r="FP61" s="70">
        <f>SUM(FJ61:FO61)</f>
        <v>0</v>
      </c>
      <c r="FQ61" s="71">
        <v>0</v>
      </c>
      <c r="FR61" s="71">
        <v>0</v>
      </c>
      <c r="FS61" s="72">
        <f t="shared" si="802"/>
        <v>0</v>
      </c>
      <c r="FT61" s="72">
        <f t="shared" si="803"/>
        <v>0</v>
      </c>
      <c r="FU61" s="70">
        <f>SUM(FS61:FT61)</f>
        <v>0</v>
      </c>
      <c r="FV61" s="75">
        <v>0</v>
      </c>
      <c r="FW61" s="74">
        <f t="shared" si="804"/>
        <v>0</v>
      </c>
      <c r="FX61" s="303">
        <f t="shared" si="805"/>
        <v>0</v>
      </c>
      <c r="FY61" s="58">
        <v>0</v>
      </c>
      <c r="FZ61" s="68"/>
      <c r="GA61" s="28">
        <f t="shared" si="806"/>
        <v>0</v>
      </c>
      <c r="GB61" s="28">
        <v>0</v>
      </c>
      <c r="GC61" s="28">
        <f>GB61*GC$6</f>
        <v>0</v>
      </c>
      <c r="GD61" s="28">
        <f>GB61*GD$6</f>
        <v>0</v>
      </c>
      <c r="GE61" s="28">
        <f>GB61/GE$6</f>
        <v>0</v>
      </c>
      <c r="GF61" s="72">
        <f>GE61/GF$6</f>
        <v>0</v>
      </c>
      <c r="GG61" s="72">
        <f>GB61/GG$6</f>
        <v>0</v>
      </c>
      <c r="GH61" s="70">
        <f>SUM(GB61:GG61)</f>
        <v>0</v>
      </c>
      <c r="GI61" s="71">
        <v>0</v>
      </c>
      <c r="GJ61" s="71">
        <v>0</v>
      </c>
      <c r="GK61" s="72">
        <f t="shared" si="807"/>
        <v>0</v>
      </c>
      <c r="GL61" s="72">
        <f t="shared" si="808"/>
        <v>0</v>
      </c>
      <c r="GM61" s="70">
        <f>SUM(GK61:GL61)</f>
        <v>0</v>
      </c>
      <c r="GN61" s="75">
        <v>0</v>
      </c>
      <c r="GO61" s="74">
        <f t="shared" si="809"/>
        <v>0</v>
      </c>
      <c r="GP61" s="303">
        <f t="shared" si="810"/>
        <v>0</v>
      </c>
      <c r="GQ61" s="58">
        <v>0</v>
      </c>
      <c r="GR61" s="68"/>
      <c r="GS61" s="28">
        <f t="shared" si="811"/>
        <v>0</v>
      </c>
      <c r="GT61" s="28">
        <v>0</v>
      </c>
      <c r="GU61" s="28">
        <f>GT61*GU$6</f>
        <v>0</v>
      </c>
      <c r="GV61" s="28">
        <f>GT61*GV$6</f>
        <v>0</v>
      </c>
      <c r="GW61" s="28">
        <f>GT61/GW$6</f>
        <v>0</v>
      </c>
      <c r="GX61" s="72">
        <f>GW61/GX$6</f>
        <v>0</v>
      </c>
      <c r="GY61" s="72">
        <f>GT61/GY$6</f>
        <v>0</v>
      </c>
      <c r="GZ61" s="70">
        <f>SUM(GT61:GY61)</f>
        <v>0</v>
      </c>
      <c r="HA61" s="71">
        <v>0</v>
      </c>
      <c r="HB61" s="71">
        <v>0</v>
      </c>
      <c r="HC61" s="72">
        <f t="shared" si="812"/>
        <v>0</v>
      </c>
      <c r="HD61" s="72">
        <f t="shared" si="813"/>
        <v>0</v>
      </c>
      <c r="HE61" s="70">
        <f>SUM(HC61:HD61)</f>
        <v>0</v>
      </c>
      <c r="HF61" s="75">
        <v>0</v>
      </c>
      <c r="HG61" s="74">
        <f t="shared" si="814"/>
        <v>0</v>
      </c>
      <c r="HH61" s="303">
        <f t="shared" si="815"/>
        <v>0</v>
      </c>
      <c r="HJ61" s="37"/>
      <c r="HK61" s="37"/>
      <c r="HL61" s="37"/>
      <c r="HM61" s="37"/>
      <c r="HN61" s="37"/>
      <c r="HO61" s="37"/>
      <c r="HP61" s="37"/>
      <c r="HQ61" s="37"/>
      <c r="HR61" s="37"/>
      <c r="HS61" s="37"/>
      <c r="HT61" s="37"/>
      <c r="HU61" s="37"/>
      <c r="HV61" s="37"/>
      <c r="HW61" s="37"/>
      <c r="HX61" s="37"/>
      <c r="HY61" s="37"/>
      <c r="HZ61" s="37"/>
      <c r="IA61" s="37"/>
      <c r="IB61" s="37"/>
      <c r="IC61" s="37"/>
      <c r="ID61" s="37"/>
      <c r="IE61" s="37"/>
      <c r="IF61" s="37"/>
      <c r="IG61" s="37"/>
      <c r="IH61" s="37"/>
      <c r="II61" s="37"/>
      <c r="IJ61" s="37"/>
      <c r="IK61" s="37"/>
      <c r="IL61" s="37"/>
      <c r="IM61" s="37"/>
      <c r="IN61" s="37"/>
      <c r="IO61" s="37"/>
      <c r="IP61" s="37"/>
    </row>
    <row r="62" spans="1:250" ht="15.6" x14ac:dyDescent="0.3">
      <c r="A62" s="541"/>
      <c r="B62" s="537"/>
      <c r="C62" s="537"/>
      <c r="D62" s="537"/>
      <c r="E62" s="537"/>
      <c r="F62" s="537"/>
      <c r="G62" s="537"/>
      <c r="H62" s="537"/>
      <c r="I62" s="537"/>
      <c r="J62" s="537"/>
      <c r="K62" s="537"/>
      <c r="L62" s="537"/>
      <c r="M62" s="537"/>
      <c r="N62" s="537"/>
      <c r="O62" s="537"/>
      <c r="P62" s="538"/>
      <c r="Q62" s="306" t="s">
        <v>8</v>
      </c>
      <c r="R62" s="304">
        <f>SUM(R58:R61)</f>
        <v>0</v>
      </c>
      <c r="S62" s="541"/>
      <c r="T62" s="537"/>
      <c r="U62" s="537"/>
      <c r="V62" s="537"/>
      <c r="W62" s="537"/>
      <c r="X62" s="537"/>
      <c r="Y62" s="537"/>
      <c r="Z62" s="537"/>
      <c r="AA62" s="537"/>
      <c r="AB62" s="537"/>
      <c r="AC62" s="537"/>
      <c r="AD62" s="537"/>
      <c r="AE62" s="537"/>
      <c r="AF62" s="537"/>
      <c r="AG62" s="537"/>
      <c r="AH62" s="538"/>
      <c r="AI62" s="306" t="s">
        <v>8</v>
      </c>
      <c r="AJ62" s="304">
        <f>SUM(AJ58:AJ61)</f>
        <v>0</v>
      </c>
      <c r="AK62" s="541"/>
      <c r="AL62" s="537"/>
      <c r="AM62" s="537"/>
      <c r="AN62" s="537"/>
      <c r="AO62" s="537"/>
      <c r="AP62" s="537"/>
      <c r="AQ62" s="537"/>
      <c r="AR62" s="537"/>
      <c r="AS62" s="537"/>
      <c r="AT62" s="537"/>
      <c r="AU62" s="537"/>
      <c r="AV62" s="537"/>
      <c r="AW62" s="537"/>
      <c r="AX62" s="537"/>
      <c r="AY62" s="537"/>
      <c r="AZ62" s="538"/>
      <c r="BA62" s="306" t="s">
        <v>8</v>
      </c>
      <c r="BB62" s="304">
        <f>SUM(BB58:BB61)</f>
        <v>0</v>
      </c>
      <c r="BC62" s="541"/>
      <c r="BD62" s="537"/>
      <c r="BE62" s="537"/>
      <c r="BF62" s="537"/>
      <c r="BG62" s="537"/>
      <c r="BH62" s="537"/>
      <c r="BI62" s="537"/>
      <c r="BJ62" s="537"/>
      <c r="BK62" s="537"/>
      <c r="BL62" s="537"/>
      <c r="BM62" s="537"/>
      <c r="BN62" s="537"/>
      <c r="BO62" s="537"/>
      <c r="BP62" s="537"/>
      <c r="BQ62" s="537"/>
      <c r="BR62" s="538"/>
      <c r="BS62" s="306" t="s">
        <v>8</v>
      </c>
      <c r="BT62" s="304">
        <f>SUM(BT58:BT61)</f>
        <v>0</v>
      </c>
      <c r="BU62" s="541"/>
      <c r="BV62" s="537"/>
      <c r="BW62" s="537"/>
      <c r="BX62" s="537"/>
      <c r="BY62" s="537"/>
      <c r="BZ62" s="537"/>
      <c r="CA62" s="537"/>
      <c r="CB62" s="537"/>
      <c r="CC62" s="537"/>
      <c r="CD62" s="537"/>
      <c r="CE62" s="537"/>
      <c r="CF62" s="537"/>
      <c r="CG62" s="537"/>
      <c r="CH62" s="537"/>
      <c r="CI62" s="537"/>
      <c r="CJ62" s="538"/>
      <c r="CK62" s="306" t="s">
        <v>8</v>
      </c>
      <c r="CL62" s="304">
        <f>SUM(CL58:CL61)</f>
        <v>0</v>
      </c>
      <c r="CM62" s="541"/>
      <c r="CN62" s="537"/>
      <c r="CO62" s="537"/>
      <c r="CP62" s="537"/>
      <c r="CQ62" s="537"/>
      <c r="CR62" s="537"/>
      <c r="CS62" s="537"/>
      <c r="CT62" s="537"/>
      <c r="CU62" s="537"/>
      <c r="CV62" s="537"/>
      <c r="CW62" s="537"/>
      <c r="CX62" s="537"/>
      <c r="CY62" s="537"/>
      <c r="CZ62" s="537"/>
      <c r="DA62" s="537"/>
      <c r="DB62" s="538"/>
      <c r="DC62" s="306" t="s">
        <v>8</v>
      </c>
      <c r="DD62" s="304">
        <f>SUM(DD58:DD61)</f>
        <v>0</v>
      </c>
      <c r="DE62" s="541"/>
      <c r="DF62" s="537"/>
      <c r="DG62" s="537"/>
      <c r="DH62" s="537"/>
      <c r="DI62" s="537"/>
      <c r="DJ62" s="537"/>
      <c r="DK62" s="537"/>
      <c r="DL62" s="537"/>
      <c r="DM62" s="537"/>
      <c r="DN62" s="537"/>
      <c r="DO62" s="537"/>
      <c r="DP62" s="537"/>
      <c r="DQ62" s="537"/>
      <c r="DR62" s="537"/>
      <c r="DS62" s="537"/>
      <c r="DT62" s="538"/>
      <c r="DU62" s="306" t="s">
        <v>8</v>
      </c>
      <c r="DV62" s="304">
        <f>SUM(DV58:DV61)</f>
        <v>0</v>
      </c>
      <c r="DW62" s="541"/>
      <c r="DX62" s="537"/>
      <c r="DY62" s="537"/>
      <c r="DZ62" s="537"/>
      <c r="EA62" s="537"/>
      <c r="EB62" s="537"/>
      <c r="EC62" s="537"/>
      <c r="ED62" s="537"/>
      <c r="EE62" s="537"/>
      <c r="EF62" s="537"/>
      <c r="EG62" s="537"/>
      <c r="EH62" s="537"/>
      <c r="EI62" s="537"/>
      <c r="EJ62" s="537"/>
      <c r="EK62" s="537"/>
      <c r="EL62" s="538"/>
      <c r="EM62" s="306" t="s">
        <v>8</v>
      </c>
      <c r="EN62" s="304">
        <f>SUM(EN58:EN61)</f>
        <v>0</v>
      </c>
      <c r="EO62" s="541"/>
      <c r="EP62" s="537"/>
      <c r="EQ62" s="537"/>
      <c r="ER62" s="537"/>
      <c r="ES62" s="537"/>
      <c r="ET62" s="537"/>
      <c r="EU62" s="537"/>
      <c r="EV62" s="537"/>
      <c r="EW62" s="537"/>
      <c r="EX62" s="537"/>
      <c r="EY62" s="537"/>
      <c r="EZ62" s="537"/>
      <c r="FA62" s="537"/>
      <c r="FB62" s="537"/>
      <c r="FC62" s="537"/>
      <c r="FD62" s="538"/>
      <c r="FE62" s="306" t="s">
        <v>8</v>
      </c>
      <c r="FF62" s="304">
        <f>SUM(FF58:FF61)</f>
        <v>0</v>
      </c>
      <c r="FG62" s="541"/>
      <c r="FH62" s="537"/>
      <c r="FI62" s="537"/>
      <c r="FJ62" s="537"/>
      <c r="FK62" s="537"/>
      <c r="FL62" s="537"/>
      <c r="FM62" s="537"/>
      <c r="FN62" s="537"/>
      <c r="FO62" s="537"/>
      <c r="FP62" s="537"/>
      <c r="FQ62" s="537"/>
      <c r="FR62" s="537"/>
      <c r="FS62" s="537"/>
      <c r="FT62" s="537"/>
      <c r="FU62" s="537"/>
      <c r="FV62" s="538"/>
      <c r="FW62" s="306" t="s">
        <v>8</v>
      </c>
      <c r="FX62" s="304">
        <f>SUM(FX58:FX61)</f>
        <v>0</v>
      </c>
      <c r="FY62" s="541"/>
      <c r="FZ62" s="537"/>
      <c r="GA62" s="537"/>
      <c r="GB62" s="537"/>
      <c r="GC62" s="537"/>
      <c r="GD62" s="537"/>
      <c r="GE62" s="537"/>
      <c r="GF62" s="537"/>
      <c r="GG62" s="537"/>
      <c r="GH62" s="537"/>
      <c r="GI62" s="537"/>
      <c r="GJ62" s="537"/>
      <c r="GK62" s="537"/>
      <c r="GL62" s="537"/>
      <c r="GM62" s="537"/>
      <c r="GN62" s="538"/>
      <c r="GO62" s="306" t="s">
        <v>8</v>
      </c>
      <c r="GP62" s="304">
        <f>SUM(GP58:GP61)</f>
        <v>0</v>
      </c>
      <c r="GQ62" s="541"/>
      <c r="GR62" s="537"/>
      <c r="GS62" s="537"/>
      <c r="GT62" s="537"/>
      <c r="GU62" s="537"/>
      <c r="GV62" s="537"/>
      <c r="GW62" s="537"/>
      <c r="GX62" s="537"/>
      <c r="GY62" s="537"/>
      <c r="GZ62" s="537"/>
      <c r="HA62" s="537"/>
      <c r="HB62" s="537"/>
      <c r="HC62" s="537"/>
      <c r="HD62" s="537"/>
      <c r="HE62" s="537"/>
      <c r="HF62" s="538"/>
      <c r="HG62" s="306" t="s">
        <v>8</v>
      </c>
      <c r="HH62" s="304">
        <f>SUM(HH58:HH61)</f>
        <v>0</v>
      </c>
      <c r="HJ62" s="37"/>
      <c r="HK62" s="37"/>
      <c r="HL62" s="37"/>
      <c r="HM62" s="37"/>
      <c r="HN62" s="37"/>
      <c r="HO62" s="37"/>
      <c r="HP62" s="37"/>
      <c r="HQ62" s="37"/>
      <c r="HR62" s="37"/>
      <c r="HS62" s="37"/>
      <c r="HT62" s="37"/>
      <c r="HU62" s="37"/>
      <c r="HV62" s="37"/>
      <c r="HW62" s="37"/>
      <c r="HX62" s="37"/>
      <c r="HY62" s="37"/>
      <c r="HZ62" s="37"/>
      <c r="IA62" s="37"/>
      <c r="IB62" s="37"/>
      <c r="IC62" s="37"/>
      <c r="ID62" s="37"/>
      <c r="IE62" s="37"/>
      <c r="IF62" s="37"/>
      <c r="IG62" s="37"/>
      <c r="IH62" s="37"/>
      <c r="II62" s="37"/>
      <c r="IJ62" s="37"/>
      <c r="IK62" s="37"/>
      <c r="IL62" s="37"/>
      <c r="IM62" s="37"/>
      <c r="IN62" s="37"/>
      <c r="IO62" s="37"/>
      <c r="IP62" s="37"/>
    </row>
    <row r="63" spans="1:250" ht="15" hidden="1" customHeight="1" x14ac:dyDescent="0.3">
      <c r="A63" s="552"/>
      <c r="B63" s="553"/>
      <c r="C63" s="553"/>
      <c r="D63" s="553"/>
      <c r="E63" s="742" t="s">
        <v>171</v>
      </c>
      <c r="F63" s="742"/>
      <c r="G63" s="742"/>
      <c r="H63" s="742"/>
      <c r="I63" s="742"/>
      <c r="J63" s="742"/>
      <c r="K63" s="742"/>
      <c r="L63" s="742"/>
      <c r="M63" s="742"/>
      <c r="N63" s="553"/>
      <c r="O63" s="553"/>
      <c r="P63" s="553"/>
      <c r="Q63" s="553"/>
      <c r="R63" s="554"/>
      <c r="S63" s="552"/>
      <c r="T63" s="553"/>
      <c r="U63" s="553"/>
      <c r="V63" s="553"/>
      <c r="W63" s="742" t="s">
        <v>171</v>
      </c>
      <c r="X63" s="742"/>
      <c r="Y63" s="742"/>
      <c r="Z63" s="742"/>
      <c r="AA63" s="742"/>
      <c r="AB63" s="742"/>
      <c r="AC63" s="742"/>
      <c r="AD63" s="742"/>
      <c r="AE63" s="742"/>
      <c r="AF63" s="553"/>
      <c r="AG63" s="553"/>
      <c r="AH63" s="553"/>
      <c r="AI63" s="553"/>
      <c r="AJ63" s="554"/>
      <c r="AK63" s="552"/>
      <c r="AL63" s="553"/>
      <c r="AM63" s="553"/>
      <c r="AN63" s="553"/>
      <c r="AO63" s="742" t="s">
        <v>171</v>
      </c>
      <c r="AP63" s="742"/>
      <c r="AQ63" s="742"/>
      <c r="AR63" s="742"/>
      <c r="AS63" s="742"/>
      <c r="AT63" s="742"/>
      <c r="AU63" s="742"/>
      <c r="AV63" s="742"/>
      <c r="AW63" s="742"/>
      <c r="AX63" s="553"/>
      <c r="AY63" s="553"/>
      <c r="AZ63" s="553"/>
      <c r="BA63" s="553"/>
      <c r="BB63" s="554"/>
      <c r="BC63" s="552"/>
      <c r="BD63" s="553"/>
      <c r="BE63" s="553"/>
      <c r="BF63" s="553"/>
      <c r="BG63" s="742" t="s">
        <v>171</v>
      </c>
      <c r="BH63" s="742"/>
      <c r="BI63" s="742"/>
      <c r="BJ63" s="742"/>
      <c r="BK63" s="742"/>
      <c r="BL63" s="742"/>
      <c r="BM63" s="742"/>
      <c r="BN63" s="742"/>
      <c r="BO63" s="742"/>
      <c r="BP63" s="553"/>
      <c r="BQ63" s="553"/>
      <c r="BR63" s="553"/>
      <c r="BS63" s="553"/>
      <c r="BT63" s="554"/>
      <c r="BU63" s="552"/>
      <c r="BV63" s="553"/>
      <c r="BW63" s="553"/>
      <c r="BX63" s="553"/>
      <c r="BY63" s="742" t="s">
        <v>171</v>
      </c>
      <c r="BZ63" s="742"/>
      <c r="CA63" s="742"/>
      <c r="CB63" s="742"/>
      <c r="CC63" s="742"/>
      <c r="CD63" s="742"/>
      <c r="CE63" s="742"/>
      <c r="CF63" s="742"/>
      <c r="CG63" s="742"/>
      <c r="CH63" s="553"/>
      <c r="CI63" s="553"/>
      <c r="CJ63" s="553"/>
      <c r="CK63" s="553"/>
      <c r="CL63" s="554"/>
      <c r="CM63" s="552"/>
      <c r="CN63" s="553"/>
      <c r="CO63" s="553"/>
      <c r="CP63" s="553"/>
      <c r="CQ63" s="742" t="s">
        <v>171</v>
      </c>
      <c r="CR63" s="742"/>
      <c r="CS63" s="742"/>
      <c r="CT63" s="742"/>
      <c r="CU63" s="742"/>
      <c r="CV63" s="742"/>
      <c r="CW63" s="742"/>
      <c r="CX63" s="742"/>
      <c r="CY63" s="742"/>
      <c r="CZ63" s="553"/>
      <c r="DA63" s="553"/>
      <c r="DB63" s="553"/>
      <c r="DC63" s="553"/>
      <c r="DD63" s="554"/>
      <c r="DE63" s="552"/>
      <c r="DF63" s="553"/>
      <c r="DG63" s="553"/>
      <c r="DH63" s="553"/>
      <c r="DI63" s="742" t="s">
        <v>171</v>
      </c>
      <c r="DJ63" s="742"/>
      <c r="DK63" s="742"/>
      <c r="DL63" s="742"/>
      <c r="DM63" s="742"/>
      <c r="DN63" s="742"/>
      <c r="DO63" s="742"/>
      <c r="DP63" s="742"/>
      <c r="DQ63" s="742"/>
      <c r="DR63" s="553"/>
      <c r="DS63" s="553"/>
      <c r="DT63" s="553"/>
      <c r="DU63" s="553"/>
      <c r="DV63" s="554"/>
      <c r="DW63" s="552"/>
      <c r="DX63" s="553"/>
      <c r="DY63" s="553"/>
      <c r="DZ63" s="553"/>
      <c r="EA63" s="742" t="s">
        <v>171</v>
      </c>
      <c r="EB63" s="742"/>
      <c r="EC63" s="742"/>
      <c r="ED63" s="742"/>
      <c r="EE63" s="742"/>
      <c r="EF63" s="742"/>
      <c r="EG63" s="742"/>
      <c r="EH63" s="742"/>
      <c r="EI63" s="742"/>
      <c r="EJ63" s="553"/>
      <c r="EK63" s="553"/>
      <c r="EL63" s="553"/>
      <c r="EM63" s="553"/>
      <c r="EN63" s="554"/>
      <c r="EO63" s="552"/>
      <c r="EP63" s="553"/>
      <c r="EQ63" s="553"/>
      <c r="ER63" s="553"/>
      <c r="ES63" s="742" t="s">
        <v>171</v>
      </c>
      <c r="ET63" s="742"/>
      <c r="EU63" s="742"/>
      <c r="EV63" s="742"/>
      <c r="EW63" s="742"/>
      <c r="EX63" s="742"/>
      <c r="EY63" s="742"/>
      <c r="EZ63" s="742"/>
      <c r="FA63" s="742"/>
      <c r="FB63" s="553"/>
      <c r="FC63" s="553"/>
      <c r="FD63" s="553"/>
      <c r="FE63" s="553"/>
      <c r="FF63" s="554"/>
      <c r="FG63" s="552"/>
      <c r="FH63" s="553"/>
      <c r="FI63" s="553"/>
      <c r="FJ63" s="553"/>
      <c r="FK63" s="742" t="s">
        <v>171</v>
      </c>
      <c r="FL63" s="742"/>
      <c r="FM63" s="742"/>
      <c r="FN63" s="742"/>
      <c r="FO63" s="742"/>
      <c r="FP63" s="742"/>
      <c r="FQ63" s="742"/>
      <c r="FR63" s="742"/>
      <c r="FS63" s="742"/>
      <c r="FT63" s="553"/>
      <c r="FU63" s="553"/>
      <c r="FV63" s="553"/>
      <c r="FW63" s="553"/>
      <c r="FX63" s="554"/>
      <c r="FY63" s="552"/>
      <c r="FZ63" s="553"/>
      <c r="GA63" s="553"/>
      <c r="GB63" s="553"/>
      <c r="GC63" s="742" t="s">
        <v>171</v>
      </c>
      <c r="GD63" s="742"/>
      <c r="GE63" s="742"/>
      <c r="GF63" s="742"/>
      <c r="GG63" s="742"/>
      <c r="GH63" s="742"/>
      <c r="GI63" s="742"/>
      <c r="GJ63" s="742"/>
      <c r="GK63" s="742"/>
      <c r="GL63" s="553"/>
      <c r="GM63" s="553"/>
      <c r="GN63" s="553"/>
      <c r="GO63" s="553"/>
      <c r="GP63" s="554"/>
      <c r="GQ63" s="552"/>
      <c r="GR63" s="553"/>
      <c r="GS63" s="553"/>
      <c r="GT63" s="553"/>
      <c r="GU63" s="742" t="s">
        <v>171</v>
      </c>
      <c r="GV63" s="742"/>
      <c r="GW63" s="742"/>
      <c r="GX63" s="742"/>
      <c r="GY63" s="742"/>
      <c r="GZ63" s="742"/>
      <c r="HA63" s="742"/>
      <c r="HB63" s="742"/>
      <c r="HC63" s="742"/>
      <c r="HD63" s="553"/>
      <c r="HE63" s="553"/>
      <c r="HF63" s="553"/>
      <c r="HG63" s="553"/>
      <c r="HH63" s="554"/>
      <c r="HJ63" s="37"/>
      <c r="HK63" s="37"/>
      <c r="HL63" s="37"/>
      <c r="HM63" s="37"/>
      <c r="HN63" s="37"/>
      <c r="HO63" s="37"/>
      <c r="HP63" s="37"/>
      <c r="HQ63" s="37"/>
      <c r="HR63" s="37"/>
      <c r="HS63" s="37"/>
      <c r="HT63" s="37"/>
      <c r="HU63" s="37"/>
      <c r="HV63" s="37"/>
      <c r="HW63" s="37"/>
      <c r="HX63" s="37"/>
      <c r="HY63" s="37"/>
      <c r="HZ63" s="37"/>
      <c r="IA63" s="37"/>
      <c r="IB63" s="37"/>
      <c r="IC63" s="37"/>
      <c r="ID63" s="37"/>
      <c r="IE63" s="37"/>
      <c r="IF63" s="37"/>
      <c r="IG63" s="37"/>
      <c r="IH63" s="37"/>
      <c r="II63" s="37"/>
      <c r="IJ63" s="37"/>
      <c r="IK63" s="37"/>
      <c r="IL63" s="37"/>
      <c r="IM63" s="37"/>
      <c r="IN63" s="37"/>
      <c r="IO63" s="37"/>
      <c r="IP63" s="37"/>
    </row>
    <row r="64" spans="1:250" hidden="1" x14ac:dyDescent="0.3">
      <c r="A64" s="58">
        <v>0</v>
      </c>
      <c r="B64" s="68" t="s">
        <v>181</v>
      </c>
      <c r="C64" s="28">
        <f t="shared" ref="C64:C66" si="816">D64/$AM$4</f>
        <v>0</v>
      </c>
      <c r="D64" s="69">
        <v>0</v>
      </c>
      <c r="E64" s="28">
        <f t="shared" ref="E64:E66" si="817">D64*E$6</f>
        <v>0</v>
      </c>
      <c r="F64" s="28">
        <f t="shared" ref="F64:F66" si="818">D64*F$6</f>
        <v>0</v>
      </c>
      <c r="G64" s="28">
        <f t="shared" ref="G64:G66" si="819">D64/G$6</f>
        <v>0</v>
      </c>
      <c r="H64" s="72">
        <f t="shared" ref="H64:H66" si="820">G64/H$6</f>
        <v>0</v>
      </c>
      <c r="I64" s="72">
        <f t="shared" ref="I64:I66" si="821">D64/I$6</f>
        <v>0</v>
      </c>
      <c r="J64" s="70">
        <f>SUM(D64:I64)</f>
        <v>0</v>
      </c>
      <c r="K64" s="71">
        <v>0</v>
      </c>
      <c r="L64" s="71">
        <v>0</v>
      </c>
      <c r="M64" s="72">
        <f t="shared" ref="M64:M66" si="822">((C64*M$6)+(C64*$AO$6)+(C64*$AP$6))*K64</f>
        <v>0</v>
      </c>
      <c r="N64" s="72">
        <f t="shared" ref="N64:N66" si="823">((C64*N$6)+(C64*$AO$6)+(C64*$AP$6))*L64</f>
        <v>0</v>
      </c>
      <c r="O64" s="70">
        <f t="shared" ref="O64:O66" si="824">SUM(M64:N64)</f>
        <v>0</v>
      </c>
      <c r="P64" s="178">
        <v>0</v>
      </c>
      <c r="Q64" s="74">
        <f t="shared" ref="Q64:Q66" si="825">IF(A64=1,($C$1*$Q$6),0)</f>
        <v>0</v>
      </c>
      <c r="R64" s="303">
        <f t="shared" ref="R64:R66" si="826">J64+O64+P64+Q64</f>
        <v>0</v>
      </c>
      <c r="S64" s="58">
        <v>0</v>
      </c>
      <c r="T64" s="68" t="s">
        <v>181</v>
      </c>
      <c r="U64" s="28">
        <f t="shared" ref="U64:U66" si="827">V64/$AM$4</f>
        <v>0</v>
      </c>
      <c r="V64" s="69">
        <v>0</v>
      </c>
      <c r="W64" s="28">
        <f t="shared" ref="W64:W66" si="828">V64*W$6</f>
        <v>0</v>
      </c>
      <c r="X64" s="28">
        <f t="shared" ref="X64:X66" si="829">V64*X$6</f>
        <v>0</v>
      </c>
      <c r="Y64" s="28">
        <f t="shared" ref="Y64:Y66" si="830">V64/Y$6</f>
        <v>0</v>
      </c>
      <c r="Z64" s="72">
        <f t="shared" ref="Z64:Z66" si="831">Y64/Z$6</f>
        <v>0</v>
      </c>
      <c r="AA64" s="72">
        <f t="shared" ref="AA64:AA66" si="832">V64/AA$6</f>
        <v>0</v>
      </c>
      <c r="AB64" s="70">
        <f>SUM(V64:AA64)</f>
        <v>0</v>
      </c>
      <c r="AC64" s="71">
        <v>0</v>
      </c>
      <c r="AD64" s="71">
        <v>0</v>
      </c>
      <c r="AE64" s="72">
        <f t="shared" ref="AE64:AE66" si="833">((U64*AE$6)+(U64*$AO$6)+(U64*$AP$6))*AC64</f>
        <v>0</v>
      </c>
      <c r="AF64" s="72">
        <f t="shared" ref="AF64:AF66" si="834">((U64*AF$6)+(U64*$AO$6)+(U64*$AP$6))*AD64</f>
        <v>0</v>
      </c>
      <c r="AG64" s="70">
        <f t="shared" ref="AG64:AG66" si="835">SUM(AE64:AF64)</f>
        <v>0</v>
      </c>
      <c r="AH64" s="178">
        <v>0</v>
      </c>
      <c r="AI64" s="74">
        <f t="shared" ref="AI64:AI66" si="836">IF(S64=1,($C$1*$Q$6),0)</f>
        <v>0</v>
      </c>
      <c r="AJ64" s="303">
        <f t="shared" ref="AJ64:AJ66" si="837">AB64+AG64+AH64+AI64</f>
        <v>0</v>
      </c>
      <c r="AK64" s="58">
        <v>0</v>
      </c>
      <c r="AL64" s="68" t="s">
        <v>181</v>
      </c>
      <c r="AM64" s="28">
        <f t="shared" ref="AM64:AM66" si="838">AN64/$AM$4</f>
        <v>0</v>
      </c>
      <c r="AN64" s="69">
        <v>0</v>
      </c>
      <c r="AO64" s="28">
        <f t="shared" ref="AO64:AO66" si="839">AN64*AO$6</f>
        <v>0</v>
      </c>
      <c r="AP64" s="28">
        <f t="shared" ref="AP64:AP66" si="840">AN64*AP$6</f>
        <v>0</v>
      </c>
      <c r="AQ64" s="28">
        <f t="shared" ref="AQ64:AQ66" si="841">AN64/AQ$6</f>
        <v>0</v>
      </c>
      <c r="AR64" s="72">
        <f t="shared" ref="AR64:AR66" si="842">AQ64/AR$6</f>
        <v>0</v>
      </c>
      <c r="AS64" s="72">
        <f t="shared" ref="AS64:AS66" si="843">AN64/AS$6</f>
        <v>0</v>
      </c>
      <c r="AT64" s="70">
        <f>SUM(AN64:AS64)</f>
        <v>0</v>
      </c>
      <c r="AU64" s="71">
        <v>0</v>
      </c>
      <c r="AV64" s="71">
        <v>0</v>
      </c>
      <c r="AW64" s="72">
        <f t="shared" ref="AW64:AW66" si="844">((AM64*AW$6)+(AM64*$AO$6)+(AM64*$AP$6))*AU64</f>
        <v>0</v>
      </c>
      <c r="AX64" s="72">
        <f t="shared" ref="AX64:AX66" si="845">((AM64*AX$6)+(AM64*$AO$6)+(AM64*$AP$6))*AV64</f>
        <v>0</v>
      </c>
      <c r="AY64" s="70">
        <f t="shared" ref="AY64:AY66" si="846">SUM(AW64:AX64)</f>
        <v>0</v>
      </c>
      <c r="AZ64" s="178">
        <v>0</v>
      </c>
      <c r="BA64" s="74">
        <f t="shared" ref="BA64:BA66" si="847">IF(AK64=1,($C$1*$Q$6),0)</f>
        <v>0</v>
      </c>
      <c r="BB64" s="303">
        <f t="shared" ref="BB64:BB66" si="848">AT64+AY64+AZ64+BA64</f>
        <v>0</v>
      </c>
      <c r="BC64" s="58">
        <v>0</v>
      </c>
      <c r="BD64" s="68" t="s">
        <v>181</v>
      </c>
      <c r="BE64" s="28">
        <f t="shared" ref="BE64:BE66" si="849">BF64/$AM$4</f>
        <v>0</v>
      </c>
      <c r="BF64" s="69">
        <v>0</v>
      </c>
      <c r="BG64" s="28">
        <f t="shared" ref="BG64:BG66" si="850">BF64*BG$6</f>
        <v>0</v>
      </c>
      <c r="BH64" s="28">
        <f t="shared" ref="BH64:BH66" si="851">BF64*BH$6</f>
        <v>0</v>
      </c>
      <c r="BI64" s="28">
        <f t="shared" ref="BI64:BI66" si="852">BF64/BI$6</f>
        <v>0</v>
      </c>
      <c r="BJ64" s="72">
        <f t="shared" ref="BJ64:BJ66" si="853">BI64/BJ$6</f>
        <v>0</v>
      </c>
      <c r="BK64" s="72">
        <f t="shared" ref="BK64:BK66" si="854">BF64/BK$6</f>
        <v>0</v>
      </c>
      <c r="BL64" s="70">
        <f>SUM(BF64:BK64)</f>
        <v>0</v>
      </c>
      <c r="BM64" s="71">
        <v>0</v>
      </c>
      <c r="BN64" s="71">
        <v>0</v>
      </c>
      <c r="BO64" s="72">
        <f t="shared" ref="BO64:BO66" si="855">((BE64*BO$6)+(BE64*$AO$6)+(BE64*$AP$6))*BM64</f>
        <v>0</v>
      </c>
      <c r="BP64" s="72">
        <f t="shared" ref="BP64:BP66" si="856">((BE64*BP$6)+(BE64*$AO$6)+(BE64*$AP$6))*BN64</f>
        <v>0</v>
      </c>
      <c r="BQ64" s="70">
        <f t="shared" ref="BQ64:BQ66" si="857">SUM(BO64:BP64)</f>
        <v>0</v>
      </c>
      <c r="BR64" s="178">
        <v>0</v>
      </c>
      <c r="BS64" s="74">
        <f t="shared" ref="BS64:BS66" si="858">IF(BC64=1,($C$1*$Q$6),0)</f>
        <v>0</v>
      </c>
      <c r="BT64" s="303">
        <f t="shared" ref="BT64:BT66" si="859">BL64+BQ64+BR64+BS64</f>
        <v>0</v>
      </c>
      <c r="BU64" s="58">
        <v>0</v>
      </c>
      <c r="BV64" s="68" t="s">
        <v>181</v>
      </c>
      <c r="BW64" s="28">
        <f t="shared" ref="BW64:BW66" si="860">BX64/$AM$4</f>
        <v>0</v>
      </c>
      <c r="BX64" s="69">
        <v>0</v>
      </c>
      <c r="BY64" s="28">
        <f t="shared" ref="BY64:BY66" si="861">BX64*BY$6</f>
        <v>0</v>
      </c>
      <c r="BZ64" s="28">
        <f t="shared" ref="BZ64:BZ66" si="862">BX64*BZ$6</f>
        <v>0</v>
      </c>
      <c r="CA64" s="28">
        <f t="shared" ref="CA64:CA66" si="863">BX64/CA$6</f>
        <v>0</v>
      </c>
      <c r="CB64" s="72">
        <f t="shared" ref="CB64:CB66" si="864">CA64/CB$6</f>
        <v>0</v>
      </c>
      <c r="CC64" s="72">
        <f t="shared" ref="CC64:CC66" si="865">BX64/CC$6</f>
        <v>0</v>
      </c>
      <c r="CD64" s="70">
        <f>SUM(BX64:CC64)</f>
        <v>0</v>
      </c>
      <c r="CE64" s="71">
        <v>0</v>
      </c>
      <c r="CF64" s="71">
        <v>0</v>
      </c>
      <c r="CG64" s="72">
        <f t="shared" ref="CG64:CG66" si="866">((BW64*CG$6)+(BW64*$AO$6)+(BW64*$AP$6))*CE64</f>
        <v>0</v>
      </c>
      <c r="CH64" s="72">
        <f t="shared" ref="CH64:CH66" si="867">((BW64*CH$6)+(BW64*$AO$6)+(BW64*$AP$6))*CF64</f>
        <v>0</v>
      </c>
      <c r="CI64" s="70">
        <f t="shared" ref="CI64:CI66" si="868">SUM(CG64:CH64)</f>
        <v>0</v>
      </c>
      <c r="CJ64" s="178">
        <v>0</v>
      </c>
      <c r="CK64" s="74">
        <f t="shared" ref="CK64:CK66" si="869">IF(BU64=1,($C$1*$Q$6),0)</f>
        <v>0</v>
      </c>
      <c r="CL64" s="303">
        <f t="shared" ref="CL64:CL66" si="870">CD64+CI64+CJ64+CK64</f>
        <v>0</v>
      </c>
      <c r="CM64" s="58">
        <v>0</v>
      </c>
      <c r="CN64" s="68" t="s">
        <v>181</v>
      </c>
      <c r="CO64" s="28">
        <f t="shared" ref="CO64:CO66" si="871">CP64/$AM$4</f>
        <v>0</v>
      </c>
      <c r="CP64" s="69">
        <v>0</v>
      </c>
      <c r="CQ64" s="28">
        <f t="shared" ref="CQ64:CQ66" si="872">CP64*CQ$6</f>
        <v>0</v>
      </c>
      <c r="CR64" s="28">
        <f t="shared" ref="CR64:CR66" si="873">CP64*CR$6</f>
        <v>0</v>
      </c>
      <c r="CS64" s="28">
        <f t="shared" ref="CS64:CS66" si="874">CP64/CS$6</f>
        <v>0</v>
      </c>
      <c r="CT64" s="72">
        <f t="shared" ref="CT64:CT66" si="875">CS64/CT$6</f>
        <v>0</v>
      </c>
      <c r="CU64" s="72">
        <f t="shared" ref="CU64:CU66" si="876">CP64/CU$6</f>
        <v>0</v>
      </c>
      <c r="CV64" s="70">
        <f>SUM(CP64:CU64)</f>
        <v>0</v>
      </c>
      <c r="CW64" s="71">
        <v>0</v>
      </c>
      <c r="CX64" s="71">
        <v>0</v>
      </c>
      <c r="CY64" s="72">
        <f t="shared" ref="CY64:CY66" si="877">((CO64*CY$6)+(CO64*$AO$6)+(CO64*$AP$6))*CW64</f>
        <v>0</v>
      </c>
      <c r="CZ64" s="72">
        <f t="shared" ref="CZ64:CZ66" si="878">((CO64*CZ$6)+(CO64*$AO$6)+(CO64*$AP$6))*CX64</f>
        <v>0</v>
      </c>
      <c r="DA64" s="70">
        <f t="shared" ref="DA64:DA66" si="879">SUM(CY64:CZ64)</f>
        <v>0</v>
      </c>
      <c r="DB64" s="178">
        <v>0</v>
      </c>
      <c r="DC64" s="74">
        <f t="shared" ref="DC64:DC66" si="880">IF(CM64=1,($C$1*$Q$6),0)</f>
        <v>0</v>
      </c>
      <c r="DD64" s="303">
        <f t="shared" ref="DD64:DD66" si="881">CV64+DA64+DB64+DC64</f>
        <v>0</v>
      </c>
      <c r="DE64" s="58">
        <v>0</v>
      </c>
      <c r="DF64" s="68" t="s">
        <v>181</v>
      </c>
      <c r="DG64" s="28">
        <f t="shared" ref="DG64:DG66" si="882">DH64/$AM$4</f>
        <v>0</v>
      </c>
      <c r="DH64" s="69">
        <v>0</v>
      </c>
      <c r="DI64" s="28">
        <f t="shared" ref="DI64:DI66" si="883">DH64*DI$6</f>
        <v>0</v>
      </c>
      <c r="DJ64" s="28">
        <f t="shared" ref="DJ64:DJ66" si="884">DH64*DJ$6</f>
        <v>0</v>
      </c>
      <c r="DK64" s="28">
        <f t="shared" ref="DK64:DK66" si="885">DH64/DK$6</f>
        <v>0</v>
      </c>
      <c r="DL64" s="72">
        <f t="shared" ref="DL64:DL66" si="886">DK64/DL$6</f>
        <v>0</v>
      </c>
      <c r="DM64" s="72">
        <f t="shared" ref="DM64:DM66" si="887">DH64/DM$6</f>
        <v>0</v>
      </c>
      <c r="DN64" s="70">
        <f>SUM(DH64:DM64)</f>
        <v>0</v>
      </c>
      <c r="DO64" s="71">
        <v>0</v>
      </c>
      <c r="DP64" s="71">
        <v>0</v>
      </c>
      <c r="DQ64" s="72">
        <f t="shared" ref="DQ64:DQ66" si="888">((DG64*DQ$6)+(DG64*$AO$6)+(DG64*$AP$6))*DO64</f>
        <v>0</v>
      </c>
      <c r="DR64" s="72">
        <f t="shared" ref="DR64:DR66" si="889">((DG64*DR$6)+(DG64*$AO$6)+(DG64*$AP$6))*DP64</f>
        <v>0</v>
      </c>
      <c r="DS64" s="70">
        <f t="shared" ref="DS64:DS66" si="890">SUM(DQ64:DR64)</f>
        <v>0</v>
      </c>
      <c r="DT64" s="178">
        <v>0</v>
      </c>
      <c r="DU64" s="74">
        <f t="shared" ref="DU64:DU66" si="891">IF(DE64=1,($C$1*$Q$6),0)</f>
        <v>0</v>
      </c>
      <c r="DV64" s="303">
        <f t="shared" ref="DV64:DV66" si="892">DN64+DS64+DT64+DU64</f>
        <v>0</v>
      </c>
      <c r="DW64" s="58">
        <v>0</v>
      </c>
      <c r="DX64" s="68" t="s">
        <v>181</v>
      </c>
      <c r="DY64" s="28">
        <f t="shared" ref="DY64:DY66" si="893">DZ64/$AM$4</f>
        <v>0</v>
      </c>
      <c r="DZ64" s="69">
        <v>0</v>
      </c>
      <c r="EA64" s="28">
        <f t="shared" ref="EA64:EA66" si="894">DZ64*EA$6</f>
        <v>0</v>
      </c>
      <c r="EB64" s="28">
        <f t="shared" ref="EB64:EB66" si="895">DZ64*EB$6</f>
        <v>0</v>
      </c>
      <c r="EC64" s="28">
        <f t="shared" ref="EC64:EC66" si="896">DZ64/EC$6</f>
        <v>0</v>
      </c>
      <c r="ED64" s="72">
        <f t="shared" ref="ED64:ED66" si="897">EC64/ED$6</f>
        <v>0</v>
      </c>
      <c r="EE64" s="72">
        <f t="shared" ref="EE64:EE66" si="898">DZ64/EE$6</f>
        <v>0</v>
      </c>
      <c r="EF64" s="70">
        <f>SUM(DZ64:EE64)</f>
        <v>0</v>
      </c>
      <c r="EG64" s="71">
        <v>0</v>
      </c>
      <c r="EH64" s="71">
        <v>0</v>
      </c>
      <c r="EI64" s="72">
        <f t="shared" ref="EI64:EI66" si="899">((DY64*EI$6)+(DY64*$AO$6)+(DY64*$AP$6))*EG64</f>
        <v>0</v>
      </c>
      <c r="EJ64" s="72">
        <f t="shared" ref="EJ64:EJ66" si="900">((DY64*EJ$6)+(DY64*$AO$6)+(DY64*$AP$6))*EH64</f>
        <v>0</v>
      </c>
      <c r="EK64" s="70">
        <f t="shared" ref="EK64:EK66" si="901">SUM(EI64:EJ64)</f>
        <v>0</v>
      </c>
      <c r="EL64" s="178">
        <v>0</v>
      </c>
      <c r="EM64" s="74">
        <f t="shared" ref="EM64:EM66" si="902">IF(DW64=1,($C$1*$Q$6),0)</f>
        <v>0</v>
      </c>
      <c r="EN64" s="303">
        <f t="shared" ref="EN64:EN66" si="903">EF64+EK64+EL64+EM64</f>
        <v>0</v>
      </c>
      <c r="EO64" s="58">
        <v>0</v>
      </c>
      <c r="EP64" s="68" t="s">
        <v>181</v>
      </c>
      <c r="EQ64" s="28">
        <f t="shared" ref="EQ64:EQ66" si="904">ER64/$AM$4</f>
        <v>0</v>
      </c>
      <c r="ER64" s="69">
        <v>0</v>
      </c>
      <c r="ES64" s="28">
        <f t="shared" ref="ES64:ES66" si="905">ER64*ES$6</f>
        <v>0</v>
      </c>
      <c r="ET64" s="28">
        <f t="shared" ref="ET64:ET66" si="906">ER64*ET$6</f>
        <v>0</v>
      </c>
      <c r="EU64" s="28">
        <f t="shared" ref="EU64:EU66" si="907">ER64/EU$6</f>
        <v>0</v>
      </c>
      <c r="EV64" s="72">
        <f t="shared" ref="EV64:EV66" si="908">EU64/EV$6</f>
        <v>0</v>
      </c>
      <c r="EW64" s="72">
        <f t="shared" ref="EW64:EW66" si="909">ER64/EW$6</f>
        <v>0</v>
      </c>
      <c r="EX64" s="70">
        <f>SUM(ER64:EW64)</f>
        <v>0</v>
      </c>
      <c r="EY64" s="71">
        <v>0</v>
      </c>
      <c r="EZ64" s="71">
        <v>0</v>
      </c>
      <c r="FA64" s="72">
        <f t="shared" ref="FA64:FA66" si="910">((EQ64*FA$6)+(EQ64*$AO$6)+(EQ64*$AP$6))*EY64</f>
        <v>0</v>
      </c>
      <c r="FB64" s="72">
        <f t="shared" ref="FB64:FB66" si="911">((EQ64*FB$6)+(EQ64*$AO$6)+(EQ64*$AP$6))*EZ64</f>
        <v>0</v>
      </c>
      <c r="FC64" s="70">
        <f t="shared" ref="FC64:FC66" si="912">SUM(FA64:FB64)</f>
        <v>0</v>
      </c>
      <c r="FD64" s="178">
        <v>0</v>
      </c>
      <c r="FE64" s="74">
        <f t="shared" ref="FE64:FE66" si="913">IF(EO64=1,($C$1*$Q$6),0)</f>
        <v>0</v>
      </c>
      <c r="FF64" s="303">
        <f t="shared" ref="FF64:FF66" si="914">EX64+FC64+FD64+FE64</f>
        <v>0</v>
      </c>
      <c r="FG64" s="58">
        <v>0</v>
      </c>
      <c r="FH64" s="68" t="s">
        <v>181</v>
      </c>
      <c r="FI64" s="28">
        <f t="shared" ref="FI64:FI66" si="915">FJ64/$AM$4</f>
        <v>0</v>
      </c>
      <c r="FJ64" s="69">
        <v>0</v>
      </c>
      <c r="FK64" s="28">
        <f t="shared" ref="FK64:FK66" si="916">FJ64*FK$6</f>
        <v>0</v>
      </c>
      <c r="FL64" s="28">
        <f t="shared" ref="FL64:FL66" si="917">FJ64*FL$6</f>
        <v>0</v>
      </c>
      <c r="FM64" s="28">
        <f t="shared" ref="FM64:FM66" si="918">FJ64/FM$6</f>
        <v>0</v>
      </c>
      <c r="FN64" s="72">
        <f t="shared" ref="FN64:FN66" si="919">FM64/FN$6</f>
        <v>0</v>
      </c>
      <c r="FO64" s="72">
        <f t="shared" ref="FO64:FO66" si="920">FJ64/FO$6</f>
        <v>0</v>
      </c>
      <c r="FP64" s="70">
        <f>SUM(FJ64:FO64)</f>
        <v>0</v>
      </c>
      <c r="FQ64" s="71">
        <v>0</v>
      </c>
      <c r="FR64" s="71">
        <v>0</v>
      </c>
      <c r="FS64" s="72">
        <f t="shared" ref="FS64:FS66" si="921">((FI64*FS$6)+(FI64*$AO$6)+(FI64*$AP$6))*FQ64</f>
        <v>0</v>
      </c>
      <c r="FT64" s="72">
        <f t="shared" ref="FT64:FT66" si="922">((FI64*FT$6)+(FI64*$AO$6)+(FI64*$AP$6))*FR64</f>
        <v>0</v>
      </c>
      <c r="FU64" s="70">
        <f t="shared" ref="FU64:FU66" si="923">SUM(FS64:FT64)</f>
        <v>0</v>
      </c>
      <c r="FV64" s="178">
        <v>0</v>
      </c>
      <c r="FW64" s="74">
        <f t="shared" ref="FW64:FW66" si="924">IF(FG64=1,($C$1*$Q$6),0)</f>
        <v>0</v>
      </c>
      <c r="FX64" s="303">
        <f t="shared" ref="FX64:FX66" si="925">FP64+FU64+FV64+FW64</f>
        <v>0</v>
      </c>
      <c r="FY64" s="58">
        <v>0</v>
      </c>
      <c r="FZ64" s="68" t="s">
        <v>181</v>
      </c>
      <c r="GA64" s="28">
        <f t="shared" ref="GA64:GA66" si="926">GB64/$AM$4</f>
        <v>0</v>
      </c>
      <c r="GB64" s="69">
        <v>0</v>
      </c>
      <c r="GC64" s="28">
        <f t="shared" ref="GC64:GC66" si="927">GB64*GC$6</f>
        <v>0</v>
      </c>
      <c r="GD64" s="28">
        <f t="shared" ref="GD64:GD66" si="928">GB64*GD$6</f>
        <v>0</v>
      </c>
      <c r="GE64" s="28">
        <f t="shared" ref="GE64:GE66" si="929">GB64/GE$6</f>
        <v>0</v>
      </c>
      <c r="GF64" s="72">
        <f t="shared" ref="GF64:GF66" si="930">GE64/GF$6</f>
        <v>0</v>
      </c>
      <c r="GG64" s="72">
        <f t="shared" ref="GG64:GG66" si="931">GB64/GG$6</f>
        <v>0</v>
      </c>
      <c r="GH64" s="70">
        <f>SUM(GB64:GG64)</f>
        <v>0</v>
      </c>
      <c r="GI64" s="71">
        <v>0</v>
      </c>
      <c r="GJ64" s="71">
        <v>0</v>
      </c>
      <c r="GK64" s="72">
        <f t="shared" ref="GK64:GK66" si="932">((GA64*GK$6)+(GA64*$AO$6)+(GA64*$AP$6))*GI64</f>
        <v>0</v>
      </c>
      <c r="GL64" s="72">
        <f t="shared" ref="GL64:GL66" si="933">((GA64*GL$6)+(GA64*$AO$6)+(GA64*$AP$6))*GJ64</f>
        <v>0</v>
      </c>
      <c r="GM64" s="70">
        <f t="shared" ref="GM64:GM66" si="934">SUM(GK64:GL64)</f>
        <v>0</v>
      </c>
      <c r="GN64" s="178">
        <v>0</v>
      </c>
      <c r="GO64" s="74">
        <f t="shared" ref="GO64:GO66" si="935">IF(FY64=1,($C$1*$Q$6),0)</f>
        <v>0</v>
      </c>
      <c r="GP64" s="303">
        <f t="shared" ref="GP64:GP66" si="936">GH64+GM64+GN64+GO64</f>
        <v>0</v>
      </c>
      <c r="GQ64" s="58">
        <v>0</v>
      </c>
      <c r="GR64" s="68" t="s">
        <v>181</v>
      </c>
      <c r="GS64" s="28">
        <f t="shared" ref="GS64:GS66" si="937">GT64/$AM$4</f>
        <v>0</v>
      </c>
      <c r="GT64" s="69">
        <v>0</v>
      </c>
      <c r="GU64" s="28">
        <f t="shared" ref="GU64:GU66" si="938">GT64*GU$6</f>
        <v>0</v>
      </c>
      <c r="GV64" s="28">
        <f t="shared" ref="GV64:GV66" si="939">GT64*GV$6</f>
        <v>0</v>
      </c>
      <c r="GW64" s="28">
        <f t="shared" ref="GW64:GW66" si="940">GT64/GW$6</f>
        <v>0</v>
      </c>
      <c r="GX64" s="72">
        <f t="shared" ref="GX64:GX66" si="941">GW64/GX$6</f>
        <v>0</v>
      </c>
      <c r="GY64" s="72">
        <f t="shared" ref="GY64:GY66" si="942">GT64/GY$6</f>
        <v>0</v>
      </c>
      <c r="GZ64" s="70">
        <f>SUM(GT64:GY64)</f>
        <v>0</v>
      </c>
      <c r="HA64" s="71">
        <v>0</v>
      </c>
      <c r="HB64" s="71">
        <v>0</v>
      </c>
      <c r="HC64" s="72">
        <f t="shared" ref="HC64:HC66" si="943">((GS64*HC$6)+(GS64*$AO$6)+(GS64*$AP$6))*HA64</f>
        <v>0</v>
      </c>
      <c r="HD64" s="72">
        <f t="shared" ref="HD64:HD66" si="944">((GS64*HD$6)+(GS64*$AO$6)+(GS64*$AP$6))*HB64</f>
        <v>0</v>
      </c>
      <c r="HE64" s="70">
        <f t="shared" ref="HE64:HE66" si="945">SUM(HC64:HD64)</f>
        <v>0</v>
      </c>
      <c r="HF64" s="178">
        <v>0</v>
      </c>
      <c r="HG64" s="74">
        <f t="shared" ref="HG64:HG66" si="946">IF(GQ64=1,($C$1*$Q$6),0)</f>
        <v>0</v>
      </c>
      <c r="HH64" s="303">
        <f t="shared" ref="HH64:HH66" si="947">GZ64+HE64+HF64+HG64</f>
        <v>0</v>
      </c>
      <c r="HJ64" s="37"/>
      <c r="HK64" s="37"/>
      <c r="HL64" s="37"/>
      <c r="HM64" s="37"/>
      <c r="HN64" s="37"/>
      <c r="HO64" s="37"/>
      <c r="HP64" s="37"/>
      <c r="HQ64" s="37"/>
      <c r="HR64" s="37"/>
      <c r="HS64" s="37"/>
      <c r="HT64" s="37"/>
      <c r="HU64" s="37"/>
      <c r="HV64" s="37"/>
      <c r="HW64" s="37"/>
      <c r="HX64" s="37"/>
      <c r="HY64" s="37"/>
      <c r="HZ64" s="37"/>
      <c r="IA64" s="37"/>
      <c r="IB64" s="37"/>
      <c r="IC64" s="37"/>
      <c r="ID64" s="37"/>
      <c r="IE64" s="37"/>
      <c r="IF64" s="37"/>
      <c r="IG64" s="37"/>
      <c r="IH64" s="37"/>
      <c r="II64" s="37"/>
      <c r="IJ64" s="37"/>
      <c r="IK64" s="37"/>
      <c r="IL64" s="37"/>
      <c r="IM64" s="37"/>
      <c r="IN64" s="37"/>
      <c r="IO64" s="37"/>
      <c r="IP64" s="37"/>
    </row>
    <row r="65" spans="1:250" hidden="1" x14ac:dyDescent="0.3">
      <c r="A65" s="58">
        <v>0</v>
      </c>
      <c r="B65" s="68" t="s">
        <v>181</v>
      </c>
      <c r="C65" s="28">
        <f t="shared" si="816"/>
        <v>0</v>
      </c>
      <c r="D65" s="310">
        <v>0</v>
      </c>
      <c r="E65" s="28">
        <f t="shared" si="817"/>
        <v>0</v>
      </c>
      <c r="F65" s="28">
        <f t="shared" si="818"/>
        <v>0</v>
      </c>
      <c r="G65" s="28">
        <f t="shared" si="819"/>
        <v>0</v>
      </c>
      <c r="H65" s="72">
        <f t="shared" si="820"/>
        <v>0</v>
      </c>
      <c r="I65" s="72">
        <f t="shared" si="821"/>
        <v>0</v>
      </c>
      <c r="J65" s="70">
        <f t="shared" ref="J65:J66" si="948">SUM(D65:I65)</f>
        <v>0</v>
      </c>
      <c r="K65" s="300">
        <v>0</v>
      </c>
      <c r="L65" s="71">
        <v>0</v>
      </c>
      <c r="M65" s="72">
        <f t="shared" si="822"/>
        <v>0</v>
      </c>
      <c r="N65" s="72">
        <f t="shared" si="823"/>
        <v>0</v>
      </c>
      <c r="O65" s="70">
        <f t="shared" si="824"/>
        <v>0</v>
      </c>
      <c r="P65" s="178">
        <v>0</v>
      </c>
      <c r="Q65" s="74">
        <f t="shared" si="825"/>
        <v>0</v>
      </c>
      <c r="R65" s="303">
        <f t="shared" si="826"/>
        <v>0</v>
      </c>
      <c r="S65" s="58">
        <v>0</v>
      </c>
      <c r="T65" s="68" t="s">
        <v>181</v>
      </c>
      <c r="U65" s="28">
        <f t="shared" si="827"/>
        <v>0</v>
      </c>
      <c r="V65" s="310">
        <v>0</v>
      </c>
      <c r="W65" s="28">
        <f t="shared" si="828"/>
        <v>0</v>
      </c>
      <c r="X65" s="28">
        <f t="shared" si="829"/>
        <v>0</v>
      </c>
      <c r="Y65" s="28">
        <f t="shared" si="830"/>
        <v>0</v>
      </c>
      <c r="Z65" s="72">
        <f t="shared" si="831"/>
        <v>0</v>
      </c>
      <c r="AA65" s="72">
        <f t="shared" si="832"/>
        <v>0</v>
      </c>
      <c r="AB65" s="70">
        <f t="shared" ref="AB65:AB66" si="949">SUM(V65:AA65)</f>
        <v>0</v>
      </c>
      <c r="AC65" s="300">
        <v>0</v>
      </c>
      <c r="AD65" s="71">
        <v>0</v>
      </c>
      <c r="AE65" s="72">
        <f t="shared" si="833"/>
        <v>0</v>
      </c>
      <c r="AF65" s="72">
        <f t="shared" si="834"/>
        <v>0</v>
      </c>
      <c r="AG65" s="70">
        <f t="shared" si="835"/>
        <v>0</v>
      </c>
      <c r="AH65" s="178">
        <v>0</v>
      </c>
      <c r="AI65" s="74">
        <f t="shared" si="836"/>
        <v>0</v>
      </c>
      <c r="AJ65" s="303">
        <f t="shared" si="837"/>
        <v>0</v>
      </c>
      <c r="AK65" s="58">
        <v>0</v>
      </c>
      <c r="AL65" s="68" t="s">
        <v>181</v>
      </c>
      <c r="AM65" s="28">
        <f t="shared" si="838"/>
        <v>0</v>
      </c>
      <c r="AN65" s="310">
        <v>0</v>
      </c>
      <c r="AO65" s="28">
        <f t="shared" si="839"/>
        <v>0</v>
      </c>
      <c r="AP65" s="28">
        <f t="shared" si="840"/>
        <v>0</v>
      </c>
      <c r="AQ65" s="28">
        <f t="shared" si="841"/>
        <v>0</v>
      </c>
      <c r="AR65" s="72">
        <f t="shared" si="842"/>
        <v>0</v>
      </c>
      <c r="AS65" s="72">
        <f t="shared" si="843"/>
        <v>0</v>
      </c>
      <c r="AT65" s="70">
        <f t="shared" ref="AT65:AT66" si="950">SUM(AN65:AS65)</f>
        <v>0</v>
      </c>
      <c r="AU65" s="300">
        <v>0</v>
      </c>
      <c r="AV65" s="71">
        <v>0</v>
      </c>
      <c r="AW65" s="72">
        <f t="shared" si="844"/>
        <v>0</v>
      </c>
      <c r="AX65" s="72">
        <f t="shared" si="845"/>
        <v>0</v>
      </c>
      <c r="AY65" s="70">
        <f t="shared" si="846"/>
        <v>0</v>
      </c>
      <c r="AZ65" s="178">
        <v>0</v>
      </c>
      <c r="BA65" s="74">
        <f t="shared" si="847"/>
        <v>0</v>
      </c>
      <c r="BB65" s="303">
        <f t="shared" si="848"/>
        <v>0</v>
      </c>
      <c r="BC65" s="58">
        <v>0</v>
      </c>
      <c r="BD65" s="68" t="s">
        <v>181</v>
      </c>
      <c r="BE65" s="28">
        <f t="shared" si="849"/>
        <v>0</v>
      </c>
      <c r="BF65" s="310">
        <v>0</v>
      </c>
      <c r="BG65" s="28">
        <f t="shared" si="850"/>
        <v>0</v>
      </c>
      <c r="BH65" s="28">
        <f t="shared" si="851"/>
        <v>0</v>
      </c>
      <c r="BI65" s="28">
        <f t="shared" si="852"/>
        <v>0</v>
      </c>
      <c r="BJ65" s="72">
        <f t="shared" si="853"/>
        <v>0</v>
      </c>
      <c r="BK65" s="72">
        <f t="shared" si="854"/>
        <v>0</v>
      </c>
      <c r="BL65" s="70">
        <f t="shared" ref="BL65:BL66" si="951">SUM(BF65:BK65)</f>
        <v>0</v>
      </c>
      <c r="BM65" s="300">
        <v>0</v>
      </c>
      <c r="BN65" s="71">
        <v>0</v>
      </c>
      <c r="BO65" s="72">
        <f t="shared" si="855"/>
        <v>0</v>
      </c>
      <c r="BP65" s="72">
        <f t="shared" si="856"/>
        <v>0</v>
      </c>
      <c r="BQ65" s="70">
        <f t="shared" si="857"/>
        <v>0</v>
      </c>
      <c r="BR65" s="178">
        <v>0</v>
      </c>
      <c r="BS65" s="74">
        <f t="shared" si="858"/>
        <v>0</v>
      </c>
      <c r="BT65" s="303">
        <f t="shared" si="859"/>
        <v>0</v>
      </c>
      <c r="BU65" s="58">
        <v>0</v>
      </c>
      <c r="BV65" s="68" t="s">
        <v>181</v>
      </c>
      <c r="BW65" s="28">
        <f t="shared" si="860"/>
        <v>0</v>
      </c>
      <c r="BX65" s="310">
        <v>0</v>
      </c>
      <c r="BY65" s="28">
        <f t="shared" si="861"/>
        <v>0</v>
      </c>
      <c r="BZ65" s="28">
        <f t="shared" si="862"/>
        <v>0</v>
      </c>
      <c r="CA65" s="28">
        <f t="shared" si="863"/>
        <v>0</v>
      </c>
      <c r="CB65" s="72">
        <f t="shared" si="864"/>
        <v>0</v>
      </c>
      <c r="CC65" s="72">
        <f t="shared" si="865"/>
        <v>0</v>
      </c>
      <c r="CD65" s="70">
        <f t="shared" ref="CD65:CD66" si="952">SUM(BX65:CC65)</f>
        <v>0</v>
      </c>
      <c r="CE65" s="300">
        <v>0</v>
      </c>
      <c r="CF65" s="71">
        <v>0</v>
      </c>
      <c r="CG65" s="72">
        <f t="shared" si="866"/>
        <v>0</v>
      </c>
      <c r="CH65" s="72">
        <f t="shared" si="867"/>
        <v>0</v>
      </c>
      <c r="CI65" s="70">
        <f t="shared" si="868"/>
        <v>0</v>
      </c>
      <c r="CJ65" s="178">
        <v>0</v>
      </c>
      <c r="CK65" s="74">
        <f t="shared" si="869"/>
        <v>0</v>
      </c>
      <c r="CL65" s="303">
        <f t="shared" si="870"/>
        <v>0</v>
      </c>
      <c r="CM65" s="58">
        <v>0</v>
      </c>
      <c r="CN65" s="68" t="s">
        <v>181</v>
      </c>
      <c r="CO65" s="28">
        <f t="shared" si="871"/>
        <v>0</v>
      </c>
      <c r="CP65" s="310">
        <v>0</v>
      </c>
      <c r="CQ65" s="28">
        <f t="shared" si="872"/>
        <v>0</v>
      </c>
      <c r="CR65" s="28">
        <f t="shared" si="873"/>
        <v>0</v>
      </c>
      <c r="CS65" s="28">
        <f t="shared" si="874"/>
        <v>0</v>
      </c>
      <c r="CT65" s="72">
        <f t="shared" si="875"/>
        <v>0</v>
      </c>
      <c r="CU65" s="72">
        <f t="shared" si="876"/>
        <v>0</v>
      </c>
      <c r="CV65" s="70">
        <f t="shared" ref="CV65:CV66" si="953">SUM(CP65:CU65)</f>
        <v>0</v>
      </c>
      <c r="CW65" s="300">
        <v>0</v>
      </c>
      <c r="CX65" s="71">
        <v>0</v>
      </c>
      <c r="CY65" s="72">
        <f t="shared" si="877"/>
        <v>0</v>
      </c>
      <c r="CZ65" s="72">
        <f t="shared" si="878"/>
        <v>0</v>
      </c>
      <c r="DA65" s="70">
        <f t="shared" si="879"/>
        <v>0</v>
      </c>
      <c r="DB65" s="178">
        <v>0</v>
      </c>
      <c r="DC65" s="74">
        <f t="shared" si="880"/>
        <v>0</v>
      </c>
      <c r="DD65" s="303">
        <f t="shared" si="881"/>
        <v>0</v>
      </c>
      <c r="DE65" s="58">
        <v>0</v>
      </c>
      <c r="DF65" s="68" t="s">
        <v>181</v>
      </c>
      <c r="DG65" s="28">
        <f t="shared" si="882"/>
        <v>0</v>
      </c>
      <c r="DH65" s="310">
        <v>0</v>
      </c>
      <c r="DI65" s="28">
        <f t="shared" si="883"/>
        <v>0</v>
      </c>
      <c r="DJ65" s="28">
        <f t="shared" si="884"/>
        <v>0</v>
      </c>
      <c r="DK65" s="28">
        <f t="shared" si="885"/>
        <v>0</v>
      </c>
      <c r="DL65" s="72">
        <f t="shared" si="886"/>
        <v>0</v>
      </c>
      <c r="DM65" s="72">
        <f t="shared" si="887"/>
        <v>0</v>
      </c>
      <c r="DN65" s="70">
        <f t="shared" ref="DN65:DN66" si="954">SUM(DH65:DM65)</f>
        <v>0</v>
      </c>
      <c r="DO65" s="300">
        <v>0</v>
      </c>
      <c r="DP65" s="71">
        <v>0</v>
      </c>
      <c r="DQ65" s="72">
        <f t="shared" si="888"/>
        <v>0</v>
      </c>
      <c r="DR65" s="72">
        <f t="shared" si="889"/>
        <v>0</v>
      </c>
      <c r="DS65" s="70">
        <f t="shared" si="890"/>
        <v>0</v>
      </c>
      <c r="DT65" s="178">
        <v>0</v>
      </c>
      <c r="DU65" s="74">
        <f t="shared" si="891"/>
        <v>0</v>
      </c>
      <c r="DV65" s="303">
        <f t="shared" si="892"/>
        <v>0</v>
      </c>
      <c r="DW65" s="58">
        <v>0</v>
      </c>
      <c r="DX65" s="68" t="s">
        <v>181</v>
      </c>
      <c r="DY65" s="28">
        <f t="shared" si="893"/>
        <v>0</v>
      </c>
      <c r="DZ65" s="310">
        <v>0</v>
      </c>
      <c r="EA65" s="28">
        <f t="shared" si="894"/>
        <v>0</v>
      </c>
      <c r="EB65" s="28">
        <f t="shared" si="895"/>
        <v>0</v>
      </c>
      <c r="EC65" s="28">
        <f t="shared" si="896"/>
        <v>0</v>
      </c>
      <c r="ED65" s="72">
        <f t="shared" si="897"/>
        <v>0</v>
      </c>
      <c r="EE65" s="72">
        <f t="shared" si="898"/>
        <v>0</v>
      </c>
      <c r="EF65" s="70">
        <f t="shared" ref="EF65:EF66" si="955">SUM(DZ65:EE65)</f>
        <v>0</v>
      </c>
      <c r="EG65" s="300">
        <v>0</v>
      </c>
      <c r="EH65" s="71">
        <v>0</v>
      </c>
      <c r="EI65" s="72">
        <f t="shared" si="899"/>
        <v>0</v>
      </c>
      <c r="EJ65" s="72">
        <f t="shared" si="900"/>
        <v>0</v>
      </c>
      <c r="EK65" s="70">
        <f t="shared" si="901"/>
        <v>0</v>
      </c>
      <c r="EL65" s="178">
        <v>0</v>
      </c>
      <c r="EM65" s="74">
        <f t="shared" si="902"/>
        <v>0</v>
      </c>
      <c r="EN65" s="303">
        <f t="shared" si="903"/>
        <v>0</v>
      </c>
      <c r="EO65" s="58">
        <v>0</v>
      </c>
      <c r="EP65" s="68" t="s">
        <v>181</v>
      </c>
      <c r="EQ65" s="28">
        <f t="shared" si="904"/>
        <v>0</v>
      </c>
      <c r="ER65" s="310">
        <v>0</v>
      </c>
      <c r="ES65" s="28">
        <f t="shared" si="905"/>
        <v>0</v>
      </c>
      <c r="ET65" s="28">
        <f t="shared" si="906"/>
        <v>0</v>
      </c>
      <c r="EU65" s="28">
        <f t="shared" si="907"/>
        <v>0</v>
      </c>
      <c r="EV65" s="72">
        <f t="shared" si="908"/>
        <v>0</v>
      </c>
      <c r="EW65" s="72">
        <f t="shared" si="909"/>
        <v>0</v>
      </c>
      <c r="EX65" s="70">
        <f t="shared" ref="EX65:EX66" si="956">SUM(ER65:EW65)</f>
        <v>0</v>
      </c>
      <c r="EY65" s="300">
        <v>0</v>
      </c>
      <c r="EZ65" s="71">
        <v>0</v>
      </c>
      <c r="FA65" s="72">
        <f t="shared" si="910"/>
        <v>0</v>
      </c>
      <c r="FB65" s="72">
        <f t="shared" si="911"/>
        <v>0</v>
      </c>
      <c r="FC65" s="70">
        <f t="shared" si="912"/>
        <v>0</v>
      </c>
      <c r="FD65" s="178">
        <v>0</v>
      </c>
      <c r="FE65" s="74">
        <f t="shared" si="913"/>
        <v>0</v>
      </c>
      <c r="FF65" s="303">
        <f t="shared" si="914"/>
        <v>0</v>
      </c>
      <c r="FG65" s="58">
        <v>0</v>
      </c>
      <c r="FH65" s="68" t="s">
        <v>181</v>
      </c>
      <c r="FI65" s="28">
        <f t="shared" si="915"/>
        <v>0</v>
      </c>
      <c r="FJ65" s="310">
        <v>0</v>
      </c>
      <c r="FK65" s="28">
        <f t="shared" si="916"/>
        <v>0</v>
      </c>
      <c r="FL65" s="28">
        <f t="shared" si="917"/>
        <v>0</v>
      </c>
      <c r="FM65" s="28">
        <f t="shared" si="918"/>
        <v>0</v>
      </c>
      <c r="FN65" s="72">
        <f t="shared" si="919"/>
        <v>0</v>
      </c>
      <c r="FO65" s="72">
        <f t="shared" si="920"/>
        <v>0</v>
      </c>
      <c r="FP65" s="70">
        <f t="shared" ref="FP65:FP66" si="957">SUM(FJ65:FO65)</f>
        <v>0</v>
      </c>
      <c r="FQ65" s="300">
        <v>0</v>
      </c>
      <c r="FR65" s="71">
        <v>0</v>
      </c>
      <c r="FS65" s="72">
        <f t="shared" si="921"/>
        <v>0</v>
      </c>
      <c r="FT65" s="72">
        <f t="shared" si="922"/>
        <v>0</v>
      </c>
      <c r="FU65" s="70">
        <f t="shared" si="923"/>
        <v>0</v>
      </c>
      <c r="FV65" s="178">
        <v>0</v>
      </c>
      <c r="FW65" s="74">
        <f t="shared" si="924"/>
        <v>0</v>
      </c>
      <c r="FX65" s="303">
        <f t="shared" si="925"/>
        <v>0</v>
      </c>
      <c r="FY65" s="58">
        <v>0</v>
      </c>
      <c r="FZ65" s="68" t="s">
        <v>181</v>
      </c>
      <c r="GA65" s="28">
        <f t="shared" si="926"/>
        <v>0</v>
      </c>
      <c r="GB65" s="310">
        <v>0</v>
      </c>
      <c r="GC65" s="28">
        <f t="shared" si="927"/>
        <v>0</v>
      </c>
      <c r="GD65" s="28">
        <f t="shared" si="928"/>
        <v>0</v>
      </c>
      <c r="GE65" s="28">
        <f t="shared" si="929"/>
        <v>0</v>
      </c>
      <c r="GF65" s="72">
        <f t="shared" si="930"/>
        <v>0</v>
      </c>
      <c r="GG65" s="72">
        <f t="shared" si="931"/>
        <v>0</v>
      </c>
      <c r="GH65" s="70">
        <f t="shared" ref="GH65:GH66" si="958">SUM(GB65:GG65)</f>
        <v>0</v>
      </c>
      <c r="GI65" s="300">
        <v>0</v>
      </c>
      <c r="GJ65" s="71">
        <v>0</v>
      </c>
      <c r="GK65" s="72">
        <f t="shared" si="932"/>
        <v>0</v>
      </c>
      <c r="GL65" s="72">
        <f t="shared" si="933"/>
        <v>0</v>
      </c>
      <c r="GM65" s="70">
        <f t="shared" si="934"/>
        <v>0</v>
      </c>
      <c r="GN65" s="178">
        <v>0</v>
      </c>
      <c r="GO65" s="74">
        <f t="shared" si="935"/>
        <v>0</v>
      </c>
      <c r="GP65" s="303">
        <f t="shared" si="936"/>
        <v>0</v>
      </c>
      <c r="GQ65" s="58">
        <v>0</v>
      </c>
      <c r="GR65" s="68" t="s">
        <v>181</v>
      </c>
      <c r="GS65" s="28">
        <f t="shared" si="937"/>
        <v>0</v>
      </c>
      <c r="GT65" s="310">
        <v>0</v>
      </c>
      <c r="GU65" s="28">
        <f t="shared" si="938"/>
        <v>0</v>
      </c>
      <c r="GV65" s="28">
        <f t="shared" si="939"/>
        <v>0</v>
      </c>
      <c r="GW65" s="28">
        <f t="shared" si="940"/>
        <v>0</v>
      </c>
      <c r="GX65" s="72">
        <f t="shared" si="941"/>
        <v>0</v>
      </c>
      <c r="GY65" s="72">
        <f t="shared" si="942"/>
        <v>0</v>
      </c>
      <c r="GZ65" s="70">
        <f t="shared" ref="GZ65:GZ66" si="959">SUM(GT65:GY65)</f>
        <v>0</v>
      </c>
      <c r="HA65" s="300">
        <v>0</v>
      </c>
      <c r="HB65" s="71">
        <v>0</v>
      </c>
      <c r="HC65" s="72">
        <f t="shared" si="943"/>
        <v>0</v>
      </c>
      <c r="HD65" s="72">
        <f t="shared" si="944"/>
        <v>0</v>
      </c>
      <c r="HE65" s="70">
        <f t="shared" si="945"/>
        <v>0</v>
      </c>
      <c r="HF65" s="178">
        <v>0</v>
      </c>
      <c r="HG65" s="74">
        <f t="shared" si="946"/>
        <v>0</v>
      </c>
      <c r="HH65" s="303">
        <f t="shared" si="947"/>
        <v>0</v>
      </c>
      <c r="HJ65" s="37"/>
      <c r="HK65" s="37"/>
      <c r="HL65" s="37"/>
      <c r="HM65" s="37"/>
      <c r="HN65" s="37"/>
      <c r="HO65" s="37"/>
      <c r="HP65" s="37"/>
      <c r="HQ65" s="37"/>
      <c r="HR65" s="37"/>
      <c r="HS65" s="37"/>
      <c r="HT65" s="37"/>
      <c r="HU65" s="37"/>
      <c r="HV65" s="37"/>
      <c r="HW65" s="37"/>
      <c r="HX65" s="37"/>
      <c r="HY65" s="37"/>
      <c r="HZ65" s="37"/>
      <c r="IA65" s="37"/>
      <c r="IB65" s="37"/>
      <c r="IC65" s="37"/>
      <c r="ID65" s="37"/>
      <c r="IE65" s="37"/>
      <c r="IF65" s="37"/>
      <c r="IG65" s="37"/>
      <c r="IH65" s="37"/>
      <c r="II65" s="37"/>
      <c r="IJ65" s="37"/>
      <c r="IK65" s="37"/>
      <c r="IL65" s="37"/>
      <c r="IM65" s="37"/>
      <c r="IN65" s="37"/>
      <c r="IO65" s="37"/>
      <c r="IP65" s="37"/>
    </row>
    <row r="66" spans="1:250" hidden="1" x14ac:dyDescent="0.3">
      <c r="A66" s="58">
        <v>0</v>
      </c>
      <c r="B66" s="68" t="s">
        <v>181</v>
      </c>
      <c r="C66" s="28">
        <f t="shared" si="816"/>
        <v>0</v>
      </c>
      <c r="D66" s="310">
        <v>0</v>
      </c>
      <c r="E66" s="28">
        <f t="shared" si="817"/>
        <v>0</v>
      </c>
      <c r="F66" s="28">
        <f t="shared" si="818"/>
        <v>0</v>
      </c>
      <c r="G66" s="28">
        <f t="shared" si="819"/>
        <v>0</v>
      </c>
      <c r="H66" s="72">
        <f t="shared" si="820"/>
        <v>0</v>
      </c>
      <c r="I66" s="72">
        <f t="shared" si="821"/>
        <v>0</v>
      </c>
      <c r="J66" s="70">
        <f t="shared" si="948"/>
        <v>0</v>
      </c>
      <c r="K66" s="300">
        <v>0</v>
      </c>
      <c r="L66" s="71">
        <v>0</v>
      </c>
      <c r="M66" s="72">
        <f t="shared" si="822"/>
        <v>0</v>
      </c>
      <c r="N66" s="72">
        <f t="shared" si="823"/>
        <v>0</v>
      </c>
      <c r="O66" s="70">
        <f t="shared" si="824"/>
        <v>0</v>
      </c>
      <c r="P66" s="178">
        <v>0</v>
      </c>
      <c r="Q66" s="74">
        <f t="shared" si="825"/>
        <v>0</v>
      </c>
      <c r="R66" s="303">
        <f t="shared" si="826"/>
        <v>0</v>
      </c>
      <c r="S66" s="58">
        <v>0</v>
      </c>
      <c r="T66" s="68" t="s">
        <v>181</v>
      </c>
      <c r="U66" s="28">
        <f t="shared" si="827"/>
        <v>0</v>
      </c>
      <c r="V66" s="310">
        <v>0</v>
      </c>
      <c r="W66" s="28">
        <f t="shared" si="828"/>
        <v>0</v>
      </c>
      <c r="X66" s="28">
        <f t="shared" si="829"/>
        <v>0</v>
      </c>
      <c r="Y66" s="28">
        <f t="shared" si="830"/>
        <v>0</v>
      </c>
      <c r="Z66" s="72">
        <f t="shared" si="831"/>
        <v>0</v>
      </c>
      <c r="AA66" s="72">
        <f t="shared" si="832"/>
        <v>0</v>
      </c>
      <c r="AB66" s="70">
        <f t="shared" si="949"/>
        <v>0</v>
      </c>
      <c r="AC66" s="300">
        <v>0</v>
      </c>
      <c r="AD66" s="71">
        <v>0</v>
      </c>
      <c r="AE66" s="72">
        <f t="shared" si="833"/>
        <v>0</v>
      </c>
      <c r="AF66" s="72">
        <f t="shared" si="834"/>
        <v>0</v>
      </c>
      <c r="AG66" s="70">
        <f t="shared" si="835"/>
        <v>0</v>
      </c>
      <c r="AH66" s="178">
        <v>0</v>
      </c>
      <c r="AI66" s="74">
        <f t="shared" si="836"/>
        <v>0</v>
      </c>
      <c r="AJ66" s="303">
        <f t="shared" si="837"/>
        <v>0</v>
      </c>
      <c r="AK66" s="58">
        <v>0</v>
      </c>
      <c r="AL66" s="68" t="s">
        <v>181</v>
      </c>
      <c r="AM66" s="28">
        <f t="shared" si="838"/>
        <v>0</v>
      </c>
      <c r="AN66" s="310">
        <v>0</v>
      </c>
      <c r="AO66" s="28">
        <f t="shared" si="839"/>
        <v>0</v>
      </c>
      <c r="AP66" s="28">
        <f t="shared" si="840"/>
        <v>0</v>
      </c>
      <c r="AQ66" s="28">
        <f t="shared" si="841"/>
        <v>0</v>
      </c>
      <c r="AR66" s="72">
        <f t="shared" si="842"/>
        <v>0</v>
      </c>
      <c r="AS66" s="72">
        <f t="shared" si="843"/>
        <v>0</v>
      </c>
      <c r="AT66" s="70">
        <f t="shared" si="950"/>
        <v>0</v>
      </c>
      <c r="AU66" s="300">
        <v>0</v>
      </c>
      <c r="AV66" s="71">
        <v>0</v>
      </c>
      <c r="AW66" s="72">
        <f t="shared" si="844"/>
        <v>0</v>
      </c>
      <c r="AX66" s="72">
        <f t="shared" si="845"/>
        <v>0</v>
      </c>
      <c r="AY66" s="70">
        <f t="shared" si="846"/>
        <v>0</v>
      </c>
      <c r="AZ66" s="178">
        <v>0</v>
      </c>
      <c r="BA66" s="74">
        <f t="shared" si="847"/>
        <v>0</v>
      </c>
      <c r="BB66" s="303">
        <f t="shared" si="848"/>
        <v>0</v>
      </c>
      <c r="BC66" s="58">
        <v>0</v>
      </c>
      <c r="BD66" s="68" t="s">
        <v>181</v>
      </c>
      <c r="BE66" s="28">
        <f t="shared" si="849"/>
        <v>0</v>
      </c>
      <c r="BF66" s="310">
        <v>0</v>
      </c>
      <c r="BG66" s="28">
        <f t="shared" si="850"/>
        <v>0</v>
      </c>
      <c r="BH66" s="28">
        <f t="shared" si="851"/>
        <v>0</v>
      </c>
      <c r="BI66" s="28">
        <f t="shared" si="852"/>
        <v>0</v>
      </c>
      <c r="BJ66" s="72">
        <f t="shared" si="853"/>
        <v>0</v>
      </c>
      <c r="BK66" s="72">
        <f t="shared" si="854"/>
        <v>0</v>
      </c>
      <c r="BL66" s="70">
        <f t="shared" si="951"/>
        <v>0</v>
      </c>
      <c r="BM66" s="300">
        <v>0</v>
      </c>
      <c r="BN66" s="71">
        <v>0</v>
      </c>
      <c r="BO66" s="72">
        <f t="shared" si="855"/>
        <v>0</v>
      </c>
      <c r="BP66" s="72">
        <f t="shared" si="856"/>
        <v>0</v>
      </c>
      <c r="BQ66" s="70">
        <f t="shared" si="857"/>
        <v>0</v>
      </c>
      <c r="BR66" s="178">
        <v>0</v>
      </c>
      <c r="BS66" s="74">
        <f t="shared" si="858"/>
        <v>0</v>
      </c>
      <c r="BT66" s="303">
        <f t="shared" si="859"/>
        <v>0</v>
      </c>
      <c r="BU66" s="58">
        <v>0</v>
      </c>
      <c r="BV66" s="68" t="s">
        <v>181</v>
      </c>
      <c r="BW66" s="28">
        <f t="shared" si="860"/>
        <v>0</v>
      </c>
      <c r="BX66" s="310">
        <v>0</v>
      </c>
      <c r="BY66" s="28">
        <f t="shared" si="861"/>
        <v>0</v>
      </c>
      <c r="BZ66" s="28">
        <f t="shared" si="862"/>
        <v>0</v>
      </c>
      <c r="CA66" s="28">
        <f t="shared" si="863"/>
        <v>0</v>
      </c>
      <c r="CB66" s="72">
        <f t="shared" si="864"/>
        <v>0</v>
      </c>
      <c r="CC66" s="72">
        <f t="shared" si="865"/>
        <v>0</v>
      </c>
      <c r="CD66" s="70">
        <f t="shared" si="952"/>
        <v>0</v>
      </c>
      <c r="CE66" s="300">
        <v>0</v>
      </c>
      <c r="CF66" s="71">
        <v>0</v>
      </c>
      <c r="CG66" s="72">
        <f t="shared" si="866"/>
        <v>0</v>
      </c>
      <c r="CH66" s="72">
        <f t="shared" si="867"/>
        <v>0</v>
      </c>
      <c r="CI66" s="70">
        <f t="shared" si="868"/>
        <v>0</v>
      </c>
      <c r="CJ66" s="178">
        <v>0</v>
      </c>
      <c r="CK66" s="74">
        <f t="shared" si="869"/>
        <v>0</v>
      </c>
      <c r="CL66" s="303">
        <f t="shared" si="870"/>
        <v>0</v>
      </c>
      <c r="CM66" s="58">
        <v>0</v>
      </c>
      <c r="CN66" s="68" t="s">
        <v>181</v>
      </c>
      <c r="CO66" s="28">
        <f t="shared" si="871"/>
        <v>0</v>
      </c>
      <c r="CP66" s="310">
        <v>0</v>
      </c>
      <c r="CQ66" s="28">
        <f t="shared" si="872"/>
        <v>0</v>
      </c>
      <c r="CR66" s="28">
        <f t="shared" si="873"/>
        <v>0</v>
      </c>
      <c r="CS66" s="28">
        <f t="shared" si="874"/>
        <v>0</v>
      </c>
      <c r="CT66" s="72">
        <f t="shared" si="875"/>
        <v>0</v>
      </c>
      <c r="CU66" s="72">
        <f t="shared" si="876"/>
        <v>0</v>
      </c>
      <c r="CV66" s="70">
        <f t="shared" si="953"/>
        <v>0</v>
      </c>
      <c r="CW66" s="300">
        <v>0</v>
      </c>
      <c r="CX66" s="71">
        <v>0</v>
      </c>
      <c r="CY66" s="72">
        <f t="shared" si="877"/>
        <v>0</v>
      </c>
      <c r="CZ66" s="72">
        <f t="shared" si="878"/>
        <v>0</v>
      </c>
      <c r="DA66" s="70">
        <f t="shared" si="879"/>
        <v>0</v>
      </c>
      <c r="DB66" s="178">
        <v>0</v>
      </c>
      <c r="DC66" s="74">
        <f t="shared" si="880"/>
        <v>0</v>
      </c>
      <c r="DD66" s="303">
        <f t="shared" si="881"/>
        <v>0</v>
      </c>
      <c r="DE66" s="58">
        <v>0</v>
      </c>
      <c r="DF66" s="68" t="s">
        <v>181</v>
      </c>
      <c r="DG66" s="28">
        <f t="shared" si="882"/>
        <v>0</v>
      </c>
      <c r="DH66" s="310">
        <v>0</v>
      </c>
      <c r="DI66" s="28">
        <f t="shared" si="883"/>
        <v>0</v>
      </c>
      <c r="DJ66" s="28">
        <f t="shared" si="884"/>
        <v>0</v>
      </c>
      <c r="DK66" s="28">
        <f t="shared" si="885"/>
        <v>0</v>
      </c>
      <c r="DL66" s="72">
        <f t="shared" si="886"/>
        <v>0</v>
      </c>
      <c r="DM66" s="72">
        <f t="shared" si="887"/>
        <v>0</v>
      </c>
      <c r="DN66" s="70">
        <f t="shared" si="954"/>
        <v>0</v>
      </c>
      <c r="DO66" s="300">
        <v>0</v>
      </c>
      <c r="DP66" s="71">
        <v>0</v>
      </c>
      <c r="DQ66" s="72">
        <f t="shared" si="888"/>
        <v>0</v>
      </c>
      <c r="DR66" s="72">
        <f t="shared" si="889"/>
        <v>0</v>
      </c>
      <c r="DS66" s="70">
        <f t="shared" si="890"/>
        <v>0</v>
      </c>
      <c r="DT66" s="178">
        <v>0</v>
      </c>
      <c r="DU66" s="74">
        <f t="shared" si="891"/>
        <v>0</v>
      </c>
      <c r="DV66" s="303">
        <f t="shared" si="892"/>
        <v>0</v>
      </c>
      <c r="DW66" s="58">
        <v>0</v>
      </c>
      <c r="DX66" s="68" t="s">
        <v>181</v>
      </c>
      <c r="DY66" s="28">
        <f t="shared" si="893"/>
        <v>0</v>
      </c>
      <c r="DZ66" s="310">
        <v>0</v>
      </c>
      <c r="EA66" s="28">
        <f t="shared" si="894"/>
        <v>0</v>
      </c>
      <c r="EB66" s="28">
        <f t="shared" si="895"/>
        <v>0</v>
      </c>
      <c r="EC66" s="28">
        <f t="shared" si="896"/>
        <v>0</v>
      </c>
      <c r="ED66" s="72">
        <f t="shared" si="897"/>
        <v>0</v>
      </c>
      <c r="EE66" s="72">
        <f t="shared" si="898"/>
        <v>0</v>
      </c>
      <c r="EF66" s="70">
        <f t="shared" si="955"/>
        <v>0</v>
      </c>
      <c r="EG66" s="300">
        <v>0</v>
      </c>
      <c r="EH66" s="71">
        <v>0</v>
      </c>
      <c r="EI66" s="72">
        <f t="shared" si="899"/>
        <v>0</v>
      </c>
      <c r="EJ66" s="72">
        <f t="shared" si="900"/>
        <v>0</v>
      </c>
      <c r="EK66" s="70">
        <f t="shared" si="901"/>
        <v>0</v>
      </c>
      <c r="EL66" s="178">
        <v>0</v>
      </c>
      <c r="EM66" s="74">
        <f t="shared" si="902"/>
        <v>0</v>
      </c>
      <c r="EN66" s="303">
        <f t="shared" si="903"/>
        <v>0</v>
      </c>
      <c r="EO66" s="58">
        <v>0</v>
      </c>
      <c r="EP66" s="68" t="s">
        <v>181</v>
      </c>
      <c r="EQ66" s="28">
        <f t="shared" si="904"/>
        <v>0</v>
      </c>
      <c r="ER66" s="310">
        <v>0</v>
      </c>
      <c r="ES66" s="28">
        <f t="shared" si="905"/>
        <v>0</v>
      </c>
      <c r="ET66" s="28">
        <f t="shared" si="906"/>
        <v>0</v>
      </c>
      <c r="EU66" s="28">
        <f t="shared" si="907"/>
        <v>0</v>
      </c>
      <c r="EV66" s="72">
        <f t="shared" si="908"/>
        <v>0</v>
      </c>
      <c r="EW66" s="72">
        <f t="shared" si="909"/>
        <v>0</v>
      </c>
      <c r="EX66" s="70">
        <f t="shared" si="956"/>
        <v>0</v>
      </c>
      <c r="EY66" s="300">
        <v>0</v>
      </c>
      <c r="EZ66" s="71">
        <v>0</v>
      </c>
      <c r="FA66" s="72">
        <f t="shared" si="910"/>
        <v>0</v>
      </c>
      <c r="FB66" s="72">
        <f t="shared" si="911"/>
        <v>0</v>
      </c>
      <c r="FC66" s="70">
        <f t="shared" si="912"/>
        <v>0</v>
      </c>
      <c r="FD66" s="178">
        <v>0</v>
      </c>
      <c r="FE66" s="74">
        <f t="shared" si="913"/>
        <v>0</v>
      </c>
      <c r="FF66" s="303">
        <f t="shared" si="914"/>
        <v>0</v>
      </c>
      <c r="FG66" s="58">
        <v>0</v>
      </c>
      <c r="FH66" s="68" t="s">
        <v>181</v>
      </c>
      <c r="FI66" s="28">
        <f t="shared" si="915"/>
        <v>0</v>
      </c>
      <c r="FJ66" s="310">
        <v>0</v>
      </c>
      <c r="FK66" s="28">
        <f t="shared" si="916"/>
        <v>0</v>
      </c>
      <c r="FL66" s="28">
        <f t="shared" si="917"/>
        <v>0</v>
      </c>
      <c r="FM66" s="28">
        <f t="shared" si="918"/>
        <v>0</v>
      </c>
      <c r="FN66" s="72">
        <f t="shared" si="919"/>
        <v>0</v>
      </c>
      <c r="FO66" s="72">
        <f t="shared" si="920"/>
        <v>0</v>
      </c>
      <c r="FP66" s="70">
        <f t="shared" si="957"/>
        <v>0</v>
      </c>
      <c r="FQ66" s="300">
        <v>0</v>
      </c>
      <c r="FR66" s="71">
        <v>0</v>
      </c>
      <c r="FS66" s="72">
        <f t="shared" si="921"/>
        <v>0</v>
      </c>
      <c r="FT66" s="72">
        <f t="shared" si="922"/>
        <v>0</v>
      </c>
      <c r="FU66" s="70">
        <f t="shared" si="923"/>
        <v>0</v>
      </c>
      <c r="FV66" s="178">
        <v>0</v>
      </c>
      <c r="FW66" s="74">
        <f t="shared" si="924"/>
        <v>0</v>
      </c>
      <c r="FX66" s="303">
        <f t="shared" si="925"/>
        <v>0</v>
      </c>
      <c r="FY66" s="58">
        <v>0</v>
      </c>
      <c r="FZ66" s="68" t="s">
        <v>181</v>
      </c>
      <c r="GA66" s="28">
        <f t="shared" si="926"/>
        <v>0</v>
      </c>
      <c r="GB66" s="310">
        <v>0</v>
      </c>
      <c r="GC66" s="28">
        <f t="shared" si="927"/>
        <v>0</v>
      </c>
      <c r="GD66" s="28">
        <f t="shared" si="928"/>
        <v>0</v>
      </c>
      <c r="GE66" s="28">
        <f t="shared" si="929"/>
        <v>0</v>
      </c>
      <c r="GF66" s="72">
        <f t="shared" si="930"/>
        <v>0</v>
      </c>
      <c r="GG66" s="72">
        <f t="shared" si="931"/>
        <v>0</v>
      </c>
      <c r="GH66" s="70">
        <f t="shared" si="958"/>
        <v>0</v>
      </c>
      <c r="GI66" s="300">
        <v>0</v>
      </c>
      <c r="GJ66" s="71">
        <v>0</v>
      </c>
      <c r="GK66" s="72">
        <f t="shared" si="932"/>
        <v>0</v>
      </c>
      <c r="GL66" s="72">
        <f t="shared" si="933"/>
        <v>0</v>
      </c>
      <c r="GM66" s="70">
        <f t="shared" si="934"/>
        <v>0</v>
      </c>
      <c r="GN66" s="178">
        <v>0</v>
      </c>
      <c r="GO66" s="74">
        <f t="shared" si="935"/>
        <v>0</v>
      </c>
      <c r="GP66" s="303">
        <f t="shared" si="936"/>
        <v>0</v>
      </c>
      <c r="GQ66" s="58">
        <v>0</v>
      </c>
      <c r="GR66" s="68" t="s">
        <v>181</v>
      </c>
      <c r="GS66" s="28">
        <f t="shared" si="937"/>
        <v>0</v>
      </c>
      <c r="GT66" s="310">
        <v>0</v>
      </c>
      <c r="GU66" s="28">
        <f t="shared" si="938"/>
        <v>0</v>
      </c>
      <c r="GV66" s="28">
        <f t="shared" si="939"/>
        <v>0</v>
      </c>
      <c r="GW66" s="28">
        <f t="shared" si="940"/>
        <v>0</v>
      </c>
      <c r="GX66" s="72">
        <f t="shared" si="941"/>
        <v>0</v>
      </c>
      <c r="GY66" s="72">
        <f t="shared" si="942"/>
        <v>0</v>
      </c>
      <c r="GZ66" s="70">
        <f t="shared" si="959"/>
        <v>0</v>
      </c>
      <c r="HA66" s="300">
        <v>0</v>
      </c>
      <c r="HB66" s="71">
        <v>0</v>
      </c>
      <c r="HC66" s="72">
        <f t="shared" si="943"/>
        <v>0</v>
      </c>
      <c r="HD66" s="72">
        <f t="shared" si="944"/>
        <v>0</v>
      </c>
      <c r="HE66" s="70">
        <f t="shared" si="945"/>
        <v>0</v>
      </c>
      <c r="HF66" s="178">
        <v>0</v>
      </c>
      <c r="HG66" s="74">
        <f t="shared" si="946"/>
        <v>0</v>
      </c>
      <c r="HH66" s="303">
        <f t="shared" si="947"/>
        <v>0</v>
      </c>
      <c r="HJ66" s="37"/>
      <c r="HK66" s="37"/>
      <c r="HL66" s="37"/>
      <c r="HM66" s="37"/>
      <c r="HN66" s="37"/>
      <c r="HO66" s="37"/>
      <c r="HP66" s="37"/>
      <c r="HQ66" s="37"/>
      <c r="HR66" s="37"/>
      <c r="HS66" s="37"/>
      <c r="HT66" s="37"/>
      <c r="HU66" s="37"/>
      <c r="HV66" s="37"/>
      <c r="HW66" s="37"/>
      <c r="HX66" s="37"/>
      <c r="HY66" s="37"/>
      <c r="HZ66" s="37"/>
      <c r="IA66" s="37"/>
      <c r="IB66" s="37"/>
      <c r="IC66" s="37"/>
      <c r="ID66" s="37"/>
      <c r="IE66" s="37"/>
      <c r="IF66" s="37"/>
      <c r="IG66" s="37"/>
      <c r="IH66" s="37"/>
      <c r="II66" s="37"/>
      <c r="IJ66" s="37"/>
      <c r="IK66" s="37"/>
      <c r="IL66" s="37"/>
      <c r="IM66" s="37"/>
      <c r="IN66" s="37"/>
      <c r="IO66" s="37"/>
      <c r="IP66" s="37"/>
    </row>
    <row r="67" spans="1:250" ht="15.6" hidden="1" x14ac:dyDescent="0.3">
      <c r="A67" s="541"/>
      <c r="B67" s="537"/>
      <c r="C67" s="537"/>
      <c r="D67" s="537"/>
      <c r="E67" s="537"/>
      <c r="F67" s="537"/>
      <c r="G67" s="537"/>
      <c r="H67" s="537"/>
      <c r="I67" s="537"/>
      <c r="J67" s="537"/>
      <c r="K67" s="537"/>
      <c r="L67" s="537"/>
      <c r="M67" s="537"/>
      <c r="N67" s="537"/>
      <c r="O67" s="537"/>
      <c r="P67" s="538"/>
      <c r="Q67" s="423" t="s">
        <v>8</v>
      </c>
      <c r="R67" s="304">
        <f>SUM(R64:R66)</f>
        <v>0</v>
      </c>
      <c r="S67" s="541"/>
      <c r="T67" s="537"/>
      <c r="U67" s="537"/>
      <c r="V67" s="537"/>
      <c r="W67" s="537"/>
      <c r="X67" s="537"/>
      <c r="Y67" s="537"/>
      <c r="Z67" s="537"/>
      <c r="AA67" s="537"/>
      <c r="AB67" s="537"/>
      <c r="AC67" s="537"/>
      <c r="AD67" s="537"/>
      <c r="AE67" s="537"/>
      <c r="AF67" s="537"/>
      <c r="AG67" s="537"/>
      <c r="AH67" s="538"/>
      <c r="AI67" s="423" t="s">
        <v>8</v>
      </c>
      <c r="AJ67" s="304">
        <f>SUM(AJ64:AJ66)</f>
        <v>0</v>
      </c>
      <c r="AK67" s="541"/>
      <c r="AL67" s="537"/>
      <c r="AM67" s="537"/>
      <c r="AN67" s="537"/>
      <c r="AO67" s="537"/>
      <c r="AP67" s="537"/>
      <c r="AQ67" s="537"/>
      <c r="AR67" s="537"/>
      <c r="AS67" s="537"/>
      <c r="AT67" s="537"/>
      <c r="AU67" s="537"/>
      <c r="AV67" s="537"/>
      <c r="AW67" s="537"/>
      <c r="AX67" s="537"/>
      <c r="AY67" s="537"/>
      <c r="AZ67" s="538"/>
      <c r="BA67" s="423" t="s">
        <v>8</v>
      </c>
      <c r="BB67" s="304">
        <f>SUM(BB64:BB66)</f>
        <v>0</v>
      </c>
      <c r="BC67" s="541"/>
      <c r="BD67" s="537"/>
      <c r="BE67" s="537"/>
      <c r="BF67" s="537"/>
      <c r="BG67" s="537"/>
      <c r="BH67" s="537"/>
      <c r="BI67" s="537"/>
      <c r="BJ67" s="537"/>
      <c r="BK67" s="537"/>
      <c r="BL67" s="537"/>
      <c r="BM67" s="537"/>
      <c r="BN67" s="537"/>
      <c r="BO67" s="537"/>
      <c r="BP67" s="537"/>
      <c r="BQ67" s="537"/>
      <c r="BR67" s="538"/>
      <c r="BS67" s="423" t="s">
        <v>8</v>
      </c>
      <c r="BT67" s="304">
        <f>SUM(BT64:BT66)</f>
        <v>0</v>
      </c>
      <c r="BU67" s="541"/>
      <c r="BV67" s="537"/>
      <c r="BW67" s="537"/>
      <c r="BX67" s="537"/>
      <c r="BY67" s="537"/>
      <c r="BZ67" s="537"/>
      <c r="CA67" s="537"/>
      <c r="CB67" s="537"/>
      <c r="CC67" s="537"/>
      <c r="CD67" s="537"/>
      <c r="CE67" s="537"/>
      <c r="CF67" s="537"/>
      <c r="CG67" s="537"/>
      <c r="CH67" s="537"/>
      <c r="CI67" s="537"/>
      <c r="CJ67" s="538"/>
      <c r="CK67" s="423" t="s">
        <v>8</v>
      </c>
      <c r="CL67" s="304">
        <f>SUM(CL64:CL66)</f>
        <v>0</v>
      </c>
      <c r="CM67" s="541"/>
      <c r="CN67" s="537"/>
      <c r="CO67" s="537"/>
      <c r="CP67" s="537"/>
      <c r="CQ67" s="537"/>
      <c r="CR67" s="537"/>
      <c r="CS67" s="537"/>
      <c r="CT67" s="537"/>
      <c r="CU67" s="537"/>
      <c r="CV67" s="537"/>
      <c r="CW67" s="537"/>
      <c r="CX67" s="537"/>
      <c r="CY67" s="537"/>
      <c r="CZ67" s="537"/>
      <c r="DA67" s="537"/>
      <c r="DB67" s="538"/>
      <c r="DC67" s="423" t="s">
        <v>8</v>
      </c>
      <c r="DD67" s="304">
        <f>SUM(DD64:DD66)</f>
        <v>0</v>
      </c>
      <c r="DE67" s="541"/>
      <c r="DF67" s="537"/>
      <c r="DG67" s="537"/>
      <c r="DH67" s="537"/>
      <c r="DI67" s="537"/>
      <c r="DJ67" s="537"/>
      <c r="DK67" s="537"/>
      <c r="DL67" s="537"/>
      <c r="DM67" s="537"/>
      <c r="DN67" s="537"/>
      <c r="DO67" s="537"/>
      <c r="DP67" s="537"/>
      <c r="DQ67" s="537"/>
      <c r="DR67" s="537"/>
      <c r="DS67" s="537"/>
      <c r="DT67" s="538"/>
      <c r="DU67" s="423" t="s">
        <v>8</v>
      </c>
      <c r="DV67" s="304">
        <f>SUM(DV64:DV66)</f>
        <v>0</v>
      </c>
      <c r="DW67" s="541"/>
      <c r="DX67" s="537"/>
      <c r="DY67" s="537"/>
      <c r="DZ67" s="537"/>
      <c r="EA67" s="537"/>
      <c r="EB67" s="537"/>
      <c r="EC67" s="537"/>
      <c r="ED67" s="537"/>
      <c r="EE67" s="537"/>
      <c r="EF67" s="537"/>
      <c r="EG67" s="537"/>
      <c r="EH67" s="537"/>
      <c r="EI67" s="537"/>
      <c r="EJ67" s="537"/>
      <c r="EK67" s="537"/>
      <c r="EL67" s="538"/>
      <c r="EM67" s="423" t="s">
        <v>8</v>
      </c>
      <c r="EN67" s="304">
        <f>SUM(EN64:EN66)</f>
        <v>0</v>
      </c>
      <c r="EO67" s="541"/>
      <c r="EP67" s="537"/>
      <c r="EQ67" s="537"/>
      <c r="ER67" s="537"/>
      <c r="ES67" s="537"/>
      <c r="ET67" s="537"/>
      <c r="EU67" s="537"/>
      <c r="EV67" s="537"/>
      <c r="EW67" s="537"/>
      <c r="EX67" s="537"/>
      <c r="EY67" s="537"/>
      <c r="EZ67" s="537"/>
      <c r="FA67" s="537"/>
      <c r="FB67" s="537"/>
      <c r="FC67" s="537"/>
      <c r="FD67" s="538"/>
      <c r="FE67" s="423" t="s">
        <v>8</v>
      </c>
      <c r="FF67" s="304">
        <f>SUM(FF64:FF66)</f>
        <v>0</v>
      </c>
      <c r="FG67" s="541"/>
      <c r="FH67" s="537"/>
      <c r="FI67" s="537"/>
      <c r="FJ67" s="537"/>
      <c r="FK67" s="537"/>
      <c r="FL67" s="537"/>
      <c r="FM67" s="537"/>
      <c r="FN67" s="537"/>
      <c r="FO67" s="537"/>
      <c r="FP67" s="537"/>
      <c r="FQ67" s="537"/>
      <c r="FR67" s="537"/>
      <c r="FS67" s="537"/>
      <c r="FT67" s="537"/>
      <c r="FU67" s="537"/>
      <c r="FV67" s="538"/>
      <c r="FW67" s="423" t="s">
        <v>8</v>
      </c>
      <c r="FX67" s="304">
        <f>SUM(FX64:FX66)</f>
        <v>0</v>
      </c>
      <c r="FY67" s="541"/>
      <c r="FZ67" s="537"/>
      <c r="GA67" s="537"/>
      <c r="GB67" s="537"/>
      <c r="GC67" s="537"/>
      <c r="GD67" s="537"/>
      <c r="GE67" s="537"/>
      <c r="GF67" s="537"/>
      <c r="GG67" s="537"/>
      <c r="GH67" s="537"/>
      <c r="GI67" s="537"/>
      <c r="GJ67" s="537"/>
      <c r="GK67" s="537"/>
      <c r="GL67" s="537"/>
      <c r="GM67" s="537"/>
      <c r="GN67" s="538"/>
      <c r="GO67" s="423" t="s">
        <v>8</v>
      </c>
      <c r="GP67" s="304">
        <f>SUM(GP64:GP66)</f>
        <v>0</v>
      </c>
      <c r="GQ67" s="541"/>
      <c r="GR67" s="537"/>
      <c r="GS67" s="537"/>
      <c r="GT67" s="537"/>
      <c r="GU67" s="537"/>
      <c r="GV67" s="537"/>
      <c r="GW67" s="537"/>
      <c r="GX67" s="537"/>
      <c r="GY67" s="537"/>
      <c r="GZ67" s="537"/>
      <c r="HA67" s="537"/>
      <c r="HB67" s="537"/>
      <c r="HC67" s="537"/>
      <c r="HD67" s="537"/>
      <c r="HE67" s="537"/>
      <c r="HF67" s="538"/>
      <c r="HG67" s="423" t="s">
        <v>8</v>
      </c>
      <c r="HH67" s="304">
        <f>SUM(HH64:HH66)</f>
        <v>0</v>
      </c>
      <c r="HJ67" s="37"/>
      <c r="HK67" s="37"/>
      <c r="HL67" s="37"/>
      <c r="HM67" s="37"/>
      <c r="HN67" s="37"/>
      <c r="HO67" s="37"/>
      <c r="HP67" s="37"/>
      <c r="HQ67" s="37"/>
      <c r="HR67" s="37"/>
      <c r="HS67" s="37"/>
      <c r="HT67" s="37"/>
      <c r="HU67" s="37"/>
      <c r="HV67" s="37"/>
      <c r="HW67" s="37"/>
      <c r="HX67" s="37"/>
      <c r="HY67" s="37"/>
      <c r="HZ67" s="37"/>
      <c r="IA67" s="37"/>
      <c r="IB67" s="37"/>
      <c r="IC67" s="37"/>
      <c r="ID67" s="37"/>
      <c r="IE67" s="37"/>
      <c r="IF67" s="37"/>
      <c r="IG67" s="37"/>
      <c r="IH67" s="37"/>
      <c r="II67" s="37"/>
      <c r="IJ67" s="37"/>
      <c r="IK67" s="37"/>
      <c r="IL67" s="37"/>
      <c r="IM67" s="37"/>
      <c r="IN67" s="37"/>
      <c r="IO67" s="37"/>
      <c r="IP67" s="37"/>
    </row>
    <row r="68" spans="1:250" ht="15.6" hidden="1" x14ac:dyDescent="0.3">
      <c r="A68" s="543"/>
      <c r="B68" s="544"/>
      <c r="C68" s="544"/>
      <c r="D68" s="544"/>
      <c r="E68" s="742" t="s">
        <v>172</v>
      </c>
      <c r="F68" s="742"/>
      <c r="G68" s="742"/>
      <c r="H68" s="742"/>
      <c r="I68" s="742"/>
      <c r="J68" s="742"/>
      <c r="K68" s="742"/>
      <c r="L68" s="742"/>
      <c r="M68" s="742"/>
      <c r="N68" s="544"/>
      <c r="O68" s="544"/>
      <c r="P68" s="544"/>
      <c r="Q68" s="544"/>
      <c r="R68" s="545"/>
      <c r="S68" s="543"/>
      <c r="T68" s="544"/>
      <c r="U68" s="544"/>
      <c r="V68" s="544"/>
      <c r="W68" s="742" t="s">
        <v>172</v>
      </c>
      <c r="X68" s="742"/>
      <c r="Y68" s="742"/>
      <c r="Z68" s="742"/>
      <c r="AA68" s="742"/>
      <c r="AB68" s="742"/>
      <c r="AC68" s="742"/>
      <c r="AD68" s="742"/>
      <c r="AE68" s="742"/>
      <c r="AF68" s="544"/>
      <c r="AG68" s="544"/>
      <c r="AH68" s="544"/>
      <c r="AI68" s="544"/>
      <c r="AJ68" s="545"/>
      <c r="AK68" s="543"/>
      <c r="AL68" s="544"/>
      <c r="AM68" s="544"/>
      <c r="AN68" s="544"/>
      <c r="AO68" s="742" t="s">
        <v>172</v>
      </c>
      <c r="AP68" s="742"/>
      <c r="AQ68" s="742"/>
      <c r="AR68" s="742"/>
      <c r="AS68" s="742"/>
      <c r="AT68" s="742"/>
      <c r="AU68" s="742"/>
      <c r="AV68" s="742"/>
      <c r="AW68" s="742"/>
      <c r="AX68" s="544"/>
      <c r="AY68" s="544"/>
      <c r="AZ68" s="544"/>
      <c r="BA68" s="544"/>
      <c r="BB68" s="545"/>
      <c r="BC68" s="543"/>
      <c r="BD68" s="544"/>
      <c r="BE68" s="544"/>
      <c r="BF68" s="544"/>
      <c r="BG68" s="742" t="s">
        <v>172</v>
      </c>
      <c r="BH68" s="742"/>
      <c r="BI68" s="742"/>
      <c r="BJ68" s="742"/>
      <c r="BK68" s="742"/>
      <c r="BL68" s="742"/>
      <c r="BM68" s="742"/>
      <c r="BN68" s="742"/>
      <c r="BO68" s="742"/>
      <c r="BP68" s="544"/>
      <c r="BQ68" s="544"/>
      <c r="BR68" s="544"/>
      <c r="BS68" s="544"/>
      <c r="BT68" s="545"/>
      <c r="BU68" s="543"/>
      <c r="BV68" s="544"/>
      <c r="BW68" s="544"/>
      <c r="BX68" s="544"/>
      <c r="BY68" s="742" t="s">
        <v>172</v>
      </c>
      <c r="BZ68" s="742"/>
      <c r="CA68" s="742"/>
      <c r="CB68" s="742"/>
      <c r="CC68" s="742"/>
      <c r="CD68" s="742"/>
      <c r="CE68" s="742"/>
      <c r="CF68" s="742"/>
      <c r="CG68" s="742"/>
      <c r="CH68" s="544"/>
      <c r="CI68" s="544"/>
      <c r="CJ68" s="544"/>
      <c r="CK68" s="544"/>
      <c r="CL68" s="545"/>
      <c r="CM68" s="543"/>
      <c r="CN68" s="544"/>
      <c r="CO68" s="544"/>
      <c r="CP68" s="544"/>
      <c r="CQ68" s="742" t="s">
        <v>172</v>
      </c>
      <c r="CR68" s="742"/>
      <c r="CS68" s="742"/>
      <c r="CT68" s="742"/>
      <c r="CU68" s="742"/>
      <c r="CV68" s="742"/>
      <c r="CW68" s="742"/>
      <c r="CX68" s="742"/>
      <c r="CY68" s="742"/>
      <c r="CZ68" s="544"/>
      <c r="DA68" s="544"/>
      <c r="DB68" s="544"/>
      <c r="DC68" s="544"/>
      <c r="DD68" s="545"/>
      <c r="DE68" s="543"/>
      <c r="DF68" s="544"/>
      <c r="DG68" s="544"/>
      <c r="DH68" s="544"/>
      <c r="DI68" s="742" t="s">
        <v>172</v>
      </c>
      <c r="DJ68" s="742"/>
      <c r="DK68" s="742"/>
      <c r="DL68" s="742"/>
      <c r="DM68" s="742"/>
      <c r="DN68" s="742"/>
      <c r="DO68" s="742"/>
      <c r="DP68" s="742"/>
      <c r="DQ68" s="742"/>
      <c r="DR68" s="544"/>
      <c r="DS68" s="544"/>
      <c r="DT68" s="544"/>
      <c r="DU68" s="544"/>
      <c r="DV68" s="545"/>
      <c r="DW68" s="543"/>
      <c r="DX68" s="544"/>
      <c r="DY68" s="544"/>
      <c r="DZ68" s="544"/>
      <c r="EA68" s="742" t="s">
        <v>172</v>
      </c>
      <c r="EB68" s="742"/>
      <c r="EC68" s="742"/>
      <c r="ED68" s="742"/>
      <c r="EE68" s="742"/>
      <c r="EF68" s="742"/>
      <c r="EG68" s="742"/>
      <c r="EH68" s="742"/>
      <c r="EI68" s="742"/>
      <c r="EJ68" s="544"/>
      <c r="EK68" s="544"/>
      <c r="EL68" s="544"/>
      <c r="EM68" s="544"/>
      <c r="EN68" s="545"/>
      <c r="EO68" s="543"/>
      <c r="EP68" s="544"/>
      <c r="EQ68" s="544"/>
      <c r="ER68" s="544"/>
      <c r="ES68" s="742" t="s">
        <v>172</v>
      </c>
      <c r="ET68" s="742"/>
      <c r="EU68" s="742"/>
      <c r="EV68" s="742"/>
      <c r="EW68" s="742"/>
      <c r="EX68" s="742"/>
      <c r="EY68" s="742"/>
      <c r="EZ68" s="742"/>
      <c r="FA68" s="742"/>
      <c r="FB68" s="544"/>
      <c r="FC68" s="544"/>
      <c r="FD68" s="544"/>
      <c r="FE68" s="544"/>
      <c r="FF68" s="545"/>
      <c r="FG68" s="543"/>
      <c r="FH68" s="544"/>
      <c r="FI68" s="544"/>
      <c r="FJ68" s="544"/>
      <c r="FK68" s="742" t="s">
        <v>172</v>
      </c>
      <c r="FL68" s="742"/>
      <c r="FM68" s="742"/>
      <c r="FN68" s="742"/>
      <c r="FO68" s="742"/>
      <c r="FP68" s="742"/>
      <c r="FQ68" s="742"/>
      <c r="FR68" s="742"/>
      <c r="FS68" s="742"/>
      <c r="FT68" s="544"/>
      <c r="FU68" s="544"/>
      <c r="FV68" s="544"/>
      <c r="FW68" s="544"/>
      <c r="FX68" s="545"/>
      <c r="FY68" s="543"/>
      <c r="FZ68" s="544"/>
      <c r="GA68" s="544"/>
      <c r="GB68" s="544"/>
      <c r="GC68" s="742" t="s">
        <v>172</v>
      </c>
      <c r="GD68" s="742"/>
      <c r="GE68" s="742"/>
      <c r="GF68" s="742"/>
      <c r="GG68" s="742"/>
      <c r="GH68" s="742"/>
      <c r="GI68" s="742"/>
      <c r="GJ68" s="742"/>
      <c r="GK68" s="742"/>
      <c r="GL68" s="544"/>
      <c r="GM68" s="544"/>
      <c r="GN68" s="544"/>
      <c r="GO68" s="544"/>
      <c r="GP68" s="545"/>
      <c r="GQ68" s="543"/>
      <c r="GR68" s="544"/>
      <c r="GS68" s="544"/>
      <c r="GT68" s="544"/>
      <c r="GU68" s="742" t="s">
        <v>172</v>
      </c>
      <c r="GV68" s="742"/>
      <c r="GW68" s="742"/>
      <c r="GX68" s="742"/>
      <c r="GY68" s="742"/>
      <c r="GZ68" s="742"/>
      <c r="HA68" s="742"/>
      <c r="HB68" s="742"/>
      <c r="HC68" s="742"/>
      <c r="HD68" s="544"/>
      <c r="HE68" s="544"/>
      <c r="HF68" s="544"/>
      <c r="HG68" s="544"/>
      <c r="HH68" s="545"/>
      <c r="HJ68" s="37"/>
      <c r="HK68" s="37"/>
      <c r="HL68" s="37"/>
      <c r="HM68" s="37"/>
      <c r="HN68" s="37"/>
      <c r="HO68" s="37"/>
      <c r="HP68" s="37"/>
      <c r="HQ68" s="37"/>
      <c r="HR68" s="37"/>
      <c r="HS68" s="37"/>
      <c r="HT68" s="37"/>
      <c r="HU68" s="37"/>
      <c r="HV68" s="37"/>
      <c r="HW68" s="37"/>
      <c r="HX68" s="37"/>
      <c r="HY68" s="37"/>
      <c r="HZ68" s="37"/>
      <c r="IA68" s="37"/>
      <c r="IB68" s="37"/>
      <c r="IC68" s="37"/>
      <c r="ID68" s="37"/>
      <c r="IE68" s="37"/>
      <c r="IF68" s="37"/>
      <c r="IG68" s="37"/>
      <c r="IH68" s="37"/>
      <c r="II68" s="37"/>
      <c r="IJ68" s="37"/>
      <c r="IK68" s="37"/>
      <c r="IL68" s="37"/>
      <c r="IM68" s="37"/>
      <c r="IN68" s="37"/>
      <c r="IO68" s="37"/>
      <c r="IP68" s="37"/>
    </row>
    <row r="69" spans="1:250" hidden="1" x14ac:dyDescent="0.3">
      <c r="A69" s="58">
        <v>0</v>
      </c>
      <c r="B69" s="68" t="s">
        <v>181</v>
      </c>
      <c r="C69" s="28">
        <f t="shared" ref="C69:C71" si="960">D69/$AM$4</f>
        <v>0</v>
      </c>
      <c r="D69" s="69">
        <v>0</v>
      </c>
      <c r="E69" s="28">
        <f>D69*E$6</f>
        <v>0</v>
      </c>
      <c r="F69" s="28">
        <f>D69*F$6</f>
        <v>0</v>
      </c>
      <c r="G69" s="28">
        <f>D69/G$6</f>
        <v>0</v>
      </c>
      <c r="H69" s="72">
        <f>G69/H$6</f>
        <v>0</v>
      </c>
      <c r="I69" s="70">
        <f>D69/I$6</f>
        <v>0</v>
      </c>
      <c r="J69" s="70">
        <f>SUM(D69:I69)</f>
        <v>0</v>
      </c>
      <c r="K69" s="71">
        <v>0</v>
      </c>
      <c r="L69" s="71">
        <v>0</v>
      </c>
      <c r="M69" s="72">
        <f t="shared" ref="M69:M71" si="961">((C69*M$6)+(C69*$AO$6)+(C69*$AP$6))*K69</f>
        <v>0</v>
      </c>
      <c r="N69" s="72">
        <f t="shared" ref="N69:N71" si="962">((C69*N$6)+(C69*$AO$6)+(C69*$AP$6))*L69</f>
        <v>0</v>
      </c>
      <c r="O69" s="70">
        <f>SUM(M69:N69)</f>
        <v>0</v>
      </c>
      <c r="P69" s="73">
        <v>0</v>
      </c>
      <c r="Q69" s="74">
        <f t="shared" ref="Q69:Q71" si="963">IF(A69=1,($C$1*$Q$6),0)</f>
        <v>0</v>
      </c>
      <c r="R69" s="303">
        <f t="shared" ref="R69:R71" si="964">J69+O69+P69+Q69</f>
        <v>0</v>
      </c>
      <c r="S69" s="58">
        <v>0</v>
      </c>
      <c r="T69" s="68" t="s">
        <v>181</v>
      </c>
      <c r="U69" s="28">
        <f t="shared" ref="U69:U71" si="965">V69/$AM$4</f>
        <v>0</v>
      </c>
      <c r="V69" s="69">
        <v>0</v>
      </c>
      <c r="W69" s="28">
        <f>V69*W$6</f>
        <v>0</v>
      </c>
      <c r="X69" s="28">
        <f>V69*X$6</f>
        <v>0</v>
      </c>
      <c r="Y69" s="28">
        <f>V69/Y$6</f>
        <v>0</v>
      </c>
      <c r="Z69" s="72">
        <f>Y69/Z$6</f>
        <v>0</v>
      </c>
      <c r="AA69" s="70">
        <f>V69/AA$6</f>
        <v>0</v>
      </c>
      <c r="AB69" s="70">
        <f>SUM(V69:AA69)</f>
        <v>0</v>
      </c>
      <c r="AC69" s="71">
        <v>0</v>
      </c>
      <c r="AD69" s="71">
        <v>0</v>
      </c>
      <c r="AE69" s="72">
        <f t="shared" ref="AE69:AE71" si="966">((U69*AE$6)+(U69*$AO$6)+(U69*$AP$6))*AC69</f>
        <v>0</v>
      </c>
      <c r="AF69" s="72">
        <f t="shared" ref="AF69:AF71" si="967">((U69*AF$6)+(U69*$AO$6)+(U69*$AP$6))*AD69</f>
        <v>0</v>
      </c>
      <c r="AG69" s="70">
        <f>SUM(AE69:AF69)</f>
        <v>0</v>
      </c>
      <c r="AH69" s="73">
        <v>0</v>
      </c>
      <c r="AI69" s="74">
        <f t="shared" ref="AI69:AI71" si="968">IF(S69=1,($C$1*$Q$6),0)</f>
        <v>0</v>
      </c>
      <c r="AJ69" s="303">
        <f t="shared" ref="AJ69:AJ71" si="969">AB69+AG69+AH69+AI69</f>
        <v>0</v>
      </c>
      <c r="AK69" s="58">
        <v>0</v>
      </c>
      <c r="AL69" s="68" t="s">
        <v>181</v>
      </c>
      <c r="AM69" s="28">
        <f t="shared" ref="AM69:AM71" si="970">AN69/$AM$4</f>
        <v>0</v>
      </c>
      <c r="AN69" s="69">
        <v>0</v>
      </c>
      <c r="AO69" s="28">
        <f>AN69*AO$6</f>
        <v>0</v>
      </c>
      <c r="AP69" s="28">
        <f>AN69*AP$6</f>
        <v>0</v>
      </c>
      <c r="AQ69" s="28">
        <f>AN69/AQ$6</f>
        <v>0</v>
      </c>
      <c r="AR69" s="72">
        <f>AQ69/AR$6</f>
        <v>0</v>
      </c>
      <c r="AS69" s="70">
        <f>AN69/AS$6</f>
        <v>0</v>
      </c>
      <c r="AT69" s="70">
        <f>SUM(AN69:AS69)</f>
        <v>0</v>
      </c>
      <c r="AU69" s="71">
        <v>0</v>
      </c>
      <c r="AV69" s="71">
        <v>0</v>
      </c>
      <c r="AW69" s="72">
        <f t="shared" ref="AW69:AW71" si="971">((AM69*AW$6)+(AM69*$AO$6)+(AM69*$AP$6))*AU69</f>
        <v>0</v>
      </c>
      <c r="AX69" s="72">
        <f t="shared" ref="AX69:AX71" si="972">((AM69*AX$6)+(AM69*$AO$6)+(AM69*$AP$6))*AV69</f>
        <v>0</v>
      </c>
      <c r="AY69" s="70">
        <f>SUM(AW69:AX69)</f>
        <v>0</v>
      </c>
      <c r="AZ69" s="73">
        <v>0</v>
      </c>
      <c r="BA69" s="74">
        <f t="shared" ref="BA69:BA71" si="973">IF(AK69=1,($C$1*$Q$6),0)</f>
        <v>0</v>
      </c>
      <c r="BB69" s="303">
        <f t="shared" ref="BB69:BB71" si="974">AT69+AY69+AZ69+BA69</f>
        <v>0</v>
      </c>
      <c r="BC69" s="58">
        <v>0</v>
      </c>
      <c r="BD69" s="68" t="s">
        <v>181</v>
      </c>
      <c r="BE69" s="28">
        <f t="shared" ref="BE69:BE71" si="975">BF69/$AM$4</f>
        <v>0</v>
      </c>
      <c r="BF69" s="69">
        <v>0</v>
      </c>
      <c r="BG69" s="28">
        <f>BF69*BG$6</f>
        <v>0</v>
      </c>
      <c r="BH69" s="28">
        <f>BF69*BH$6</f>
        <v>0</v>
      </c>
      <c r="BI69" s="28">
        <f>BF69/BI$6</f>
        <v>0</v>
      </c>
      <c r="BJ69" s="72">
        <f>BI69/BJ$6</f>
        <v>0</v>
      </c>
      <c r="BK69" s="70">
        <f>BF69/BK$6</f>
        <v>0</v>
      </c>
      <c r="BL69" s="70">
        <f>SUM(BF69:BK69)</f>
        <v>0</v>
      </c>
      <c r="BM69" s="71">
        <v>0</v>
      </c>
      <c r="BN69" s="71">
        <v>0</v>
      </c>
      <c r="BO69" s="72">
        <f t="shared" ref="BO69:BO71" si="976">((BE69*BO$6)+(BE69*$AO$6)+(BE69*$AP$6))*BM69</f>
        <v>0</v>
      </c>
      <c r="BP69" s="72">
        <f t="shared" ref="BP69:BP71" si="977">((BE69*BP$6)+(BE69*$AO$6)+(BE69*$AP$6))*BN69</f>
        <v>0</v>
      </c>
      <c r="BQ69" s="70">
        <f>SUM(BO69:BP69)</f>
        <v>0</v>
      </c>
      <c r="BR69" s="73">
        <v>0</v>
      </c>
      <c r="BS69" s="74">
        <f t="shared" ref="BS69:BS71" si="978">IF(BC69=1,($C$1*$Q$6),0)</f>
        <v>0</v>
      </c>
      <c r="BT69" s="303">
        <f t="shared" ref="BT69:BT71" si="979">BL69+BQ69+BR69+BS69</f>
        <v>0</v>
      </c>
      <c r="BU69" s="58">
        <v>0</v>
      </c>
      <c r="BV69" s="68" t="s">
        <v>181</v>
      </c>
      <c r="BW69" s="28">
        <f t="shared" ref="BW69:BW71" si="980">BX69/$AM$4</f>
        <v>0</v>
      </c>
      <c r="BX69" s="69">
        <v>0</v>
      </c>
      <c r="BY69" s="28">
        <f>BX69*BY$6</f>
        <v>0</v>
      </c>
      <c r="BZ69" s="28">
        <f>BX69*BZ$6</f>
        <v>0</v>
      </c>
      <c r="CA69" s="28">
        <f>BX69/CA$6</f>
        <v>0</v>
      </c>
      <c r="CB69" s="72">
        <f>CA69/CB$6</f>
        <v>0</v>
      </c>
      <c r="CC69" s="70">
        <f>BX69/CC$6</f>
        <v>0</v>
      </c>
      <c r="CD69" s="70">
        <f>SUM(BX69:CC69)</f>
        <v>0</v>
      </c>
      <c r="CE69" s="71">
        <v>0</v>
      </c>
      <c r="CF69" s="71">
        <v>0</v>
      </c>
      <c r="CG69" s="72">
        <f t="shared" ref="CG69:CG71" si="981">((BW69*CG$6)+(BW69*$AO$6)+(BW69*$AP$6))*CE69</f>
        <v>0</v>
      </c>
      <c r="CH69" s="72">
        <f t="shared" ref="CH69:CH71" si="982">((BW69*CH$6)+(BW69*$AO$6)+(BW69*$AP$6))*CF69</f>
        <v>0</v>
      </c>
      <c r="CI69" s="70">
        <f>SUM(CG69:CH69)</f>
        <v>0</v>
      </c>
      <c r="CJ69" s="73">
        <v>0</v>
      </c>
      <c r="CK69" s="74">
        <f t="shared" ref="CK69:CK71" si="983">IF(BU69=1,($C$1*$Q$6),0)</f>
        <v>0</v>
      </c>
      <c r="CL69" s="303">
        <f t="shared" ref="CL69:CL71" si="984">CD69+CI69+CJ69+CK69</f>
        <v>0</v>
      </c>
      <c r="CM69" s="58">
        <v>0</v>
      </c>
      <c r="CN69" s="68" t="s">
        <v>181</v>
      </c>
      <c r="CO69" s="28">
        <f t="shared" ref="CO69:CO71" si="985">CP69/$AM$4</f>
        <v>0</v>
      </c>
      <c r="CP69" s="69">
        <v>0</v>
      </c>
      <c r="CQ69" s="28">
        <f>CP69*CQ$6</f>
        <v>0</v>
      </c>
      <c r="CR69" s="28">
        <f>CP69*CR$6</f>
        <v>0</v>
      </c>
      <c r="CS69" s="28">
        <f>CP69/CS$6</f>
        <v>0</v>
      </c>
      <c r="CT69" s="72">
        <f>CS69/CT$6</f>
        <v>0</v>
      </c>
      <c r="CU69" s="70">
        <f>CP69/CU$6</f>
        <v>0</v>
      </c>
      <c r="CV69" s="70">
        <f>SUM(CP69:CU69)</f>
        <v>0</v>
      </c>
      <c r="CW69" s="71">
        <v>0</v>
      </c>
      <c r="CX69" s="71">
        <v>0</v>
      </c>
      <c r="CY69" s="72">
        <f t="shared" ref="CY69:CY71" si="986">((CO69*CY$6)+(CO69*$AO$6)+(CO69*$AP$6))*CW69</f>
        <v>0</v>
      </c>
      <c r="CZ69" s="72">
        <f t="shared" ref="CZ69:CZ71" si="987">((CO69*CZ$6)+(CO69*$AO$6)+(CO69*$AP$6))*CX69</f>
        <v>0</v>
      </c>
      <c r="DA69" s="70">
        <f>SUM(CY69:CZ69)</f>
        <v>0</v>
      </c>
      <c r="DB69" s="73">
        <v>0</v>
      </c>
      <c r="DC69" s="74">
        <f t="shared" ref="DC69:DC71" si="988">IF(CM69=1,($C$1*$Q$6),0)</f>
        <v>0</v>
      </c>
      <c r="DD69" s="303">
        <f t="shared" ref="DD69:DD71" si="989">CV69+DA69+DB69+DC69</f>
        <v>0</v>
      </c>
      <c r="DE69" s="58">
        <v>0</v>
      </c>
      <c r="DF69" s="68" t="s">
        <v>181</v>
      </c>
      <c r="DG69" s="28">
        <f t="shared" ref="DG69:DG71" si="990">DH69/$AM$4</f>
        <v>0</v>
      </c>
      <c r="DH69" s="69">
        <v>0</v>
      </c>
      <c r="DI69" s="28">
        <f>DH69*DI$6</f>
        <v>0</v>
      </c>
      <c r="DJ69" s="28">
        <f>DH69*DJ$6</f>
        <v>0</v>
      </c>
      <c r="DK69" s="28">
        <f>DH69/DK$6</f>
        <v>0</v>
      </c>
      <c r="DL69" s="72">
        <f>DK69/DL$6</f>
        <v>0</v>
      </c>
      <c r="DM69" s="70">
        <f>DH69/DM$6</f>
        <v>0</v>
      </c>
      <c r="DN69" s="70">
        <f>SUM(DH69:DM69)</f>
        <v>0</v>
      </c>
      <c r="DO69" s="71">
        <v>0</v>
      </c>
      <c r="DP69" s="71">
        <v>0</v>
      </c>
      <c r="DQ69" s="72">
        <f t="shared" ref="DQ69:DQ71" si="991">((DG69*DQ$6)+(DG69*$AO$6)+(DG69*$AP$6))*DO69</f>
        <v>0</v>
      </c>
      <c r="DR69" s="72">
        <f t="shared" ref="DR69:DR71" si="992">((DG69*DR$6)+(DG69*$AO$6)+(DG69*$AP$6))*DP69</f>
        <v>0</v>
      </c>
      <c r="DS69" s="70">
        <f>SUM(DQ69:DR69)</f>
        <v>0</v>
      </c>
      <c r="DT69" s="73">
        <v>0</v>
      </c>
      <c r="DU69" s="74">
        <f t="shared" ref="DU69:DU71" si="993">IF(DE69=1,($C$1*$Q$6),0)</f>
        <v>0</v>
      </c>
      <c r="DV69" s="303">
        <f t="shared" ref="DV69:DV71" si="994">DN69+DS69+DT69+DU69</f>
        <v>0</v>
      </c>
      <c r="DW69" s="58">
        <v>0</v>
      </c>
      <c r="DX69" s="68" t="s">
        <v>181</v>
      </c>
      <c r="DY69" s="28">
        <f t="shared" ref="DY69:DY71" si="995">DZ69/$AM$4</f>
        <v>0</v>
      </c>
      <c r="DZ69" s="69">
        <v>0</v>
      </c>
      <c r="EA69" s="28">
        <f>DZ69*EA$6</f>
        <v>0</v>
      </c>
      <c r="EB69" s="28">
        <f>DZ69*EB$6</f>
        <v>0</v>
      </c>
      <c r="EC69" s="28">
        <f>DZ69/EC$6</f>
        <v>0</v>
      </c>
      <c r="ED69" s="72">
        <f>EC69/ED$6</f>
        <v>0</v>
      </c>
      <c r="EE69" s="70">
        <f>DZ69/EE$6</f>
        <v>0</v>
      </c>
      <c r="EF69" s="70">
        <f>SUM(DZ69:EE69)</f>
        <v>0</v>
      </c>
      <c r="EG69" s="71">
        <v>0</v>
      </c>
      <c r="EH69" s="71">
        <v>0</v>
      </c>
      <c r="EI69" s="72">
        <f t="shared" ref="EI69:EI71" si="996">((DY69*EI$6)+(DY69*$AO$6)+(DY69*$AP$6))*EG69</f>
        <v>0</v>
      </c>
      <c r="EJ69" s="72">
        <f t="shared" ref="EJ69:EJ71" si="997">((DY69*EJ$6)+(DY69*$AO$6)+(DY69*$AP$6))*EH69</f>
        <v>0</v>
      </c>
      <c r="EK69" s="70">
        <f>SUM(EI69:EJ69)</f>
        <v>0</v>
      </c>
      <c r="EL69" s="73">
        <v>0</v>
      </c>
      <c r="EM69" s="74">
        <f t="shared" ref="EM69:EM71" si="998">IF(DW69=1,($C$1*$Q$6),0)</f>
        <v>0</v>
      </c>
      <c r="EN69" s="303">
        <f t="shared" ref="EN69:EN71" si="999">EF69+EK69+EL69+EM69</f>
        <v>0</v>
      </c>
      <c r="EO69" s="58">
        <v>0</v>
      </c>
      <c r="EP69" s="68" t="s">
        <v>181</v>
      </c>
      <c r="EQ69" s="28">
        <f t="shared" ref="EQ69:EQ71" si="1000">ER69/$AM$4</f>
        <v>0</v>
      </c>
      <c r="ER69" s="69">
        <v>0</v>
      </c>
      <c r="ES69" s="28">
        <f>ER69*ES$6</f>
        <v>0</v>
      </c>
      <c r="ET69" s="28">
        <f>ER69*ET$6</f>
        <v>0</v>
      </c>
      <c r="EU69" s="28">
        <f>ER69/EU$6</f>
        <v>0</v>
      </c>
      <c r="EV69" s="72">
        <f>EU69/EV$6</f>
        <v>0</v>
      </c>
      <c r="EW69" s="70">
        <f>ER69/EW$6</f>
        <v>0</v>
      </c>
      <c r="EX69" s="70">
        <f>SUM(ER69:EW69)</f>
        <v>0</v>
      </c>
      <c r="EY69" s="71">
        <v>0</v>
      </c>
      <c r="EZ69" s="71">
        <v>0</v>
      </c>
      <c r="FA69" s="72">
        <f t="shared" ref="FA69:FA71" si="1001">((EQ69*FA$6)+(EQ69*$AO$6)+(EQ69*$AP$6))*EY69</f>
        <v>0</v>
      </c>
      <c r="FB69" s="72">
        <f t="shared" ref="FB69:FB71" si="1002">((EQ69*FB$6)+(EQ69*$AO$6)+(EQ69*$AP$6))*EZ69</f>
        <v>0</v>
      </c>
      <c r="FC69" s="70">
        <f>SUM(FA69:FB69)</f>
        <v>0</v>
      </c>
      <c r="FD69" s="73">
        <v>0</v>
      </c>
      <c r="FE69" s="74">
        <f t="shared" ref="FE69:FE71" si="1003">IF(EO69=1,($C$1*$Q$6),0)</f>
        <v>0</v>
      </c>
      <c r="FF69" s="303">
        <f t="shared" ref="FF69:FF71" si="1004">EX69+FC69+FD69+FE69</f>
        <v>0</v>
      </c>
      <c r="FG69" s="58">
        <v>0</v>
      </c>
      <c r="FH69" s="68" t="s">
        <v>181</v>
      </c>
      <c r="FI69" s="28">
        <f t="shared" ref="FI69:FI71" si="1005">FJ69/$AM$4</f>
        <v>0</v>
      </c>
      <c r="FJ69" s="69">
        <v>0</v>
      </c>
      <c r="FK69" s="28">
        <f>FJ69*FK$6</f>
        <v>0</v>
      </c>
      <c r="FL69" s="28">
        <f>FJ69*FL$6</f>
        <v>0</v>
      </c>
      <c r="FM69" s="28">
        <f>FJ69/FM$6</f>
        <v>0</v>
      </c>
      <c r="FN69" s="72">
        <f>FM69/FN$6</f>
        <v>0</v>
      </c>
      <c r="FO69" s="70">
        <f>FJ69/FO$6</f>
        <v>0</v>
      </c>
      <c r="FP69" s="70">
        <f>SUM(FJ69:FO69)</f>
        <v>0</v>
      </c>
      <c r="FQ69" s="71">
        <v>0</v>
      </c>
      <c r="FR69" s="71">
        <v>0</v>
      </c>
      <c r="FS69" s="72">
        <f t="shared" ref="FS69:FS71" si="1006">((FI69*FS$6)+(FI69*$AO$6)+(FI69*$AP$6))*FQ69</f>
        <v>0</v>
      </c>
      <c r="FT69" s="72">
        <f t="shared" ref="FT69:FT71" si="1007">((FI69*FT$6)+(FI69*$AO$6)+(FI69*$AP$6))*FR69</f>
        <v>0</v>
      </c>
      <c r="FU69" s="70">
        <f>SUM(FS69:FT69)</f>
        <v>0</v>
      </c>
      <c r="FV69" s="73">
        <v>0</v>
      </c>
      <c r="FW69" s="74">
        <f t="shared" ref="FW69:FW71" si="1008">IF(FG69=1,($C$1*$Q$6),0)</f>
        <v>0</v>
      </c>
      <c r="FX69" s="303">
        <f t="shared" ref="FX69:FX71" si="1009">FP69+FU69+FV69+FW69</f>
        <v>0</v>
      </c>
      <c r="FY69" s="58">
        <v>0</v>
      </c>
      <c r="FZ69" s="68" t="s">
        <v>181</v>
      </c>
      <c r="GA69" s="28">
        <f t="shared" ref="GA69:GA71" si="1010">GB69/$AM$4</f>
        <v>0</v>
      </c>
      <c r="GB69" s="69">
        <v>0</v>
      </c>
      <c r="GC69" s="28">
        <f>GB69*GC$6</f>
        <v>0</v>
      </c>
      <c r="GD69" s="28">
        <f>GB69*GD$6</f>
        <v>0</v>
      </c>
      <c r="GE69" s="28">
        <f>GB69/GE$6</f>
        <v>0</v>
      </c>
      <c r="GF69" s="72">
        <f>GE69/GF$6</f>
        <v>0</v>
      </c>
      <c r="GG69" s="70">
        <f>GB69/GG$6</f>
        <v>0</v>
      </c>
      <c r="GH69" s="70">
        <f>SUM(GB69:GG69)</f>
        <v>0</v>
      </c>
      <c r="GI69" s="71">
        <v>0</v>
      </c>
      <c r="GJ69" s="71">
        <v>0</v>
      </c>
      <c r="GK69" s="72">
        <f t="shared" ref="GK69:GK71" si="1011">((GA69*GK$6)+(GA69*$AO$6)+(GA69*$AP$6))*GI69</f>
        <v>0</v>
      </c>
      <c r="GL69" s="72">
        <f t="shared" ref="GL69:GL71" si="1012">((GA69*GL$6)+(GA69*$AO$6)+(GA69*$AP$6))*GJ69</f>
        <v>0</v>
      </c>
      <c r="GM69" s="70">
        <f>SUM(GK69:GL69)</f>
        <v>0</v>
      </c>
      <c r="GN69" s="73">
        <v>0</v>
      </c>
      <c r="GO69" s="74">
        <f t="shared" ref="GO69:GO71" si="1013">IF(FY69=1,($C$1*$Q$6),0)</f>
        <v>0</v>
      </c>
      <c r="GP69" s="303">
        <f t="shared" ref="GP69:GP71" si="1014">GH69+GM69+GN69+GO69</f>
        <v>0</v>
      </c>
      <c r="GQ69" s="58">
        <v>0</v>
      </c>
      <c r="GR69" s="68" t="s">
        <v>181</v>
      </c>
      <c r="GS69" s="28">
        <f t="shared" ref="GS69:GS71" si="1015">GT69/$AM$4</f>
        <v>0</v>
      </c>
      <c r="GT69" s="69">
        <v>0</v>
      </c>
      <c r="GU69" s="28">
        <f>GT69*GU$6</f>
        <v>0</v>
      </c>
      <c r="GV69" s="28">
        <f>GT69*GV$6</f>
        <v>0</v>
      </c>
      <c r="GW69" s="28">
        <f>GT69/GW$6</f>
        <v>0</v>
      </c>
      <c r="GX69" s="72">
        <f>GW69/GX$6</f>
        <v>0</v>
      </c>
      <c r="GY69" s="70">
        <f>GT69/GY$6</f>
        <v>0</v>
      </c>
      <c r="GZ69" s="70">
        <f>SUM(GT69:GY69)</f>
        <v>0</v>
      </c>
      <c r="HA69" s="71">
        <v>0</v>
      </c>
      <c r="HB69" s="71">
        <v>0</v>
      </c>
      <c r="HC69" s="72">
        <f t="shared" ref="HC69:HC71" si="1016">((GS69*HC$6)+(GS69*$AO$6)+(GS69*$AP$6))*HA69</f>
        <v>0</v>
      </c>
      <c r="HD69" s="72">
        <f t="shared" ref="HD69:HD71" si="1017">((GS69*HD$6)+(GS69*$AO$6)+(GS69*$AP$6))*HB69</f>
        <v>0</v>
      </c>
      <c r="HE69" s="70">
        <f>SUM(HC69:HD69)</f>
        <v>0</v>
      </c>
      <c r="HF69" s="73">
        <v>0</v>
      </c>
      <c r="HG69" s="74">
        <f t="shared" ref="HG69:HG71" si="1018">IF(GQ69=1,($C$1*$Q$6),0)</f>
        <v>0</v>
      </c>
      <c r="HH69" s="303">
        <f t="shared" ref="HH69:HH71" si="1019">GZ69+HE69+HF69+HG69</f>
        <v>0</v>
      </c>
      <c r="HJ69" s="37"/>
      <c r="HK69" s="37"/>
      <c r="HL69" s="37"/>
      <c r="HM69" s="37"/>
      <c r="HN69" s="37"/>
      <c r="HO69" s="37"/>
      <c r="HP69" s="37"/>
      <c r="HQ69" s="37"/>
      <c r="HR69" s="37"/>
      <c r="HS69" s="37"/>
      <c r="HT69" s="37"/>
      <c r="HU69" s="37"/>
      <c r="HV69" s="37"/>
      <c r="HW69" s="37"/>
      <c r="HX69" s="37"/>
      <c r="HY69" s="37"/>
      <c r="HZ69" s="37"/>
      <c r="IA69" s="37"/>
      <c r="IB69" s="37"/>
      <c r="IC69" s="37"/>
      <c r="ID69" s="37"/>
      <c r="IE69" s="37"/>
      <c r="IF69" s="37"/>
      <c r="IG69" s="37"/>
      <c r="IH69" s="37"/>
      <c r="II69" s="37"/>
      <c r="IJ69" s="37"/>
      <c r="IK69" s="37"/>
      <c r="IL69" s="37"/>
      <c r="IM69" s="37"/>
      <c r="IN69" s="37"/>
      <c r="IO69" s="37"/>
      <c r="IP69" s="37"/>
    </row>
    <row r="70" spans="1:250" hidden="1" x14ac:dyDescent="0.3">
      <c r="A70" s="58">
        <v>0</v>
      </c>
      <c r="B70" s="68" t="s">
        <v>181</v>
      </c>
      <c r="C70" s="28">
        <f t="shared" si="960"/>
        <v>0</v>
      </c>
      <c r="D70" s="69">
        <v>0</v>
      </c>
      <c r="E70" s="28">
        <f>D70*E$6</f>
        <v>0</v>
      </c>
      <c r="F70" s="28">
        <f>D70*F$6</f>
        <v>0</v>
      </c>
      <c r="G70" s="28">
        <f>D70/G$6</f>
        <v>0</v>
      </c>
      <c r="H70" s="72">
        <f>G70/H$6</f>
        <v>0</v>
      </c>
      <c r="I70" s="70">
        <f>D70/I$6</f>
        <v>0</v>
      </c>
      <c r="J70" s="70">
        <f>SUM(D70:I70)</f>
        <v>0</v>
      </c>
      <c r="K70" s="71">
        <v>0</v>
      </c>
      <c r="L70" s="71">
        <v>0</v>
      </c>
      <c r="M70" s="72">
        <f t="shared" si="961"/>
        <v>0</v>
      </c>
      <c r="N70" s="72">
        <f t="shared" si="962"/>
        <v>0</v>
      </c>
      <c r="O70" s="70">
        <f>SUM(M70:N70)</f>
        <v>0</v>
      </c>
      <c r="P70" s="73">
        <v>0</v>
      </c>
      <c r="Q70" s="74">
        <f t="shared" si="963"/>
        <v>0</v>
      </c>
      <c r="R70" s="303">
        <f t="shared" si="964"/>
        <v>0</v>
      </c>
      <c r="S70" s="58">
        <v>0</v>
      </c>
      <c r="T70" s="68" t="s">
        <v>181</v>
      </c>
      <c r="U70" s="28">
        <f t="shared" si="965"/>
        <v>0</v>
      </c>
      <c r="V70" s="69">
        <v>0</v>
      </c>
      <c r="W70" s="28">
        <f>V70*W$6</f>
        <v>0</v>
      </c>
      <c r="X70" s="28">
        <f>V70*X$6</f>
        <v>0</v>
      </c>
      <c r="Y70" s="28">
        <f>V70/Y$6</f>
        <v>0</v>
      </c>
      <c r="Z70" s="72">
        <f>Y70/Z$6</f>
        <v>0</v>
      </c>
      <c r="AA70" s="70">
        <f>V70/AA$6</f>
        <v>0</v>
      </c>
      <c r="AB70" s="70">
        <f>SUM(V70:AA70)</f>
        <v>0</v>
      </c>
      <c r="AC70" s="71">
        <v>0</v>
      </c>
      <c r="AD70" s="71">
        <v>0</v>
      </c>
      <c r="AE70" s="72">
        <f t="shared" si="966"/>
        <v>0</v>
      </c>
      <c r="AF70" s="72">
        <f t="shared" si="967"/>
        <v>0</v>
      </c>
      <c r="AG70" s="70">
        <f>SUM(AE70:AF70)</f>
        <v>0</v>
      </c>
      <c r="AH70" s="73">
        <v>0</v>
      </c>
      <c r="AI70" s="74">
        <f t="shared" si="968"/>
        <v>0</v>
      </c>
      <c r="AJ70" s="303">
        <f t="shared" si="969"/>
        <v>0</v>
      </c>
      <c r="AK70" s="58">
        <v>0</v>
      </c>
      <c r="AL70" s="68" t="s">
        <v>181</v>
      </c>
      <c r="AM70" s="28">
        <f t="shared" si="970"/>
        <v>0</v>
      </c>
      <c r="AN70" s="69">
        <v>0</v>
      </c>
      <c r="AO70" s="28">
        <f>AN70*AO$6</f>
        <v>0</v>
      </c>
      <c r="AP70" s="28">
        <f>AN70*AP$6</f>
        <v>0</v>
      </c>
      <c r="AQ70" s="28">
        <f>AN70/AQ$6</f>
        <v>0</v>
      </c>
      <c r="AR70" s="72">
        <f>AQ70/AR$6</f>
        <v>0</v>
      </c>
      <c r="AS70" s="70">
        <f>AN70/AS$6</f>
        <v>0</v>
      </c>
      <c r="AT70" s="70">
        <f>SUM(AN70:AS70)</f>
        <v>0</v>
      </c>
      <c r="AU70" s="71">
        <v>0</v>
      </c>
      <c r="AV70" s="71">
        <v>0</v>
      </c>
      <c r="AW70" s="72">
        <f t="shared" si="971"/>
        <v>0</v>
      </c>
      <c r="AX70" s="72">
        <f t="shared" si="972"/>
        <v>0</v>
      </c>
      <c r="AY70" s="70">
        <f>SUM(AW70:AX70)</f>
        <v>0</v>
      </c>
      <c r="AZ70" s="73">
        <v>0</v>
      </c>
      <c r="BA70" s="74">
        <f t="shared" si="973"/>
        <v>0</v>
      </c>
      <c r="BB70" s="303">
        <f t="shared" si="974"/>
        <v>0</v>
      </c>
      <c r="BC70" s="58">
        <v>0</v>
      </c>
      <c r="BD70" s="68" t="s">
        <v>181</v>
      </c>
      <c r="BE70" s="28">
        <f t="shared" si="975"/>
        <v>0</v>
      </c>
      <c r="BF70" s="69">
        <v>0</v>
      </c>
      <c r="BG70" s="28">
        <f>BF70*BG$6</f>
        <v>0</v>
      </c>
      <c r="BH70" s="28">
        <f>BF70*BH$6</f>
        <v>0</v>
      </c>
      <c r="BI70" s="28">
        <f>BF70/BI$6</f>
        <v>0</v>
      </c>
      <c r="BJ70" s="72">
        <f>BI70/BJ$6</f>
        <v>0</v>
      </c>
      <c r="BK70" s="70">
        <f>BF70/BK$6</f>
        <v>0</v>
      </c>
      <c r="BL70" s="70">
        <f>SUM(BF70:BK70)</f>
        <v>0</v>
      </c>
      <c r="BM70" s="71">
        <v>0</v>
      </c>
      <c r="BN70" s="71">
        <v>0</v>
      </c>
      <c r="BO70" s="72">
        <f t="shared" si="976"/>
        <v>0</v>
      </c>
      <c r="BP70" s="72">
        <f t="shared" si="977"/>
        <v>0</v>
      </c>
      <c r="BQ70" s="70">
        <f>SUM(BO70:BP70)</f>
        <v>0</v>
      </c>
      <c r="BR70" s="73">
        <v>0</v>
      </c>
      <c r="BS70" s="74">
        <f t="shared" si="978"/>
        <v>0</v>
      </c>
      <c r="BT70" s="303">
        <f t="shared" si="979"/>
        <v>0</v>
      </c>
      <c r="BU70" s="58">
        <v>0</v>
      </c>
      <c r="BV70" s="68" t="s">
        <v>181</v>
      </c>
      <c r="BW70" s="28">
        <f t="shared" si="980"/>
        <v>0</v>
      </c>
      <c r="BX70" s="69">
        <v>0</v>
      </c>
      <c r="BY70" s="28">
        <f>BX70*BY$6</f>
        <v>0</v>
      </c>
      <c r="BZ70" s="28">
        <f>BX70*BZ$6</f>
        <v>0</v>
      </c>
      <c r="CA70" s="28">
        <f>BX70/CA$6</f>
        <v>0</v>
      </c>
      <c r="CB70" s="72">
        <f>CA70/CB$6</f>
        <v>0</v>
      </c>
      <c r="CC70" s="70">
        <f>BX70/CC$6</f>
        <v>0</v>
      </c>
      <c r="CD70" s="70">
        <f>SUM(BX70:CC70)</f>
        <v>0</v>
      </c>
      <c r="CE70" s="71">
        <v>0</v>
      </c>
      <c r="CF70" s="71">
        <v>0</v>
      </c>
      <c r="CG70" s="72">
        <f t="shared" si="981"/>
        <v>0</v>
      </c>
      <c r="CH70" s="72">
        <f t="shared" si="982"/>
        <v>0</v>
      </c>
      <c r="CI70" s="70">
        <f>SUM(CG70:CH70)</f>
        <v>0</v>
      </c>
      <c r="CJ70" s="73">
        <v>0</v>
      </c>
      <c r="CK70" s="74">
        <f t="shared" si="983"/>
        <v>0</v>
      </c>
      <c r="CL70" s="303">
        <f t="shared" si="984"/>
        <v>0</v>
      </c>
      <c r="CM70" s="58">
        <v>0</v>
      </c>
      <c r="CN70" s="68" t="s">
        <v>181</v>
      </c>
      <c r="CO70" s="28">
        <f t="shared" si="985"/>
        <v>0</v>
      </c>
      <c r="CP70" s="69">
        <v>0</v>
      </c>
      <c r="CQ70" s="28">
        <f>CP70*CQ$6</f>
        <v>0</v>
      </c>
      <c r="CR70" s="28">
        <f>CP70*CR$6</f>
        <v>0</v>
      </c>
      <c r="CS70" s="28">
        <f>CP70/CS$6</f>
        <v>0</v>
      </c>
      <c r="CT70" s="72">
        <f>CS70/CT$6</f>
        <v>0</v>
      </c>
      <c r="CU70" s="70">
        <f>CP70/CU$6</f>
        <v>0</v>
      </c>
      <c r="CV70" s="70">
        <f>SUM(CP70:CU70)</f>
        <v>0</v>
      </c>
      <c r="CW70" s="71">
        <v>0</v>
      </c>
      <c r="CX70" s="71">
        <v>0</v>
      </c>
      <c r="CY70" s="72">
        <f t="shared" si="986"/>
        <v>0</v>
      </c>
      <c r="CZ70" s="72">
        <f t="shared" si="987"/>
        <v>0</v>
      </c>
      <c r="DA70" s="70">
        <f>SUM(CY70:CZ70)</f>
        <v>0</v>
      </c>
      <c r="DB70" s="73">
        <v>0</v>
      </c>
      <c r="DC70" s="74">
        <f t="shared" si="988"/>
        <v>0</v>
      </c>
      <c r="DD70" s="303">
        <f t="shared" si="989"/>
        <v>0</v>
      </c>
      <c r="DE70" s="58">
        <v>0</v>
      </c>
      <c r="DF70" s="68" t="s">
        <v>181</v>
      </c>
      <c r="DG70" s="28">
        <f t="shared" si="990"/>
        <v>0</v>
      </c>
      <c r="DH70" s="69">
        <v>0</v>
      </c>
      <c r="DI70" s="28">
        <f>DH70*DI$6</f>
        <v>0</v>
      </c>
      <c r="DJ70" s="28">
        <f>DH70*DJ$6</f>
        <v>0</v>
      </c>
      <c r="DK70" s="28">
        <f>DH70/DK$6</f>
        <v>0</v>
      </c>
      <c r="DL70" s="72">
        <f>DK70/DL$6</f>
        <v>0</v>
      </c>
      <c r="DM70" s="70">
        <f>DH70/DM$6</f>
        <v>0</v>
      </c>
      <c r="DN70" s="70">
        <f>SUM(DH70:DM70)</f>
        <v>0</v>
      </c>
      <c r="DO70" s="71">
        <v>0</v>
      </c>
      <c r="DP70" s="71">
        <v>0</v>
      </c>
      <c r="DQ70" s="72">
        <f t="shared" si="991"/>
        <v>0</v>
      </c>
      <c r="DR70" s="72">
        <f t="shared" si="992"/>
        <v>0</v>
      </c>
      <c r="DS70" s="70">
        <f>SUM(DQ70:DR70)</f>
        <v>0</v>
      </c>
      <c r="DT70" s="73">
        <v>0</v>
      </c>
      <c r="DU70" s="74">
        <f t="shared" si="993"/>
        <v>0</v>
      </c>
      <c r="DV70" s="303">
        <f t="shared" si="994"/>
        <v>0</v>
      </c>
      <c r="DW70" s="58">
        <v>0</v>
      </c>
      <c r="DX70" s="68" t="s">
        <v>181</v>
      </c>
      <c r="DY70" s="28">
        <f t="shared" si="995"/>
        <v>0</v>
      </c>
      <c r="DZ70" s="69">
        <v>0</v>
      </c>
      <c r="EA70" s="28">
        <f>DZ70*EA$6</f>
        <v>0</v>
      </c>
      <c r="EB70" s="28">
        <f>DZ70*EB$6</f>
        <v>0</v>
      </c>
      <c r="EC70" s="28">
        <f>DZ70/EC$6</f>
        <v>0</v>
      </c>
      <c r="ED70" s="72">
        <f>EC70/ED$6</f>
        <v>0</v>
      </c>
      <c r="EE70" s="70">
        <f>DZ70/EE$6</f>
        <v>0</v>
      </c>
      <c r="EF70" s="70">
        <f>SUM(DZ70:EE70)</f>
        <v>0</v>
      </c>
      <c r="EG70" s="71">
        <v>0</v>
      </c>
      <c r="EH70" s="71">
        <v>0</v>
      </c>
      <c r="EI70" s="72">
        <f t="shared" si="996"/>
        <v>0</v>
      </c>
      <c r="EJ70" s="72">
        <f t="shared" si="997"/>
        <v>0</v>
      </c>
      <c r="EK70" s="70">
        <f>SUM(EI70:EJ70)</f>
        <v>0</v>
      </c>
      <c r="EL70" s="73">
        <v>0</v>
      </c>
      <c r="EM70" s="74">
        <f t="shared" si="998"/>
        <v>0</v>
      </c>
      <c r="EN70" s="303">
        <f t="shared" si="999"/>
        <v>0</v>
      </c>
      <c r="EO70" s="58">
        <v>0</v>
      </c>
      <c r="EP70" s="68" t="s">
        <v>181</v>
      </c>
      <c r="EQ70" s="28">
        <f t="shared" si="1000"/>
        <v>0</v>
      </c>
      <c r="ER70" s="69">
        <v>0</v>
      </c>
      <c r="ES70" s="28">
        <f>ER70*ES$6</f>
        <v>0</v>
      </c>
      <c r="ET70" s="28">
        <f>ER70*ET$6</f>
        <v>0</v>
      </c>
      <c r="EU70" s="28">
        <f>ER70/EU$6</f>
        <v>0</v>
      </c>
      <c r="EV70" s="72">
        <f>EU70/EV$6</f>
        <v>0</v>
      </c>
      <c r="EW70" s="70">
        <f>ER70/EW$6</f>
        <v>0</v>
      </c>
      <c r="EX70" s="70">
        <f>SUM(ER70:EW70)</f>
        <v>0</v>
      </c>
      <c r="EY70" s="71">
        <v>0</v>
      </c>
      <c r="EZ70" s="71">
        <v>0</v>
      </c>
      <c r="FA70" s="72">
        <f t="shared" si="1001"/>
        <v>0</v>
      </c>
      <c r="FB70" s="72">
        <f t="shared" si="1002"/>
        <v>0</v>
      </c>
      <c r="FC70" s="70">
        <f>SUM(FA70:FB70)</f>
        <v>0</v>
      </c>
      <c r="FD70" s="73">
        <v>0</v>
      </c>
      <c r="FE70" s="74">
        <f t="shared" si="1003"/>
        <v>0</v>
      </c>
      <c r="FF70" s="303">
        <f t="shared" si="1004"/>
        <v>0</v>
      </c>
      <c r="FG70" s="58">
        <v>0</v>
      </c>
      <c r="FH70" s="68" t="s">
        <v>181</v>
      </c>
      <c r="FI70" s="28">
        <f t="shared" si="1005"/>
        <v>0</v>
      </c>
      <c r="FJ70" s="69">
        <v>0</v>
      </c>
      <c r="FK70" s="28">
        <f>FJ70*FK$6</f>
        <v>0</v>
      </c>
      <c r="FL70" s="28">
        <f>FJ70*FL$6</f>
        <v>0</v>
      </c>
      <c r="FM70" s="28">
        <f>FJ70/FM$6</f>
        <v>0</v>
      </c>
      <c r="FN70" s="72">
        <f>FM70/FN$6</f>
        <v>0</v>
      </c>
      <c r="FO70" s="70">
        <f>FJ70/FO$6</f>
        <v>0</v>
      </c>
      <c r="FP70" s="70">
        <f>SUM(FJ70:FO70)</f>
        <v>0</v>
      </c>
      <c r="FQ70" s="71">
        <v>0</v>
      </c>
      <c r="FR70" s="71">
        <v>0</v>
      </c>
      <c r="FS70" s="72">
        <f t="shared" si="1006"/>
        <v>0</v>
      </c>
      <c r="FT70" s="72">
        <f t="shared" si="1007"/>
        <v>0</v>
      </c>
      <c r="FU70" s="70">
        <f>SUM(FS70:FT70)</f>
        <v>0</v>
      </c>
      <c r="FV70" s="73">
        <v>0</v>
      </c>
      <c r="FW70" s="74">
        <f t="shared" si="1008"/>
        <v>0</v>
      </c>
      <c r="FX70" s="303">
        <f t="shared" si="1009"/>
        <v>0</v>
      </c>
      <c r="FY70" s="58">
        <v>0</v>
      </c>
      <c r="FZ70" s="68" t="s">
        <v>181</v>
      </c>
      <c r="GA70" s="28">
        <f t="shared" si="1010"/>
        <v>0</v>
      </c>
      <c r="GB70" s="69">
        <v>0</v>
      </c>
      <c r="GC70" s="28">
        <f>GB70*GC$6</f>
        <v>0</v>
      </c>
      <c r="GD70" s="28">
        <f>GB70*GD$6</f>
        <v>0</v>
      </c>
      <c r="GE70" s="28">
        <f>GB70/GE$6</f>
        <v>0</v>
      </c>
      <c r="GF70" s="72">
        <f>GE70/GF$6</f>
        <v>0</v>
      </c>
      <c r="GG70" s="70">
        <f>GB70/GG$6</f>
        <v>0</v>
      </c>
      <c r="GH70" s="70">
        <f>SUM(GB70:GG70)</f>
        <v>0</v>
      </c>
      <c r="GI70" s="71">
        <v>0</v>
      </c>
      <c r="GJ70" s="71">
        <v>0</v>
      </c>
      <c r="GK70" s="72">
        <f t="shared" si="1011"/>
        <v>0</v>
      </c>
      <c r="GL70" s="72">
        <f t="shared" si="1012"/>
        <v>0</v>
      </c>
      <c r="GM70" s="70">
        <f>SUM(GK70:GL70)</f>
        <v>0</v>
      </c>
      <c r="GN70" s="73">
        <v>0</v>
      </c>
      <c r="GO70" s="74">
        <f t="shared" si="1013"/>
        <v>0</v>
      </c>
      <c r="GP70" s="303">
        <f t="shared" si="1014"/>
        <v>0</v>
      </c>
      <c r="GQ70" s="58">
        <v>0</v>
      </c>
      <c r="GR70" s="68" t="s">
        <v>181</v>
      </c>
      <c r="GS70" s="28">
        <f t="shared" si="1015"/>
        <v>0</v>
      </c>
      <c r="GT70" s="69">
        <v>0</v>
      </c>
      <c r="GU70" s="28">
        <f>GT70*GU$6</f>
        <v>0</v>
      </c>
      <c r="GV70" s="28">
        <f>GT70*GV$6</f>
        <v>0</v>
      </c>
      <c r="GW70" s="28">
        <f>GT70/GW$6</f>
        <v>0</v>
      </c>
      <c r="GX70" s="72">
        <f>GW70/GX$6</f>
        <v>0</v>
      </c>
      <c r="GY70" s="70">
        <f>GT70/GY$6</f>
        <v>0</v>
      </c>
      <c r="GZ70" s="70">
        <f>SUM(GT70:GY70)</f>
        <v>0</v>
      </c>
      <c r="HA70" s="71">
        <v>0</v>
      </c>
      <c r="HB70" s="71">
        <v>0</v>
      </c>
      <c r="HC70" s="72">
        <f t="shared" si="1016"/>
        <v>0</v>
      </c>
      <c r="HD70" s="72">
        <f t="shared" si="1017"/>
        <v>0</v>
      </c>
      <c r="HE70" s="70">
        <f>SUM(HC70:HD70)</f>
        <v>0</v>
      </c>
      <c r="HF70" s="73">
        <v>0</v>
      </c>
      <c r="HG70" s="74">
        <f t="shared" si="1018"/>
        <v>0</v>
      </c>
      <c r="HH70" s="303">
        <f t="shared" si="1019"/>
        <v>0</v>
      </c>
      <c r="HJ70" s="37"/>
      <c r="HK70" s="37"/>
      <c r="HL70" s="37"/>
      <c r="HM70" s="37"/>
      <c r="HN70" s="37"/>
      <c r="HO70" s="37"/>
      <c r="HP70" s="37"/>
      <c r="HQ70" s="37"/>
      <c r="HR70" s="37"/>
      <c r="HS70" s="37"/>
      <c r="HT70" s="37"/>
      <c r="HU70" s="37"/>
      <c r="HV70" s="37"/>
      <c r="HW70" s="37"/>
      <c r="HX70" s="37"/>
      <c r="HY70" s="37"/>
      <c r="HZ70" s="37"/>
      <c r="IA70" s="37"/>
      <c r="IB70" s="37"/>
      <c r="IC70" s="37"/>
      <c r="ID70" s="37"/>
      <c r="IE70" s="37"/>
      <c r="IF70" s="37"/>
      <c r="IG70" s="37"/>
      <c r="IH70" s="37"/>
      <c r="II70" s="37"/>
      <c r="IJ70" s="37"/>
      <c r="IK70" s="37"/>
      <c r="IL70" s="37"/>
      <c r="IM70" s="37"/>
      <c r="IN70" s="37"/>
      <c r="IO70" s="37"/>
      <c r="IP70" s="37"/>
    </row>
    <row r="71" spans="1:250" hidden="1" x14ac:dyDescent="0.3">
      <c r="A71" s="58">
        <v>0</v>
      </c>
      <c r="B71" s="68" t="s">
        <v>181</v>
      </c>
      <c r="C71" s="28">
        <f t="shared" si="960"/>
        <v>0</v>
      </c>
      <c r="D71" s="69">
        <v>0</v>
      </c>
      <c r="E71" s="28">
        <f t="shared" ref="E71" si="1020">D71*E$6</f>
        <v>0</v>
      </c>
      <c r="F71" s="28">
        <f t="shared" ref="F71" si="1021">D71*F$6</f>
        <v>0</v>
      </c>
      <c r="G71" s="28">
        <f t="shared" ref="G71" si="1022">D71/G$6</f>
        <v>0</v>
      </c>
      <c r="H71" s="72">
        <f t="shared" ref="H71" si="1023">G71/H$6</f>
        <v>0</v>
      </c>
      <c r="I71" s="70">
        <f t="shared" ref="I71" si="1024">D71/I$6</f>
        <v>0</v>
      </c>
      <c r="J71" s="70">
        <f t="shared" ref="J71" si="1025">SUM(D71:I71)</f>
        <v>0</v>
      </c>
      <c r="K71" s="71">
        <v>0</v>
      </c>
      <c r="L71" s="71">
        <v>0</v>
      </c>
      <c r="M71" s="72">
        <f t="shared" si="961"/>
        <v>0</v>
      </c>
      <c r="N71" s="72">
        <f t="shared" si="962"/>
        <v>0</v>
      </c>
      <c r="O71" s="70">
        <f>SUM(M71:N71)</f>
        <v>0</v>
      </c>
      <c r="P71" s="73">
        <v>0</v>
      </c>
      <c r="Q71" s="74">
        <f t="shared" si="963"/>
        <v>0</v>
      </c>
      <c r="R71" s="303">
        <f t="shared" si="964"/>
        <v>0</v>
      </c>
      <c r="S71" s="58">
        <v>0</v>
      </c>
      <c r="T71" s="68" t="s">
        <v>181</v>
      </c>
      <c r="U71" s="28">
        <f t="shared" si="965"/>
        <v>0</v>
      </c>
      <c r="V71" s="69">
        <v>0</v>
      </c>
      <c r="W71" s="28">
        <f t="shared" ref="W71" si="1026">V71*W$6</f>
        <v>0</v>
      </c>
      <c r="X71" s="28">
        <f t="shared" ref="X71" si="1027">V71*X$6</f>
        <v>0</v>
      </c>
      <c r="Y71" s="28">
        <f t="shared" ref="Y71" si="1028">V71/Y$6</f>
        <v>0</v>
      </c>
      <c r="Z71" s="72">
        <f t="shared" ref="Z71" si="1029">Y71/Z$6</f>
        <v>0</v>
      </c>
      <c r="AA71" s="70">
        <f t="shared" ref="AA71" si="1030">V71/AA$6</f>
        <v>0</v>
      </c>
      <c r="AB71" s="70">
        <f t="shared" ref="AB71" si="1031">SUM(V71:AA71)</f>
        <v>0</v>
      </c>
      <c r="AC71" s="71">
        <v>0</v>
      </c>
      <c r="AD71" s="71">
        <v>0</v>
      </c>
      <c r="AE71" s="72">
        <f t="shared" si="966"/>
        <v>0</v>
      </c>
      <c r="AF71" s="72">
        <f t="shared" si="967"/>
        <v>0</v>
      </c>
      <c r="AG71" s="70">
        <f>SUM(AE71:AF71)</f>
        <v>0</v>
      </c>
      <c r="AH71" s="73">
        <v>0</v>
      </c>
      <c r="AI71" s="74">
        <f t="shared" si="968"/>
        <v>0</v>
      </c>
      <c r="AJ71" s="303">
        <f t="shared" si="969"/>
        <v>0</v>
      </c>
      <c r="AK71" s="58">
        <v>0</v>
      </c>
      <c r="AL71" s="68" t="s">
        <v>181</v>
      </c>
      <c r="AM71" s="28">
        <f t="shared" si="970"/>
        <v>0</v>
      </c>
      <c r="AN71" s="69">
        <v>0</v>
      </c>
      <c r="AO71" s="28">
        <f t="shared" ref="AO71" si="1032">AN71*AO$6</f>
        <v>0</v>
      </c>
      <c r="AP71" s="28">
        <f t="shared" ref="AP71" si="1033">AN71*AP$6</f>
        <v>0</v>
      </c>
      <c r="AQ71" s="28">
        <f t="shared" ref="AQ71" si="1034">AN71/AQ$6</f>
        <v>0</v>
      </c>
      <c r="AR71" s="72">
        <f t="shared" ref="AR71" si="1035">AQ71/AR$6</f>
        <v>0</v>
      </c>
      <c r="AS71" s="70">
        <f t="shared" ref="AS71" si="1036">AN71/AS$6</f>
        <v>0</v>
      </c>
      <c r="AT71" s="70">
        <f t="shared" ref="AT71" si="1037">SUM(AN71:AS71)</f>
        <v>0</v>
      </c>
      <c r="AU71" s="71">
        <v>0</v>
      </c>
      <c r="AV71" s="71">
        <v>0</v>
      </c>
      <c r="AW71" s="72">
        <f t="shared" si="971"/>
        <v>0</v>
      </c>
      <c r="AX71" s="72">
        <f t="shared" si="972"/>
        <v>0</v>
      </c>
      <c r="AY71" s="70">
        <f>SUM(AW71:AX71)</f>
        <v>0</v>
      </c>
      <c r="AZ71" s="73">
        <v>0</v>
      </c>
      <c r="BA71" s="74">
        <f t="shared" si="973"/>
        <v>0</v>
      </c>
      <c r="BB71" s="303">
        <f t="shared" si="974"/>
        <v>0</v>
      </c>
      <c r="BC71" s="58">
        <v>0</v>
      </c>
      <c r="BD71" s="68" t="s">
        <v>181</v>
      </c>
      <c r="BE71" s="28">
        <f t="shared" si="975"/>
        <v>0</v>
      </c>
      <c r="BF71" s="69">
        <v>0</v>
      </c>
      <c r="BG71" s="28">
        <f t="shared" ref="BG71" si="1038">BF71*BG$6</f>
        <v>0</v>
      </c>
      <c r="BH71" s="28">
        <f t="shared" ref="BH71" si="1039">BF71*BH$6</f>
        <v>0</v>
      </c>
      <c r="BI71" s="28">
        <f t="shared" ref="BI71" si="1040">BF71/BI$6</f>
        <v>0</v>
      </c>
      <c r="BJ71" s="72">
        <f t="shared" ref="BJ71" si="1041">BI71/BJ$6</f>
        <v>0</v>
      </c>
      <c r="BK71" s="70">
        <f t="shared" ref="BK71" si="1042">BF71/BK$6</f>
        <v>0</v>
      </c>
      <c r="BL71" s="70">
        <f t="shared" ref="BL71" si="1043">SUM(BF71:BK71)</f>
        <v>0</v>
      </c>
      <c r="BM71" s="71">
        <v>0</v>
      </c>
      <c r="BN71" s="71">
        <v>0</v>
      </c>
      <c r="BO71" s="72">
        <f t="shared" si="976"/>
        <v>0</v>
      </c>
      <c r="BP71" s="72">
        <f t="shared" si="977"/>
        <v>0</v>
      </c>
      <c r="BQ71" s="70">
        <f>SUM(BO71:BP71)</f>
        <v>0</v>
      </c>
      <c r="BR71" s="73">
        <v>0</v>
      </c>
      <c r="BS71" s="74">
        <f t="shared" si="978"/>
        <v>0</v>
      </c>
      <c r="BT71" s="303">
        <f t="shared" si="979"/>
        <v>0</v>
      </c>
      <c r="BU71" s="58">
        <v>0</v>
      </c>
      <c r="BV71" s="68" t="s">
        <v>181</v>
      </c>
      <c r="BW71" s="28">
        <f t="shared" si="980"/>
        <v>0</v>
      </c>
      <c r="BX71" s="69">
        <v>0</v>
      </c>
      <c r="BY71" s="28">
        <f t="shared" ref="BY71" si="1044">BX71*BY$6</f>
        <v>0</v>
      </c>
      <c r="BZ71" s="28">
        <f t="shared" ref="BZ71" si="1045">BX71*BZ$6</f>
        <v>0</v>
      </c>
      <c r="CA71" s="28">
        <f t="shared" ref="CA71" si="1046">BX71/CA$6</f>
        <v>0</v>
      </c>
      <c r="CB71" s="72">
        <f t="shared" ref="CB71" si="1047">CA71/CB$6</f>
        <v>0</v>
      </c>
      <c r="CC71" s="70">
        <f t="shared" ref="CC71" si="1048">BX71/CC$6</f>
        <v>0</v>
      </c>
      <c r="CD71" s="70">
        <f t="shared" ref="CD71" si="1049">SUM(BX71:CC71)</f>
        <v>0</v>
      </c>
      <c r="CE71" s="71">
        <v>0</v>
      </c>
      <c r="CF71" s="71">
        <v>0</v>
      </c>
      <c r="CG71" s="72">
        <f t="shared" si="981"/>
        <v>0</v>
      </c>
      <c r="CH71" s="72">
        <f t="shared" si="982"/>
        <v>0</v>
      </c>
      <c r="CI71" s="70">
        <f>SUM(CG71:CH71)</f>
        <v>0</v>
      </c>
      <c r="CJ71" s="73">
        <v>0</v>
      </c>
      <c r="CK71" s="74">
        <f t="shared" si="983"/>
        <v>0</v>
      </c>
      <c r="CL71" s="303">
        <f t="shared" si="984"/>
        <v>0</v>
      </c>
      <c r="CM71" s="58">
        <v>0</v>
      </c>
      <c r="CN71" s="68" t="s">
        <v>181</v>
      </c>
      <c r="CO71" s="28">
        <f t="shared" si="985"/>
        <v>0</v>
      </c>
      <c r="CP71" s="69">
        <v>0</v>
      </c>
      <c r="CQ71" s="28">
        <f t="shared" ref="CQ71" si="1050">CP71*CQ$6</f>
        <v>0</v>
      </c>
      <c r="CR71" s="28">
        <f t="shared" ref="CR71" si="1051">CP71*CR$6</f>
        <v>0</v>
      </c>
      <c r="CS71" s="28">
        <f t="shared" ref="CS71" si="1052">CP71/CS$6</f>
        <v>0</v>
      </c>
      <c r="CT71" s="72">
        <f t="shared" ref="CT71" si="1053">CS71/CT$6</f>
        <v>0</v>
      </c>
      <c r="CU71" s="70">
        <f t="shared" ref="CU71" si="1054">CP71/CU$6</f>
        <v>0</v>
      </c>
      <c r="CV71" s="70">
        <f t="shared" ref="CV71" si="1055">SUM(CP71:CU71)</f>
        <v>0</v>
      </c>
      <c r="CW71" s="71">
        <v>0</v>
      </c>
      <c r="CX71" s="71">
        <v>0</v>
      </c>
      <c r="CY71" s="72">
        <f t="shared" si="986"/>
        <v>0</v>
      </c>
      <c r="CZ71" s="72">
        <f t="shared" si="987"/>
        <v>0</v>
      </c>
      <c r="DA71" s="70">
        <f>SUM(CY71:CZ71)</f>
        <v>0</v>
      </c>
      <c r="DB71" s="73">
        <v>0</v>
      </c>
      <c r="DC71" s="74">
        <f t="shared" si="988"/>
        <v>0</v>
      </c>
      <c r="DD71" s="303">
        <f t="shared" si="989"/>
        <v>0</v>
      </c>
      <c r="DE71" s="58">
        <v>0</v>
      </c>
      <c r="DF71" s="68" t="s">
        <v>181</v>
      </c>
      <c r="DG71" s="28">
        <f t="shared" si="990"/>
        <v>0</v>
      </c>
      <c r="DH71" s="69">
        <v>0</v>
      </c>
      <c r="DI71" s="28">
        <f t="shared" ref="DI71" si="1056">DH71*DI$6</f>
        <v>0</v>
      </c>
      <c r="DJ71" s="28">
        <f t="shared" ref="DJ71" si="1057">DH71*DJ$6</f>
        <v>0</v>
      </c>
      <c r="DK71" s="28">
        <f t="shared" ref="DK71" si="1058">DH71/DK$6</f>
        <v>0</v>
      </c>
      <c r="DL71" s="72">
        <f t="shared" ref="DL71" si="1059">DK71/DL$6</f>
        <v>0</v>
      </c>
      <c r="DM71" s="70">
        <f t="shared" ref="DM71" si="1060">DH71/DM$6</f>
        <v>0</v>
      </c>
      <c r="DN71" s="70">
        <f t="shared" ref="DN71" si="1061">SUM(DH71:DM71)</f>
        <v>0</v>
      </c>
      <c r="DO71" s="71">
        <v>0</v>
      </c>
      <c r="DP71" s="71">
        <v>0</v>
      </c>
      <c r="DQ71" s="72">
        <f t="shared" si="991"/>
        <v>0</v>
      </c>
      <c r="DR71" s="72">
        <f t="shared" si="992"/>
        <v>0</v>
      </c>
      <c r="DS71" s="70">
        <f>SUM(DQ71:DR71)</f>
        <v>0</v>
      </c>
      <c r="DT71" s="73">
        <v>0</v>
      </c>
      <c r="DU71" s="74">
        <f t="shared" si="993"/>
        <v>0</v>
      </c>
      <c r="DV71" s="303">
        <f t="shared" si="994"/>
        <v>0</v>
      </c>
      <c r="DW71" s="58">
        <v>0</v>
      </c>
      <c r="DX71" s="68" t="s">
        <v>181</v>
      </c>
      <c r="DY71" s="28">
        <f t="shared" si="995"/>
        <v>0</v>
      </c>
      <c r="DZ71" s="69">
        <v>0</v>
      </c>
      <c r="EA71" s="28">
        <f t="shared" ref="EA71" si="1062">DZ71*EA$6</f>
        <v>0</v>
      </c>
      <c r="EB71" s="28">
        <f t="shared" ref="EB71" si="1063">DZ71*EB$6</f>
        <v>0</v>
      </c>
      <c r="EC71" s="28">
        <f t="shared" ref="EC71" si="1064">DZ71/EC$6</f>
        <v>0</v>
      </c>
      <c r="ED71" s="72">
        <f t="shared" ref="ED71" si="1065">EC71/ED$6</f>
        <v>0</v>
      </c>
      <c r="EE71" s="70">
        <f t="shared" ref="EE71" si="1066">DZ71/EE$6</f>
        <v>0</v>
      </c>
      <c r="EF71" s="70">
        <f t="shared" ref="EF71" si="1067">SUM(DZ71:EE71)</f>
        <v>0</v>
      </c>
      <c r="EG71" s="71">
        <v>0</v>
      </c>
      <c r="EH71" s="71">
        <v>0</v>
      </c>
      <c r="EI71" s="72">
        <f t="shared" si="996"/>
        <v>0</v>
      </c>
      <c r="EJ71" s="72">
        <f t="shared" si="997"/>
        <v>0</v>
      </c>
      <c r="EK71" s="70">
        <f>SUM(EI71:EJ71)</f>
        <v>0</v>
      </c>
      <c r="EL71" s="73">
        <v>0</v>
      </c>
      <c r="EM71" s="74">
        <f t="shared" si="998"/>
        <v>0</v>
      </c>
      <c r="EN71" s="303">
        <f t="shared" si="999"/>
        <v>0</v>
      </c>
      <c r="EO71" s="58">
        <v>0</v>
      </c>
      <c r="EP71" s="68" t="s">
        <v>181</v>
      </c>
      <c r="EQ71" s="28">
        <f t="shared" si="1000"/>
        <v>0</v>
      </c>
      <c r="ER71" s="69">
        <v>0</v>
      </c>
      <c r="ES71" s="28">
        <f t="shared" ref="ES71" si="1068">ER71*ES$6</f>
        <v>0</v>
      </c>
      <c r="ET71" s="28">
        <f t="shared" ref="ET71" si="1069">ER71*ET$6</f>
        <v>0</v>
      </c>
      <c r="EU71" s="28">
        <f t="shared" ref="EU71" si="1070">ER71/EU$6</f>
        <v>0</v>
      </c>
      <c r="EV71" s="72">
        <f t="shared" ref="EV71" si="1071">EU71/EV$6</f>
        <v>0</v>
      </c>
      <c r="EW71" s="70">
        <f t="shared" ref="EW71" si="1072">ER71/EW$6</f>
        <v>0</v>
      </c>
      <c r="EX71" s="70">
        <f t="shared" ref="EX71" si="1073">SUM(ER71:EW71)</f>
        <v>0</v>
      </c>
      <c r="EY71" s="71">
        <v>0</v>
      </c>
      <c r="EZ71" s="71">
        <v>0</v>
      </c>
      <c r="FA71" s="72">
        <f t="shared" si="1001"/>
        <v>0</v>
      </c>
      <c r="FB71" s="72">
        <f t="shared" si="1002"/>
        <v>0</v>
      </c>
      <c r="FC71" s="70">
        <f>SUM(FA71:FB71)</f>
        <v>0</v>
      </c>
      <c r="FD71" s="73">
        <v>0</v>
      </c>
      <c r="FE71" s="74">
        <f t="shared" si="1003"/>
        <v>0</v>
      </c>
      <c r="FF71" s="303">
        <f t="shared" si="1004"/>
        <v>0</v>
      </c>
      <c r="FG71" s="58">
        <v>0</v>
      </c>
      <c r="FH71" s="68" t="s">
        <v>181</v>
      </c>
      <c r="FI71" s="28">
        <f t="shared" si="1005"/>
        <v>0</v>
      </c>
      <c r="FJ71" s="69">
        <v>0</v>
      </c>
      <c r="FK71" s="28">
        <f t="shared" ref="FK71" si="1074">FJ71*FK$6</f>
        <v>0</v>
      </c>
      <c r="FL71" s="28">
        <f t="shared" ref="FL71" si="1075">FJ71*FL$6</f>
        <v>0</v>
      </c>
      <c r="FM71" s="28">
        <f t="shared" ref="FM71" si="1076">FJ71/FM$6</f>
        <v>0</v>
      </c>
      <c r="FN71" s="72">
        <f t="shared" ref="FN71" si="1077">FM71/FN$6</f>
        <v>0</v>
      </c>
      <c r="FO71" s="70">
        <f t="shared" ref="FO71" si="1078">FJ71/FO$6</f>
        <v>0</v>
      </c>
      <c r="FP71" s="70">
        <f t="shared" ref="FP71" si="1079">SUM(FJ71:FO71)</f>
        <v>0</v>
      </c>
      <c r="FQ71" s="71">
        <v>0</v>
      </c>
      <c r="FR71" s="71">
        <v>0</v>
      </c>
      <c r="FS71" s="72">
        <f t="shared" si="1006"/>
        <v>0</v>
      </c>
      <c r="FT71" s="72">
        <f t="shared" si="1007"/>
        <v>0</v>
      </c>
      <c r="FU71" s="70">
        <f>SUM(FS71:FT71)</f>
        <v>0</v>
      </c>
      <c r="FV71" s="73">
        <v>0</v>
      </c>
      <c r="FW71" s="74">
        <f t="shared" si="1008"/>
        <v>0</v>
      </c>
      <c r="FX71" s="303">
        <f t="shared" si="1009"/>
        <v>0</v>
      </c>
      <c r="FY71" s="58">
        <v>0</v>
      </c>
      <c r="FZ71" s="68" t="s">
        <v>181</v>
      </c>
      <c r="GA71" s="28">
        <f t="shared" si="1010"/>
        <v>0</v>
      </c>
      <c r="GB71" s="69">
        <v>0</v>
      </c>
      <c r="GC71" s="28">
        <f t="shared" ref="GC71" si="1080">GB71*GC$6</f>
        <v>0</v>
      </c>
      <c r="GD71" s="28">
        <f t="shared" ref="GD71" si="1081">GB71*GD$6</f>
        <v>0</v>
      </c>
      <c r="GE71" s="28">
        <f t="shared" ref="GE71" si="1082">GB71/GE$6</f>
        <v>0</v>
      </c>
      <c r="GF71" s="72">
        <f t="shared" ref="GF71" si="1083">GE71/GF$6</f>
        <v>0</v>
      </c>
      <c r="GG71" s="70">
        <f t="shared" ref="GG71" si="1084">GB71/GG$6</f>
        <v>0</v>
      </c>
      <c r="GH71" s="70">
        <f t="shared" ref="GH71" si="1085">SUM(GB71:GG71)</f>
        <v>0</v>
      </c>
      <c r="GI71" s="71">
        <v>0</v>
      </c>
      <c r="GJ71" s="71">
        <v>0</v>
      </c>
      <c r="GK71" s="72">
        <f t="shared" si="1011"/>
        <v>0</v>
      </c>
      <c r="GL71" s="72">
        <f t="shared" si="1012"/>
        <v>0</v>
      </c>
      <c r="GM71" s="70">
        <f>SUM(GK71:GL71)</f>
        <v>0</v>
      </c>
      <c r="GN71" s="73">
        <v>0</v>
      </c>
      <c r="GO71" s="74">
        <f t="shared" si="1013"/>
        <v>0</v>
      </c>
      <c r="GP71" s="303">
        <f t="shared" si="1014"/>
        <v>0</v>
      </c>
      <c r="GQ71" s="58">
        <v>0</v>
      </c>
      <c r="GR71" s="68" t="s">
        <v>181</v>
      </c>
      <c r="GS71" s="28">
        <f t="shared" si="1015"/>
        <v>0</v>
      </c>
      <c r="GT71" s="69">
        <v>0</v>
      </c>
      <c r="GU71" s="28">
        <f t="shared" ref="GU71" si="1086">GT71*GU$6</f>
        <v>0</v>
      </c>
      <c r="GV71" s="28">
        <f t="shared" ref="GV71" si="1087">GT71*GV$6</f>
        <v>0</v>
      </c>
      <c r="GW71" s="28">
        <f t="shared" ref="GW71" si="1088">GT71/GW$6</f>
        <v>0</v>
      </c>
      <c r="GX71" s="72">
        <f t="shared" ref="GX71" si="1089">GW71/GX$6</f>
        <v>0</v>
      </c>
      <c r="GY71" s="70">
        <f t="shared" ref="GY71" si="1090">GT71/GY$6</f>
        <v>0</v>
      </c>
      <c r="GZ71" s="70">
        <f t="shared" ref="GZ71" si="1091">SUM(GT71:GY71)</f>
        <v>0</v>
      </c>
      <c r="HA71" s="71">
        <v>0</v>
      </c>
      <c r="HB71" s="71">
        <v>0</v>
      </c>
      <c r="HC71" s="72">
        <f t="shared" si="1016"/>
        <v>0</v>
      </c>
      <c r="HD71" s="72">
        <f t="shared" si="1017"/>
        <v>0</v>
      </c>
      <c r="HE71" s="70">
        <f>SUM(HC71:HD71)</f>
        <v>0</v>
      </c>
      <c r="HF71" s="73">
        <v>0</v>
      </c>
      <c r="HG71" s="74">
        <f t="shared" si="1018"/>
        <v>0</v>
      </c>
      <c r="HH71" s="303">
        <f t="shared" si="1019"/>
        <v>0</v>
      </c>
      <c r="HJ71" s="37"/>
      <c r="HK71" s="37"/>
      <c r="HL71" s="37"/>
      <c r="HM71" s="37"/>
      <c r="HN71" s="37"/>
      <c r="HO71" s="37"/>
      <c r="HP71" s="37"/>
      <c r="HQ71" s="37"/>
      <c r="HR71" s="37"/>
      <c r="HS71" s="37"/>
      <c r="HT71" s="37"/>
      <c r="HU71" s="37"/>
      <c r="HV71" s="37"/>
      <c r="HW71" s="37"/>
      <c r="HX71" s="37"/>
      <c r="HY71" s="37"/>
      <c r="HZ71" s="37"/>
      <c r="IA71" s="37"/>
      <c r="IB71" s="37"/>
      <c r="IC71" s="37"/>
      <c r="ID71" s="37"/>
      <c r="IE71" s="37"/>
      <c r="IF71" s="37"/>
      <c r="IG71" s="37"/>
      <c r="IH71" s="37"/>
      <c r="II71" s="37"/>
      <c r="IJ71" s="37"/>
      <c r="IK71" s="37"/>
      <c r="IL71" s="37"/>
      <c r="IM71" s="37"/>
      <c r="IN71" s="37"/>
      <c r="IO71" s="37"/>
      <c r="IP71" s="37"/>
    </row>
    <row r="72" spans="1:250" ht="15.6" hidden="1" x14ac:dyDescent="0.3">
      <c r="A72" s="541"/>
      <c r="B72" s="537"/>
      <c r="C72" s="537"/>
      <c r="D72" s="537"/>
      <c r="E72" s="537"/>
      <c r="F72" s="537"/>
      <c r="G72" s="537"/>
      <c r="H72" s="537"/>
      <c r="I72" s="537"/>
      <c r="J72" s="537"/>
      <c r="K72" s="537"/>
      <c r="L72" s="537"/>
      <c r="M72" s="537"/>
      <c r="N72" s="537"/>
      <c r="O72" s="537"/>
      <c r="P72" s="538"/>
      <c r="Q72" s="307" t="s">
        <v>8</v>
      </c>
      <c r="R72" s="304">
        <f>SUM(R69:R71)</f>
        <v>0</v>
      </c>
      <c r="S72" s="541"/>
      <c r="T72" s="537"/>
      <c r="U72" s="537"/>
      <c r="V72" s="537"/>
      <c r="W72" s="537"/>
      <c r="X72" s="537"/>
      <c r="Y72" s="537"/>
      <c r="Z72" s="537"/>
      <c r="AA72" s="537"/>
      <c r="AB72" s="537"/>
      <c r="AC72" s="537"/>
      <c r="AD72" s="537"/>
      <c r="AE72" s="537"/>
      <c r="AF72" s="537"/>
      <c r="AG72" s="537"/>
      <c r="AH72" s="538"/>
      <c r="AI72" s="307" t="s">
        <v>8</v>
      </c>
      <c r="AJ72" s="304">
        <f>SUM(AJ69:AJ71)</f>
        <v>0</v>
      </c>
      <c r="AK72" s="541"/>
      <c r="AL72" s="537"/>
      <c r="AM72" s="537"/>
      <c r="AN72" s="537"/>
      <c r="AO72" s="537"/>
      <c r="AP72" s="537"/>
      <c r="AQ72" s="537"/>
      <c r="AR72" s="537"/>
      <c r="AS72" s="537"/>
      <c r="AT72" s="537"/>
      <c r="AU72" s="537"/>
      <c r="AV72" s="537"/>
      <c r="AW72" s="537"/>
      <c r="AX72" s="537"/>
      <c r="AY72" s="537"/>
      <c r="AZ72" s="538"/>
      <c r="BA72" s="307" t="s">
        <v>8</v>
      </c>
      <c r="BB72" s="304">
        <f>SUM(BB69:BB71)</f>
        <v>0</v>
      </c>
      <c r="BC72" s="541"/>
      <c r="BD72" s="537"/>
      <c r="BE72" s="537"/>
      <c r="BF72" s="537"/>
      <c r="BG72" s="537"/>
      <c r="BH72" s="537"/>
      <c r="BI72" s="537"/>
      <c r="BJ72" s="537"/>
      <c r="BK72" s="537"/>
      <c r="BL72" s="537"/>
      <c r="BM72" s="537"/>
      <c r="BN72" s="537"/>
      <c r="BO72" s="537"/>
      <c r="BP72" s="537"/>
      <c r="BQ72" s="537"/>
      <c r="BR72" s="538"/>
      <c r="BS72" s="307" t="s">
        <v>8</v>
      </c>
      <c r="BT72" s="304">
        <f>SUM(BT69:BT71)</f>
        <v>0</v>
      </c>
      <c r="BU72" s="541"/>
      <c r="BV72" s="537"/>
      <c r="BW72" s="537"/>
      <c r="BX72" s="537"/>
      <c r="BY72" s="537"/>
      <c r="BZ72" s="537"/>
      <c r="CA72" s="537"/>
      <c r="CB72" s="537"/>
      <c r="CC72" s="537"/>
      <c r="CD72" s="537"/>
      <c r="CE72" s="537"/>
      <c r="CF72" s="537"/>
      <c r="CG72" s="537"/>
      <c r="CH72" s="537"/>
      <c r="CI72" s="537"/>
      <c r="CJ72" s="538"/>
      <c r="CK72" s="307" t="s">
        <v>8</v>
      </c>
      <c r="CL72" s="304">
        <f>SUM(CL69:CL71)</f>
        <v>0</v>
      </c>
      <c r="CM72" s="541"/>
      <c r="CN72" s="537"/>
      <c r="CO72" s="537"/>
      <c r="CP72" s="537"/>
      <c r="CQ72" s="537"/>
      <c r="CR72" s="537"/>
      <c r="CS72" s="537"/>
      <c r="CT72" s="537"/>
      <c r="CU72" s="537"/>
      <c r="CV72" s="537"/>
      <c r="CW72" s="537"/>
      <c r="CX72" s="537"/>
      <c r="CY72" s="537"/>
      <c r="CZ72" s="537"/>
      <c r="DA72" s="537"/>
      <c r="DB72" s="538"/>
      <c r="DC72" s="307" t="s">
        <v>8</v>
      </c>
      <c r="DD72" s="304">
        <f>SUM(DD69:DD71)</f>
        <v>0</v>
      </c>
      <c r="DE72" s="541"/>
      <c r="DF72" s="537"/>
      <c r="DG72" s="537"/>
      <c r="DH72" s="537"/>
      <c r="DI72" s="537"/>
      <c r="DJ72" s="537"/>
      <c r="DK72" s="537"/>
      <c r="DL72" s="537"/>
      <c r="DM72" s="537"/>
      <c r="DN72" s="537"/>
      <c r="DO72" s="537"/>
      <c r="DP72" s="537"/>
      <c r="DQ72" s="537"/>
      <c r="DR72" s="537"/>
      <c r="DS72" s="537"/>
      <c r="DT72" s="538"/>
      <c r="DU72" s="307" t="s">
        <v>8</v>
      </c>
      <c r="DV72" s="304">
        <f>SUM(DV69:DV71)</f>
        <v>0</v>
      </c>
      <c r="DW72" s="541"/>
      <c r="DX72" s="537"/>
      <c r="DY72" s="537"/>
      <c r="DZ72" s="537"/>
      <c r="EA72" s="537"/>
      <c r="EB72" s="537"/>
      <c r="EC72" s="537"/>
      <c r="ED72" s="537"/>
      <c r="EE72" s="537"/>
      <c r="EF72" s="537"/>
      <c r="EG72" s="537"/>
      <c r="EH72" s="537"/>
      <c r="EI72" s="537"/>
      <c r="EJ72" s="537"/>
      <c r="EK72" s="537"/>
      <c r="EL72" s="538"/>
      <c r="EM72" s="307" t="s">
        <v>8</v>
      </c>
      <c r="EN72" s="304">
        <f>SUM(EN69:EN71)</f>
        <v>0</v>
      </c>
      <c r="EO72" s="541"/>
      <c r="EP72" s="537"/>
      <c r="EQ72" s="537"/>
      <c r="ER72" s="537"/>
      <c r="ES72" s="537"/>
      <c r="ET72" s="537"/>
      <c r="EU72" s="537"/>
      <c r="EV72" s="537"/>
      <c r="EW72" s="537"/>
      <c r="EX72" s="537"/>
      <c r="EY72" s="537"/>
      <c r="EZ72" s="537"/>
      <c r="FA72" s="537"/>
      <c r="FB72" s="537"/>
      <c r="FC72" s="537"/>
      <c r="FD72" s="538"/>
      <c r="FE72" s="307" t="s">
        <v>8</v>
      </c>
      <c r="FF72" s="304">
        <f>SUM(FF69:FF71)</f>
        <v>0</v>
      </c>
      <c r="FG72" s="541"/>
      <c r="FH72" s="537"/>
      <c r="FI72" s="537"/>
      <c r="FJ72" s="537"/>
      <c r="FK72" s="537"/>
      <c r="FL72" s="537"/>
      <c r="FM72" s="537"/>
      <c r="FN72" s="537"/>
      <c r="FO72" s="537"/>
      <c r="FP72" s="537"/>
      <c r="FQ72" s="537"/>
      <c r="FR72" s="537"/>
      <c r="FS72" s="537"/>
      <c r="FT72" s="537"/>
      <c r="FU72" s="537"/>
      <c r="FV72" s="538"/>
      <c r="FW72" s="307" t="s">
        <v>8</v>
      </c>
      <c r="FX72" s="304">
        <f>SUM(FX69:FX71)</f>
        <v>0</v>
      </c>
      <c r="FY72" s="541"/>
      <c r="FZ72" s="537"/>
      <c r="GA72" s="537"/>
      <c r="GB72" s="537"/>
      <c r="GC72" s="537"/>
      <c r="GD72" s="537"/>
      <c r="GE72" s="537"/>
      <c r="GF72" s="537"/>
      <c r="GG72" s="537"/>
      <c r="GH72" s="537"/>
      <c r="GI72" s="537"/>
      <c r="GJ72" s="537"/>
      <c r="GK72" s="537"/>
      <c r="GL72" s="537"/>
      <c r="GM72" s="537"/>
      <c r="GN72" s="538"/>
      <c r="GO72" s="307" t="s">
        <v>8</v>
      </c>
      <c r="GP72" s="304">
        <f>SUM(GP69:GP71)</f>
        <v>0</v>
      </c>
      <c r="GQ72" s="541"/>
      <c r="GR72" s="537"/>
      <c r="GS72" s="537"/>
      <c r="GT72" s="537"/>
      <c r="GU72" s="537"/>
      <c r="GV72" s="537"/>
      <c r="GW72" s="537"/>
      <c r="GX72" s="537"/>
      <c r="GY72" s="537"/>
      <c r="GZ72" s="537"/>
      <c r="HA72" s="537"/>
      <c r="HB72" s="537"/>
      <c r="HC72" s="537"/>
      <c r="HD72" s="537"/>
      <c r="HE72" s="537"/>
      <c r="HF72" s="538"/>
      <c r="HG72" s="307" t="s">
        <v>8</v>
      </c>
      <c r="HH72" s="304">
        <f>SUM(HH69:HH71)</f>
        <v>0</v>
      </c>
      <c r="HJ72" s="37"/>
      <c r="HK72" s="37"/>
      <c r="HL72" s="37"/>
      <c r="HM72" s="37"/>
      <c r="HN72" s="37"/>
      <c r="HO72" s="37"/>
      <c r="HP72" s="37"/>
      <c r="HQ72" s="37"/>
      <c r="HR72" s="37"/>
      <c r="HS72" s="37"/>
      <c r="HT72" s="37"/>
      <c r="HU72" s="37"/>
      <c r="HV72" s="37"/>
      <c r="HW72" s="37"/>
      <c r="HX72" s="37"/>
      <c r="HY72" s="37"/>
      <c r="HZ72" s="37"/>
      <c r="IA72" s="37"/>
      <c r="IB72" s="37"/>
      <c r="IC72" s="37"/>
      <c r="ID72" s="37"/>
      <c r="IE72" s="37"/>
      <c r="IF72" s="37"/>
      <c r="IG72" s="37"/>
      <c r="IH72" s="37"/>
      <c r="II72" s="37"/>
      <c r="IJ72" s="37"/>
      <c r="IK72" s="37"/>
      <c r="IL72" s="37"/>
      <c r="IM72" s="37"/>
      <c r="IN72" s="37"/>
      <c r="IO72" s="37"/>
      <c r="IP72" s="37"/>
    </row>
    <row r="73" spans="1:250" ht="15.6" hidden="1" x14ac:dyDescent="0.3">
      <c r="A73" s="543"/>
      <c r="B73" s="544"/>
      <c r="C73" s="544"/>
      <c r="D73" s="544"/>
      <c r="E73" s="742" t="s">
        <v>183</v>
      </c>
      <c r="F73" s="742"/>
      <c r="G73" s="742"/>
      <c r="H73" s="742"/>
      <c r="I73" s="742"/>
      <c r="J73" s="742"/>
      <c r="K73" s="742"/>
      <c r="L73" s="742"/>
      <c r="M73" s="742"/>
      <c r="N73" s="544"/>
      <c r="O73" s="544"/>
      <c r="P73" s="544"/>
      <c r="Q73" s="544"/>
      <c r="R73" s="545"/>
      <c r="S73" s="543"/>
      <c r="T73" s="544"/>
      <c r="U73" s="544"/>
      <c r="V73" s="544"/>
      <c r="W73" s="742" t="s">
        <v>183</v>
      </c>
      <c r="X73" s="742"/>
      <c r="Y73" s="742"/>
      <c r="Z73" s="742"/>
      <c r="AA73" s="742"/>
      <c r="AB73" s="742"/>
      <c r="AC73" s="742"/>
      <c r="AD73" s="742"/>
      <c r="AE73" s="742"/>
      <c r="AF73" s="544"/>
      <c r="AG73" s="544"/>
      <c r="AH73" s="544"/>
      <c r="AI73" s="544"/>
      <c r="AJ73" s="545"/>
      <c r="AK73" s="543"/>
      <c r="AL73" s="544"/>
      <c r="AM73" s="544"/>
      <c r="AN73" s="544"/>
      <c r="AO73" s="742" t="s">
        <v>183</v>
      </c>
      <c r="AP73" s="742"/>
      <c r="AQ73" s="742"/>
      <c r="AR73" s="742"/>
      <c r="AS73" s="742"/>
      <c r="AT73" s="742"/>
      <c r="AU73" s="742"/>
      <c r="AV73" s="742"/>
      <c r="AW73" s="742"/>
      <c r="AX73" s="544"/>
      <c r="AY73" s="544"/>
      <c r="AZ73" s="544"/>
      <c r="BA73" s="544"/>
      <c r="BB73" s="545"/>
      <c r="BC73" s="543"/>
      <c r="BD73" s="544"/>
      <c r="BE73" s="544"/>
      <c r="BF73" s="544"/>
      <c r="BG73" s="742" t="s">
        <v>183</v>
      </c>
      <c r="BH73" s="742"/>
      <c r="BI73" s="742"/>
      <c r="BJ73" s="742"/>
      <c r="BK73" s="742"/>
      <c r="BL73" s="742"/>
      <c r="BM73" s="742"/>
      <c r="BN73" s="742"/>
      <c r="BO73" s="742"/>
      <c r="BP73" s="544"/>
      <c r="BQ73" s="544"/>
      <c r="BR73" s="544"/>
      <c r="BS73" s="544"/>
      <c r="BT73" s="545"/>
      <c r="BU73" s="543"/>
      <c r="BV73" s="544"/>
      <c r="BW73" s="544"/>
      <c r="BX73" s="544"/>
      <c r="BY73" s="742" t="s">
        <v>183</v>
      </c>
      <c r="BZ73" s="742"/>
      <c r="CA73" s="742"/>
      <c r="CB73" s="742"/>
      <c r="CC73" s="742"/>
      <c r="CD73" s="742"/>
      <c r="CE73" s="742"/>
      <c r="CF73" s="742"/>
      <c r="CG73" s="742"/>
      <c r="CH73" s="544"/>
      <c r="CI73" s="544"/>
      <c r="CJ73" s="544"/>
      <c r="CK73" s="544"/>
      <c r="CL73" s="545"/>
      <c r="CM73" s="543"/>
      <c r="CN73" s="544"/>
      <c r="CO73" s="544"/>
      <c r="CP73" s="544"/>
      <c r="CQ73" s="742" t="s">
        <v>183</v>
      </c>
      <c r="CR73" s="742"/>
      <c r="CS73" s="742"/>
      <c r="CT73" s="742"/>
      <c r="CU73" s="742"/>
      <c r="CV73" s="742"/>
      <c r="CW73" s="742"/>
      <c r="CX73" s="742"/>
      <c r="CY73" s="742"/>
      <c r="CZ73" s="544"/>
      <c r="DA73" s="544"/>
      <c r="DB73" s="544"/>
      <c r="DC73" s="544"/>
      <c r="DD73" s="545"/>
      <c r="DE73" s="543"/>
      <c r="DF73" s="544"/>
      <c r="DG73" s="544"/>
      <c r="DH73" s="544"/>
      <c r="DI73" s="742" t="s">
        <v>183</v>
      </c>
      <c r="DJ73" s="742"/>
      <c r="DK73" s="742"/>
      <c r="DL73" s="742"/>
      <c r="DM73" s="742"/>
      <c r="DN73" s="742"/>
      <c r="DO73" s="742"/>
      <c r="DP73" s="742"/>
      <c r="DQ73" s="742"/>
      <c r="DR73" s="544"/>
      <c r="DS73" s="544"/>
      <c r="DT73" s="544"/>
      <c r="DU73" s="544"/>
      <c r="DV73" s="545"/>
      <c r="DW73" s="543"/>
      <c r="DX73" s="544"/>
      <c r="DY73" s="544"/>
      <c r="DZ73" s="544"/>
      <c r="EA73" s="742" t="s">
        <v>183</v>
      </c>
      <c r="EB73" s="742"/>
      <c r="EC73" s="742"/>
      <c r="ED73" s="742"/>
      <c r="EE73" s="742"/>
      <c r="EF73" s="742"/>
      <c r="EG73" s="742"/>
      <c r="EH73" s="742"/>
      <c r="EI73" s="742"/>
      <c r="EJ73" s="544"/>
      <c r="EK73" s="544"/>
      <c r="EL73" s="544"/>
      <c r="EM73" s="544"/>
      <c r="EN73" s="545"/>
      <c r="EO73" s="543"/>
      <c r="EP73" s="544"/>
      <c r="EQ73" s="544"/>
      <c r="ER73" s="544"/>
      <c r="ES73" s="742" t="s">
        <v>183</v>
      </c>
      <c r="ET73" s="742"/>
      <c r="EU73" s="742"/>
      <c r="EV73" s="742"/>
      <c r="EW73" s="742"/>
      <c r="EX73" s="742"/>
      <c r="EY73" s="742"/>
      <c r="EZ73" s="742"/>
      <c r="FA73" s="742"/>
      <c r="FB73" s="544"/>
      <c r="FC73" s="544"/>
      <c r="FD73" s="544"/>
      <c r="FE73" s="544"/>
      <c r="FF73" s="545"/>
      <c r="FG73" s="543"/>
      <c r="FH73" s="544"/>
      <c r="FI73" s="544"/>
      <c r="FJ73" s="544"/>
      <c r="FK73" s="742" t="s">
        <v>183</v>
      </c>
      <c r="FL73" s="742"/>
      <c r="FM73" s="742"/>
      <c r="FN73" s="742"/>
      <c r="FO73" s="742"/>
      <c r="FP73" s="742"/>
      <c r="FQ73" s="742"/>
      <c r="FR73" s="742"/>
      <c r="FS73" s="742"/>
      <c r="FT73" s="544"/>
      <c r="FU73" s="544"/>
      <c r="FV73" s="544"/>
      <c r="FW73" s="544"/>
      <c r="FX73" s="545"/>
      <c r="FY73" s="543"/>
      <c r="FZ73" s="544"/>
      <c r="GA73" s="544"/>
      <c r="GB73" s="544"/>
      <c r="GC73" s="742" t="s">
        <v>183</v>
      </c>
      <c r="GD73" s="742"/>
      <c r="GE73" s="742"/>
      <c r="GF73" s="742"/>
      <c r="GG73" s="742"/>
      <c r="GH73" s="742"/>
      <c r="GI73" s="742"/>
      <c r="GJ73" s="742"/>
      <c r="GK73" s="742"/>
      <c r="GL73" s="544"/>
      <c r="GM73" s="544"/>
      <c r="GN73" s="544"/>
      <c r="GO73" s="544"/>
      <c r="GP73" s="545"/>
      <c r="GQ73" s="543"/>
      <c r="GR73" s="544"/>
      <c r="GS73" s="544"/>
      <c r="GT73" s="544"/>
      <c r="GU73" s="742" t="s">
        <v>183</v>
      </c>
      <c r="GV73" s="742"/>
      <c r="GW73" s="742"/>
      <c r="GX73" s="742"/>
      <c r="GY73" s="742"/>
      <c r="GZ73" s="742"/>
      <c r="HA73" s="742"/>
      <c r="HB73" s="742"/>
      <c r="HC73" s="742"/>
      <c r="HD73" s="544"/>
      <c r="HE73" s="544"/>
      <c r="HF73" s="544"/>
      <c r="HG73" s="544"/>
      <c r="HH73" s="545"/>
      <c r="HJ73" s="37"/>
      <c r="HK73" s="37"/>
      <c r="HL73" s="37"/>
      <c r="HM73" s="37"/>
      <c r="HN73" s="37"/>
      <c r="HO73" s="37"/>
      <c r="HP73" s="37"/>
      <c r="HQ73" s="37"/>
      <c r="HR73" s="37"/>
      <c r="HS73" s="37"/>
      <c r="HT73" s="37"/>
      <c r="HU73" s="37"/>
      <c r="HV73" s="37"/>
      <c r="HW73" s="37"/>
      <c r="HX73" s="37"/>
      <c r="HY73" s="37"/>
      <c r="HZ73" s="37"/>
      <c r="IA73" s="37"/>
      <c r="IB73" s="37"/>
      <c r="IC73" s="37"/>
      <c r="ID73" s="37"/>
      <c r="IE73" s="37"/>
      <c r="IF73" s="37"/>
      <c r="IG73" s="37"/>
      <c r="IH73" s="37"/>
      <c r="II73" s="37"/>
      <c r="IJ73" s="37"/>
      <c r="IK73" s="37"/>
      <c r="IL73" s="37"/>
      <c r="IM73" s="37"/>
      <c r="IN73" s="37"/>
      <c r="IO73" s="37"/>
      <c r="IP73" s="37"/>
    </row>
    <row r="74" spans="1:250" hidden="1" x14ac:dyDescent="0.3">
      <c r="A74" s="58">
        <v>0</v>
      </c>
      <c r="B74" s="68" t="s">
        <v>181</v>
      </c>
      <c r="C74" s="28">
        <f t="shared" ref="C74:C76" si="1092">D74/$AM$4</f>
        <v>0</v>
      </c>
      <c r="D74" s="69">
        <v>0</v>
      </c>
      <c r="E74" s="28">
        <f t="shared" ref="E74:E76" si="1093">D74*E$6</f>
        <v>0</v>
      </c>
      <c r="F74" s="28">
        <f t="shared" ref="F74:F76" si="1094">D74*F$6</f>
        <v>0</v>
      </c>
      <c r="G74" s="28">
        <f t="shared" ref="G74:G76" si="1095">D74/G$6</f>
        <v>0</v>
      </c>
      <c r="H74" s="72">
        <f t="shared" ref="H74:H76" si="1096">G74/H$6</f>
        <v>0</v>
      </c>
      <c r="I74" s="70">
        <f t="shared" ref="I74:I76" si="1097">D74/I$6</f>
        <v>0</v>
      </c>
      <c r="J74" s="70">
        <f t="shared" ref="J74:J76" si="1098">SUM(D74:I74)</f>
        <v>0</v>
      </c>
      <c r="K74" s="71">
        <v>0</v>
      </c>
      <c r="L74" s="71">
        <v>0</v>
      </c>
      <c r="M74" s="72">
        <f t="shared" ref="M74:M76" si="1099">((C74*M$6)+(C74*$AO$6)+(C74*$AP$6))*K74</f>
        <v>0</v>
      </c>
      <c r="N74" s="72">
        <f t="shared" ref="N74:N76" si="1100">((C74*N$6)+(C74*$AO$6)+(C74*$AP$6))*L74</f>
        <v>0</v>
      </c>
      <c r="O74" s="70">
        <f t="shared" ref="O74:O76" si="1101">SUM(M74:N74)</f>
        <v>0</v>
      </c>
      <c r="P74" s="73">
        <v>0</v>
      </c>
      <c r="Q74" s="74">
        <f t="shared" ref="Q74:Q76" si="1102">IF(A74=1,($C$1*$Q$6),0)</f>
        <v>0</v>
      </c>
      <c r="R74" s="303">
        <f t="shared" ref="R74:R76" si="1103">J74+O74+P74+Q74</f>
        <v>0</v>
      </c>
      <c r="S74" s="58">
        <v>0</v>
      </c>
      <c r="T74" s="68" t="s">
        <v>181</v>
      </c>
      <c r="U74" s="28">
        <f t="shared" ref="U74:U76" si="1104">V74/$AM$4</f>
        <v>0</v>
      </c>
      <c r="V74" s="69">
        <v>0</v>
      </c>
      <c r="W74" s="28">
        <f t="shared" ref="W74:W76" si="1105">V74*W$6</f>
        <v>0</v>
      </c>
      <c r="X74" s="28">
        <f t="shared" ref="X74:X76" si="1106">V74*X$6</f>
        <v>0</v>
      </c>
      <c r="Y74" s="28">
        <f t="shared" ref="Y74:Y76" si="1107">V74/Y$6</f>
        <v>0</v>
      </c>
      <c r="Z74" s="72">
        <f t="shared" ref="Z74:Z76" si="1108">Y74/Z$6</f>
        <v>0</v>
      </c>
      <c r="AA74" s="70">
        <f t="shared" ref="AA74:AA76" si="1109">V74/AA$6</f>
        <v>0</v>
      </c>
      <c r="AB74" s="70">
        <f t="shared" ref="AB74:AB76" si="1110">SUM(V74:AA74)</f>
        <v>0</v>
      </c>
      <c r="AC74" s="71">
        <v>0</v>
      </c>
      <c r="AD74" s="71">
        <v>0</v>
      </c>
      <c r="AE74" s="72">
        <f t="shared" ref="AE74:AE76" si="1111">((U74*AE$6)+(U74*$AO$6)+(U74*$AP$6))*AC74</f>
        <v>0</v>
      </c>
      <c r="AF74" s="72">
        <f t="shared" ref="AF74:AF76" si="1112">((U74*AF$6)+(U74*$AO$6)+(U74*$AP$6))*AD74</f>
        <v>0</v>
      </c>
      <c r="AG74" s="70">
        <f t="shared" ref="AG74:AG76" si="1113">SUM(AE74:AF74)</f>
        <v>0</v>
      </c>
      <c r="AH74" s="73">
        <v>0</v>
      </c>
      <c r="AI74" s="74">
        <f t="shared" ref="AI74:AI76" si="1114">IF(S74=1,($C$1*$Q$6),0)</f>
        <v>0</v>
      </c>
      <c r="AJ74" s="303">
        <f t="shared" ref="AJ74:AJ76" si="1115">AB74+AG74+AH74+AI74</f>
        <v>0</v>
      </c>
      <c r="AK74" s="58">
        <v>0</v>
      </c>
      <c r="AL74" s="68" t="s">
        <v>181</v>
      </c>
      <c r="AM74" s="28">
        <f t="shared" ref="AM74:AM76" si="1116">AN74/$AM$4</f>
        <v>0</v>
      </c>
      <c r="AN74" s="69">
        <v>0</v>
      </c>
      <c r="AO74" s="28">
        <f t="shared" ref="AO74:AO76" si="1117">AN74*AO$6</f>
        <v>0</v>
      </c>
      <c r="AP74" s="28">
        <f t="shared" ref="AP74:AP76" si="1118">AN74*AP$6</f>
        <v>0</v>
      </c>
      <c r="AQ74" s="28">
        <f t="shared" ref="AQ74:AQ76" si="1119">AN74/AQ$6</f>
        <v>0</v>
      </c>
      <c r="AR74" s="72">
        <f t="shared" ref="AR74:AR76" si="1120">AQ74/AR$6</f>
        <v>0</v>
      </c>
      <c r="AS74" s="70">
        <f t="shared" ref="AS74:AS76" si="1121">AN74/AS$6</f>
        <v>0</v>
      </c>
      <c r="AT74" s="70">
        <f t="shared" ref="AT74:AT76" si="1122">SUM(AN74:AS74)</f>
        <v>0</v>
      </c>
      <c r="AU74" s="71">
        <v>0</v>
      </c>
      <c r="AV74" s="71">
        <v>0</v>
      </c>
      <c r="AW74" s="72">
        <f t="shared" ref="AW74:AW76" si="1123">((AM74*AW$6)+(AM74*$AO$6)+(AM74*$AP$6))*AU74</f>
        <v>0</v>
      </c>
      <c r="AX74" s="72">
        <f t="shared" ref="AX74:AX76" si="1124">((AM74*AX$6)+(AM74*$AO$6)+(AM74*$AP$6))*AV74</f>
        <v>0</v>
      </c>
      <c r="AY74" s="70">
        <f t="shared" ref="AY74:AY76" si="1125">SUM(AW74:AX74)</f>
        <v>0</v>
      </c>
      <c r="AZ74" s="73">
        <v>0</v>
      </c>
      <c r="BA74" s="74">
        <f t="shared" ref="BA74:BA76" si="1126">IF(AK74=1,($C$1*$Q$6),0)</f>
        <v>0</v>
      </c>
      <c r="BB74" s="303">
        <f t="shared" ref="BB74:BB76" si="1127">AT74+AY74+AZ74+BA74</f>
        <v>0</v>
      </c>
      <c r="BC74" s="58">
        <v>0</v>
      </c>
      <c r="BD74" s="68" t="s">
        <v>181</v>
      </c>
      <c r="BE74" s="28">
        <f t="shared" ref="BE74:BE76" si="1128">BF74/$AM$4</f>
        <v>0</v>
      </c>
      <c r="BF74" s="69">
        <v>0</v>
      </c>
      <c r="BG74" s="28">
        <f t="shared" ref="BG74:BG76" si="1129">BF74*BG$6</f>
        <v>0</v>
      </c>
      <c r="BH74" s="28">
        <f t="shared" ref="BH74:BH76" si="1130">BF74*BH$6</f>
        <v>0</v>
      </c>
      <c r="BI74" s="28">
        <f t="shared" ref="BI74:BI76" si="1131">BF74/BI$6</f>
        <v>0</v>
      </c>
      <c r="BJ74" s="72">
        <f t="shared" ref="BJ74:BJ76" si="1132">BI74/BJ$6</f>
        <v>0</v>
      </c>
      <c r="BK74" s="70">
        <f t="shared" ref="BK74:BK76" si="1133">BF74/BK$6</f>
        <v>0</v>
      </c>
      <c r="BL74" s="70">
        <f t="shared" ref="BL74:BL76" si="1134">SUM(BF74:BK74)</f>
        <v>0</v>
      </c>
      <c r="BM74" s="71">
        <v>0</v>
      </c>
      <c r="BN74" s="71">
        <v>0</v>
      </c>
      <c r="BO74" s="72">
        <f t="shared" ref="BO74:BO76" si="1135">((BE74*BO$6)+(BE74*$AO$6)+(BE74*$AP$6))*BM74</f>
        <v>0</v>
      </c>
      <c r="BP74" s="72">
        <f t="shared" ref="BP74:BP76" si="1136">((BE74*BP$6)+(BE74*$AO$6)+(BE74*$AP$6))*BN74</f>
        <v>0</v>
      </c>
      <c r="BQ74" s="70">
        <f t="shared" ref="BQ74:BQ76" si="1137">SUM(BO74:BP74)</f>
        <v>0</v>
      </c>
      <c r="BR74" s="73">
        <v>0</v>
      </c>
      <c r="BS74" s="74">
        <f t="shared" ref="BS74:BS76" si="1138">IF(BC74=1,($C$1*$Q$6),0)</f>
        <v>0</v>
      </c>
      <c r="BT74" s="303">
        <f t="shared" ref="BT74:BT76" si="1139">BL74+BQ74+BR74+BS74</f>
        <v>0</v>
      </c>
      <c r="BU74" s="58">
        <v>0</v>
      </c>
      <c r="BV74" s="68" t="s">
        <v>181</v>
      </c>
      <c r="BW74" s="28">
        <f t="shared" ref="BW74:BW76" si="1140">BX74/$AM$4</f>
        <v>0</v>
      </c>
      <c r="BX74" s="69">
        <v>0</v>
      </c>
      <c r="BY74" s="28">
        <f t="shared" ref="BY74:BY76" si="1141">BX74*BY$6</f>
        <v>0</v>
      </c>
      <c r="BZ74" s="28">
        <f t="shared" ref="BZ74:BZ76" si="1142">BX74*BZ$6</f>
        <v>0</v>
      </c>
      <c r="CA74" s="28">
        <f t="shared" ref="CA74:CA76" si="1143">BX74/CA$6</f>
        <v>0</v>
      </c>
      <c r="CB74" s="72">
        <f t="shared" ref="CB74:CB76" si="1144">CA74/CB$6</f>
        <v>0</v>
      </c>
      <c r="CC74" s="70">
        <f t="shared" ref="CC74:CC76" si="1145">BX74/CC$6</f>
        <v>0</v>
      </c>
      <c r="CD74" s="70">
        <f t="shared" ref="CD74:CD76" si="1146">SUM(BX74:CC74)</f>
        <v>0</v>
      </c>
      <c r="CE74" s="71">
        <v>0</v>
      </c>
      <c r="CF74" s="71">
        <v>0</v>
      </c>
      <c r="CG74" s="72">
        <f t="shared" ref="CG74:CG76" si="1147">((BW74*CG$6)+(BW74*$AO$6)+(BW74*$AP$6))*CE74</f>
        <v>0</v>
      </c>
      <c r="CH74" s="72">
        <f t="shared" ref="CH74:CH76" si="1148">((BW74*CH$6)+(BW74*$AO$6)+(BW74*$AP$6))*CF74</f>
        <v>0</v>
      </c>
      <c r="CI74" s="70">
        <f t="shared" ref="CI74:CI76" si="1149">SUM(CG74:CH74)</f>
        <v>0</v>
      </c>
      <c r="CJ74" s="73">
        <v>0</v>
      </c>
      <c r="CK74" s="74">
        <f t="shared" ref="CK74:CK76" si="1150">IF(BU74=1,($C$1*$Q$6),0)</f>
        <v>0</v>
      </c>
      <c r="CL74" s="303">
        <f t="shared" ref="CL74:CL76" si="1151">CD74+CI74+CJ74+CK74</f>
        <v>0</v>
      </c>
      <c r="CM74" s="58">
        <v>0</v>
      </c>
      <c r="CN74" s="68" t="s">
        <v>181</v>
      </c>
      <c r="CO74" s="28">
        <f t="shared" ref="CO74:CO76" si="1152">CP74/$AM$4</f>
        <v>0</v>
      </c>
      <c r="CP74" s="69">
        <v>0</v>
      </c>
      <c r="CQ74" s="28">
        <f t="shared" ref="CQ74:CQ76" si="1153">CP74*CQ$6</f>
        <v>0</v>
      </c>
      <c r="CR74" s="28">
        <f t="shared" ref="CR74:CR76" si="1154">CP74*CR$6</f>
        <v>0</v>
      </c>
      <c r="CS74" s="28">
        <f t="shared" ref="CS74:CS76" si="1155">CP74/CS$6</f>
        <v>0</v>
      </c>
      <c r="CT74" s="72">
        <f t="shared" ref="CT74:CT76" si="1156">CS74/CT$6</f>
        <v>0</v>
      </c>
      <c r="CU74" s="70">
        <f t="shared" ref="CU74:CU76" si="1157">CP74/CU$6</f>
        <v>0</v>
      </c>
      <c r="CV74" s="70">
        <f t="shared" ref="CV74:CV76" si="1158">SUM(CP74:CU74)</f>
        <v>0</v>
      </c>
      <c r="CW74" s="71">
        <v>0</v>
      </c>
      <c r="CX74" s="71">
        <v>0</v>
      </c>
      <c r="CY74" s="72">
        <f t="shared" ref="CY74:CY76" si="1159">((CO74*CY$6)+(CO74*$AO$6)+(CO74*$AP$6))*CW74</f>
        <v>0</v>
      </c>
      <c r="CZ74" s="72">
        <f t="shared" ref="CZ74:CZ76" si="1160">((CO74*CZ$6)+(CO74*$AO$6)+(CO74*$AP$6))*CX74</f>
        <v>0</v>
      </c>
      <c r="DA74" s="70">
        <f t="shared" ref="DA74:DA76" si="1161">SUM(CY74:CZ74)</f>
        <v>0</v>
      </c>
      <c r="DB74" s="73">
        <v>0</v>
      </c>
      <c r="DC74" s="74">
        <f t="shared" ref="DC74:DC76" si="1162">IF(CM74=1,($C$1*$Q$6),0)</f>
        <v>0</v>
      </c>
      <c r="DD74" s="303">
        <f t="shared" ref="DD74:DD76" si="1163">CV74+DA74+DB74+DC74</f>
        <v>0</v>
      </c>
      <c r="DE74" s="58">
        <v>0</v>
      </c>
      <c r="DF74" s="68" t="s">
        <v>181</v>
      </c>
      <c r="DG74" s="28">
        <f t="shared" ref="DG74:DG76" si="1164">DH74/$AM$4</f>
        <v>0</v>
      </c>
      <c r="DH74" s="69">
        <v>0</v>
      </c>
      <c r="DI74" s="28">
        <f t="shared" ref="DI74:DI76" si="1165">DH74*DI$6</f>
        <v>0</v>
      </c>
      <c r="DJ74" s="28">
        <f t="shared" ref="DJ74:DJ76" si="1166">DH74*DJ$6</f>
        <v>0</v>
      </c>
      <c r="DK74" s="28">
        <f t="shared" ref="DK74:DK76" si="1167">DH74/DK$6</f>
        <v>0</v>
      </c>
      <c r="DL74" s="72">
        <f t="shared" ref="DL74:DL76" si="1168">DK74/DL$6</f>
        <v>0</v>
      </c>
      <c r="DM74" s="70">
        <f t="shared" ref="DM74:DM76" si="1169">DH74/DM$6</f>
        <v>0</v>
      </c>
      <c r="DN74" s="70">
        <f t="shared" ref="DN74:DN76" si="1170">SUM(DH74:DM74)</f>
        <v>0</v>
      </c>
      <c r="DO74" s="71">
        <v>0</v>
      </c>
      <c r="DP74" s="71">
        <v>0</v>
      </c>
      <c r="DQ74" s="72">
        <f t="shared" ref="DQ74:DQ76" si="1171">((DG74*DQ$6)+(DG74*$AO$6)+(DG74*$AP$6))*DO74</f>
        <v>0</v>
      </c>
      <c r="DR74" s="72">
        <f t="shared" ref="DR74:DR76" si="1172">((DG74*DR$6)+(DG74*$AO$6)+(DG74*$AP$6))*DP74</f>
        <v>0</v>
      </c>
      <c r="DS74" s="70">
        <f t="shared" ref="DS74:DS76" si="1173">SUM(DQ74:DR74)</f>
        <v>0</v>
      </c>
      <c r="DT74" s="73">
        <v>0</v>
      </c>
      <c r="DU74" s="74">
        <f t="shared" ref="DU74:DU76" si="1174">IF(DE74=1,($C$1*$Q$6),0)</f>
        <v>0</v>
      </c>
      <c r="DV74" s="303">
        <f t="shared" ref="DV74:DV76" si="1175">DN74+DS74+DT74+DU74</f>
        <v>0</v>
      </c>
      <c r="DW74" s="58">
        <v>0</v>
      </c>
      <c r="DX74" s="68" t="s">
        <v>181</v>
      </c>
      <c r="DY74" s="28">
        <f t="shared" ref="DY74:DY76" si="1176">DZ74/$AM$4</f>
        <v>0</v>
      </c>
      <c r="DZ74" s="69">
        <v>0</v>
      </c>
      <c r="EA74" s="28">
        <f t="shared" ref="EA74:EA76" si="1177">DZ74*EA$6</f>
        <v>0</v>
      </c>
      <c r="EB74" s="28">
        <f t="shared" ref="EB74:EB76" si="1178">DZ74*EB$6</f>
        <v>0</v>
      </c>
      <c r="EC74" s="28">
        <f t="shared" ref="EC74:EC76" si="1179">DZ74/EC$6</f>
        <v>0</v>
      </c>
      <c r="ED74" s="72">
        <f t="shared" ref="ED74:ED76" si="1180">EC74/ED$6</f>
        <v>0</v>
      </c>
      <c r="EE74" s="70">
        <f t="shared" ref="EE74:EE76" si="1181">DZ74/EE$6</f>
        <v>0</v>
      </c>
      <c r="EF74" s="70">
        <f t="shared" ref="EF74:EF76" si="1182">SUM(DZ74:EE74)</f>
        <v>0</v>
      </c>
      <c r="EG74" s="71">
        <v>0</v>
      </c>
      <c r="EH74" s="71">
        <v>0</v>
      </c>
      <c r="EI74" s="72">
        <f t="shared" ref="EI74:EI76" si="1183">((DY74*EI$6)+(DY74*$AO$6)+(DY74*$AP$6))*EG74</f>
        <v>0</v>
      </c>
      <c r="EJ74" s="72">
        <f t="shared" ref="EJ74:EJ76" si="1184">((DY74*EJ$6)+(DY74*$AO$6)+(DY74*$AP$6))*EH74</f>
        <v>0</v>
      </c>
      <c r="EK74" s="70">
        <f t="shared" ref="EK74:EK76" si="1185">SUM(EI74:EJ74)</f>
        <v>0</v>
      </c>
      <c r="EL74" s="73">
        <v>0</v>
      </c>
      <c r="EM74" s="74">
        <f t="shared" ref="EM74:EM76" si="1186">IF(DW74=1,($C$1*$Q$6),0)</f>
        <v>0</v>
      </c>
      <c r="EN74" s="303">
        <f t="shared" ref="EN74:EN76" si="1187">EF74+EK74+EL74+EM74</f>
        <v>0</v>
      </c>
      <c r="EO74" s="58">
        <v>0</v>
      </c>
      <c r="EP74" s="68" t="s">
        <v>181</v>
      </c>
      <c r="EQ74" s="28">
        <f t="shared" ref="EQ74:EQ76" si="1188">ER74/$AM$4</f>
        <v>0</v>
      </c>
      <c r="ER74" s="69">
        <v>0</v>
      </c>
      <c r="ES74" s="28">
        <f t="shared" ref="ES74:ES76" si="1189">ER74*ES$6</f>
        <v>0</v>
      </c>
      <c r="ET74" s="28">
        <f t="shared" ref="ET74:ET76" si="1190">ER74*ET$6</f>
        <v>0</v>
      </c>
      <c r="EU74" s="28">
        <f t="shared" ref="EU74:EU76" si="1191">ER74/EU$6</f>
        <v>0</v>
      </c>
      <c r="EV74" s="72">
        <f t="shared" ref="EV74:EV76" si="1192">EU74/EV$6</f>
        <v>0</v>
      </c>
      <c r="EW74" s="70">
        <f t="shared" ref="EW74:EW76" si="1193">ER74/EW$6</f>
        <v>0</v>
      </c>
      <c r="EX74" s="70">
        <f t="shared" ref="EX74:EX76" si="1194">SUM(ER74:EW74)</f>
        <v>0</v>
      </c>
      <c r="EY74" s="71">
        <v>0</v>
      </c>
      <c r="EZ74" s="71">
        <v>0</v>
      </c>
      <c r="FA74" s="72">
        <f t="shared" ref="FA74:FA76" si="1195">((EQ74*FA$6)+(EQ74*$AO$6)+(EQ74*$AP$6))*EY74</f>
        <v>0</v>
      </c>
      <c r="FB74" s="72">
        <f t="shared" ref="FB74:FB76" si="1196">((EQ74*FB$6)+(EQ74*$AO$6)+(EQ74*$AP$6))*EZ74</f>
        <v>0</v>
      </c>
      <c r="FC74" s="70">
        <f t="shared" ref="FC74:FC76" si="1197">SUM(FA74:FB74)</f>
        <v>0</v>
      </c>
      <c r="FD74" s="73">
        <v>0</v>
      </c>
      <c r="FE74" s="74">
        <f t="shared" ref="FE74:FE76" si="1198">IF(EO74=1,($C$1*$Q$6),0)</f>
        <v>0</v>
      </c>
      <c r="FF74" s="303">
        <f t="shared" ref="FF74:FF76" si="1199">EX74+FC74+FD74+FE74</f>
        <v>0</v>
      </c>
      <c r="FG74" s="58">
        <v>0</v>
      </c>
      <c r="FH74" s="68" t="s">
        <v>181</v>
      </c>
      <c r="FI74" s="28">
        <f t="shared" ref="FI74:FI76" si="1200">FJ74/$AM$4</f>
        <v>0</v>
      </c>
      <c r="FJ74" s="69">
        <v>0</v>
      </c>
      <c r="FK74" s="28">
        <f t="shared" ref="FK74:FK76" si="1201">FJ74*FK$6</f>
        <v>0</v>
      </c>
      <c r="FL74" s="28">
        <f t="shared" ref="FL74:FL76" si="1202">FJ74*FL$6</f>
        <v>0</v>
      </c>
      <c r="FM74" s="28">
        <f t="shared" ref="FM74:FM76" si="1203">FJ74/FM$6</f>
        <v>0</v>
      </c>
      <c r="FN74" s="72">
        <f t="shared" ref="FN74:FN76" si="1204">FM74/FN$6</f>
        <v>0</v>
      </c>
      <c r="FO74" s="70">
        <f t="shared" ref="FO74:FO76" si="1205">FJ74/FO$6</f>
        <v>0</v>
      </c>
      <c r="FP74" s="70">
        <f t="shared" ref="FP74:FP76" si="1206">SUM(FJ74:FO74)</f>
        <v>0</v>
      </c>
      <c r="FQ74" s="71">
        <v>0</v>
      </c>
      <c r="FR74" s="71">
        <v>0</v>
      </c>
      <c r="FS74" s="72">
        <f t="shared" ref="FS74:FS76" si="1207">((FI74*FS$6)+(FI74*$AO$6)+(FI74*$AP$6))*FQ74</f>
        <v>0</v>
      </c>
      <c r="FT74" s="72">
        <f t="shared" ref="FT74:FT76" si="1208">((FI74*FT$6)+(FI74*$AO$6)+(FI74*$AP$6))*FR74</f>
        <v>0</v>
      </c>
      <c r="FU74" s="70">
        <f t="shared" ref="FU74:FU76" si="1209">SUM(FS74:FT74)</f>
        <v>0</v>
      </c>
      <c r="FV74" s="73">
        <v>0</v>
      </c>
      <c r="FW74" s="74">
        <f t="shared" ref="FW74:FW76" si="1210">IF(FG74=1,($C$1*$Q$6),0)</f>
        <v>0</v>
      </c>
      <c r="FX74" s="303">
        <f t="shared" ref="FX74:FX76" si="1211">FP74+FU74+FV74+FW74</f>
        <v>0</v>
      </c>
      <c r="FY74" s="58">
        <v>0</v>
      </c>
      <c r="FZ74" s="68" t="s">
        <v>181</v>
      </c>
      <c r="GA74" s="28">
        <f t="shared" ref="GA74:GA76" si="1212">GB74/$AM$4</f>
        <v>0</v>
      </c>
      <c r="GB74" s="69">
        <v>0</v>
      </c>
      <c r="GC74" s="28">
        <f t="shared" ref="GC74:GC76" si="1213">GB74*GC$6</f>
        <v>0</v>
      </c>
      <c r="GD74" s="28">
        <f t="shared" ref="GD74:GD76" si="1214">GB74*GD$6</f>
        <v>0</v>
      </c>
      <c r="GE74" s="28">
        <f t="shared" ref="GE74:GE76" si="1215">GB74/GE$6</f>
        <v>0</v>
      </c>
      <c r="GF74" s="72">
        <f t="shared" ref="GF74:GF76" si="1216">GE74/GF$6</f>
        <v>0</v>
      </c>
      <c r="GG74" s="70">
        <f t="shared" ref="GG74:GG76" si="1217">GB74/GG$6</f>
        <v>0</v>
      </c>
      <c r="GH74" s="70">
        <f t="shared" ref="GH74:GH76" si="1218">SUM(GB74:GG74)</f>
        <v>0</v>
      </c>
      <c r="GI74" s="71">
        <v>0</v>
      </c>
      <c r="GJ74" s="71">
        <v>0</v>
      </c>
      <c r="GK74" s="72">
        <f t="shared" ref="GK74:GK76" si="1219">((GA74*GK$6)+(GA74*$AO$6)+(GA74*$AP$6))*GI74</f>
        <v>0</v>
      </c>
      <c r="GL74" s="72">
        <f t="shared" ref="GL74:GL76" si="1220">((GA74*GL$6)+(GA74*$AO$6)+(GA74*$AP$6))*GJ74</f>
        <v>0</v>
      </c>
      <c r="GM74" s="70">
        <f t="shared" ref="GM74:GM76" si="1221">SUM(GK74:GL74)</f>
        <v>0</v>
      </c>
      <c r="GN74" s="73">
        <v>0</v>
      </c>
      <c r="GO74" s="74">
        <f t="shared" ref="GO74:GO76" si="1222">IF(FY74=1,($C$1*$Q$6),0)</f>
        <v>0</v>
      </c>
      <c r="GP74" s="303">
        <f t="shared" ref="GP74:GP76" si="1223">GH74+GM74+GN74+GO74</f>
        <v>0</v>
      </c>
      <c r="GQ74" s="58">
        <v>0</v>
      </c>
      <c r="GR74" s="68" t="s">
        <v>181</v>
      </c>
      <c r="GS74" s="28">
        <f t="shared" ref="GS74:GS76" si="1224">GT74/$AM$4</f>
        <v>0</v>
      </c>
      <c r="GT74" s="69">
        <v>0</v>
      </c>
      <c r="GU74" s="28">
        <f t="shared" ref="GU74:GU76" si="1225">GT74*GU$6</f>
        <v>0</v>
      </c>
      <c r="GV74" s="28">
        <f t="shared" ref="GV74:GV76" si="1226">GT74*GV$6</f>
        <v>0</v>
      </c>
      <c r="GW74" s="28">
        <f t="shared" ref="GW74:GW76" si="1227">GT74/GW$6</f>
        <v>0</v>
      </c>
      <c r="GX74" s="72">
        <f t="shared" ref="GX74:GX76" si="1228">GW74/GX$6</f>
        <v>0</v>
      </c>
      <c r="GY74" s="70">
        <f t="shared" ref="GY74:GY76" si="1229">GT74/GY$6</f>
        <v>0</v>
      </c>
      <c r="GZ74" s="70">
        <f t="shared" ref="GZ74:GZ76" si="1230">SUM(GT74:GY74)</f>
        <v>0</v>
      </c>
      <c r="HA74" s="71">
        <v>0</v>
      </c>
      <c r="HB74" s="71">
        <v>0</v>
      </c>
      <c r="HC74" s="72">
        <f t="shared" ref="HC74:HC76" si="1231">((GS74*HC$6)+(GS74*$AO$6)+(GS74*$AP$6))*HA74</f>
        <v>0</v>
      </c>
      <c r="HD74" s="72">
        <f t="shared" ref="HD74:HD76" si="1232">((GS74*HD$6)+(GS74*$AO$6)+(GS74*$AP$6))*HB74</f>
        <v>0</v>
      </c>
      <c r="HE74" s="70">
        <f t="shared" ref="HE74:HE76" si="1233">SUM(HC74:HD74)</f>
        <v>0</v>
      </c>
      <c r="HF74" s="73">
        <v>0</v>
      </c>
      <c r="HG74" s="74">
        <f t="shared" ref="HG74:HG76" si="1234">IF(GQ74=1,($C$1*$Q$6),0)</f>
        <v>0</v>
      </c>
      <c r="HH74" s="303">
        <f t="shared" ref="HH74:HH76" si="1235">GZ74+HE74+HF74+HG74</f>
        <v>0</v>
      </c>
      <c r="HJ74" s="37"/>
      <c r="HK74" s="37"/>
      <c r="HL74" s="37"/>
      <c r="HM74" s="37"/>
      <c r="HN74" s="37"/>
      <c r="HO74" s="37"/>
      <c r="HP74" s="37"/>
      <c r="HQ74" s="37"/>
      <c r="HR74" s="37"/>
      <c r="HS74" s="37"/>
      <c r="HT74" s="37"/>
      <c r="HU74" s="37"/>
      <c r="HV74" s="37"/>
      <c r="HW74" s="37"/>
      <c r="HX74" s="37"/>
      <c r="HY74" s="37"/>
      <c r="HZ74" s="37"/>
      <c r="IA74" s="37"/>
      <c r="IB74" s="37"/>
      <c r="IC74" s="37"/>
      <c r="ID74" s="37"/>
      <c r="IE74" s="37"/>
      <c r="IF74" s="37"/>
      <c r="IG74" s="37"/>
      <c r="IH74" s="37"/>
      <c r="II74" s="37"/>
      <c r="IJ74" s="37"/>
      <c r="IK74" s="37"/>
      <c r="IL74" s="37"/>
      <c r="IM74" s="37"/>
      <c r="IN74" s="37"/>
      <c r="IO74" s="37"/>
      <c r="IP74" s="37"/>
    </row>
    <row r="75" spans="1:250" hidden="1" x14ac:dyDescent="0.3">
      <c r="A75" s="58">
        <v>0</v>
      </c>
      <c r="B75" s="68" t="s">
        <v>181</v>
      </c>
      <c r="C75" s="28">
        <f t="shared" si="1092"/>
        <v>0</v>
      </c>
      <c r="D75" s="69">
        <v>0</v>
      </c>
      <c r="E75" s="28">
        <f t="shared" si="1093"/>
        <v>0</v>
      </c>
      <c r="F75" s="28">
        <f t="shared" si="1094"/>
        <v>0</v>
      </c>
      <c r="G75" s="28">
        <f t="shared" si="1095"/>
        <v>0</v>
      </c>
      <c r="H75" s="72">
        <f t="shared" si="1096"/>
        <v>0</v>
      </c>
      <c r="I75" s="70">
        <f t="shared" si="1097"/>
        <v>0</v>
      </c>
      <c r="J75" s="70">
        <f t="shared" si="1098"/>
        <v>0</v>
      </c>
      <c r="K75" s="71">
        <v>0</v>
      </c>
      <c r="L75" s="71">
        <v>0</v>
      </c>
      <c r="M75" s="72">
        <f t="shared" si="1099"/>
        <v>0</v>
      </c>
      <c r="N75" s="72">
        <f t="shared" si="1100"/>
        <v>0</v>
      </c>
      <c r="O75" s="70">
        <f t="shared" si="1101"/>
        <v>0</v>
      </c>
      <c r="P75" s="73">
        <v>0</v>
      </c>
      <c r="Q75" s="74">
        <f t="shared" si="1102"/>
        <v>0</v>
      </c>
      <c r="R75" s="303">
        <f t="shared" si="1103"/>
        <v>0</v>
      </c>
      <c r="S75" s="58">
        <v>0</v>
      </c>
      <c r="T75" s="68" t="s">
        <v>181</v>
      </c>
      <c r="U75" s="28">
        <f t="shared" si="1104"/>
        <v>0</v>
      </c>
      <c r="V75" s="69">
        <v>0</v>
      </c>
      <c r="W75" s="28">
        <f t="shared" si="1105"/>
        <v>0</v>
      </c>
      <c r="X75" s="28">
        <f t="shared" si="1106"/>
        <v>0</v>
      </c>
      <c r="Y75" s="28">
        <f t="shared" si="1107"/>
        <v>0</v>
      </c>
      <c r="Z75" s="72">
        <f t="shared" si="1108"/>
        <v>0</v>
      </c>
      <c r="AA75" s="70">
        <f t="shared" si="1109"/>
        <v>0</v>
      </c>
      <c r="AB75" s="70">
        <f t="shared" si="1110"/>
        <v>0</v>
      </c>
      <c r="AC75" s="71">
        <v>0</v>
      </c>
      <c r="AD75" s="71">
        <v>0</v>
      </c>
      <c r="AE75" s="72">
        <f t="shared" si="1111"/>
        <v>0</v>
      </c>
      <c r="AF75" s="72">
        <f t="shared" si="1112"/>
        <v>0</v>
      </c>
      <c r="AG75" s="70">
        <f t="shared" si="1113"/>
        <v>0</v>
      </c>
      <c r="AH75" s="73">
        <v>0</v>
      </c>
      <c r="AI75" s="74">
        <f t="shared" si="1114"/>
        <v>0</v>
      </c>
      <c r="AJ75" s="303">
        <f t="shared" si="1115"/>
        <v>0</v>
      </c>
      <c r="AK75" s="58">
        <v>0</v>
      </c>
      <c r="AL75" s="68" t="s">
        <v>181</v>
      </c>
      <c r="AM75" s="28">
        <f t="shared" si="1116"/>
        <v>0</v>
      </c>
      <c r="AN75" s="69">
        <v>0</v>
      </c>
      <c r="AO75" s="28">
        <f t="shared" si="1117"/>
        <v>0</v>
      </c>
      <c r="AP75" s="28">
        <f t="shared" si="1118"/>
        <v>0</v>
      </c>
      <c r="AQ75" s="28">
        <f t="shared" si="1119"/>
        <v>0</v>
      </c>
      <c r="AR75" s="72">
        <f t="shared" si="1120"/>
        <v>0</v>
      </c>
      <c r="AS75" s="70">
        <f t="shared" si="1121"/>
        <v>0</v>
      </c>
      <c r="AT75" s="70">
        <f t="shared" si="1122"/>
        <v>0</v>
      </c>
      <c r="AU75" s="71">
        <v>0</v>
      </c>
      <c r="AV75" s="71">
        <v>0</v>
      </c>
      <c r="AW75" s="72">
        <f t="shared" si="1123"/>
        <v>0</v>
      </c>
      <c r="AX75" s="72">
        <f t="shared" si="1124"/>
        <v>0</v>
      </c>
      <c r="AY75" s="70">
        <f t="shared" si="1125"/>
        <v>0</v>
      </c>
      <c r="AZ75" s="73">
        <v>0</v>
      </c>
      <c r="BA75" s="74">
        <f t="shared" si="1126"/>
        <v>0</v>
      </c>
      <c r="BB75" s="303">
        <f t="shared" si="1127"/>
        <v>0</v>
      </c>
      <c r="BC75" s="58">
        <v>0</v>
      </c>
      <c r="BD75" s="68" t="s">
        <v>181</v>
      </c>
      <c r="BE75" s="28">
        <f t="shared" si="1128"/>
        <v>0</v>
      </c>
      <c r="BF75" s="69">
        <v>0</v>
      </c>
      <c r="BG75" s="28">
        <f t="shared" si="1129"/>
        <v>0</v>
      </c>
      <c r="BH75" s="28">
        <f t="shared" si="1130"/>
        <v>0</v>
      </c>
      <c r="BI75" s="28">
        <f t="shared" si="1131"/>
        <v>0</v>
      </c>
      <c r="BJ75" s="72">
        <f t="shared" si="1132"/>
        <v>0</v>
      </c>
      <c r="BK75" s="70">
        <f t="shared" si="1133"/>
        <v>0</v>
      </c>
      <c r="BL75" s="70">
        <f t="shared" si="1134"/>
        <v>0</v>
      </c>
      <c r="BM75" s="71">
        <v>0</v>
      </c>
      <c r="BN75" s="71">
        <v>0</v>
      </c>
      <c r="BO75" s="72">
        <f t="shared" si="1135"/>
        <v>0</v>
      </c>
      <c r="BP75" s="72">
        <f t="shared" si="1136"/>
        <v>0</v>
      </c>
      <c r="BQ75" s="70">
        <f t="shared" si="1137"/>
        <v>0</v>
      </c>
      <c r="BR75" s="73">
        <v>0</v>
      </c>
      <c r="BS75" s="74">
        <f t="shared" si="1138"/>
        <v>0</v>
      </c>
      <c r="BT75" s="303">
        <f t="shared" si="1139"/>
        <v>0</v>
      </c>
      <c r="BU75" s="58">
        <v>0</v>
      </c>
      <c r="BV75" s="68" t="s">
        <v>181</v>
      </c>
      <c r="BW75" s="28">
        <f t="shared" si="1140"/>
        <v>0</v>
      </c>
      <c r="BX75" s="69">
        <v>0</v>
      </c>
      <c r="BY75" s="28">
        <f t="shared" si="1141"/>
        <v>0</v>
      </c>
      <c r="BZ75" s="28">
        <f t="shared" si="1142"/>
        <v>0</v>
      </c>
      <c r="CA75" s="28">
        <f t="shared" si="1143"/>
        <v>0</v>
      </c>
      <c r="CB75" s="72">
        <f t="shared" si="1144"/>
        <v>0</v>
      </c>
      <c r="CC75" s="70">
        <f t="shared" si="1145"/>
        <v>0</v>
      </c>
      <c r="CD75" s="70">
        <f t="shared" si="1146"/>
        <v>0</v>
      </c>
      <c r="CE75" s="71">
        <v>0</v>
      </c>
      <c r="CF75" s="71">
        <v>0</v>
      </c>
      <c r="CG75" s="72">
        <f t="shared" si="1147"/>
        <v>0</v>
      </c>
      <c r="CH75" s="72">
        <f t="shared" si="1148"/>
        <v>0</v>
      </c>
      <c r="CI75" s="70">
        <f t="shared" si="1149"/>
        <v>0</v>
      </c>
      <c r="CJ75" s="73">
        <v>0</v>
      </c>
      <c r="CK75" s="74">
        <f t="shared" si="1150"/>
        <v>0</v>
      </c>
      <c r="CL75" s="303">
        <f t="shared" si="1151"/>
        <v>0</v>
      </c>
      <c r="CM75" s="58">
        <v>0</v>
      </c>
      <c r="CN75" s="68" t="s">
        <v>181</v>
      </c>
      <c r="CO75" s="28">
        <f t="shared" si="1152"/>
        <v>0</v>
      </c>
      <c r="CP75" s="69">
        <v>0</v>
      </c>
      <c r="CQ75" s="28">
        <f t="shared" si="1153"/>
        <v>0</v>
      </c>
      <c r="CR75" s="28">
        <f t="shared" si="1154"/>
        <v>0</v>
      </c>
      <c r="CS75" s="28">
        <f t="shared" si="1155"/>
        <v>0</v>
      </c>
      <c r="CT75" s="72">
        <f t="shared" si="1156"/>
        <v>0</v>
      </c>
      <c r="CU75" s="70">
        <f t="shared" si="1157"/>
        <v>0</v>
      </c>
      <c r="CV75" s="70">
        <f t="shared" si="1158"/>
        <v>0</v>
      </c>
      <c r="CW75" s="71">
        <v>0</v>
      </c>
      <c r="CX75" s="71">
        <v>0</v>
      </c>
      <c r="CY75" s="72">
        <f t="shared" si="1159"/>
        <v>0</v>
      </c>
      <c r="CZ75" s="72">
        <f t="shared" si="1160"/>
        <v>0</v>
      </c>
      <c r="DA75" s="70">
        <f t="shared" si="1161"/>
        <v>0</v>
      </c>
      <c r="DB75" s="73">
        <v>0</v>
      </c>
      <c r="DC75" s="74">
        <f t="shared" si="1162"/>
        <v>0</v>
      </c>
      <c r="DD75" s="303">
        <f t="shared" si="1163"/>
        <v>0</v>
      </c>
      <c r="DE75" s="58">
        <v>0</v>
      </c>
      <c r="DF75" s="68" t="s">
        <v>181</v>
      </c>
      <c r="DG75" s="28">
        <f t="shared" si="1164"/>
        <v>0</v>
      </c>
      <c r="DH75" s="69">
        <v>0</v>
      </c>
      <c r="DI75" s="28">
        <f t="shared" si="1165"/>
        <v>0</v>
      </c>
      <c r="DJ75" s="28">
        <f t="shared" si="1166"/>
        <v>0</v>
      </c>
      <c r="DK75" s="28">
        <f t="shared" si="1167"/>
        <v>0</v>
      </c>
      <c r="DL75" s="72">
        <f t="shared" si="1168"/>
        <v>0</v>
      </c>
      <c r="DM75" s="70">
        <f t="shared" si="1169"/>
        <v>0</v>
      </c>
      <c r="DN75" s="70">
        <f t="shared" si="1170"/>
        <v>0</v>
      </c>
      <c r="DO75" s="71">
        <v>0</v>
      </c>
      <c r="DP75" s="71">
        <v>0</v>
      </c>
      <c r="DQ75" s="72">
        <f t="shared" si="1171"/>
        <v>0</v>
      </c>
      <c r="DR75" s="72">
        <f t="shared" si="1172"/>
        <v>0</v>
      </c>
      <c r="DS75" s="70">
        <f t="shared" si="1173"/>
        <v>0</v>
      </c>
      <c r="DT75" s="73">
        <v>0</v>
      </c>
      <c r="DU75" s="74">
        <f t="shared" si="1174"/>
        <v>0</v>
      </c>
      <c r="DV75" s="303">
        <f t="shared" si="1175"/>
        <v>0</v>
      </c>
      <c r="DW75" s="58">
        <v>0</v>
      </c>
      <c r="DX75" s="68" t="s">
        <v>181</v>
      </c>
      <c r="DY75" s="28">
        <f t="shared" si="1176"/>
        <v>0</v>
      </c>
      <c r="DZ75" s="69">
        <v>0</v>
      </c>
      <c r="EA75" s="28">
        <f t="shared" si="1177"/>
        <v>0</v>
      </c>
      <c r="EB75" s="28">
        <f t="shared" si="1178"/>
        <v>0</v>
      </c>
      <c r="EC75" s="28">
        <f t="shared" si="1179"/>
        <v>0</v>
      </c>
      <c r="ED75" s="72">
        <f t="shared" si="1180"/>
        <v>0</v>
      </c>
      <c r="EE75" s="70">
        <f t="shared" si="1181"/>
        <v>0</v>
      </c>
      <c r="EF75" s="70">
        <f t="shared" si="1182"/>
        <v>0</v>
      </c>
      <c r="EG75" s="71">
        <v>0</v>
      </c>
      <c r="EH75" s="71">
        <v>0</v>
      </c>
      <c r="EI75" s="72">
        <f t="shared" si="1183"/>
        <v>0</v>
      </c>
      <c r="EJ75" s="72">
        <f t="shared" si="1184"/>
        <v>0</v>
      </c>
      <c r="EK75" s="70">
        <f t="shared" si="1185"/>
        <v>0</v>
      </c>
      <c r="EL75" s="73">
        <v>0</v>
      </c>
      <c r="EM75" s="74">
        <f t="shared" si="1186"/>
        <v>0</v>
      </c>
      <c r="EN75" s="303">
        <f t="shared" si="1187"/>
        <v>0</v>
      </c>
      <c r="EO75" s="58">
        <v>0</v>
      </c>
      <c r="EP75" s="68" t="s">
        <v>181</v>
      </c>
      <c r="EQ75" s="28">
        <f t="shared" si="1188"/>
        <v>0</v>
      </c>
      <c r="ER75" s="69">
        <v>0</v>
      </c>
      <c r="ES75" s="28">
        <f t="shared" si="1189"/>
        <v>0</v>
      </c>
      <c r="ET75" s="28">
        <f t="shared" si="1190"/>
        <v>0</v>
      </c>
      <c r="EU75" s="28">
        <f t="shared" si="1191"/>
        <v>0</v>
      </c>
      <c r="EV75" s="72">
        <f t="shared" si="1192"/>
        <v>0</v>
      </c>
      <c r="EW75" s="70">
        <f t="shared" si="1193"/>
        <v>0</v>
      </c>
      <c r="EX75" s="70">
        <f t="shared" si="1194"/>
        <v>0</v>
      </c>
      <c r="EY75" s="71">
        <v>0</v>
      </c>
      <c r="EZ75" s="71">
        <v>0</v>
      </c>
      <c r="FA75" s="72">
        <f t="shared" si="1195"/>
        <v>0</v>
      </c>
      <c r="FB75" s="72">
        <f t="shared" si="1196"/>
        <v>0</v>
      </c>
      <c r="FC75" s="70">
        <f t="shared" si="1197"/>
        <v>0</v>
      </c>
      <c r="FD75" s="73">
        <v>0</v>
      </c>
      <c r="FE75" s="74">
        <f t="shared" si="1198"/>
        <v>0</v>
      </c>
      <c r="FF75" s="303">
        <f t="shared" si="1199"/>
        <v>0</v>
      </c>
      <c r="FG75" s="58">
        <v>0</v>
      </c>
      <c r="FH75" s="68" t="s">
        <v>181</v>
      </c>
      <c r="FI75" s="28">
        <f t="shared" si="1200"/>
        <v>0</v>
      </c>
      <c r="FJ75" s="69">
        <v>0</v>
      </c>
      <c r="FK75" s="28">
        <f t="shared" si="1201"/>
        <v>0</v>
      </c>
      <c r="FL75" s="28">
        <f t="shared" si="1202"/>
        <v>0</v>
      </c>
      <c r="FM75" s="28">
        <f t="shared" si="1203"/>
        <v>0</v>
      </c>
      <c r="FN75" s="72">
        <f t="shared" si="1204"/>
        <v>0</v>
      </c>
      <c r="FO75" s="70">
        <f t="shared" si="1205"/>
        <v>0</v>
      </c>
      <c r="FP75" s="70">
        <f t="shared" si="1206"/>
        <v>0</v>
      </c>
      <c r="FQ75" s="71">
        <v>0</v>
      </c>
      <c r="FR75" s="71">
        <v>0</v>
      </c>
      <c r="FS75" s="72">
        <f t="shared" si="1207"/>
        <v>0</v>
      </c>
      <c r="FT75" s="72">
        <f t="shared" si="1208"/>
        <v>0</v>
      </c>
      <c r="FU75" s="70">
        <f t="shared" si="1209"/>
        <v>0</v>
      </c>
      <c r="FV75" s="73">
        <v>0</v>
      </c>
      <c r="FW75" s="74">
        <f t="shared" si="1210"/>
        <v>0</v>
      </c>
      <c r="FX75" s="303">
        <f t="shared" si="1211"/>
        <v>0</v>
      </c>
      <c r="FY75" s="58">
        <v>0</v>
      </c>
      <c r="FZ75" s="68" t="s">
        <v>181</v>
      </c>
      <c r="GA75" s="28">
        <f t="shared" si="1212"/>
        <v>0</v>
      </c>
      <c r="GB75" s="69">
        <v>0</v>
      </c>
      <c r="GC75" s="28">
        <f t="shared" si="1213"/>
        <v>0</v>
      </c>
      <c r="GD75" s="28">
        <f t="shared" si="1214"/>
        <v>0</v>
      </c>
      <c r="GE75" s="28">
        <f t="shared" si="1215"/>
        <v>0</v>
      </c>
      <c r="GF75" s="72">
        <f t="shared" si="1216"/>
        <v>0</v>
      </c>
      <c r="GG75" s="70">
        <f t="shared" si="1217"/>
        <v>0</v>
      </c>
      <c r="GH75" s="70">
        <f t="shared" si="1218"/>
        <v>0</v>
      </c>
      <c r="GI75" s="71">
        <v>0</v>
      </c>
      <c r="GJ75" s="71">
        <v>0</v>
      </c>
      <c r="GK75" s="72">
        <f t="shared" si="1219"/>
        <v>0</v>
      </c>
      <c r="GL75" s="72">
        <f t="shared" si="1220"/>
        <v>0</v>
      </c>
      <c r="GM75" s="70">
        <f t="shared" si="1221"/>
        <v>0</v>
      </c>
      <c r="GN75" s="73">
        <v>0</v>
      </c>
      <c r="GO75" s="74">
        <f t="shared" si="1222"/>
        <v>0</v>
      </c>
      <c r="GP75" s="303">
        <f t="shared" si="1223"/>
        <v>0</v>
      </c>
      <c r="GQ75" s="58">
        <v>0</v>
      </c>
      <c r="GR75" s="68" t="s">
        <v>181</v>
      </c>
      <c r="GS75" s="28">
        <f t="shared" si="1224"/>
        <v>0</v>
      </c>
      <c r="GT75" s="69">
        <v>0</v>
      </c>
      <c r="GU75" s="28">
        <f t="shared" si="1225"/>
        <v>0</v>
      </c>
      <c r="GV75" s="28">
        <f t="shared" si="1226"/>
        <v>0</v>
      </c>
      <c r="GW75" s="28">
        <f t="shared" si="1227"/>
        <v>0</v>
      </c>
      <c r="GX75" s="72">
        <f t="shared" si="1228"/>
        <v>0</v>
      </c>
      <c r="GY75" s="70">
        <f t="shared" si="1229"/>
        <v>0</v>
      </c>
      <c r="GZ75" s="70">
        <f t="shared" si="1230"/>
        <v>0</v>
      </c>
      <c r="HA75" s="71">
        <v>0</v>
      </c>
      <c r="HB75" s="71">
        <v>0</v>
      </c>
      <c r="HC75" s="72">
        <f t="shared" si="1231"/>
        <v>0</v>
      </c>
      <c r="HD75" s="72">
        <f t="shared" si="1232"/>
        <v>0</v>
      </c>
      <c r="HE75" s="70">
        <f t="shared" si="1233"/>
        <v>0</v>
      </c>
      <c r="HF75" s="73">
        <v>0</v>
      </c>
      <c r="HG75" s="74">
        <f t="shared" si="1234"/>
        <v>0</v>
      </c>
      <c r="HH75" s="303">
        <f t="shared" si="1235"/>
        <v>0</v>
      </c>
      <c r="HJ75" s="37"/>
      <c r="HK75" s="37"/>
      <c r="HL75" s="37"/>
      <c r="HM75" s="37"/>
      <c r="HN75" s="37"/>
      <c r="HO75" s="37"/>
      <c r="HP75" s="37"/>
      <c r="HQ75" s="37"/>
      <c r="HR75" s="37"/>
      <c r="HS75" s="37"/>
      <c r="HT75" s="37"/>
      <c r="HU75" s="37"/>
      <c r="HV75" s="37"/>
      <c r="HW75" s="37"/>
      <c r="HX75" s="37"/>
      <c r="HY75" s="37"/>
      <c r="HZ75" s="37"/>
      <c r="IA75" s="37"/>
      <c r="IB75" s="37"/>
      <c r="IC75" s="37"/>
      <c r="ID75" s="37"/>
      <c r="IE75" s="37"/>
      <c r="IF75" s="37"/>
      <c r="IG75" s="37"/>
      <c r="IH75" s="37"/>
      <c r="II75" s="37"/>
      <c r="IJ75" s="37"/>
      <c r="IK75" s="37"/>
      <c r="IL75" s="37"/>
      <c r="IM75" s="37"/>
      <c r="IN75" s="37"/>
      <c r="IO75" s="37"/>
      <c r="IP75" s="37"/>
    </row>
    <row r="76" spans="1:250" hidden="1" x14ac:dyDescent="0.3">
      <c r="A76" s="58">
        <v>0</v>
      </c>
      <c r="B76" s="68"/>
      <c r="C76" s="28">
        <f t="shared" si="1092"/>
        <v>0</v>
      </c>
      <c r="D76" s="28">
        <v>0</v>
      </c>
      <c r="E76" s="28">
        <f t="shared" si="1093"/>
        <v>0</v>
      </c>
      <c r="F76" s="28">
        <f t="shared" si="1094"/>
        <v>0</v>
      </c>
      <c r="G76" s="28">
        <f t="shared" si="1095"/>
        <v>0</v>
      </c>
      <c r="H76" s="72">
        <f t="shared" si="1096"/>
        <v>0</v>
      </c>
      <c r="I76" s="70">
        <f t="shared" si="1097"/>
        <v>0</v>
      </c>
      <c r="J76" s="70">
        <f t="shared" si="1098"/>
        <v>0</v>
      </c>
      <c r="K76" s="71">
        <v>0</v>
      </c>
      <c r="L76" s="71">
        <v>0</v>
      </c>
      <c r="M76" s="72">
        <f t="shared" si="1099"/>
        <v>0</v>
      </c>
      <c r="N76" s="72">
        <f t="shared" si="1100"/>
        <v>0</v>
      </c>
      <c r="O76" s="70">
        <f t="shared" si="1101"/>
        <v>0</v>
      </c>
      <c r="P76" s="73">
        <v>0</v>
      </c>
      <c r="Q76" s="74">
        <f t="shared" si="1102"/>
        <v>0</v>
      </c>
      <c r="R76" s="303">
        <f t="shared" si="1103"/>
        <v>0</v>
      </c>
      <c r="S76" s="58">
        <v>0</v>
      </c>
      <c r="T76" s="68"/>
      <c r="U76" s="28">
        <f t="shared" si="1104"/>
        <v>0</v>
      </c>
      <c r="V76" s="28">
        <v>0</v>
      </c>
      <c r="W76" s="28">
        <f t="shared" si="1105"/>
        <v>0</v>
      </c>
      <c r="X76" s="28">
        <f t="shared" si="1106"/>
        <v>0</v>
      </c>
      <c r="Y76" s="28">
        <f t="shared" si="1107"/>
        <v>0</v>
      </c>
      <c r="Z76" s="72">
        <f t="shared" si="1108"/>
        <v>0</v>
      </c>
      <c r="AA76" s="70">
        <f t="shared" si="1109"/>
        <v>0</v>
      </c>
      <c r="AB76" s="70">
        <f t="shared" si="1110"/>
        <v>0</v>
      </c>
      <c r="AC76" s="71">
        <v>0</v>
      </c>
      <c r="AD76" s="71">
        <v>0</v>
      </c>
      <c r="AE76" s="72">
        <f t="shared" si="1111"/>
        <v>0</v>
      </c>
      <c r="AF76" s="72">
        <f t="shared" si="1112"/>
        <v>0</v>
      </c>
      <c r="AG76" s="70">
        <f t="shared" si="1113"/>
        <v>0</v>
      </c>
      <c r="AH76" s="73">
        <v>0</v>
      </c>
      <c r="AI76" s="74">
        <f t="shared" si="1114"/>
        <v>0</v>
      </c>
      <c r="AJ76" s="303">
        <f t="shared" si="1115"/>
        <v>0</v>
      </c>
      <c r="AK76" s="58">
        <v>0</v>
      </c>
      <c r="AL76" s="68"/>
      <c r="AM76" s="28">
        <f t="shared" si="1116"/>
        <v>0</v>
      </c>
      <c r="AN76" s="28">
        <v>0</v>
      </c>
      <c r="AO76" s="28">
        <f t="shared" si="1117"/>
        <v>0</v>
      </c>
      <c r="AP76" s="28">
        <f t="shared" si="1118"/>
        <v>0</v>
      </c>
      <c r="AQ76" s="28">
        <f t="shared" si="1119"/>
        <v>0</v>
      </c>
      <c r="AR76" s="72">
        <f t="shared" si="1120"/>
        <v>0</v>
      </c>
      <c r="AS76" s="70">
        <f t="shared" si="1121"/>
        <v>0</v>
      </c>
      <c r="AT76" s="70">
        <f t="shared" si="1122"/>
        <v>0</v>
      </c>
      <c r="AU76" s="71">
        <v>0</v>
      </c>
      <c r="AV76" s="71">
        <v>0</v>
      </c>
      <c r="AW76" s="72">
        <f t="shared" si="1123"/>
        <v>0</v>
      </c>
      <c r="AX76" s="72">
        <f t="shared" si="1124"/>
        <v>0</v>
      </c>
      <c r="AY76" s="70">
        <f t="shared" si="1125"/>
        <v>0</v>
      </c>
      <c r="AZ76" s="73">
        <v>0</v>
      </c>
      <c r="BA76" s="74">
        <f t="shared" si="1126"/>
        <v>0</v>
      </c>
      <c r="BB76" s="303">
        <f t="shared" si="1127"/>
        <v>0</v>
      </c>
      <c r="BC76" s="58">
        <v>0</v>
      </c>
      <c r="BD76" s="68"/>
      <c r="BE76" s="28">
        <f t="shared" si="1128"/>
        <v>0</v>
      </c>
      <c r="BF76" s="28">
        <v>0</v>
      </c>
      <c r="BG76" s="28">
        <f t="shared" si="1129"/>
        <v>0</v>
      </c>
      <c r="BH76" s="28">
        <f t="shared" si="1130"/>
        <v>0</v>
      </c>
      <c r="BI76" s="28">
        <f t="shared" si="1131"/>
        <v>0</v>
      </c>
      <c r="BJ76" s="72">
        <f t="shared" si="1132"/>
        <v>0</v>
      </c>
      <c r="BK76" s="70">
        <f t="shared" si="1133"/>
        <v>0</v>
      </c>
      <c r="BL76" s="70">
        <f t="shared" si="1134"/>
        <v>0</v>
      </c>
      <c r="BM76" s="71">
        <v>0</v>
      </c>
      <c r="BN76" s="71">
        <v>0</v>
      </c>
      <c r="BO76" s="72">
        <f t="shared" si="1135"/>
        <v>0</v>
      </c>
      <c r="BP76" s="72">
        <f t="shared" si="1136"/>
        <v>0</v>
      </c>
      <c r="BQ76" s="70">
        <f t="shared" si="1137"/>
        <v>0</v>
      </c>
      <c r="BR76" s="73">
        <v>0</v>
      </c>
      <c r="BS76" s="74">
        <f t="shared" si="1138"/>
        <v>0</v>
      </c>
      <c r="BT76" s="303">
        <f t="shared" si="1139"/>
        <v>0</v>
      </c>
      <c r="BU76" s="58">
        <v>0</v>
      </c>
      <c r="BV76" s="68"/>
      <c r="BW76" s="28">
        <f t="shared" si="1140"/>
        <v>0</v>
      </c>
      <c r="BX76" s="28">
        <v>0</v>
      </c>
      <c r="BY76" s="28">
        <f t="shared" si="1141"/>
        <v>0</v>
      </c>
      <c r="BZ76" s="28">
        <f t="shared" si="1142"/>
        <v>0</v>
      </c>
      <c r="CA76" s="28">
        <f t="shared" si="1143"/>
        <v>0</v>
      </c>
      <c r="CB76" s="72">
        <f t="shared" si="1144"/>
        <v>0</v>
      </c>
      <c r="CC76" s="70">
        <f t="shared" si="1145"/>
        <v>0</v>
      </c>
      <c r="CD76" s="70">
        <f t="shared" si="1146"/>
        <v>0</v>
      </c>
      <c r="CE76" s="71">
        <v>0</v>
      </c>
      <c r="CF76" s="71">
        <v>0</v>
      </c>
      <c r="CG76" s="72">
        <f t="shared" si="1147"/>
        <v>0</v>
      </c>
      <c r="CH76" s="72">
        <f t="shared" si="1148"/>
        <v>0</v>
      </c>
      <c r="CI76" s="70">
        <f t="shared" si="1149"/>
        <v>0</v>
      </c>
      <c r="CJ76" s="73">
        <v>0</v>
      </c>
      <c r="CK76" s="74">
        <f t="shared" si="1150"/>
        <v>0</v>
      </c>
      <c r="CL76" s="303">
        <f t="shared" si="1151"/>
        <v>0</v>
      </c>
      <c r="CM76" s="58">
        <v>0</v>
      </c>
      <c r="CN76" s="68"/>
      <c r="CO76" s="28">
        <f t="shared" si="1152"/>
        <v>0</v>
      </c>
      <c r="CP76" s="28">
        <v>0</v>
      </c>
      <c r="CQ76" s="28">
        <f t="shared" si="1153"/>
        <v>0</v>
      </c>
      <c r="CR76" s="28">
        <f t="shared" si="1154"/>
        <v>0</v>
      </c>
      <c r="CS76" s="28">
        <f t="shared" si="1155"/>
        <v>0</v>
      </c>
      <c r="CT76" s="72">
        <f t="shared" si="1156"/>
        <v>0</v>
      </c>
      <c r="CU76" s="70">
        <f t="shared" si="1157"/>
        <v>0</v>
      </c>
      <c r="CV76" s="70">
        <f t="shared" si="1158"/>
        <v>0</v>
      </c>
      <c r="CW76" s="71">
        <v>0</v>
      </c>
      <c r="CX76" s="71">
        <v>0</v>
      </c>
      <c r="CY76" s="72">
        <f t="shared" si="1159"/>
        <v>0</v>
      </c>
      <c r="CZ76" s="72">
        <f t="shared" si="1160"/>
        <v>0</v>
      </c>
      <c r="DA76" s="70">
        <f t="shared" si="1161"/>
        <v>0</v>
      </c>
      <c r="DB76" s="73">
        <v>0</v>
      </c>
      <c r="DC76" s="74">
        <f t="shared" si="1162"/>
        <v>0</v>
      </c>
      <c r="DD76" s="303">
        <f t="shared" si="1163"/>
        <v>0</v>
      </c>
      <c r="DE76" s="58">
        <v>0</v>
      </c>
      <c r="DF76" s="68"/>
      <c r="DG76" s="28">
        <f t="shared" si="1164"/>
        <v>0</v>
      </c>
      <c r="DH76" s="28">
        <v>0</v>
      </c>
      <c r="DI76" s="28">
        <f t="shared" si="1165"/>
        <v>0</v>
      </c>
      <c r="DJ76" s="28">
        <f t="shared" si="1166"/>
        <v>0</v>
      </c>
      <c r="DK76" s="28">
        <f t="shared" si="1167"/>
        <v>0</v>
      </c>
      <c r="DL76" s="72">
        <f t="shared" si="1168"/>
        <v>0</v>
      </c>
      <c r="DM76" s="70">
        <f t="shared" si="1169"/>
        <v>0</v>
      </c>
      <c r="DN76" s="70">
        <f t="shared" si="1170"/>
        <v>0</v>
      </c>
      <c r="DO76" s="71">
        <v>0</v>
      </c>
      <c r="DP76" s="71">
        <v>0</v>
      </c>
      <c r="DQ76" s="72">
        <f t="shared" si="1171"/>
        <v>0</v>
      </c>
      <c r="DR76" s="72">
        <f t="shared" si="1172"/>
        <v>0</v>
      </c>
      <c r="DS76" s="70">
        <f t="shared" si="1173"/>
        <v>0</v>
      </c>
      <c r="DT76" s="73">
        <v>0</v>
      </c>
      <c r="DU76" s="74">
        <f t="shared" si="1174"/>
        <v>0</v>
      </c>
      <c r="DV76" s="303">
        <f t="shared" si="1175"/>
        <v>0</v>
      </c>
      <c r="DW76" s="58">
        <v>0</v>
      </c>
      <c r="DX76" s="68"/>
      <c r="DY76" s="28">
        <f t="shared" si="1176"/>
        <v>0</v>
      </c>
      <c r="DZ76" s="28">
        <v>0</v>
      </c>
      <c r="EA76" s="28">
        <f t="shared" si="1177"/>
        <v>0</v>
      </c>
      <c r="EB76" s="28">
        <f t="shared" si="1178"/>
        <v>0</v>
      </c>
      <c r="EC76" s="28">
        <f t="shared" si="1179"/>
        <v>0</v>
      </c>
      <c r="ED76" s="72">
        <f t="shared" si="1180"/>
        <v>0</v>
      </c>
      <c r="EE76" s="70">
        <f t="shared" si="1181"/>
        <v>0</v>
      </c>
      <c r="EF76" s="70">
        <f t="shared" si="1182"/>
        <v>0</v>
      </c>
      <c r="EG76" s="71">
        <v>0</v>
      </c>
      <c r="EH76" s="71">
        <v>0</v>
      </c>
      <c r="EI76" s="72">
        <f t="shared" si="1183"/>
        <v>0</v>
      </c>
      <c r="EJ76" s="72">
        <f t="shared" si="1184"/>
        <v>0</v>
      </c>
      <c r="EK76" s="70">
        <f t="shared" si="1185"/>
        <v>0</v>
      </c>
      <c r="EL76" s="73">
        <v>0</v>
      </c>
      <c r="EM76" s="74">
        <f t="shared" si="1186"/>
        <v>0</v>
      </c>
      <c r="EN76" s="303">
        <f t="shared" si="1187"/>
        <v>0</v>
      </c>
      <c r="EO76" s="58">
        <v>0</v>
      </c>
      <c r="EP76" s="68"/>
      <c r="EQ76" s="28">
        <f t="shared" si="1188"/>
        <v>0</v>
      </c>
      <c r="ER76" s="28">
        <v>0</v>
      </c>
      <c r="ES76" s="28">
        <f t="shared" si="1189"/>
        <v>0</v>
      </c>
      <c r="ET76" s="28">
        <f t="shared" si="1190"/>
        <v>0</v>
      </c>
      <c r="EU76" s="28">
        <f t="shared" si="1191"/>
        <v>0</v>
      </c>
      <c r="EV76" s="72">
        <f t="shared" si="1192"/>
        <v>0</v>
      </c>
      <c r="EW76" s="70">
        <f t="shared" si="1193"/>
        <v>0</v>
      </c>
      <c r="EX76" s="70">
        <f t="shared" si="1194"/>
        <v>0</v>
      </c>
      <c r="EY76" s="71">
        <v>0</v>
      </c>
      <c r="EZ76" s="71">
        <v>0</v>
      </c>
      <c r="FA76" s="72">
        <f t="shared" si="1195"/>
        <v>0</v>
      </c>
      <c r="FB76" s="72">
        <f t="shared" si="1196"/>
        <v>0</v>
      </c>
      <c r="FC76" s="70">
        <f t="shared" si="1197"/>
        <v>0</v>
      </c>
      <c r="FD76" s="73">
        <v>0</v>
      </c>
      <c r="FE76" s="74">
        <f t="shared" si="1198"/>
        <v>0</v>
      </c>
      <c r="FF76" s="303">
        <f t="shared" si="1199"/>
        <v>0</v>
      </c>
      <c r="FG76" s="58">
        <v>0</v>
      </c>
      <c r="FH76" s="68"/>
      <c r="FI76" s="28">
        <f t="shared" si="1200"/>
        <v>0</v>
      </c>
      <c r="FJ76" s="28">
        <v>0</v>
      </c>
      <c r="FK76" s="28">
        <f t="shared" si="1201"/>
        <v>0</v>
      </c>
      <c r="FL76" s="28">
        <f t="shared" si="1202"/>
        <v>0</v>
      </c>
      <c r="FM76" s="28">
        <f t="shared" si="1203"/>
        <v>0</v>
      </c>
      <c r="FN76" s="72">
        <f t="shared" si="1204"/>
        <v>0</v>
      </c>
      <c r="FO76" s="70">
        <f t="shared" si="1205"/>
        <v>0</v>
      </c>
      <c r="FP76" s="70">
        <f t="shared" si="1206"/>
        <v>0</v>
      </c>
      <c r="FQ76" s="71">
        <v>0</v>
      </c>
      <c r="FR76" s="71">
        <v>0</v>
      </c>
      <c r="FS76" s="72">
        <f t="shared" si="1207"/>
        <v>0</v>
      </c>
      <c r="FT76" s="72">
        <f t="shared" si="1208"/>
        <v>0</v>
      </c>
      <c r="FU76" s="70">
        <f t="shared" si="1209"/>
        <v>0</v>
      </c>
      <c r="FV76" s="73">
        <v>0</v>
      </c>
      <c r="FW76" s="74">
        <f t="shared" si="1210"/>
        <v>0</v>
      </c>
      <c r="FX76" s="303">
        <f t="shared" si="1211"/>
        <v>0</v>
      </c>
      <c r="FY76" s="58">
        <v>0</v>
      </c>
      <c r="FZ76" s="68"/>
      <c r="GA76" s="28">
        <f t="shared" si="1212"/>
        <v>0</v>
      </c>
      <c r="GB76" s="28">
        <v>0</v>
      </c>
      <c r="GC76" s="28">
        <f t="shared" si="1213"/>
        <v>0</v>
      </c>
      <c r="GD76" s="28">
        <f t="shared" si="1214"/>
        <v>0</v>
      </c>
      <c r="GE76" s="28">
        <f t="shared" si="1215"/>
        <v>0</v>
      </c>
      <c r="GF76" s="72">
        <f t="shared" si="1216"/>
        <v>0</v>
      </c>
      <c r="GG76" s="70">
        <f t="shared" si="1217"/>
        <v>0</v>
      </c>
      <c r="GH76" s="70">
        <f t="shared" si="1218"/>
        <v>0</v>
      </c>
      <c r="GI76" s="71">
        <v>0</v>
      </c>
      <c r="GJ76" s="71">
        <v>0</v>
      </c>
      <c r="GK76" s="72">
        <f t="shared" si="1219"/>
        <v>0</v>
      </c>
      <c r="GL76" s="72">
        <f t="shared" si="1220"/>
        <v>0</v>
      </c>
      <c r="GM76" s="70">
        <f t="shared" si="1221"/>
        <v>0</v>
      </c>
      <c r="GN76" s="73">
        <v>0</v>
      </c>
      <c r="GO76" s="74">
        <f t="shared" si="1222"/>
        <v>0</v>
      </c>
      <c r="GP76" s="303">
        <f t="shared" si="1223"/>
        <v>0</v>
      </c>
      <c r="GQ76" s="58">
        <v>0</v>
      </c>
      <c r="GR76" s="68"/>
      <c r="GS76" s="28">
        <f t="shared" si="1224"/>
        <v>0</v>
      </c>
      <c r="GT76" s="28">
        <v>0</v>
      </c>
      <c r="GU76" s="28">
        <f t="shared" si="1225"/>
        <v>0</v>
      </c>
      <c r="GV76" s="28">
        <f t="shared" si="1226"/>
        <v>0</v>
      </c>
      <c r="GW76" s="28">
        <f t="shared" si="1227"/>
        <v>0</v>
      </c>
      <c r="GX76" s="72">
        <f t="shared" si="1228"/>
        <v>0</v>
      </c>
      <c r="GY76" s="70">
        <f t="shared" si="1229"/>
        <v>0</v>
      </c>
      <c r="GZ76" s="70">
        <f t="shared" si="1230"/>
        <v>0</v>
      </c>
      <c r="HA76" s="71">
        <v>0</v>
      </c>
      <c r="HB76" s="71">
        <v>0</v>
      </c>
      <c r="HC76" s="72">
        <f t="shared" si="1231"/>
        <v>0</v>
      </c>
      <c r="HD76" s="72">
        <f t="shared" si="1232"/>
        <v>0</v>
      </c>
      <c r="HE76" s="70">
        <f t="shared" si="1233"/>
        <v>0</v>
      </c>
      <c r="HF76" s="73">
        <v>0</v>
      </c>
      <c r="HG76" s="74">
        <f t="shared" si="1234"/>
        <v>0</v>
      </c>
      <c r="HH76" s="303">
        <f t="shared" si="1235"/>
        <v>0</v>
      </c>
      <c r="HJ76" s="37"/>
      <c r="HK76" s="37"/>
      <c r="HL76" s="37"/>
      <c r="HM76" s="37"/>
      <c r="HN76" s="37"/>
      <c r="HO76" s="37"/>
      <c r="HP76" s="37"/>
      <c r="HQ76" s="37"/>
      <c r="HR76" s="37"/>
      <c r="HS76" s="37"/>
      <c r="HT76" s="37"/>
      <c r="HU76" s="37"/>
      <c r="HV76" s="37"/>
      <c r="HW76" s="37"/>
      <c r="HX76" s="37"/>
      <c r="HY76" s="37"/>
      <c r="HZ76" s="37"/>
      <c r="IA76" s="37"/>
      <c r="IB76" s="37"/>
      <c r="IC76" s="37"/>
      <c r="ID76" s="37"/>
      <c r="IE76" s="37"/>
      <c r="IF76" s="37"/>
      <c r="IG76" s="37"/>
      <c r="IH76" s="37"/>
      <c r="II76" s="37"/>
      <c r="IJ76" s="37"/>
      <c r="IK76" s="37"/>
      <c r="IL76" s="37"/>
      <c r="IM76" s="37"/>
      <c r="IN76" s="37"/>
      <c r="IO76" s="37"/>
      <c r="IP76" s="37"/>
    </row>
    <row r="77" spans="1:250" ht="15.6" hidden="1" x14ac:dyDescent="0.3">
      <c r="A77" s="541"/>
      <c r="B77" s="537"/>
      <c r="C77" s="537"/>
      <c r="D77" s="537"/>
      <c r="E77" s="537"/>
      <c r="F77" s="537"/>
      <c r="G77" s="537"/>
      <c r="H77" s="537"/>
      <c r="I77" s="537"/>
      <c r="J77" s="537"/>
      <c r="K77" s="537"/>
      <c r="L77" s="537"/>
      <c r="M77" s="537"/>
      <c r="N77" s="537"/>
      <c r="O77" s="537"/>
      <c r="P77" s="538"/>
      <c r="Q77" s="307" t="s">
        <v>8</v>
      </c>
      <c r="R77" s="304">
        <f>SUM(R74:R76)</f>
        <v>0</v>
      </c>
      <c r="S77" s="541"/>
      <c r="T77" s="537"/>
      <c r="U77" s="537"/>
      <c r="V77" s="537"/>
      <c r="W77" s="537"/>
      <c r="X77" s="537"/>
      <c r="Y77" s="537"/>
      <c r="Z77" s="537"/>
      <c r="AA77" s="537"/>
      <c r="AB77" s="537"/>
      <c r="AC77" s="537"/>
      <c r="AD77" s="537"/>
      <c r="AE77" s="537"/>
      <c r="AF77" s="537"/>
      <c r="AG77" s="537"/>
      <c r="AH77" s="538"/>
      <c r="AI77" s="307" t="s">
        <v>8</v>
      </c>
      <c r="AJ77" s="304">
        <f>SUM(AJ74:AJ76)</f>
        <v>0</v>
      </c>
      <c r="AK77" s="541"/>
      <c r="AL77" s="537"/>
      <c r="AM77" s="537"/>
      <c r="AN77" s="537"/>
      <c r="AO77" s="537"/>
      <c r="AP77" s="537"/>
      <c r="AQ77" s="537"/>
      <c r="AR77" s="537"/>
      <c r="AS77" s="537"/>
      <c r="AT77" s="537"/>
      <c r="AU77" s="537"/>
      <c r="AV77" s="537"/>
      <c r="AW77" s="537"/>
      <c r="AX77" s="537"/>
      <c r="AY77" s="537"/>
      <c r="AZ77" s="538"/>
      <c r="BA77" s="307" t="s">
        <v>8</v>
      </c>
      <c r="BB77" s="304">
        <f>SUM(BB74:BB76)</f>
        <v>0</v>
      </c>
      <c r="BC77" s="541"/>
      <c r="BD77" s="537"/>
      <c r="BE77" s="537"/>
      <c r="BF77" s="537"/>
      <c r="BG77" s="537"/>
      <c r="BH77" s="537"/>
      <c r="BI77" s="537"/>
      <c r="BJ77" s="537"/>
      <c r="BK77" s="537"/>
      <c r="BL77" s="537"/>
      <c r="BM77" s="537"/>
      <c r="BN77" s="537"/>
      <c r="BO77" s="537"/>
      <c r="BP77" s="537"/>
      <c r="BQ77" s="537"/>
      <c r="BR77" s="538"/>
      <c r="BS77" s="307" t="s">
        <v>8</v>
      </c>
      <c r="BT77" s="304">
        <f>SUM(BT74:BT76)</f>
        <v>0</v>
      </c>
      <c r="BU77" s="541"/>
      <c r="BV77" s="537"/>
      <c r="BW77" s="537"/>
      <c r="BX77" s="537"/>
      <c r="BY77" s="537"/>
      <c r="BZ77" s="537"/>
      <c r="CA77" s="537"/>
      <c r="CB77" s="537"/>
      <c r="CC77" s="537"/>
      <c r="CD77" s="537"/>
      <c r="CE77" s="537"/>
      <c r="CF77" s="537"/>
      <c r="CG77" s="537"/>
      <c r="CH77" s="537"/>
      <c r="CI77" s="537"/>
      <c r="CJ77" s="538"/>
      <c r="CK77" s="307" t="s">
        <v>8</v>
      </c>
      <c r="CL77" s="304">
        <f>SUM(CL74:CL76)</f>
        <v>0</v>
      </c>
      <c r="CM77" s="541"/>
      <c r="CN77" s="537"/>
      <c r="CO77" s="537"/>
      <c r="CP77" s="537"/>
      <c r="CQ77" s="537"/>
      <c r="CR77" s="537"/>
      <c r="CS77" s="537"/>
      <c r="CT77" s="537"/>
      <c r="CU77" s="537"/>
      <c r="CV77" s="537"/>
      <c r="CW77" s="537"/>
      <c r="CX77" s="537"/>
      <c r="CY77" s="537"/>
      <c r="CZ77" s="537"/>
      <c r="DA77" s="537"/>
      <c r="DB77" s="538"/>
      <c r="DC77" s="307" t="s">
        <v>8</v>
      </c>
      <c r="DD77" s="304">
        <f>SUM(DD74:DD76)</f>
        <v>0</v>
      </c>
      <c r="DE77" s="541"/>
      <c r="DF77" s="537"/>
      <c r="DG77" s="537"/>
      <c r="DH77" s="537"/>
      <c r="DI77" s="537"/>
      <c r="DJ77" s="537"/>
      <c r="DK77" s="537"/>
      <c r="DL77" s="537"/>
      <c r="DM77" s="537"/>
      <c r="DN77" s="537"/>
      <c r="DO77" s="537"/>
      <c r="DP77" s="537"/>
      <c r="DQ77" s="537"/>
      <c r="DR77" s="537"/>
      <c r="DS77" s="537"/>
      <c r="DT77" s="538"/>
      <c r="DU77" s="307" t="s">
        <v>8</v>
      </c>
      <c r="DV77" s="304">
        <f>SUM(DV74:DV76)</f>
        <v>0</v>
      </c>
      <c r="DW77" s="541"/>
      <c r="DX77" s="537"/>
      <c r="DY77" s="537"/>
      <c r="DZ77" s="537"/>
      <c r="EA77" s="537"/>
      <c r="EB77" s="537"/>
      <c r="EC77" s="537"/>
      <c r="ED77" s="537"/>
      <c r="EE77" s="537"/>
      <c r="EF77" s="537"/>
      <c r="EG77" s="537"/>
      <c r="EH77" s="537"/>
      <c r="EI77" s="537"/>
      <c r="EJ77" s="537"/>
      <c r="EK77" s="537"/>
      <c r="EL77" s="538"/>
      <c r="EM77" s="307" t="s">
        <v>8</v>
      </c>
      <c r="EN77" s="304">
        <f>SUM(EN74:EN76)</f>
        <v>0</v>
      </c>
      <c r="EO77" s="541"/>
      <c r="EP77" s="537"/>
      <c r="EQ77" s="537"/>
      <c r="ER77" s="537"/>
      <c r="ES77" s="537"/>
      <c r="ET77" s="537"/>
      <c r="EU77" s="537"/>
      <c r="EV77" s="537"/>
      <c r="EW77" s="537"/>
      <c r="EX77" s="537"/>
      <c r="EY77" s="537"/>
      <c r="EZ77" s="537"/>
      <c r="FA77" s="537"/>
      <c r="FB77" s="537"/>
      <c r="FC77" s="537"/>
      <c r="FD77" s="538"/>
      <c r="FE77" s="307" t="s">
        <v>8</v>
      </c>
      <c r="FF77" s="304">
        <f>SUM(FF74:FF76)</f>
        <v>0</v>
      </c>
      <c r="FG77" s="541"/>
      <c r="FH77" s="537"/>
      <c r="FI77" s="537"/>
      <c r="FJ77" s="537"/>
      <c r="FK77" s="537"/>
      <c r="FL77" s="537"/>
      <c r="FM77" s="537"/>
      <c r="FN77" s="537"/>
      <c r="FO77" s="537"/>
      <c r="FP77" s="537"/>
      <c r="FQ77" s="537"/>
      <c r="FR77" s="537"/>
      <c r="FS77" s="537"/>
      <c r="FT77" s="537"/>
      <c r="FU77" s="537"/>
      <c r="FV77" s="538"/>
      <c r="FW77" s="307" t="s">
        <v>8</v>
      </c>
      <c r="FX77" s="304">
        <f>SUM(FX74:FX76)</f>
        <v>0</v>
      </c>
      <c r="FY77" s="541"/>
      <c r="FZ77" s="537"/>
      <c r="GA77" s="537"/>
      <c r="GB77" s="537"/>
      <c r="GC77" s="537"/>
      <c r="GD77" s="537"/>
      <c r="GE77" s="537"/>
      <c r="GF77" s="537"/>
      <c r="GG77" s="537"/>
      <c r="GH77" s="537"/>
      <c r="GI77" s="537"/>
      <c r="GJ77" s="537"/>
      <c r="GK77" s="537"/>
      <c r="GL77" s="537"/>
      <c r="GM77" s="537"/>
      <c r="GN77" s="538"/>
      <c r="GO77" s="307" t="s">
        <v>8</v>
      </c>
      <c r="GP77" s="304">
        <f>SUM(GP74:GP76)</f>
        <v>0</v>
      </c>
      <c r="GQ77" s="541"/>
      <c r="GR77" s="537"/>
      <c r="GS77" s="537"/>
      <c r="GT77" s="537"/>
      <c r="GU77" s="537"/>
      <c r="GV77" s="537"/>
      <c r="GW77" s="537"/>
      <c r="GX77" s="537"/>
      <c r="GY77" s="537"/>
      <c r="GZ77" s="537"/>
      <c r="HA77" s="537"/>
      <c r="HB77" s="537"/>
      <c r="HC77" s="537"/>
      <c r="HD77" s="537"/>
      <c r="HE77" s="537"/>
      <c r="HF77" s="538"/>
      <c r="HG77" s="307" t="s">
        <v>8</v>
      </c>
      <c r="HH77" s="304">
        <f>SUM(HH74:HH76)</f>
        <v>0</v>
      </c>
      <c r="HJ77" s="37"/>
      <c r="HK77" s="37"/>
      <c r="HL77" s="37"/>
      <c r="HM77" s="37"/>
      <c r="HN77" s="37"/>
      <c r="HO77" s="37"/>
      <c r="HP77" s="37"/>
      <c r="HQ77" s="37"/>
      <c r="HR77" s="37"/>
      <c r="HS77" s="37"/>
      <c r="HT77" s="37"/>
      <c r="HU77" s="37"/>
      <c r="HV77" s="37"/>
      <c r="HW77" s="37"/>
      <c r="HX77" s="37"/>
      <c r="HY77" s="37"/>
      <c r="HZ77" s="37"/>
      <c r="IA77" s="37"/>
      <c r="IB77" s="37"/>
      <c r="IC77" s="37"/>
      <c r="ID77" s="37"/>
      <c r="IE77" s="37"/>
      <c r="IF77" s="37"/>
      <c r="IG77" s="37"/>
      <c r="IH77" s="37"/>
      <c r="II77" s="37"/>
      <c r="IJ77" s="37"/>
      <c r="IK77" s="37"/>
      <c r="IL77" s="37"/>
      <c r="IM77" s="37"/>
      <c r="IN77" s="37"/>
      <c r="IO77" s="37"/>
      <c r="IP77" s="37"/>
    </row>
    <row r="78" spans="1:250" ht="15.6" x14ac:dyDescent="0.3">
      <c r="A78" s="543"/>
      <c r="B78" s="544"/>
      <c r="C78" s="544"/>
      <c r="D78" s="544"/>
      <c r="E78" s="742" t="s">
        <v>161</v>
      </c>
      <c r="F78" s="742"/>
      <c r="G78" s="742"/>
      <c r="H78" s="742"/>
      <c r="I78" s="742"/>
      <c r="J78" s="742"/>
      <c r="K78" s="742"/>
      <c r="L78" s="742"/>
      <c r="M78" s="742"/>
      <c r="N78" s="544"/>
      <c r="O78" s="544"/>
      <c r="P78" s="544"/>
      <c r="Q78" s="544"/>
      <c r="R78" s="545"/>
      <c r="S78" s="543"/>
      <c r="T78" s="544"/>
      <c r="U78" s="544"/>
      <c r="V78" s="544"/>
      <c r="W78" s="742" t="s">
        <v>161</v>
      </c>
      <c r="X78" s="742"/>
      <c r="Y78" s="742"/>
      <c r="Z78" s="742"/>
      <c r="AA78" s="742"/>
      <c r="AB78" s="742"/>
      <c r="AC78" s="742"/>
      <c r="AD78" s="742"/>
      <c r="AE78" s="742"/>
      <c r="AF78" s="544"/>
      <c r="AG78" s="544"/>
      <c r="AH78" s="544"/>
      <c r="AI78" s="544"/>
      <c r="AJ78" s="545"/>
      <c r="AK78" s="543"/>
      <c r="AL78" s="544"/>
      <c r="AM78" s="544"/>
      <c r="AN78" s="544"/>
      <c r="AO78" s="742" t="s">
        <v>161</v>
      </c>
      <c r="AP78" s="742"/>
      <c r="AQ78" s="742"/>
      <c r="AR78" s="742"/>
      <c r="AS78" s="742"/>
      <c r="AT78" s="742"/>
      <c r="AU78" s="742"/>
      <c r="AV78" s="742"/>
      <c r="AW78" s="742"/>
      <c r="AX78" s="544"/>
      <c r="AY78" s="544"/>
      <c r="AZ78" s="544"/>
      <c r="BA78" s="544"/>
      <c r="BB78" s="545"/>
      <c r="BC78" s="543"/>
      <c r="BD78" s="544"/>
      <c r="BE78" s="544"/>
      <c r="BF78" s="544"/>
      <c r="BG78" s="742" t="s">
        <v>161</v>
      </c>
      <c r="BH78" s="742"/>
      <c r="BI78" s="742"/>
      <c r="BJ78" s="742"/>
      <c r="BK78" s="742"/>
      <c r="BL78" s="742"/>
      <c r="BM78" s="742"/>
      <c r="BN78" s="742"/>
      <c r="BO78" s="742"/>
      <c r="BP78" s="544"/>
      <c r="BQ78" s="544"/>
      <c r="BR78" s="544"/>
      <c r="BS78" s="544"/>
      <c r="BT78" s="545"/>
      <c r="BU78" s="543"/>
      <c r="BV78" s="544"/>
      <c r="BW78" s="544"/>
      <c r="BX78" s="544"/>
      <c r="BY78" s="742" t="s">
        <v>161</v>
      </c>
      <c r="BZ78" s="742"/>
      <c r="CA78" s="742"/>
      <c r="CB78" s="742"/>
      <c r="CC78" s="742"/>
      <c r="CD78" s="742"/>
      <c r="CE78" s="742"/>
      <c r="CF78" s="742"/>
      <c r="CG78" s="742"/>
      <c r="CH78" s="544"/>
      <c r="CI78" s="544"/>
      <c r="CJ78" s="544"/>
      <c r="CK78" s="544"/>
      <c r="CL78" s="545"/>
      <c r="CM78" s="543"/>
      <c r="CN78" s="544"/>
      <c r="CO78" s="544"/>
      <c r="CP78" s="544"/>
      <c r="CQ78" s="742" t="s">
        <v>161</v>
      </c>
      <c r="CR78" s="742"/>
      <c r="CS78" s="742"/>
      <c r="CT78" s="742"/>
      <c r="CU78" s="742"/>
      <c r="CV78" s="742"/>
      <c r="CW78" s="742"/>
      <c r="CX78" s="742"/>
      <c r="CY78" s="742"/>
      <c r="CZ78" s="544"/>
      <c r="DA78" s="544"/>
      <c r="DB78" s="544"/>
      <c r="DC78" s="544"/>
      <c r="DD78" s="545"/>
      <c r="DE78" s="543"/>
      <c r="DF78" s="544"/>
      <c r="DG78" s="544"/>
      <c r="DH78" s="544"/>
      <c r="DI78" s="742" t="s">
        <v>161</v>
      </c>
      <c r="DJ78" s="742"/>
      <c r="DK78" s="742"/>
      <c r="DL78" s="742"/>
      <c r="DM78" s="742"/>
      <c r="DN78" s="742"/>
      <c r="DO78" s="742"/>
      <c r="DP78" s="742"/>
      <c r="DQ78" s="742"/>
      <c r="DR78" s="544"/>
      <c r="DS78" s="544"/>
      <c r="DT78" s="544"/>
      <c r="DU78" s="544"/>
      <c r="DV78" s="545"/>
      <c r="DW78" s="543"/>
      <c r="DX78" s="544"/>
      <c r="DY78" s="544"/>
      <c r="DZ78" s="544"/>
      <c r="EA78" s="742" t="s">
        <v>161</v>
      </c>
      <c r="EB78" s="742"/>
      <c r="EC78" s="742"/>
      <c r="ED78" s="742"/>
      <c r="EE78" s="742"/>
      <c r="EF78" s="742"/>
      <c r="EG78" s="742"/>
      <c r="EH78" s="742"/>
      <c r="EI78" s="742"/>
      <c r="EJ78" s="544"/>
      <c r="EK78" s="544"/>
      <c r="EL78" s="544"/>
      <c r="EM78" s="544"/>
      <c r="EN78" s="545"/>
      <c r="EO78" s="543"/>
      <c r="EP78" s="544"/>
      <c r="EQ78" s="544"/>
      <c r="ER78" s="544"/>
      <c r="ES78" s="742" t="s">
        <v>161</v>
      </c>
      <c r="ET78" s="742"/>
      <c r="EU78" s="742"/>
      <c r="EV78" s="742"/>
      <c r="EW78" s="742"/>
      <c r="EX78" s="742"/>
      <c r="EY78" s="742"/>
      <c r="EZ78" s="742"/>
      <c r="FA78" s="742"/>
      <c r="FB78" s="544"/>
      <c r="FC78" s="544"/>
      <c r="FD78" s="544"/>
      <c r="FE78" s="544"/>
      <c r="FF78" s="545"/>
      <c r="FG78" s="543"/>
      <c r="FH78" s="544"/>
      <c r="FI78" s="544"/>
      <c r="FJ78" s="544"/>
      <c r="FK78" s="742" t="s">
        <v>161</v>
      </c>
      <c r="FL78" s="742"/>
      <c r="FM78" s="742"/>
      <c r="FN78" s="742"/>
      <c r="FO78" s="742"/>
      <c r="FP78" s="742"/>
      <c r="FQ78" s="742"/>
      <c r="FR78" s="742"/>
      <c r="FS78" s="742"/>
      <c r="FT78" s="544"/>
      <c r="FU78" s="544"/>
      <c r="FV78" s="544"/>
      <c r="FW78" s="544"/>
      <c r="FX78" s="545"/>
      <c r="FY78" s="543"/>
      <c r="FZ78" s="544"/>
      <c r="GA78" s="544"/>
      <c r="GB78" s="544"/>
      <c r="GC78" s="742" t="s">
        <v>161</v>
      </c>
      <c r="GD78" s="742"/>
      <c r="GE78" s="742"/>
      <c r="GF78" s="742"/>
      <c r="GG78" s="742"/>
      <c r="GH78" s="742"/>
      <c r="GI78" s="742"/>
      <c r="GJ78" s="742"/>
      <c r="GK78" s="742"/>
      <c r="GL78" s="544"/>
      <c r="GM78" s="544"/>
      <c r="GN78" s="544"/>
      <c r="GO78" s="544"/>
      <c r="GP78" s="545"/>
      <c r="GQ78" s="543"/>
      <c r="GR78" s="544"/>
      <c r="GS78" s="544"/>
      <c r="GT78" s="544"/>
      <c r="GU78" s="742" t="s">
        <v>161</v>
      </c>
      <c r="GV78" s="742"/>
      <c r="GW78" s="742"/>
      <c r="GX78" s="742"/>
      <c r="GY78" s="742"/>
      <c r="GZ78" s="742"/>
      <c r="HA78" s="742"/>
      <c r="HB78" s="742"/>
      <c r="HC78" s="742"/>
      <c r="HD78" s="544"/>
      <c r="HE78" s="544"/>
      <c r="HF78" s="544"/>
      <c r="HG78" s="544"/>
      <c r="HH78" s="545"/>
      <c r="HJ78" s="37"/>
      <c r="HK78" s="37"/>
      <c r="HL78" s="37"/>
      <c r="HM78" s="37"/>
      <c r="HN78" s="37"/>
      <c r="HO78" s="37"/>
      <c r="HP78" s="37"/>
      <c r="HQ78" s="37"/>
      <c r="HR78" s="37"/>
      <c r="HS78" s="37"/>
      <c r="HT78" s="37"/>
      <c r="HU78" s="37"/>
      <c r="HV78" s="37"/>
      <c r="HW78" s="37"/>
      <c r="HX78" s="37"/>
      <c r="HY78" s="37"/>
      <c r="HZ78" s="37"/>
      <c r="IA78" s="37"/>
      <c r="IB78" s="37"/>
      <c r="IC78" s="37"/>
      <c r="ID78" s="37"/>
      <c r="IE78" s="37"/>
      <c r="IF78" s="37"/>
      <c r="IG78" s="37"/>
      <c r="IH78" s="37"/>
      <c r="II78" s="37"/>
      <c r="IJ78" s="37"/>
      <c r="IK78" s="37"/>
      <c r="IL78" s="37"/>
      <c r="IM78" s="37"/>
      <c r="IN78" s="37"/>
      <c r="IO78" s="37"/>
      <c r="IP78" s="37"/>
    </row>
    <row r="79" spans="1:250" x14ac:dyDescent="0.3">
      <c r="A79" s="58">
        <v>0</v>
      </c>
      <c r="B79" s="68" t="s">
        <v>133</v>
      </c>
      <c r="C79" s="28">
        <f t="shared" ref="C79:C81" si="1236">D79/$AM$4</f>
        <v>0</v>
      </c>
      <c r="D79" s="69">
        <v>0</v>
      </c>
      <c r="E79" s="28">
        <f t="shared" ref="E79:E81" si="1237">D79*E$6</f>
        <v>0</v>
      </c>
      <c r="F79" s="28">
        <f t="shared" ref="F79:F81" si="1238">D79*F$6</f>
        <v>0</v>
      </c>
      <c r="G79" s="28">
        <f t="shared" ref="G79:G81" si="1239">D79/G$6</f>
        <v>0</v>
      </c>
      <c r="H79" s="72">
        <f t="shared" ref="H79:H81" si="1240">G79/H$6</f>
        <v>0</v>
      </c>
      <c r="I79" s="70">
        <f t="shared" ref="I79:I81" si="1241">D79/I$6</f>
        <v>0</v>
      </c>
      <c r="J79" s="70">
        <f t="shared" ref="J79:J81" si="1242">SUM(D79:I79)</f>
        <v>0</v>
      </c>
      <c r="K79" s="71">
        <v>0</v>
      </c>
      <c r="L79" s="71">
        <v>0</v>
      </c>
      <c r="M79" s="72">
        <f t="shared" ref="M79:M81" si="1243">((C79*M$6)+(C79*$AO$6)+(C79*$AP$6))*K79</f>
        <v>0</v>
      </c>
      <c r="N79" s="72">
        <f t="shared" ref="N79:N81" si="1244">((C79*N$6)+(C79*$AO$6)+(C79*$AP$6))*L79</f>
        <v>0</v>
      </c>
      <c r="O79" s="70">
        <f t="shared" ref="O79:O81" si="1245">SUM(M79:N79)</f>
        <v>0</v>
      </c>
      <c r="P79" s="73">
        <v>0</v>
      </c>
      <c r="Q79" s="74">
        <f t="shared" ref="Q79:Q81" si="1246">IF(A79=1,($C$1*$Q$6),0)</f>
        <v>0</v>
      </c>
      <c r="R79" s="303">
        <f t="shared" ref="R79:R81" si="1247">J79+O79+P79+Q79</f>
        <v>0</v>
      </c>
      <c r="S79" s="58">
        <v>0</v>
      </c>
      <c r="T79" s="68" t="s">
        <v>133</v>
      </c>
      <c r="U79" s="28">
        <f t="shared" ref="U79:U81" si="1248">V79/$AM$4</f>
        <v>0</v>
      </c>
      <c r="V79" s="69">
        <v>0</v>
      </c>
      <c r="W79" s="28">
        <f t="shared" ref="W79:W81" si="1249">V79*W$6</f>
        <v>0</v>
      </c>
      <c r="X79" s="28">
        <f t="shared" ref="X79:X81" si="1250">V79*X$6</f>
        <v>0</v>
      </c>
      <c r="Y79" s="28">
        <f t="shared" ref="Y79:Y81" si="1251">V79/Y$6</f>
        <v>0</v>
      </c>
      <c r="Z79" s="72">
        <f t="shared" ref="Z79:Z81" si="1252">Y79/Z$6</f>
        <v>0</v>
      </c>
      <c r="AA79" s="70">
        <f t="shared" ref="AA79:AA81" si="1253">V79/AA$6</f>
        <v>0</v>
      </c>
      <c r="AB79" s="70">
        <f t="shared" ref="AB79:AB81" si="1254">SUM(V79:AA79)</f>
        <v>0</v>
      </c>
      <c r="AC79" s="71">
        <v>0</v>
      </c>
      <c r="AD79" s="71">
        <v>0</v>
      </c>
      <c r="AE79" s="72">
        <f t="shared" ref="AE79:AE81" si="1255">((U79*AE$6)+(U79*$AO$6)+(U79*$AP$6))*AC79</f>
        <v>0</v>
      </c>
      <c r="AF79" s="72">
        <f t="shared" ref="AF79:AF81" si="1256">((U79*AF$6)+(U79*$AO$6)+(U79*$AP$6))*AD79</f>
        <v>0</v>
      </c>
      <c r="AG79" s="70">
        <f t="shared" ref="AG79:AG81" si="1257">SUM(AE79:AF79)</f>
        <v>0</v>
      </c>
      <c r="AH79" s="73">
        <v>0</v>
      </c>
      <c r="AI79" s="74">
        <f t="shared" ref="AI79:AI81" si="1258">IF(S79=1,($C$1*$Q$6),0)</f>
        <v>0</v>
      </c>
      <c r="AJ79" s="303">
        <f t="shared" ref="AJ79:AJ81" si="1259">AB79+AG79+AH79+AI79</f>
        <v>0</v>
      </c>
      <c r="AK79" s="58">
        <v>0</v>
      </c>
      <c r="AL79" s="68" t="s">
        <v>133</v>
      </c>
      <c r="AM79" s="28">
        <f t="shared" ref="AM79:AM81" si="1260">AN79/$AM$4</f>
        <v>0</v>
      </c>
      <c r="AN79" s="69">
        <v>0</v>
      </c>
      <c r="AO79" s="28">
        <f t="shared" ref="AO79:AO81" si="1261">AN79*AO$6</f>
        <v>0</v>
      </c>
      <c r="AP79" s="28">
        <f t="shared" ref="AP79:AP81" si="1262">AN79*AP$6</f>
        <v>0</v>
      </c>
      <c r="AQ79" s="28">
        <f t="shared" ref="AQ79:AQ81" si="1263">AN79/AQ$6</f>
        <v>0</v>
      </c>
      <c r="AR79" s="72">
        <f t="shared" ref="AR79:AR81" si="1264">AQ79/AR$6</f>
        <v>0</v>
      </c>
      <c r="AS79" s="70">
        <f t="shared" ref="AS79:AS81" si="1265">AN79/AS$6</f>
        <v>0</v>
      </c>
      <c r="AT79" s="70">
        <f t="shared" ref="AT79:AT81" si="1266">SUM(AN79:AS79)</f>
        <v>0</v>
      </c>
      <c r="AU79" s="71">
        <v>0</v>
      </c>
      <c r="AV79" s="71">
        <v>0</v>
      </c>
      <c r="AW79" s="72">
        <f t="shared" ref="AW79:AW81" si="1267">((AM79*AW$6)+(AM79*$AO$6)+(AM79*$AP$6))*AU79</f>
        <v>0</v>
      </c>
      <c r="AX79" s="72">
        <f t="shared" ref="AX79:AX81" si="1268">((AM79*AX$6)+(AM79*$AO$6)+(AM79*$AP$6))*AV79</f>
        <v>0</v>
      </c>
      <c r="AY79" s="70">
        <f t="shared" ref="AY79:AY81" si="1269">SUM(AW79:AX79)</f>
        <v>0</v>
      </c>
      <c r="AZ79" s="73">
        <v>0</v>
      </c>
      <c r="BA79" s="74">
        <f t="shared" ref="BA79:BA81" si="1270">IF(AK79=1,($C$1*$Q$6),0)</f>
        <v>0</v>
      </c>
      <c r="BB79" s="303">
        <f t="shared" ref="BB79:BB81" si="1271">AT79+AY79+AZ79+BA79</f>
        <v>0</v>
      </c>
      <c r="BC79" s="58">
        <v>0</v>
      </c>
      <c r="BD79" s="68" t="s">
        <v>133</v>
      </c>
      <c r="BE79" s="28">
        <f t="shared" ref="BE79:BE81" si="1272">BF79/$AM$4</f>
        <v>0</v>
      </c>
      <c r="BF79" s="69">
        <v>0</v>
      </c>
      <c r="BG79" s="28">
        <f t="shared" ref="BG79:BG81" si="1273">BF79*BG$6</f>
        <v>0</v>
      </c>
      <c r="BH79" s="28">
        <f t="shared" ref="BH79:BH81" si="1274">BF79*BH$6</f>
        <v>0</v>
      </c>
      <c r="BI79" s="28">
        <f t="shared" ref="BI79:BI81" si="1275">BF79/BI$6</f>
        <v>0</v>
      </c>
      <c r="BJ79" s="72">
        <f t="shared" ref="BJ79:BJ81" si="1276">BI79/BJ$6</f>
        <v>0</v>
      </c>
      <c r="BK79" s="70">
        <f t="shared" ref="BK79:BK81" si="1277">BF79/BK$6</f>
        <v>0</v>
      </c>
      <c r="BL79" s="70">
        <f t="shared" ref="BL79:BL81" si="1278">SUM(BF79:BK79)</f>
        <v>0</v>
      </c>
      <c r="BM79" s="71">
        <v>0</v>
      </c>
      <c r="BN79" s="71">
        <v>0</v>
      </c>
      <c r="BO79" s="72">
        <f t="shared" ref="BO79:BO81" si="1279">((BE79*BO$6)+(BE79*$AO$6)+(BE79*$AP$6))*BM79</f>
        <v>0</v>
      </c>
      <c r="BP79" s="72">
        <f t="shared" ref="BP79:BP81" si="1280">((BE79*BP$6)+(BE79*$AO$6)+(BE79*$AP$6))*BN79</f>
        <v>0</v>
      </c>
      <c r="BQ79" s="70">
        <f t="shared" ref="BQ79:BQ81" si="1281">SUM(BO79:BP79)</f>
        <v>0</v>
      </c>
      <c r="BR79" s="73">
        <v>0</v>
      </c>
      <c r="BS79" s="74">
        <f t="shared" ref="BS79:BS81" si="1282">IF(BC79=1,($C$1*$Q$6),0)</f>
        <v>0</v>
      </c>
      <c r="BT79" s="303">
        <f t="shared" ref="BT79:BT81" si="1283">BL79+BQ79+BR79+BS79</f>
        <v>0</v>
      </c>
      <c r="BU79" s="58">
        <v>0</v>
      </c>
      <c r="BV79" s="68" t="s">
        <v>133</v>
      </c>
      <c r="BW79" s="28">
        <f t="shared" ref="BW79:BW81" si="1284">BX79/$AM$4</f>
        <v>0</v>
      </c>
      <c r="BX79" s="69">
        <v>0</v>
      </c>
      <c r="BY79" s="28">
        <f t="shared" ref="BY79:BY81" si="1285">BX79*BY$6</f>
        <v>0</v>
      </c>
      <c r="BZ79" s="28">
        <f t="shared" ref="BZ79:BZ81" si="1286">BX79*BZ$6</f>
        <v>0</v>
      </c>
      <c r="CA79" s="28">
        <f t="shared" ref="CA79:CA81" si="1287">BX79/CA$6</f>
        <v>0</v>
      </c>
      <c r="CB79" s="72">
        <f t="shared" ref="CB79:CB81" si="1288">CA79/CB$6</f>
        <v>0</v>
      </c>
      <c r="CC79" s="70">
        <f t="shared" ref="CC79:CC81" si="1289">BX79/CC$6</f>
        <v>0</v>
      </c>
      <c r="CD79" s="70">
        <f t="shared" ref="CD79:CD81" si="1290">SUM(BX79:CC79)</f>
        <v>0</v>
      </c>
      <c r="CE79" s="71">
        <v>0</v>
      </c>
      <c r="CF79" s="71">
        <v>0</v>
      </c>
      <c r="CG79" s="72">
        <f t="shared" ref="CG79:CG81" si="1291">((BW79*CG$6)+(BW79*$AO$6)+(BW79*$AP$6))*CE79</f>
        <v>0</v>
      </c>
      <c r="CH79" s="72">
        <f t="shared" ref="CH79:CH81" si="1292">((BW79*CH$6)+(BW79*$AO$6)+(BW79*$AP$6))*CF79</f>
        <v>0</v>
      </c>
      <c r="CI79" s="70">
        <f t="shared" ref="CI79:CI81" si="1293">SUM(CG79:CH79)</f>
        <v>0</v>
      </c>
      <c r="CJ79" s="73">
        <v>0</v>
      </c>
      <c r="CK79" s="74">
        <f t="shared" ref="CK79:CK81" si="1294">IF(BU79=1,($C$1*$Q$6),0)</f>
        <v>0</v>
      </c>
      <c r="CL79" s="303">
        <f t="shared" ref="CL79:CL81" si="1295">CD79+CI79+CJ79+CK79</f>
        <v>0</v>
      </c>
      <c r="CM79" s="58">
        <v>0</v>
      </c>
      <c r="CN79" s="68" t="s">
        <v>133</v>
      </c>
      <c r="CO79" s="28">
        <f t="shared" ref="CO79:CO81" si="1296">CP79/$AM$4</f>
        <v>0</v>
      </c>
      <c r="CP79" s="69">
        <v>0</v>
      </c>
      <c r="CQ79" s="28">
        <f t="shared" ref="CQ79:CQ81" si="1297">CP79*CQ$6</f>
        <v>0</v>
      </c>
      <c r="CR79" s="28">
        <f t="shared" ref="CR79:CR81" si="1298">CP79*CR$6</f>
        <v>0</v>
      </c>
      <c r="CS79" s="28">
        <f t="shared" ref="CS79:CS81" si="1299">CP79/CS$6</f>
        <v>0</v>
      </c>
      <c r="CT79" s="72">
        <f t="shared" ref="CT79:CT81" si="1300">CS79/CT$6</f>
        <v>0</v>
      </c>
      <c r="CU79" s="70">
        <f t="shared" ref="CU79:CU81" si="1301">CP79/CU$6</f>
        <v>0</v>
      </c>
      <c r="CV79" s="70">
        <f t="shared" ref="CV79:CV81" si="1302">SUM(CP79:CU79)</f>
        <v>0</v>
      </c>
      <c r="CW79" s="71">
        <v>0</v>
      </c>
      <c r="CX79" s="71">
        <v>0</v>
      </c>
      <c r="CY79" s="72">
        <f t="shared" ref="CY79:CY81" si="1303">((CO79*CY$6)+(CO79*$AO$6)+(CO79*$AP$6))*CW79</f>
        <v>0</v>
      </c>
      <c r="CZ79" s="72">
        <f t="shared" ref="CZ79:CZ81" si="1304">((CO79*CZ$6)+(CO79*$AO$6)+(CO79*$AP$6))*CX79</f>
        <v>0</v>
      </c>
      <c r="DA79" s="70">
        <f t="shared" ref="DA79:DA81" si="1305">SUM(CY79:CZ79)</f>
        <v>0</v>
      </c>
      <c r="DB79" s="73">
        <v>0</v>
      </c>
      <c r="DC79" s="74">
        <f t="shared" ref="DC79:DC81" si="1306">IF(CM79=1,($C$1*$Q$6),0)</f>
        <v>0</v>
      </c>
      <c r="DD79" s="303">
        <f t="shared" ref="DD79:DD81" si="1307">CV79+DA79+DB79+DC79</f>
        <v>0</v>
      </c>
      <c r="DE79" s="58">
        <v>0</v>
      </c>
      <c r="DF79" s="68" t="s">
        <v>133</v>
      </c>
      <c r="DG79" s="28">
        <f t="shared" ref="DG79:DG81" si="1308">DH79/$AM$4</f>
        <v>0</v>
      </c>
      <c r="DH79" s="69">
        <v>0</v>
      </c>
      <c r="DI79" s="28">
        <f t="shared" ref="DI79:DI81" si="1309">DH79*DI$6</f>
        <v>0</v>
      </c>
      <c r="DJ79" s="28">
        <f t="shared" ref="DJ79:DJ81" si="1310">DH79*DJ$6</f>
        <v>0</v>
      </c>
      <c r="DK79" s="28">
        <f t="shared" ref="DK79:DK81" si="1311">DH79/DK$6</f>
        <v>0</v>
      </c>
      <c r="DL79" s="72">
        <f t="shared" ref="DL79:DL81" si="1312">DK79/DL$6</f>
        <v>0</v>
      </c>
      <c r="DM79" s="70">
        <f t="shared" ref="DM79:DM81" si="1313">DH79/DM$6</f>
        <v>0</v>
      </c>
      <c r="DN79" s="70">
        <f t="shared" ref="DN79:DN81" si="1314">SUM(DH79:DM79)</f>
        <v>0</v>
      </c>
      <c r="DO79" s="71">
        <v>0</v>
      </c>
      <c r="DP79" s="71">
        <v>0</v>
      </c>
      <c r="DQ79" s="72">
        <f t="shared" ref="DQ79:DQ81" si="1315">((DG79*DQ$6)+(DG79*$AO$6)+(DG79*$AP$6))*DO79</f>
        <v>0</v>
      </c>
      <c r="DR79" s="72">
        <f t="shared" ref="DR79:DR81" si="1316">((DG79*DR$6)+(DG79*$AO$6)+(DG79*$AP$6))*DP79</f>
        <v>0</v>
      </c>
      <c r="DS79" s="70">
        <f t="shared" ref="DS79:DS81" si="1317">SUM(DQ79:DR79)</f>
        <v>0</v>
      </c>
      <c r="DT79" s="73">
        <v>0</v>
      </c>
      <c r="DU79" s="74">
        <f t="shared" ref="DU79:DU81" si="1318">IF(DE79=1,($C$1*$Q$6),0)</f>
        <v>0</v>
      </c>
      <c r="DV79" s="303">
        <f t="shared" ref="DV79:DV81" si="1319">DN79+DS79+DT79+DU79</f>
        <v>0</v>
      </c>
      <c r="DW79" s="58">
        <v>0</v>
      </c>
      <c r="DX79" s="68" t="s">
        <v>133</v>
      </c>
      <c r="DY79" s="28">
        <f t="shared" ref="DY79:DY81" si="1320">DZ79/$AM$4</f>
        <v>0</v>
      </c>
      <c r="DZ79" s="69">
        <v>0</v>
      </c>
      <c r="EA79" s="28">
        <f t="shared" ref="EA79:EA81" si="1321">DZ79*EA$6</f>
        <v>0</v>
      </c>
      <c r="EB79" s="28">
        <f t="shared" ref="EB79:EB81" si="1322">DZ79*EB$6</f>
        <v>0</v>
      </c>
      <c r="EC79" s="28">
        <f t="shared" ref="EC79:EC81" si="1323">DZ79/EC$6</f>
        <v>0</v>
      </c>
      <c r="ED79" s="72">
        <f t="shared" ref="ED79:ED81" si="1324">EC79/ED$6</f>
        <v>0</v>
      </c>
      <c r="EE79" s="70">
        <f t="shared" ref="EE79:EE81" si="1325">DZ79/EE$6</f>
        <v>0</v>
      </c>
      <c r="EF79" s="70">
        <f t="shared" ref="EF79:EF81" si="1326">SUM(DZ79:EE79)</f>
        <v>0</v>
      </c>
      <c r="EG79" s="71">
        <v>0</v>
      </c>
      <c r="EH79" s="71">
        <v>0</v>
      </c>
      <c r="EI79" s="72">
        <f t="shared" ref="EI79:EI81" si="1327">((DY79*EI$6)+(DY79*$AO$6)+(DY79*$AP$6))*EG79</f>
        <v>0</v>
      </c>
      <c r="EJ79" s="72">
        <f t="shared" ref="EJ79:EJ81" si="1328">((DY79*EJ$6)+(DY79*$AO$6)+(DY79*$AP$6))*EH79</f>
        <v>0</v>
      </c>
      <c r="EK79" s="70">
        <f t="shared" ref="EK79:EK81" si="1329">SUM(EI79:EJ79)</f>
        <v>0</v>
      </c>
      <c r="EL79" s="73">
        <v>0</v>
      </c>
      <c r="EM79" s="74">
        <f t="shared" ref="EM79:EM81" si="1330">IF(DW79=1,($C$1*$Q$6),0)</f>
        <v>0</v>
      </c>
      <c r="EN79" s="303">
        <f t="shared" ref="EN79:EN81" si="1331">EF79+EK79+EL79+EM79</f>
        <v>0</v>
      </c>
      <c r="EO79" s="58">
        <v>0</v>
      </c>
      <c r="EP79" s="68" t="s">
        <v>133</v>
      </c>
      <c r="EQ79" s="28">
        <f t="shared" ref="EQ79:EQ81" si="1332">ER79/$AM$4</f>
        <v>0</v>
      </c>
      <c r="ER79" s="69">
        <v>0</v>
      </c>
      <c r="ES79" s="28">
        <f t="shared" ref="ES79:ES81" si="1333">ER79*ES$6</f>
        <v>0</v>
      </c>
      <c r="ET79" s="28">
        <f t="shared" ref="ET79:ET81" si="1334">ER79*ET$6</f>
        <v>0</v>
      </c>
      <c r="EU79" s="28">
        <f t="shared" ref="EU79:EU81" si="1335">ER79/EU$6</f>
        <v>0</v>
      </c>
      <c r="EV79" s="72">
        <f t="shared" ref="EV79:EV81" si="1336">EU79/EV$6</f>
        <v>0</v>
      </c>
      <c r="EW79" s="70">
        <f t="shared" ref="EW79:EW81" si="1337">ER79/EW$6</f>
        <v>0</v>
      </c>
      <c r="EX79" s="70">
        <f t="shared" ref="EX79:EX81" si="1338">SUM(ER79:EW79)</f>
        <v>0</v>
      </c>
      <c r="EY79" s="71">
        <v>0</v>
      </c>
      <c r="EZ79" s="71">
        <v>0</v>
      </c>
      <c r="FA79" s="72">
        <f t="shared" ref="FA79:FA81" si="1339">((EQ79*FA$6)+(EQ79*$AO$6)+(EQ79*$AP$6))*EY79</f>
        <v>0</v>
      </c>
      <c r="FB79" s="72">
        <f t="shared" ref="FB79:FB81" si="1340">((EQ79*FB$6)+(EQ79*$AO$6)+(EQ79*$AP$6))*EZ79</f>
        <v>0</v>
      </c>
      <c r="FC79" s="70">
        <f t="shared" ref="FC79:FC81" si="1341">SUM(FA79:FB79)</f>
        <v>0</v>
      </c>
      <c r="FD79" s="73">
        <v>0</v>
      </c>
      <c r="FE79" s="74">
        <f t="shared" ref="FE79:FE81" si="1342">IF(EO79=1,($C$1*$Q$6),0)</f>
        <v>0</v>
      </c>
      <c r="FF79" s="303">
        <f t="shared" ref="FF79:FF81" si="1343">EX79+FC79+FD79+FE79</f>
        <v>0</v>
      </c>
      <c r="FG79" s="58">
        <v>0</v>
      </c>
      <c r="FH79" s="68" t="s">
        <v>133</v>
      </c>
      <c r="FI79" s="28">
        <f t="shared" ref="FI79:FI81" si="1344">FJ79/$AM$4</f>
        <v>0</v>
      </c>
      <c r="FJ79" s="69">
        <v>0</v>
      </c>
      <c r="FK79" s="28">
        <f t="shared" ref="FK79:FK81" si="1345">FJ79*FK$6</f>
        <v>0</v>
      </c>
      <c r="FL79" s="28">
        <f t="shared" ref="FL79:FL81" si="1346">FJ79*FL$6</f>
        <v>0</v>
      </c>
      <c r="FM79" s="28">
        <f t="shared" ref="FM79:FM81" si="1347">FJ79/FM$6</f>
        <v>0</v>
      </c>
      <c r="FN79" s="72">
        <f t="shared" ref="FN79:FN81" si="1348">FM79/FN$6</f>
        <v>0</v>
      </c>
      <c r="FO79" s="70">
        <f t="shared" ref="FO79:FO81" si="1349">FJ79/FO$6</f>
        <v>0</v>
      </c>
      <c r="FP79" s="70">
        <f t="shared" ref="FP79:FP81" si="1350">SUM(FJ79:FO79)</f>
        <v>0</v>
      </c>
      <c r="FQ79" s="71">
        <v>0</v>
      </c>
      <c r="FR79" s="71">
        <v>0</v>
      </c>
      <c r="FS79" s="72">
        <f t="shared" ref="FS79:FS81" si="1351">((FI79*FS$6)+(FI79*$AO$6)+(FI79*$AP$6))*FQ79</f>
        <v>0</v>
      </c>
      <c r="FT79" s="72">
        <f t="shared" ref="FT79:FT81" si="1352">((FI79*FT$6)+(FI79*$AO$6)+(FI79*$AP$6))*FR79</f>
        <v>0</v>
      </c>
      <c r="FU79" s="70">
        <f t="shared" ref="FU79:FU81" si="1353">SUM(FS79:FT79)</f>
        <v>0</v>
      </c>
      <c r="FV79" s="73">
        <v>0</v>
      </c>
      <c r="FW79" s="74">
        <f t="shared" ref="FW79:FW81" si="1354">IF(FG79=1,($C$1*$Q$6),0)</f>
        <v>0</v>
      </c>
      <c r="FX79" s="303">
        <f t="shared" ref="FX79:FX81" si="1355">FP79+FU79+FV79+FW79</f>
        <v>0</v>
      </c>
      <c r="FY79" s="58">
        <v>0</v>
      </c>
      <c r="FZ79" s="68" t="s">
        <v>133</v>
      </c>
      <c r="GA79" s="28">
        <f t="shared" ref="GA79:GA81" si="1356">GB79/$AM$4</f>
        <v>0</v>
      </c>
      <c r="GB79" s="69">
        <v>0</v>
      </c>
      <c r="GC79" s="28">
        <f t="shared" ref="GC79:GC81" si="1357">GB79*GC$6</f>
        <v>0</v>
      </c>
      <c r="GD79" s="28">
        <f t="shared" ref="GD79:GD81" si="1358">GB79*GD$6</f>
        <v>0</v>
      </c>
      <c r="GE79" s="28">
        <f t="shared" ref="GE79:GE81" si="1359">GB79/GE$6</f>
        <v>0</v>
      </c>
      <c r="GF79" s="72">
        <f t="shared" ref="GF79:GF81" si="1360">GE79/GF$6</f>
        <v>0</v>
      </c>
      <c r="GG79" s="70">
        <f t="shared" ref="GG79:GG81" si="1361">GB79/GG$6</f>
        <v>0</v>
      </c>
      <c r="GH79" s="70">
        <f t="shared" ref="GH79:GH81" si="1362">SUM(GB79:GG79)</f>
        <v>0</v>
      </c>
      <c r="GI79" s="71">
        <v>0</v>
      </c>
      <c r="GJ79" s="71">
        <v>0</v>
      </c>
      <c r="GK79" s="72">
        <f t="shared" ref="GK79:GK81" si="1363">((GA79*GK$6)+(GA79*$AO$6)+(GA79*$AP$6))*GI79</f>
        <v>0</v>
      </c>
      <c r="GL79" s="72">
        <f t="shared" ref="GL79:GL81" si="1364">((GA79*GL$6)+(GA79*$AO$6)+(GA79*$AP$6))*GJ79</f>
        <v>0</v>
      </c>
      <c r="GM79" s="70">
        <f t="shared" ref="GM79:GM81" si="1365">SUM(GK79:GL79)</f>
        <v>0</v>
      </c>
      <c r="GN79" s="73">
        <v>0</v>
      </c>
      <c r="GO79" s="74">
        <f t="shared" ref="GO79:GO81" si="1366">IF(FY79=1,($C$1*$Q$6),0)</f>
        <v>0</v>
      </c>
      <c r="GP79" s="303">
        <f t="shared" ref="GP79:GP81" si="1367">GH79+GM79+GN79+GO79</f>
        <v>0</v>
      </c>
      <c r="GQ79" s="58">
        <v>0</v>
      </c>
      <c r="GR79" s="68" t="s">
        <v>133</v>
      </c>
      <c r="GS79" s="28">
        <f t="shared" ref="GS79:GS81" si="1368">GT79/$AM$4</f>
        <v>0</v>
      </c>
      <c r="GT79" s="69">
        <v>0</v>
      </c>
      <c r="GU79" s="28">
        <f t="shared" ref="GU79:GU81" si="1369">GT79*GU$6</f>
        <v>0</v>
      </c>
      <c r="GV79" s="28">
        <f t="shared" ref="GV79:GV81" si="1370">GT79*GV$6</f>
        <v>0</v>
      </c>
      <c r="GW79" s="28">
        <f t="shared" ref="GW79:GW81" si="1371">GT79/GW$6</f>
        <v>0</v>
      </c>
      <c r="GX79" s="72">
        <f t="shared" ref="GX79:GX81" si="1372">GW79/GX$6</f>
        <v>0</v>
      </c>
      <c r="GY79" s="70">
        <f t="shared" ref="GY79:GY81" si="1373">GT79/GY$6</f>
        <v>0</v>
      </c>
      <c r="GZ79" s="70">
        <f t="shared" ref="GZ79:GZ81" si="1374">SUM(GT79:GY79)</f>
        <v>0</v>
      </c>
      <c r="HA79" s="71">
        <v>0</v>
      </c>
      <c r="HB79" s="71">
        <v>0</v>
      </c>
      <c r="HC79" s="72">
        <f t="shared" ref="HC79:HC81" si="1375">((GS79*HC$6)+(GS79*$AO$6)+(GS79*$AP$6))*HA79</f>
        <v>0</v>
      </c>
      <c r="HD79" s="72">
        <f t="shared" ref="HD79:HD81" si="1376">((GS79*HD$6)+(GS79*$AO$6)+(GS79*$AP$6))*HB79</f>
        <v>0</v>
      </c>
      <c r="HE79" s="70">
        <f t="shared" ref="HE79:HE81" si="1377">SUM(HC79:HD79)</f>
        <v>0</v>
      </c>
      <c r="HF79" s="73">
        <v>0</v>
      </c>
      <c r="HG79" s="74">
        <f t="shared" ref="HG79:HG81" si="1378">IF(GQ79=1,($C$1*$Q$6),0)</f>
        <v>0</v>
      </c>
      <c r="HH79" s="303">
        <f t="shared" ref="HH79:HH81" si="1379">GZ79+HE79+HF79+HG79</f>
        <v>0</v>
      </c>
      <c r="HJ79" s="37"/>
      <c r="HK79" s="37"/>
      <c r="HL79" s="37"/>
      <c r="HM79" s="37"/>
      <c r="HN79" s="37"/>
      <c r="HO79" s="37"/>
      <c r="HP79" s="37"/>
      <c r="HQ79" s="37"/>
      <c r="HR79" s="37"/>
      <c r="HS79" s="37"/>
      <c r="HT79" s="37"/>
      <c r="HU79" s="37"/>
      <c r="HV79" s="37"/>
      <c r="HW79" s="37"/>
      <c r="HX79" s="37"/>
      <c r="HY79" s="37"/>
      <c r="HZ79" s="37"/>
      <c r="IA79" s="37"/>
      <c r="IB79" s="37"/>
      <c r="IC79" s="37"/>
      <c r="ID79" s="37"/>
      <c r="IE79" s="37"/>
      <c r="IF79" s="37"/>
      <c r="IG79" s="37"/>
      <c r="IH79" s="37"/>
      <c r="II79" s="37"/>
      <c r="IJ79" s="37"/>
      <c r="IK79" s="37"/>
      <c r="IL79" s="37"/>
      <c r="IM79" s="37"/>
      <c r="IN79" s="37"/>
      <c r="IO79" s="37"/>
      <c r="IP79" s="37"/>
    </row>
    <row r="80" spans="1:250" x14ac:dyDescent="0.3">
      <c r="A80" s="58">
        <v>0</v>
      </c>
      <c r="B80" s="68"/>
      <c r="C80" s="28">
        <f t="shared" si="1236"/>
        <v>0</v>
      </c>
      <c r="D80" s="69">
        <v>0</v>
      </c>
      <c r="E80" s="28">
        <f t="shared" si="1237"/>
        <v>0</v>
      </c>
      <c r="F80" s="28">
        <f t="shared" si="1238"/>
        <v>0</v>
      </c>
      <c r="G80" s="28">
        <f t="shared" si="1239"/>
        <v>0</v>
      </c>
      <c r="H80" s="72">
        <f t="shared" si="1240"/>
        <v>0</v>
      </c>
      <c r="I80" s="70">
        <f t="shared" si="1241"/>
        <v>0</v>
      </c>
      <c r="J80" s="70">
        <f t="shared" si="1242"/>
        <v>0</v>
      </c>
      <c r="K80" s="71">
        <v>0</v>
      </c>
      <c r="L80" s="71">
        <v>0</v>
      </c>
      <c r="M80" s="72">
        <f t="shared" si="1243"/>
        <v>0</v>
      </c>
      <c r="N80" s="72">
        <f t="shared" si="1244"/>
        <v>0</v>
      </c>
      <c r="O80" s="70">
        <f t="shared" si="1245"/>
        <v>0</v>
      </c>
      <c r="P80" s="73">
        <v>0</v>
      </c>
      <c r="Q80" s="74">
        <f t="shared" si="1246"/>
        <v>0</v>
      </c>
      <c r="R80" s="303">
        <f t="shared" si="1247"/>
        <v>0</v>
      </c>
      <c r="S80" s="58">
        <v>0</v>
      </c>
      <c r="T80" s="68"/>
      <c r="U80" s="28">
        <f t="shared" si="1248"/>
        <v>0</v>
      </c>
      <c r="V80" s="69">
        <v>0</v>
      </c>
      <c r="W80" s="28">
        <f t="shared" si="1249"/>
        <v>0</v>
      </c>
      <c r="X80" s="28">
        <f t="shared" si="1250"/>
        <v>0</v>
      </c>
      <c r="Y80" s="28">
        <f t="shared" si="1251"/>
        <v>0</v>
      </c>
      <c r="Z80" s="72">
        <f t="shared" si="1252"/>
        <v>0</v>
      </c>
      <c r="AA80" s="70">
        <f t="shared" si="1253"/>
        <v>0</v>
      </c>
      <c r="AB80" s="70">
        <f t="shared" si="1254"/>
        <v>0</v>
      </c>
      <c r="AC80" s="71">
        <v>0</v>
      </c>
      <c r="AD80" s="71">
        <v>0</v>
      </c>
      <c r="AE80" s="72">
        <f t="shared" si="1255"/>
        <v>0</v>
      </c>
      <c r="AF80" s="72">
        <f t="shared" si="1256"/>
        <v>0</v>
      </c>
      <c r="AG80" s="70">
        <f t="shared" si="1257"/>
        <v>0</v>
      </c>
      <c r="AH80" s="73">
        <v>0</v>
      </c>
      <c r="AI80" s="74">
        <f t="shared" si="1258"/>
        <v>0</v>
      </c>
      <c r="AJ80" s="303">
        <f t="shared" si="1259"/>
        <v>0</v>
      </c>
      <c r="AK80" s="58">
        <v>0</v>
      </c>
      <c r="AL80" s="68"/>
      <c r="AM80" s="28">
        <f t="shared" si="1260"/>
        <v>0</v>
      </c>
      <c r="AN80" s="69">
        <v>0</v>
      </c>
      <c r="AO80" s="28">
        <f t="shared" si="1261"/>
        <v>0</v>
      </c>
      <c r="AP80" s="28">
        <f t="shared" si="1262"/>
        <v>0</v>
      </c>
      <c r="AQ80" s="28">
        <f t="shared" si="1263"/>
        <v>0</v>
      </c>
      <c r="AR80" s="72">
        <f t="shared" si="1264"/>
        <v>0</v>
      </c>
      <c r="AS80" s="70">
        <f t="shared" si="1265"/>
        <v>0</v>
      </c>
      <c r="AT80" s="70">
        <f t="shared" si="1266"/>
        <v>0</v>
      </c>
      <c r="AU80" s="71">
        <v>0</v>
      </c>
      <c r="AV80" s="71">
        <v>0</v>
      </c>
      <c r="AW80" s="72">
        <f t="shared" si="1267"/>
        <v>0</v>
      </c>
      <c r="AX80" s="72">
        <f t="shared" si="1268"/>
        <v>0</v>
      </c>
      <c r="AY80" s="70">
        <f t="shared" si="1269"/>
        <v>0</v>
      </c>
      <c r="AZ80" s="73">
        <v>0</v>
      </c>
      <c r="BA80" s="74">
        <f t="shared" si="1270"/>
        <v>0</v>
      </c>
      <c r="BB80" s="303">
        <f t="shared" si="1271"/>
        <v>0</v>
      </c>
      <c r="BC80" s="58">
        <v>0</v>
      </c>
      <c r="BD80" s="68"/>
      <c r="BE80" s="28">
        <f t="shared" si="1272"/>
        <v>0</v>
      </c>
      <c r="BF80" s="69">
        <v>0</v>
      </c>
      <c r="BG80" s="28">
        <f t="shared" si="1273"/>
        <v>0</v>
      </c>
      <c r="BH80" s="28">
        <f t="shared" si="1274"/>
        <v>0</v>
      </c>
      <c r="BI80" s="28">
        <f t="shared" si="1275"/>
        <v>0</v>
      </c>
      <c r="BJ80" s="72">
        <f t="shared" si="1276"/>
        <v>0</v>
      </c>
      <c r="BK80" s="70">
        <f t="shared" si="1277"/>
        <v>0</v>
      </c>
      <c r="BL80" s="70">
        <f t="shared" si="1278"/>
        <v>0</v>
      </c>
      <c r="BM80" s="71">
        <v>0</v>
      </c>
      <c r="BN80" s="71">
        <v>0</v>
      </c>
      <c r="BO80" s="72">
        <f t="shared" si="1279"/>
        <v>0</v>
      </c>
      <c r="BP80" s="72">
        <f t="shared" si="1280"/>
        <v>0</v>
      </c>
      <c r="BQ80" s="70">
        <f t="shared" si="1281"/>
        <v>0</v>
      </c>
      <c r="BR80" s="73">
        <v>0</v>
      </c>
      <c r="BS80" s="74">
        <f t="shared" si="1282"/>
        <v>0</v>
      </c>
      <c r="BT80" s="303">
        <f t="shared" si="1283"/>
        <v>0</v>
      </c>
      <c r="BU80" s="58">
        <v>0</v>
      </c>
      <c r="BV80" s="68"/>
      <c r="BW80" s="28">
        <f t="shared" si="1284"/>
        <v>0</v>
      </c>
      <c r="BX80" s="69">
        <v>0</v>
      </c>
      <c r="BY80" s="28">
        <f t="shared" si="1285"/>
        <v>0</v>
      </c>
      <c r="BZ80" s="28">
        <f t="shared" si="1286"/>
        <v>0</v>
      </c>
      <c r="CA80" s="28">
        <f t="shared" si="1287"/>
        <v>0</v>
      </c>
      <c r="CB80" s="72">
        <f t="shared" si="1288"/>
        <v>0</v>
      </c>
      <c r="CC80" s="70">
        <f t="shared" si="1289"/>
        <v>0</v>
      </c>
      <c r="CD80" s="70">
        <f t="shared" si="1290"/>
        <v>0</v>
      </c>
      <c r="CE80" s="71">
        <v>0</v>
      </c>
      <c r="CF80" s="71">
        <v>0</v>
      </c>
      <c r="CG80" s="72">
        <f t="shared" si="1291"/>
        <v>0</v>
      </c>
      <c r="CH80" s="72">
        <f t="shared" si="1292"/>
        <v>0</v>
      </c>
      <c r="CI80" s="70">
        <f t="shared" si="1293"/>
        <v>0</v>
      </c>
      <c r="CJ80" s="73">
        <v>0</v>
      </c>
      <c r="CK80" s="74">
        <f t="shared" si="1294"/>
        <v>0</v>
      </c>
      <c r="CL80" s="303">
        <f t="shared" si="1295"/>
        <v>0</v>
      </c>
      <c r="CM80" s="58">
        <v>0</v>
      </c>
      <c r="CN80" s="68"/>
      <c r="CO80" s="28">
        <f t="shared" si="1296"/>
        <v>0</v>
      </c>
      <c r="CP80" s="69">
        <v>0</v>
      </c>
      <c r="CQ80" s="28">
        <f t="shared" si="1297"/>
        <v>0</v>
      </c>
      <c r="CR80" s="28">
        <f t="shared" si="1298"/>
        <v>0</v>
      </c>
      <c r="CS80" s="28">
        <f t="shared" si="1299"/>
        <v>0</v>
      </c>
      <c r="CT80" s="72">
        <f t="shared" si="1300"/>
        <v>0</v>
      </c>
      <c r="CU80" s="70">
        <f t="shared" si="1301"/>
        <v>0</v>
      </c>
      <c r="CV80" s="70">
        <f t="shared" si="1302"/>
        <v>0</v>
      </c>
      <c r="CW80" s="71">
        <v>0</v>
      </c>
      <c r="CX80" s="71">
        <v>0</v>
      </c>
      <c r="CY80" s="72">
        <f t="shared" si="1303"/>
        <v>0</v>
      </c>
      <c r="CZ80" s="72">
        <f t="shared" si="1304"/>
        <v>0</v>
      </c>
      <c r="DA80" s="70">
        <f t="shared" si="1305"/>
        <v>0</v>
      </c>
      <c r="DB80" s="73">
        <v>0</v>
      </c>
      <c r="DC80" s="74">
        <f t="shared" si="1306"/>
        <v>0</v>
      </c>
      <c r="DD80" s="303">
        <f t="shared" si="1307"/>
        <v>0</v>
      </c>
      <c r="DE80" s="58">
        <v>0</v>
      </c>
      <c r="DF80" s="68"/>
      <c r="DG80" s="28">
        <f t="shared" si="1308"/>
        <v>0</v>
      </c>
      <c r="DH80" s="69">
        <v>0</v>
      </c>
      <c r="DI80" s="28">
        <f t="shared" si="1309"/>
        <v>0</v>
      </c>
      <c r="DJ80" s="28">
        <f t="shared" si="1310"/>
        <v>0</v>
      </c>
      <c r="DK80" s="28">
        <f t="shared" si="1311"/>
        <v>0</v>
      </c>
      <c r="DL80" s="72">
        <f t="shared" si="1312"/>
        <v>0</v>
      </c>
      <c r="DM80" s="70">
        <f t="shared" si="1313"/>
        <v>0</v>
      </c>
      <c r="DN80" s="70">
        <f t="shared" si="1314"/>
        <v>0</v>
      </c>
      <c r="DO80" s="71">
        <v>0</v>
      </c>
      <c r="DP80" s="71">
        <v>0</v>
      </c>
      <c r="DQ80" s="72">
        <f t="shared" si="1315"/>
        <v>0</v>
      </c>
      <c r="DR80" s="72">
        <f t="shared" si="1316"/>
        <v>0</v>
      </c>
      <c r="DS80" s="70">
        <f t="shared" si="1317"/>
        <v>0</v>
      </c>
      <c r="DT80" s="73">
        <v>0</v>
      </c>
      <c r="DU80" s="74">
        <f t="shared" si="1318"/>
        <v>0</v>
      </c>
      <c r="DV80" s="303">
        <f t="shared" si="1319"/>
        <v>0</v>
      </c>
      <c r="DW80" s="58">
        <v>0</v>
      </c>
      <c r="DX80" s="68"/>
      <c r="DY80" s="28">
        <f t="shared" si="1320"/>
        <v>0</v>
      </c>
      <c r="DZ80" s="69">
        <v>0</v>
      </c>
      <c r="EA80" s="28">
        <f t="shared" si="1321"/>
        <v>0</v>
      </c>
      <c r="EB80" s="28">
        <f t="shared" si="1322"/>
        <v>0</v>
      </c>
      <c r="EC80" s="28">
        <f t="shared" si="1323"/>
        <v>0</v>
      </c>
      <c r="ED80" s="72">
        <f t="shared" si="1324"/>
        <v>0</v>
      </c>
      <c r="EE80" s="70">
        <f t="shared" si="1325"/>
        <v>0</v>
      </c>
      <c r="EF80" s="70">
        <f t="shared" si="1326"/>
        <v>0</v>
      </c>
      <c r="EG80" s="71">
        <v>0</v>
      </c>
      <c r="EH80" s="71">
        <v>0</v>
      </c>
      <c r="EI80" s="72">
        <f t="shared" si="1327"/>
        <v>0</v>
      </c>
      <c r="EJ80" s="72">
        <f t="shared" si="1328"/>
        <v>0</v>
      </c>
      <c r="EK80" s="70">
        <f t="shared" si="1329"/>
        <v>0</v>
      </c>
      <c r="EL80" s="73">
        <v>0</v>
      </c>
      <c r="EM80" s="74">
        <f t="shared" si="1330"/>
        <v>0</v>
      </c>
      <c r="EN80" s="303">
        <f t="shared" si="1331"/>
        <v>0</v>
      </c>
      <c r="EO80" s="58">
        <v>0</v>
      </c>
      <c r="EP80" s="68"/>
      <c r="EQ80" s="28">
        <f t="shared" si="1332"/>
        <v>0</v>
      </c>
      <c r="ER80" s="69">
        <v>0</v>
      </c>
      <c r="ES80" s="28">
        <f t="shared" si="1333"/>
        <v>0</v>
      </c>
      <c r="ET80" s="28">
        <f t="shared" si="1334"/>
        <v>0</v>
      </c>
      <c r="EU80" s="28">
        <f t="shared" si="1335"/>
        <v>0</v>
      </c>
      <c r="EV80" s="72">
        <f t="shared" si="1336"/>
        <v>0</v>
      </c>
      <c r="EW80" s="70">
        <f t="shared" si="1337"/>
        <v>0</v>
      </c>
      <c r="EX80" s="70">
        <f t="shared" si="1338"/>
        <v>0</v>
      </c>
      <c r="EY80" s="71">
        <v>0</v>
      </c>
      <c r="EZ80" s="71">
        <v>0</v>
      </c>
      <c r="FA80" s="72">
        <f t="shared" si="1339"/>
        <v>0</v>
      </c>
      <c r="FB80" s="72">
        <f t="shared" si="1340"/>
        <v>0</v>
      </c>
      <c r="FC80" s="70">
        <f t="shared" si="1341"/>
        <v>0</v>
      </c>
      <c r="FD80" s="73">
        <v>0</v>
      </c>
      <c r="FE80" s="74">
        <f t="shared" si="1342"/>
        <v>0</v>
      </c>
      <c r="FF80" s="303">
        <f t="shared" si="1343"/>
        <v>0</v>
      </c>
      <c r="FG80" s="58">
        <v>0</v>
      </c>
      <c r="FH80" s="68"/>
      <c r="FI80" s="28">
        <f t="shared" si="1344"/>
        <v>0</v>
      </c>
      <c r="FJ80" s="69">
        <v>0</v>
      </c>
      <c r="FK80" s="28">
        <f t="shared" si="1345"/>
        <v>0</v>
      </c>
      <c r="FL80" s="28">
        <f t="shared" si="1346"/>
        <v>0</v>
      </c>
      <c r="FM80" s="28">
        <f t="shared" si="1347"/>
        <v>0</v>
      </c>
      <c r="FN80" s="72">
        <f t="shared" si="1348"/>
        <v>0</v>
      </c>
      <c r="FO80" s="70">
        <f t="shared" si="1349"/>
        <v>0</v>
      </c>
      <c r="FP80" s="70">
        <f t="shared" si="1350"/>
        <v>0</v>
      </c>
      <c r="FQ80" s="71">
        <v>0</v>
      </c>
      <c r="FR80" s="71">
        <v>0</v>
      </c>
      <c r="FS80" s="72">
        <f t="shared" si="1351"/>
        <v>0</v>
      </c>
      <c r="FT80" s="72">
        <f t="shared" si="1352"/>
        <v>0</v>
      </c>
      <c r="FU80" s="70">
        <f t="shared" si="1353"/>
        <v>0</v>
      </c>
      <c r="FV80" s="73">
        <v>0</v>
      </c>
      <c r="FW80" s="74">
        <f t="shared" si="1354"/>
        <v>0</v>
      </c>
      <c r="FX80" s="303">
        <f t="shared" si="1355"/>
        <v>0</v>
      </c>
      <c r="FY80" s="58">
        <v>0</v>
      </c>
      <c r="FZ80" s="68"/>
      <c r="GA80" s="28">
        <f t="shared" si="1356"/>
        <v>0</v>
      </c>
      <c r="GB80" s="69">
        <v>0</v>
      </c>
      <c r="GC80" s="28">
        <f t="shared" si="1357"/>
        <v>0</v>
      </c>
      <c r="GD80" s="28">
        <f t="shared" si="1358"/>
        <v>0</v>
      </c>
      <c r="GE80" s="28">
        <f t="shared" si="1359"/>
        <v>0</v>
      </c>
      <c r="GF80" s="72">
        <f t="shared" si="1360"/>
        <v>0</v>
      </c>
      <c r="GG80" s="70">
        <f t="shared" si="1361"/>
        <v>0</v>
      </c>
      <c r="GH80" s="70">
        <f t="shared" si="1362"/>
        <v>0</v>
      </c>
      <c r="GI80" s="71">
        <v>0</v>
      </c>
      <c r="GJ80" s="71">
        <v>0</v>
      </c>
      <c r="GK80" s="72">
        <f t="shared" si="1363"/>
        <v>0</v>
      </c>
      <c r="GL80" s="72">
        <f t="shared" si="1364"/>
        <v>0</v>
      </c>
      <c r="GM80" s="70">
        <f t="shared" si="1365"/>
        <v>0</v>
      </c>
      <c r="GN80" s="73">
        <v>0</v>
      </c>
      <c r="GO80" s="74">
        <f t="shared" si="1366"/>
        <v>0</v>
      </c>
      <c r="GP80" s="303">
        <f t="shared" si="1367"/>
        <v>0</v>
      </c>
      <c r="GQ80" s="58">
        <v>0</v>
      </c>
      <c r="GR80" s="68"/>
      <c r="GS80" s="28">
        <f t="shared" si="1368"/>
        <v>0</v>
      </c>
      <c r="GT80" s="69">
        <v>0</v>
      </c>
      <c r="GU80" s="28">
        <f t="shared" si="1369"/>
        <v>0</v>
      </c>
      <c r="GV80" s="28">
        <f t="shared" si="1370"/>
        <v>0</v>
      </c>
      <c r="GW80" s="28">
        <f t="shared" si="1371"/>
        <v>0</v>
      </c>
      <c r="GX80" s="72">
        <f t="shared" si="1372"/>
        <v>0</v>
      </c>
      <c r="GY80" s="70">
        <f t="shared" si="1373"/>
        <v>0</v>
      </c>
      <c r="GZ80" s="70">
        <f t="shared" si="1374"/>
        <v>0</v>
      </c>
      <c r="HA80" s="71">
        <v>0</v>
      </c>
      <c r="HB80" s="71">
        <v>0</v>
      </c>
      <c r="HC80" s="72">
        <f t="shared" si="1375"/>
        <v>0</v>
      </c>
      <c r="HD80" s="72">
        <f t="shared" si="1376"/>
        <v>0</v>
      </c>
      <c r="HE80" s="70">
        <f t="shared" si="1377"/>
        <v>0</v>
      </c>
      <c r="HF80" s="73">
        <v>0</v>
      </c>
      <c r="HG80" s="74">
        <f t="shared" si="1378"/>
        <v>0</v>
      </c>
      <c r="HH80" s="303">
        <f t="shared" si="1379"/>
        <v>0</v>
      </c>
      <c r="HJ80" s="37"/>
      <c r="HK80" s="37"/>
      <c r="HL80" s="37"/>
      <c r="HM80" s="37"/>
      <c r="HN80" s="37"/>
      <c r="HO80" s="37"/>
      <c r="HP80" s="37"/>
      <c r="HQ80" s="37"/>
      <c r="HR80" s="37"/>
      <c r="HS80" s="37"/>
      <c r="HT80" s="37"/>
      <c r="HU80" s="37"/>
      <c r="HV80" s="37"/>
      <c r="HW80" s="37"/>
      <c r="HX80" s="37"/>
      <c r="HY80" s="37"/>
      <c r="HZ80" s="37"/>
      <c r="IA80" s="37"/>
      <c r="IB80" s="37"/>
      <c r="IC80" s="37"/>
      <c r="ID80" s="37"/>
      <c r="IE80" s="37"/>
      <c r="IF80" s="37"/>
      <c r="IG80" s="37"/>
      <c r="IH80" s="37"/>
      <c r="II80" s="37"/>
      <c r="IJ80" s="37"/>
      <c r="IK80" s="37"/>
      <c r="IL80" s="37"/>
      <c r="IM80" s="37"/>
      <c r="IN80" s="37"/>
      <c r="IO80" s="37"/>
      <c r="IP80" s="37"/>
    </row>
    <row r="81" spans="1:250" ht="15" thickBot="1" x14ac:dyDescent="0.35">
      <c r="A81" s="38">
        <v>0</v>
      </c>
      <c r="B81" s="336"/>
      <c r="C81" s="337">
        <f t="shared" si="1236"/>
        <v>0</v>
      </c>
      <c r="D81" s="337">
        <v>0</v>
      </c>
      <c r="E81" s="337">
        <f t="shared" si="1237"/>
        <v>0</v>
      </c>
      <c r="F81" s="337">
        <f t="shared" si="1238"/>
        <v>0</v>
      </c>
      <c r="G81" s="337">
        <f t="shared" si="1239"/>
        <v>0</v>
      </c>
      <c r="H81" s="338">
        <f t="shared" si="1240"/>
        <v>0</v>
      </c>
      <c r="I81" s="339">
        <f t="shared" si="1241"/>
        <v>0</v>
      </c>
      <c r="J81" s="339">
        <f t="shared" si="1242"/>
        <v>0</v>
      </c>
      <c r="K81" s="340">
        <v>0</v>
      </c>
      <c r="L81" s="340">
        <v>0</v>
      </c>
      <c r="M81" s="338">
        <f t="shared" si="1243"/>
        <v>0</v>
      </c>
      <c r="N81" s="338">
        <f t="shared" si="1244"/>
        <v>0</v>
      </c>
      <c r="O81" s="339">
        <f t="shared" si="1245"/>
        <v>0</v>
      </c>
      <c r="P81" s="341">
        <v>0</v>
      </c>
      <c r="Q81" s="342">
        <f t="shared" si="1246"/>
        <v>0</v>
      </c>
      <c r="R81" s="343">
        <f t="shared" si="1247"/>
        <v>0</v>
      </c>
      <c r="S81" s="38">
        <v>0</v>
      </c>
      <c r="T81" s="336"/>
      <c r="U81" s="337">
        <f t="shared" si="1248"/>
        <v>0</v>
      </c>
      <c r="V81" s="337">
        <v>0</v>
      </c>
      <c r="W81" s="337">
        <f t="shared" si="1249"/>
        <v>0</v>
      </c>
      <c r="X81" s="337">
        <f t="shared" si="1250"/>
        <v>0</v>
      </c>
      <c r="Y81" s="337">
        <f t="shared" si="1251"/>
        <v>0</v>
      </c>
      <c r="Z81" s="338">
        <f t="shared" si="1252"/>
        <v>0</v>
      </c>
      <c r="AA81" s="339">
        <f t="shared" si="1253"/>
        <v>0</v>
      </c>
      <c r="AB81" s="339">
        <f t="shared" si="1254"/>
        <v>0</v>
      </c>
      <c r="AC81" s="340">
        <v>0</v>
      </c>
      <c r="AD81" s="340">
        <v>0</v>
      </c>
      <c r="AE81" s="338">
        <f t="shared" si="1255"/>
        <v>0</v>
      </c>
      <c r="AF81" s="338">
        <f t="shared" si="1256"/>
        <v>0</v>
      </c>
      <c r="AG81" s="339">
        <f t="shared" si="1257"/>
        <v>0</v>
      </c>
      <c r="AH81" s="341">
        <v>0</v>
      </c>
      <c r="AI81" s="342">
        <f t="shared" si="1258"/>
        <v>0</v>
      </c>
      <c r="AJ81" s="343">
        <f t="shared" si="1259"/>
        <v>0</v>
      </c>
      <c r="AK81" s="38">
        <v>0</v>
      </c>
      <c r="AL81" s="336"/>
      <c r="AM81" s="337">
        <f t="shared" si="1260"/>
        <v>0</v>
      </c>
      <c r="AN81" s="337">
        <v>0</v>
      </c>
      <c r="AO81" s="337">
        <f t="shared" si="1261"/>
        <v>0</v>
      </c>
      <c r="AP81" s="337">
        <f t="shared" si="1262"/>
        <v>0</v>
      </c>
      <c r="AQ81" s="337">
        <f t="shared" si="1263"/>
        <v>0</v>
      </c>
      <c r="AR81" s="338">
        <f t="shared" si="1264"/>
        <v>0</v>
      </c>
      <c r="AS81" s="339">
        <f t="shared" si="1265"/>
        <v>0</v>
      </c>
      <c r="AT81" s="339">
        <f t="shared" si="1266"/>
        <v>0</v>
      </c>
      <c r="AU81" s="340">
        <v>0</v>
      </c>
      <c r="AV81" s="340">
        <v>0</v>
      </c>
      <c r="AW81" s="338">
        <f t="shared" si="1267"/>
        <v>0</v>
      </c>
      <c r="AX81" s="338">
        <f t="shared" si="1268"/>
        <v>0</v>
      </c>
      <c r="AY81" s="339">
        <f t="shared" si="1269"/>
        <v>0</v>
      </c>
      <c r="AZ81" s="341">
        <v>0</v>
      </c>
      <c r="BA81" s="342">
        <f t="shared" si="1270"/>
        <v>0</v>
      </c>
      <c r="BB81" s="343">
        <f t="shared" si="1271"/>
        <v>0</v>
      </c>
      <c r="BC81" s="38">
        <v>0</v>
      </c>
      <c r="BD81" s="336"/>
      <c r="BE81" s="337">
        <f t="shared" si="1272"/>
        <v>0</v>
      </c>
      <c r="BF81" s="337">
        <v>0</v>
      </c>
      <c r="BG81" s="337">
        <f t="shared" si="1273"/>
        <v>0</v>
      </c>
      <c r="BH81" s="337">
        <f t="shared" si="1274"/>
        <v>0</v>
      </c>
      <c r="BI81" s="337">
        <f t="shared" si="1275"/>
        <v>0</v>
      </c>
      <c r="BJ81" s="338">
        <f t="shared" si="1276"/>
        <v>0</v>
      </c>
      <c r="BK81" s="339">
        <f t="shared" si="1277"/>
        <v>0</v>
      </c>
      <c r="BL81" s="339">
        <f t="shared" si="1278"/>
        <v>0</v>
      </c>
      <c r="BM81" s="340">
        <v>0</v>
      </c>
      <c r="BN81" s="340">
        <v>0</v>
      </c>
      <c r="BO81" s="338">
        <f t="shared" si="1279"/>
        <v>0</v>
      </c>
      <c r="BP81" s="338">
        <f t="shared" si="1280"/>
        <v>0</v>
      </c>
      <c r="BQ81" s="339">
        <f t="shared" si="1281"/>
        <v>0</v>
      </c>
      <c r="BR81" s="341">
        <v>0</v>
      </c>
      <c r="BS81" s="342">
        <f t="shared" si="1282"/>
        <v>0</v>
      </c>
      <c r="BT81" s="343">
        <f t="shared" si="1283"/>
        <v>0</v>
      </c>
      <c r="BU81" s="38">
        <v>0</v>
      </c>
      <c r="BV81" s="336"/>
      <c r="BW81" s="337">
        <f t="shared" si="1284"/>
        <v>0</v>
      </c>
      <c r="BX81" s="337">
        <v>0</v>
      </c>
      <c r="BY81" s="337">
        <f t="shared" si="1285"/>
        <v>0</v>
      </c>
      <c r="BZ81" s="337">
        <f t="shared" si="1286"/>
        <v>0</v>
      </c>
      <c r="CA81" s="337">
        <f t="shared" si="1287"/>
        <v>0</v>
      </c>
      <c r="CB81" s="338">
        <f t="shared" si="1288"/>
        <v>0</v>
      </c>
      <c r="CC81" s="339">
        <f t="shared" si="1289"/>
        <v>0</v>
      </c>
      <c r="CD81" s="339">
        <f t="shared" si="1290"/>
        <v>0</v>
      </c>
      <c r="CE81" s="340">
        <v>0</v>
      </c>
      <c r="CF81" s="340">
        <v>0</v>
      </c>
      <c r="CG81" s="338">
        <f t="shared" si="1291"/>
        <v>0</v>
      </c>
      <c r="CH81" s="338">
        <f t="shared" si="1292"/>
        <v>0</v>
      </c>
      <c r="CI81" s="339">
        <f t="shared" si="1293"/>
        <v>0</v>
      </c>
      <c r="CJ81" s="341">
        <v>0</v>
      </c>
      <c r="CK81" s="342">
        <f t="shared" si="1294"/>
        <v>0</v>
      </c>
      <c r="CL81" s="343">
        <f t="shared" si="1295"/>
        <v>0</v>
      </c>
      <c r="CM81" s="38">
        <v>0</v>
      </c>
      <c r="CN81" s="336"/>
      <c r="CO81" s="337">
        <f t="shared" si="1296"/>
        <v>0</v>
      </c>
      <c r="CP81" s="337">
        <v>0</v>
      </c>
      <c r="CQ81" s="337">
        <f t="shared" si="1297"/>
        <v>0</v>
      </c>
      <c r="CR81" s="337">
        <f t="shared" si="1298"/>
        <v>0</v>
      </c>
      <c r="CS81" s="337">
        <f t="shared" si="1299"/>
        <v>0</v>
      </c>
      <c r="CT81" s="338">
        <f t="shared" si="1300"/>
        <v>0</v>
      </c>
      <c r="CU81" s="339">
        <f t="shared" si="1301"/>
        <v>0</v>
      </c>
      <c r="CV81" s="339">
        <f t="shared" si="1302"/>
        <v>0</v>
      </c>
      <c r="CW81" s="340">
        <v>0</v>
      </c>
      <c r="CX81" s="340">
        <v>0</v>
      </c>
      <c r="CY81" s="338">
        <f t="shared" si="1303"/>
        <v>0</v>
      </c>
      <c r="CZ81" s="338">
        <f t="shared" si="1304"/>
        <v>0</v>
      </c>
      <c r="DA81" s="339">
        <f t="shared" si="1305"/>
        <v>0</v>
      </c>
      <c r="DB81" s="341">
        <v>0</v>
      </c>
      <c r="DC81" s="342">
        <f t="shared" si="1306"/>
        <v>0</v>
      </c>
      <c r="DD81" s="343">
        <f t="shared" si="1307"/>
        <v>0</v>
      </c>
      <c r="DE81" s="38">
        <v>0</v>
      </c>
      <c r="DF81" s="336"/>
      <c r="DG81" s="337">
        <f t="shared" si="1308"/>
        <v>0</v>
      </c>
      <c r="DH81" s="337">
        <v>0</v>
      </c>
      <c r="DI81" s="337">
        <f t="shared" si="1309"/>
        <v>0</v>
      </c>
      <c r="DJ81" s="337">
        <f t="shared" si="1310"/>
        <v>0</v>
      </c>
      <c r="DK81" s="337">
        <f t="shared" si="1311"/>
        <v>0</v>
      </c>
      <c r="DL81" s="338">
        <f t="shared" si="1312"/>
        <v>0</v>
      </c>
      <c r="DM81" s="339">
        <f t="shared" si="1313"/>
        <v>0</v>
      </c>
      <c r="DN81" s="339">
        <f t="shared" si="1314"/>
        <v>0</v>
      </c>
      <c r="DO81" s="340">
        <v>0</v>
      </c>
      <c r="DP81" s="340">
        <v>0</v>
      </c>
      <c r="DQ81" s="338">
        <f t="shared" si="1315"/>
        <v>0</v>
      </c>
      <c r="DR81" s="338">
        <f t="shared" si="1316"/>
        <v>0</v>
      </c>
      <c r="DS81" s="339">
        <f t="shared" si="1317"/>
        <v>0</v>
      </c>
      <c r="DT81" s="341">
        <v>0</v>
      </c>
      <c r="DU81" s="342">
        <f t="shared" si="1318"/>
        <v>0</v>
      </c>
      <c r="DV81" s="343">
        <f t="shared" si="1319"/>
        <v>0</v>
      </c>
      <c r="DW81" s="38">
        <v>0</v>
      </c>
      <c r="DX81" s="336"/>
      <c r="DY81" s="337">
        <f t="shared" si="1320"/>
        <v>0</v>
      </c>
      <c r="DZ81" s="337">
        <v>0</v>
      </c>
      <c r="EA81" s="337">
        <f t="shared" si="1321"/>
        <v>0</v>
      </c>
      <c r="EB81" s="337">
        <f t="shared" si="1322"/>
        <v>0</v>
      </c>
      <c r="EC81" s="337">
        <f t="shared" si="1323"/>
        <v>0</v>
      </c>
      <c r="ED81" s="338">
        <f t="shared" si="1324"/>
        <v>0</v>
      </c>
      <c r="EE81" s="339">
        <f t="shared" si="1325"/>
        <v>0</v>
      </c>
      <c r="EF81" s="339">
        <f t="shared" si="1326"/>
        <v>0</v>
      </c>
      <c r="EG81" s="340">
        <v>0</v>
      </c>
      <c r="EH81" s="340">
        <v>0</v>
      </c>
      <c r="EI81" s="338">
        <f t="shared" si="1327"/>
        <v>0</v>
      </c>
      <c r="EJ81" s="338">
        <f t="shared" si="1328"/>
        <v>0</v>
      </c>
      <c r="EK81" s="339">
        <f t="shared" si="1329"/>
        <v>0</v>
      </c>
      <c r="EL81" s="341">
        <v>0</v>
      </c>
      <c r="EM81" s="342">
        <f t="shared" si="1330"/>
        <v>0</v>
      </c>
      <c r="EN81" s="343">
        <f t="shared" si="1331"/>
        <v>0</v>
      </c>
      <c r="EO81" s="38">
        <v>0</v>
      </c>
      <c r="EP81" s="336"/>
      <c r="EQ81" s="337">
        <f t="shared" si="1332"/>
        <v>0</v>
      </c>
      <c r="ER81" s="337">
        <v>0</v>
      </c>
      <c r="ES81" s="337">
        <f t="shared" si="1333"/>
        <v>0</v>
      </c>
      <c r="ET81" s="337">
        <f t="shared" si="1334"/>
        <v>0</v>
      </c>
      <c r="EU81" s="337">
        <f t="shared" si="1335"/>
        <v>0</v>
      </c>
      <c r="EV81" s="338">
        <f t="shared" si="1336"/>
        <v>0</v>
      </c>
      <c r="EW81" s="339">
        <f t="shared" si="1337"/>
        <v>0</v>
      </c>
      <c r="EX81" s="339">
        <f t="shared" si="1338"/>
        <v>0</v>
      </c>
      <c r="EY81" s="340">
        <v>0</v>
      </c>
      <c r="EZ81" s="340">
        <v>0</v>
      </c>
      <c r="FA81" s="338">
        <f t="shared" si="1339"/>
        <v>0</v>
      </c>
      <c r="FB81" s="338">
        <f t="shared" si="1340"/>
        <v>0</v>
      </c>
      <c r="FC81" s="339">
        <f t="shared" si="1341"/>
        <v>0</v>
      </c>
      <c r="FD81" s="341">
        <v>0</v>
      </c>
      <c r="FE81" s="342">
        <f t="shared" si="1342"/>
        <v>0</v>
      </c>
      <c r="FF81" s="343">
        <f t="shared" si="1343"/>
        <v>0</v>
      </c>
      <c r="FG81" s="38">
        <v>0</v>
      </c>
      <c r="FH81" s="336"/>
      <c r="FI81" s="337">
        <f t="shared" si="1344"/>
        <v>0</v>
      </c>
      <c r="FJ81" s="337">
        <v>0</v>
      </c>
      <c r="FK81" s="337">
        <f t="shared" si="1345"/>
        <v>0</v>
      </c>
      <c r="FL81" s="337">
        <f t="shared" si="1346"/>
        <v>0</v>
      </c>
      <c r="FM81" s="337">
        <f t="shared" si="1347"/>
        <v>0</v>
      </c>
      <c r="FN81" s="338">
        <f t="shared" si="1348"/>
        <v>0</v>
      </c>
      <c r="FO81" s="339">
        <f t="shared" si="1349"/>
        <v>0</v>
      </c>
      <c r="FP81" s="339">
        <f t="shared" si="1350"/>
        <v>0</v>
      </c>
      <c r="FQ81" s="340">
        <v>0</v>
      </c>
      <c r="FR81" s="340">
        <v>0</v>
      </c>
      <c r="FS81" s="338">
        <f t="shared" si="1351"/>
        <v>0</v>
      </c>
      <c r="FT81" s="338">
        <f t="shared" si="1352"/>
        <v>0</v>
      </c>
      <c r="FU81" s="339">
        <f t="shared" si="1353"/>
        <v>0</v>
      </c>
      <c r="FV81" s="341">
        <v>0</v>
      </c>
      <c r="FW81" s="342">
        <f t="shared" si="1354"/>
        <v>0</v>
      </c>
      <c r="FX81" s="343">
        <f t="shared" si="1355"/>
        <v>0</v>
      </c>
      <c r="FY81" s="38">
        <v>0</v>
      </c>
      <c r="FZ81" s="336"/>
      <c r="GA81" s="337">
        <f t="shared" si="1356"/>
        <v>0</v>
      </c>
      <c r="GB81" s="337">
        <v>0</v>
      </c>
      <c r="GC81" s="337">
        <f t="shared" si="1357"/>
        <v>0</v>
      </c>
      <c r="GD81" s="337">
        <f t="shared" si="1358"/>
        <v>0</v>
      </c>
      <c r="GE81" s="337">
        <f t="shared" si="1359"/>
        <v>0</v>
      </c>
      <c r="GF81" s="338">
        <f t="shared" si="1360"/>
        <v>0</v>
      </c>
      <c r="GG81" s="339">
        <f t="shared" si="1361"/>
        <v>0</v>
      </c>
      <c r="GH81" s="339">
        <f t="shared" si="1362"/>
        <v>0</v>
      </c>
      <c r="GI81" s="340">
        <v>0</v>
      </c>
      <c r="GJ81" s="340">
        <v>0</v>
      </c>
      <c r="GK81" s="338">
        <f t="shared" si="1363"/>
        <v>0</v>
      </c>
      <c r="GL81" s="338">
        <f t="shared" si="1364"/>
        <v>0</v>
      </c>
      <c r="GM81" s="339">
        <f t="shared" si="1365"/>
        <v>0</v>
      </c>
      <c r="GN81" s="341">
        <v>0</v>
      </c>
      <c r="GO81" s="342">
        <f t="shared" si="1366"/>
        <v>0</v>
      </c>
      <c r="GP81" s="343">
        <f t="shared" si="1367"/>
        <v>0</v>
      </c>
      <c r="GQ81" s="38">
        <v>0</v>
      </c>
      <c r="GR81" s="336"/>
      <c r="GS81" s="337">
        <f t="shared" si="1368"/>
        <v>0</v>
      </c>
      <c r="GT81" s="337">
        <v>0</v>
      </c>
      <c r="GU81" s="337">
        <f t="shared" si="1369"/>
        <v>0</v>
      </c>
      <c r="GV81" s="337">
        <f t="shared" si="1370"/>
        <v>0</v>
      </c>
      <c r="GW81" s="337">
        <f t="shared" si="1371"/>
        <v>0</v>
      </c>
      <c r="GX81" s="338">
        <f t="shared" si="1372"/>
        <v>0</v>
      </c>
      <c r="GY81" s="339">
        <f t="shared" si="1373"/>
        <v>0</v>
      </c>
      <c r="GZ81" s="339">
        <f t="shared" si="1374"/>
        <v>0</v>
      </c>
      <c r="HA81" s="340">
        <v>0</v>
      </c>
      <c r="HB81" s="340">
        <v>0</v>
      </c>
      <c r="HC81" s="338">
        <f t="shared" si="1375"/>
        <v>0</v>
      </c>
      <c r="HD81" s="338">
        <f t="shared" si="1376"/>
        <v>0</v>
      </c>
      <c r="HE81" s="339">
        <f t="shared" si="1377"/>
        <v>0</v>
      </c>
      <c r="HF81" s="341">
        <v>0</v>
      </c>
      <c r="HG81" s="342">
        <f t="shared" si="1378"/>
        <v>0</v>
      </c>
      <c r="HH81" s="343">
        <f t="shared" si="1379"/>
        <v>0</v>
      </c>
      <c r="HJ81" s="37"/>
      <c r="HK81" s="37"/>
      <c r="HL81" s="37"/>
      <c r="HM81" s="37"/>
      <c r="HN81" s="37"/>
      <c r="HO81" s="37"/>
      <c r="HP81" s="37"/>
      <c r="HQ81" s="37"/>
      <c r="HR81" s="37"/>
      <c r="HS81" s="37"/>
      <c r="HT81" s="37"/>
      <c r="HU81" s="37"/>
      <c r="HV81" s="37"/>
      <c r="HW81" s="37"/>
      <c r="HX81" s="37"/>
      <c r="HY81" s="37"/>
      <c r="HZ81" s="37"/>
      <c r="IA81" s="37"/>
      <c r="IB81" s="37"/>
      <c r="IC81" s="37"/>
      <c r="ID81" s="37"/>
      <c r="IE81" s="37"/>
      <c r="IF81" s="37"/>
      <c r="IG81" s="37"/>
      <c r="IH81" s="37"/>
      <c r="II81" s="37"/>
      <c r="IJ81" s="37"/>
      <c r="IK81" s="37"/>
      <c r="IL81" s="37"/>
      <c r="IM81" s="37"/>
      <c r="IN81" s="37"/>
      <c r="IO81" s="37"/>
      <c r="IP81" s="37"/>
    </row>
    <row r="82" spans="1:250" ht="16.8" thickTop="1" thickBot="1" x14ac:dyDescent="0.35">
      <c r="A82" s="542"/>
      <c r="B82" s="539"/>
      <c r="C82" s="539"/>
      <c r="D82" s="539"/>
      <c r="E82" s="539"/>
      <c r="F82" s="539"/>
      <c r="G82" s="539"/>
      <c r="H82" s="539"/>
      <c r="I82" s="539"/>
      <c r="J82" s="539"/>
      <c r="K82" s="539"/>
      <c r="L82" s="539"/>
      <c r="M82" s="539"/>
      <c r="N82" s="539"/>
      <c r="O82" s="539"/>
      <c r="P82" s="540"/>
      <c r="Q82" s="344" t="s">
        <v>8</v>
      </c>
      <c r="R82" s="345">
        <f>SUM(R79:R81)</f>
        <v>0</v>
      </c>
      <c r="S82" s="542"/>
      <c r="T82" s="539"/>
      <c r="U82" s="539"/>
      <c r="V82" s="539"/>
      <c r="W82" s="539"/>
      <c r="X82" s="539"/>
      <c r="Y82" s="539"/>
      <c r="Z82" s="539"/>
      <c r="AA82" s="539"/>
      <c r="AB82" s="539"/>
      <c r="AC82" s="539"/>
      <c r="AD82" s="539"/>
      <c r="AE82" s="539"/>
      <c r="AF82" s="539"/>
      <c r="AG82" s="539"/>
      <c r="AH82" s="540"/>
      <c r="AI82" s="344" t="s">
        <v>8</v>
      </c>
      <c r="AJ82" s="345">
        <f>SUM(AJ79:AJ81)</f>
        <v>0</v>
      </c>
      <c r="AK82" s="542"/>
      <c r="AL82" s="539"/>
      <c r="AM82" s="539"/>
      <c r="AN82" s="539"/>
      <c r="AO82" s="539"/>
      <c r="AP82" s="539"/>
      <c r="AQ82" s="539"/>
      <c r="AR82" s="539"/>
      <c r="AS82" s="539"/>
      <c r="AT82" s="539"/>
      <c r="AU82" s="539"/>
      <c r="AV82" s="539"/>
      <c r="AW82" s="539"/>
      <c r="AX82" s="539"/>
      <c r="AY82" s="539"/>
      <c r="AZ82" s="540"/>
      <c r="BA82" s="344" t="s">
        <v>8</v>
      </c>
      <c r="BB82" s="345">
        <f>SUM(BB79:BB81)</f>
        <v>0</v>
      </c>
      <c r="BC82" s="542"/>
      <c r="BD82" s="539"/>
      <c r="BE82" s="539"/>
      <c r="BF82" s="539"/>
      <c r="BG82" s="539"/>
      <c r="BH82" s="539"/>
      <c r="BI82" s="539"/>
      <c r="BJ82" s="539"/>
      <c r="BK82" s="539"/>
      <c r="BL82" s="539"/>
      <c r="BM82" s="539"/>
      <c r="BN82" s="539"/>
      <c r="BO82" s="539"/>
      <c r="BP82" s="539"/>
      <c r="BQ82" s="539"/>
      <c r="BR82" s="540"/>
      <c r="BS82" s="344" t="s">
        <v>8</v>
      </c>
      <c r="BT82" s="345">
        <f>SUM(BT79:BT81)</f>
        <v>0</v>
      </c>
      <c r="BU82" s="542"/>
      <c r="BV82" s="539"/>
      <c r="BW82" s="539"/>
      <c r="BX82" s="539"/>
      <c r="BY82" s="539"/>
      <c r="BZ82" s="539"/>
      <c r="CA82" s="539"/>
      <c r="CB82" s="539"/>
      <c r="CC82" s="539"/>
      <c r="CD82" s="539"/>
      <c r="CE82" s="539"/>
      <c r="CF82" s="539"/>
      <c r="CG82" s="539"/>
      <c r="CH82" s="539"/>
      <c r="CI82" s="539"/>
      <c r="CJ82" s="540"/>
      <c r="CK82" s="344" t="s">
        <v>8</v>
      </c>
      <c r="CL82" s="345">
        <f>SUM(CL79:CL81)</f>
        <v>0</v>
      </c>
      <c r="CM82" s="542"/>
      <c r="CN82" s="539"/>
      <c r="CO82" s="539"/>
      <c r="CP82" s="539"/>
      <c r="CQ82" s="539"/>
      <c r="CR82" s="539"/>
      <c r="CS82" s="539"/>
      <c r="CT82" s="539"/>
      <c r="CU82" s="539"/>
      <c r="CV82" s="539"/>
      <c r="CW82" s="539"/>
      <c r="CX82" s="539"/>
      <c r="CY82" s="539"/>
      <c r="CZ82" s="539"/>
      <c r="DA82" s="539"/>
      <c r="DB82" s="540"/>
      <c r="DC82" s="344" t="s">
        <v>8</v>
      </c>
      <c r="DD82" s="345">
        <f>SUM(DD79:DD81)</f>
        <v>0</v>
      </c>
      <c r="DE82" s="542"/>
      <c r="DF82" s="539"/>
      <c r="DG82" s="539"/>
      <c r="DH82" s="539"/>
      <c r="DI82" s="539"/>
      <c r="DJ82" s="539"/>
      <c r="DK82" s="539"/>
      <c r="DL82" s="539"/>
      <c r="DM82" s="539"/>
      <c r="DN82" s="539"/>
      <c r="DO82" s="539"/>
      <c r="DP82" s="539"/>
      <c r="DQ82" s="539"/>
      <c r="DR82" s="539"/>
      <c r="DS82" s="539"/>
      <c r="DT82" s="540"/>
      <c r="DU82" s="344" t="s">
        <v>8</v>
      </c>
      <c r="DV82" s="345">
        <f>SUM(DV79:DV81)</f>
        <v>0</v>
      </c>
      <c r="DW82" s="542"/>
      <c r="DX82" s="539"/>
      <c r="DY82" s="539"/>
      <c r="DZ82" s="539"/>
      <c r="EA82" s="539"/>
      <c r="EB82" s="539"/>
      <c r="EC82" s="539"/>
      <c r="ED82" s="539"/>
      <c r="EE82" s="539"/>
      <c r="EF82" s="539"/>
      <c r="EG82" s="539"/>
      <c r="EH82" s="539"/>
      <c r="EI82" s="539"/>
      <c r="EJ82" s="539"/>
      <c r="EK82" s="539"/>
      <c r="EL82" s="540"/>
      <c r="EM82" s="344" t="s">
        <v>8</v>
      </c>
      <c r="EN82" s="345">
        <f>SUM(EN79:EN81)</f>
        <v>0</v>
      </c>
      <c r="EO82" s="542"/>
      <c r="EP82" s="539"/>
      <c r="EQ82" s="539"/>
      <c r="ER82" s="539"/>
      <c r="ES82" s="539"/>
      <c r="ET82" s="539"/>
      <c r="EU82" s="539"/>
      <c r="EV82" s="539"/>
      <c r="EW82" s="539"/>
      <c r="EX82" s="539"/>
      <c r="EY82" s="539"/>
      <c r="EZ82" s="539"/>
      <c r="FA82" s="539"/>
      <c r="FB82" s="539"/>
      <c r="FC82" s="539"/>
      <c r="FD82" s="540"/>
      <c r="FE82" s="344" t="s">
        <v>8</v>
      </c>
      <c r="FF82" s="345">
        <f>SUM(FF79:FF81)</f>
        <v>0</v>
      </c>
      <c r="FG82" s="542"/>
      <c r="FH82" s="539"/>
      <c r="FI82" s="539"/>
      <c r="FJ82" s="539"/>
      <c r="FK82" s="539"/>
      <c r="FL82" s="539"/>
      <c r="FM82" s="539"/>
      <c r="FN82" s="539"/>
      <c r="FO82" s="539"/>
      <c r="FP82" s="539"/>
      <c r="FQ82" s="539"/>
      <c r="FR82" s="539"/>
      <c r="FS82" s="539"/>
      <c r="FT82" s="539"/>
      <c r="FU82" s="539"/>
      <c r="FV82" s="540"/>
      <c r="FW82" s="344" t="s">
        <v>8</v>
      </c>
      <c r="FX82" s="345">
        <f>SUM(FX79:FX81)</f>
        <v>0</v>
      </c>
      <c r="FY82" s="542"/>
      <c r="FZ82" s="539"/>
      <c r="GA82" s="539"/>
      <c r="GB82" s="539"/>
      <c r="GC82" s="539"/>
      <c r="GD82" s="539"/>
      <c r="GE82" s="539"/>
      <c r="GF82" s="539"/>
      <c r="GG82" s="539"/>
      <c r="GH82" s="539"/>
      <c r="GI82" s="539"/>
      <c r="GJ82" s="539"/>
      <c r="GK82" s="539"/>
      <c r="GL82" s="539"/>
      <c r="GM82" s="539"/>
      <c r="GN82" s="540"/>
      <c r="GO82" s="344" t="s">
        <v>8</v>
      </c>
      <c r="GP82" s="345">
        <f>SUM(GP79:GP81)</f>
        <v>0</v>
      </c>
      <c r="GQ82" s="542"/>
      <c r="GR82" s="539"/>
      <c r="GS82" s="539"/>
      <c r="GT82" s="539"/>
      <c r="GU82" s="539"/>
      <c r="GV82" s="539"/>
      <c r="GW82" s="539"/>
      <c r="GX82" s="539"/>
      <c r="GY82" s="539"/>
      <c r="GZ82" s="539"/>
      <c r="HA82" s="539"/>
      <c r="HB82" s="539"/>
      <c r="HC82" s="539"/>
      <c r="HD82" s="539"/>
      <c r="HE82" s="539"/>
      <c r="HF82" s="540"/>
      <c r="HG82" s="344" t="s">
        <v>8</v>
      </c>
      <c r="HH82" s="345">
        <f>SUM(HH79:HH81)</f>
        <v>0</v>
      </c>
      <c r="HJ82" s="37"/>
      <c r="HK82" s="37"/>
      <c r="HL82" s="37"/>
      <c r="HM82" s="37"/>
      <c r="HN82" s="37"/>
      <c r="HO82" s="37"/>
      <c r="HP82" s="37"/>
      <c r="HQ82" s="37"/>
      <c r="HR82" s="37"/>
      <c r="HS82" s="37"/>
      <c r="HT82" s="37"/>
      <c r="HU82" s="37"/>
      <c r="HV82" s="37"/>
      <c r="HW82" s="37"/>
      <c r="HX82" s="37"/>
      <c r="HY82" s="37"/>
      <c r="HZ82" s="37"/>
      <c r="IA82" s="37"/>
      <c r="IB82" s="37"/>
      <c r="IC82" s="37"/>
      <c r="ID82" s="37"/>
      <c r="IE82" s="37"/>
      <c r="IF82" s="37"/>
      <c r="IG82" s="37"/>
      <c r="IH82" s="37"/>
      <c r="II82" s="37"/>
      <c r="IJ82" s="37"/>
      <c r="IK82" s="37"/>
      <c r="IL82" s="37"/>
      <c r="IM82" s="37"/>
      <c r="IN82" s="37"/>
      <c r="IO82" s="37"/>
      <c r="IP82" s="37"/>
    </row>
    <row r="83" spans="1:250" ht="16.2" thickTop="1" x14ac:dyDescent="0.3">
      <c r="A83" s="549"/>
      <c r="B83" s="550"/>
      <c r="C83" s="550"/>
      <c r="D83" s="550"/>
      <c r="E83" s="742" t="s">
        <v>193</v>
      </c>
      <c r="F83" s="742"/>
      <c r="G83" s="742"/>
      <c r="H83" s="742"/>
      <c r="I83" s="742"/>
      <c r="J83" s="742"/>
      <c r="K83" s="742"/>
      <c r="L83" s="742"/>
      <c r="M83" s="742"/>
      <c r="N83" s="550"/>
      <c r="O83" s="550"/>
      <c r="P83" s="550"/>
      <c r="Q83" s="550"/>
      <c r="R83" s="551"/>
      <c r="S83" s="549"/>
      <c r="T83" s="550"/>
      <c r="U83" s="550"/>
      <c r="V83" s="550"/>
      <c r="W83" s="742" t="s">
        <v>193</v>
      </c>
      <c r="X83" s="742"/>
      <c r="Y83" s="742"/>
      <c r="Z83" s="742"/>
      <c r="AA83" s="742"/>
      <c r="AB83" s="742"/>
      <c r="AC83" s="742"/>
      <c r="AD83" s="742"/>
      <c r="AE83" s="742"/>
      <c r="AF83" s="550"/>
      <c r="AG83" s="550"/>
      <c r="AH83" s="550"/>
      <c r="AI83" s="550"/>
      <c r="AJ83" s="551"/>
      <c r="AK83" s="549"/>
      <c r="AL83" s="550"/>
      <c r="AM83" s="550"/>
      <c r="AN83" s="550"/>
      <c r="AO83" s="742" t="s">
        <v>193</v>
      </c>
      <c r="AP83" s="742"/>
      <c r="AQ83" s="742"/>
      <c r="AR83" s="742"/>
      <c r="AS83" s="742"/>
      <c r="AT83" s="742"/>
      <c r="AU83" s="742"/>
      <c r="AV83" s="742"/>
      <c r="AW83" s="742"/>
      <c r="AX83" s="550"/>
      <c r="AY83" s="550"/>
      <c r="AZ83" s="550"/>
      <c r="BA83" s="550"/>
      <c r="BB83" s="551"/>
      <c r="BC83" s="549"/>
      <c r="BD83" s="550"/>
      <c r="BE83" s="550"/>
      <c r="BF83" s="550"/>
      <c r="BG83" s="742" t="s">
        <v>193</v>
      </c>
      <c r="BH83" s="742"/>
      <c r="BI83" s="742"/>
      <c r="BJ83" s="742"/>
      <c r="BK83" s="742"/>
      <c r="BL83" s="742"/>
      <c r="BM83" s="742"/>
      <c r="BN83" s="742"/>
      <c r="BO83" s="742"/>
      <c r="BP83" s="550"/>
      <c r="BQ83" s="550"/>
      <c r="BR83" s="550"/>
      <c r="BS83" s="550"/>
      <c r="BT83" s="551"/>
      <c r="BU83" s="549"/>
      <c r="BV83" s="550"/>
      <c r="BW83" s="550"/>
      <c r="BX83" s="550"/>
      <c r="BY83" s="742" t="s">
        <v>193</v>
      </c>
      <c r="BZ83" s="742"/>
      <c r="CA83" s="742"/>
      <c r="CB83" s="742"/>
      <c r="CC83" s="742"/>
      <c r="CD83" s="742"/>
      <c r="CE83" s="742"/>
      <c r="CF83" s="742"/>
      <c r="CG83" s="742"/>
      <c r="CH83" s="550"/>
      <c r="CI83" s="550"/>
      <c r="CJ83" s="550"/>
      <c r="CK83" s="550"/>
      <c r="CL83" s="551"/>
      <c r="CM83" s="549"/>
      <c r="CN83" s="550"/>
      <c r="CO83" s="550"/>
      <c r="CP83" s="550"/>
      <c r="CQ83" s="742" t="s">
        <v>193</v>
      </c>
      <c r="CR83" s="742"/>
      <c r="CS83" s="742"/>
      <c r="CT83" s="742"/>
      <c r="CU83" s="742"/>
      <c r="CV83" s="742"/>
      <c r="CW83" s="742"/>
      <c r="CX83" s="742"/>
      <c r="CY83" s="742"/>
      <c r="CZ83" s="550"/>
      <c r="DA83" s="550"/>
      <c r="DB83" s="550"/>
      <c r="DC83" s="550"/>
      <c r="DD83" s="551"/>
      <c r="DE83" s="549"/>
      <c r="DF83" s="550"/>
      <c r="DG83" s="550"/>
      <c r="DH83" s="550"/>
      <c r="DI83" s="742" t="s">
        <v>193</v>
      </c>
      <c r="DJ83" s="742"/>
      <c r="DK83" s="742"/>
      <c r="DL83" s="742"/>
      <c r="DM83" s="742"/>
      <c r="DN83" s="742"/>
      <c r="DO83" s="742"/>
      <c r="DP83" s="742"/>
      <c r="DQ83" s="742"/>
      <c r="DR83" s="550"/>
      <c r="DS83" s="550"/>
      <c r="DT83" s="550"/>
      <c r="DU83" s="550"/>
      <c r="DV83" s="551"/>
      <c r="DW83" s="549"/>
      <c r="DX83" s="550"/>
      <c r="DY83" s="550"/>
      <c r="DZ83" s="550"/>
      <c r="EA83" s="742" t="s">
        <v>193</v>
      </c>
      <c r="EB83" s="742"/>
      <c r="EC83" s="742"/>
      <c r="ED83" s="742"/>
      <c r="EE83" s="742"/>
      <c r="EF83" s="742"/>
      <c r="EG83" s="742"/>
      <c r="EH83" s="742"/>
      <c r="EI83" s="742"/>
      <c r="EJ83" s="550"/>
      <c r="EK83" s="550"/>
      <c r="EL83" s="550"/>
      <c r="EM83" s="550"/>
      <c r="EN83" s="551"/>
      <c r="EO83" s="549"/>
      <c r="EP83" s="550"/>
      <c r="EQ83" s="550"/>
      <c r="ER83" s="550"/>
      <c r="ES83" s="742" t="s">
        <v>193</v>
      </c>
      <c r="ET83" s="742"/>
      <c r="EU83" s="742"/>
      <c r="EV83" s="742"/>
      <c r="EW83" s="742"/>
      <c r="EX83" s="742"/>
      <c r="EY83" s="742"/>
      <c r="EZ83" s="742"/>
      <c r="FA83" s="742"/>
      <c r="FB83" s="550"/>
      <c r="FC83" s="550"/>
      <c r="FD83" s="550"/>
      <c r="FE83" s="550"/>
      <c r="FF83" s="551"/>
      <c r="FG83" s="549"/>
      <c r="FH83" s="550"/>
      <c r="FI83" s="550"/>
      <c r="FJ83" s="550"/>
      <c r="FK83" s="742" t="s">
        <v>193</v>
      </c>
      <c r="FL83" s="742"/>
      <c r="FM83" s="742"/>
      <c r="FN83" s="742"/>
      <c r="FO83" s="742"/>
      <c r="FP83" s="742"/>
      <c r="FQ83" s="742"/>
      <c r="FR83" s="742"/>
      <c r="FS83" s="742"/>
      <c r="FT83" s="550"/>
      <c r="FU83" s="550"/>
      <c r="FV83" s="550"/>
      <c r="FW83" s="550"/>
      <c r="FX83" s="551"/>
      <c r="FY83" s="549"/>
      <c r="FZ83" s="550"/>
      <c r="GA83" s="550"/>
      <c r="GB83" s="550"/>
      <c r="GC83" s="742" t="s">
        <v>193</v>
      </c>
      <c r="GD83" s="742"/>
      <c r="GE83" s="742"/>
      <c r="GF83" s="742"/>
      <c r="GG83" s="742"/>
      <c r="GH83" s="742"/>
      <c r="GI83" s="742"/>
      <c r="GJ83" s="742"/>
      <c r="GK83" s="742"/>
      <c r="GL83" s="550"/>
      <c r="GM83" s="550"/>
      <c r="GN83" s="550"/>
      <c r="GO83" s="550"/>
      <c r="GP83" s="551"/>
      <c r="GQ83" s="549"/>
      <c r="GR83" s="550"/>
      <c r="GS83" s="550"/>
      <c r="GT83" s="550"/>
      <c r="GU83" s="742" t="s">
        <v>193</v>
      </c>
      <c r="GV83" s="742"/>
      <c r="GW83" s="742"/>
      <c r="GX83" s="742"/>
      <c r="GY83" s="742"/>
      <c r="GZ83" s="742"/>
      <c r="HA83" s="742"/>
      <c r="HB83" s="742"/>
      <c r="HC83" s="742"/>
      <c r="HD83" s="550"/>
      <c r="HE83" s="550"/>
      <c r="HF83" s="550"/>
      <c r="HG83" s="550"/>
      <c r="HH83" s="551"/>
      <c r="HJ83" s="37"/>
      <c r="HK83" s="37"/>
      <c r="HL83" s="37"/>
      <c r="HM83" s="37"/>
      <c r="HN83" s="37"/>
      <c r="HO83" s="37"/>
      <c r="HP83" s="37"/>
      <c r="HQ83" s="37"/>
      <c r="HR83" s="37"/>
      <c r="HS83" s="37"/>
      <c r="HT83" s="37"/>
      <c r="HU83" s="37"/>
      <c r="HV83" s="37"/>
      <c r="HW83" s="37"/>
      <c r="HX83" s="37"/>
      <c r="HY83" s="37"/>
      <c r="HZ83" s="37"/>
      <c r="IA83" s="37"/>
      <c r="IB83" s="37"/>
      <c r="IC83" s="37"/>
      <c r="ID83" s="37"/>
      <c r="IE83" s="37"/>
      <c r="IF83" s="37"/>
      <c r="IG83" s="37"/>
      <c r="IH83" s="37"/>
      <c r="II83" s="37"/>
      <c r="IJ83" s="37"/>
      <c r="IK83" s="37"/>
      <c r="IL83" s="37"/>
      <c r="IM83" s="37"/>
      <c r="IN83" s="37"/>
      <c r="IO83" s="37"/>
      <c r="IP83" s="37"/>
    </row>
    <row r="84" spans="1:250" x14ac:dyDescent="0.3">
      <c r="A84" s="58">
        <v>1</v>
      </c>
      <c r="B84" s="68" t="s">
        <v>294</v>
      </c>
      <c r="C84" s="28">
        <f t="shared" ref="C84:C86" si="1380">D84/$AM$4</f>
        <v>9.4915454545454541</v>
      </c>
      <c r="D84" s="69">
        <v>2088.14</v>
      </c>
      <c r="E84" s="28">
        <f t="shared" ref="E84:E86" si="1381">D84*E$6</f>
        <v>208.81399999999999</v>
      </c>
      <c r="F84" s="28">
        <f t="shared" ref="F84:F86" si="1382">D84*F$6</f>
        <v>167.05119999999999</v>
      </c>
      <c r="G84" s="28">
        <f t="shared" ref="G84:G86" si="1383">D84/G$6</f>
        <v>174.01166666666666</v>
      </c>
      <c r="H84" s="72">
        <f t="shared" ref="H84:H86" si="1384">G84/H$6</f>
        <v>58.003888888888888</v>
      </c>
      <c r="I84" s="70">
        <f t="shared" ref="I84:I86" si="1385">D84/I$6</f>
        <v>174.01166666666666</v>
      </c>
      <c r="J84" s="70">
        <f t="shared" ref="J84:J86" si="1386">SUM(D84:I84)</f>
        <v>2870.0324222222221</v>
      </c>
      <c r="K84" s="71">
        <v>0</v>
      </c>
      <c r="L84" s="71">
        <v>0</v>
      </c>
      <c r="M84" s="72">
        <f t="shared" ref="M84:M86" si="1387">((C84*M$6)+(C84*$AO$6)+(C84*$AP$6))*K84</f>
        <v>0</v>
      </c>
      <c r="N84" s="72">
        <f t="shared" ref="N84:N86" si="1388">((C84*N$6)+(C84*$AO$6)+(C84*$AP$6))*L84</f>
        <v>0</v>
      </c>
      <c r="O84" s="70">
        <f t="shared" ref="O84:O86" si="1389">SUM(M84:N84)</f>
        <v>0</v>
      </c>
      <c r="P84" s="73">
        <v>0</v>
      </c>
      <c r="Q84" s="74">
        <f t="shared" ref="Q84:Q86" si="1390">IF(A84=1,($C$1*$Q$6),0)</f>
        <v>282.40000000000003</v>
      </c>
      <c r="R84" s="303">
        <f t="shared" ref="R84:R86" si="1391">J84+O84+P84+Q84</f>
        <v>3152.4324222222222</v>
      </c>
      <c r="S84" s="58">
        <v>1</v>
      </c>
      <c r="T84" s="68" t="s">
        <v>294</v>
      </c>
      <c r="U84" s="28">
        <f t="shared" ref="U84:U86" si="1392">V84/$AM$4</f>
        <v>9.4915454545454541</v>
      </c>
      <c r="V84" s="69">
        <v>2088.14</v>
      </c>
      <c r="W84" s="28">
        <f t="shared" ref="W84:W86" si="1393">V84*W$6</f>
        <v>208.81399999999999</v>
      </c>
      <c r="X84" s="28">
        <f t="shared" ref="X84:X86" si="1394">V84*X$6</f>
        <v>167.05119999999999</v>
      </c>
      <c r="Y84" s="28">
        <f t="shared" ref="Y84:Y86" si="1395">V84/Y$6</f>
        <v>174.01166666666666</v>
      </c>
      <c r="Z84" s="72">
        <f t="shared" ref="Z84:Z86" si="1396">Y84/Z$6</f>
        <v>58.003888888888888</v>
      </c>
      <c r="AA84" s="70">
        <f t="shared" ref="AA84:AA86" si="1397">V84/AA$6</f>
        <v>174.01166666666666</v>
      </c>
      <c r="AB84" s="70">
        <f t="shared" ref="AB84:AB86" si="1398">SUM(V84:AA84)</f>
        <v>2870.0324222222221</v>
      </c>
      <c r="AC84" s="71">
        <v>0</v>
      </c>
      <c r="AD84" s="71">
        <v>0</v>
      </c>
      <c r="AE84" s="72">
        <f t="shared" ref="AE84:AE86" si="1399">((U84*AE$6)+(U84*$AO$6)+(U84*$AP$6))*AC84</f>
        <v>0</v>
      </c>
      <c r="AF84" s="72">
        <f t="shared" ref="AF84:AF86" si="1400">((U84*AF$6)+(U84*$AO$6)+(U84*$AP$6))*AD84</f>
        <v>0</v>
      </c>
      <c r="AG84" s="70">
        <f t="shared" ref="AG84:AG86" si="1401">SUM(AE84:AF84)</f>
        <v>0</v>
      </c>
      <c r="AH84" s="73">
        <v>0</v>
      </c>
      <c r="AI84" s="74">
        <f t="shared" ref="AI84:AI86" si="1402">IF(S84=1,($C$1*$Q$6),0)</f>
        <v>282.40000000000003</v>
      </c>
      <c r="AJ84" s="303">
        <f t="shared" ref="AJ84:AJ86" si="1403">AB84+AG84+AH84+AI84</f>
        <v>3152.4324222222222</v>
      </c>
      <c r="AK84" s="58">
        <v>1</v>
      </c>
      <c r="AL84" s="68" t="s">
        <v>294</v>
      </c>
      <c r="AM84" s="28">
        <f t="shared" ref="AM84:AM86" si="1404">AN84/$AM$4</f>
        <v>9.4915454545454541</v>
      </c>
      <c r="AN84" s="69">
        <v>2088.14</v>
      </c>
      <c r="AO84" s="28">
        <f t="shared" ref="AO84:AO86" si="1405">AN84*AO$6</f>
        <v>208.81399999999999</v>
      </c>
      <c r="AP84" s="28">
        <f t="shared" ref="AP84:AP86" si="1406">AN84*AP$6</f>
        <v>167.05119999999999</v>
      </c>
      <c r="AQ84" s="28">
        <f t="shared" ref="AQ84:AQ86" si="1407">AN84/AQ$6</f>
        <v>174.01166666666666</v>
      </c>
      <c r="AR84" s="72">
        <f t="shared" ref="AR84:AR86" si="1408">AQ84/AR$6</f>
        <v>58.003888888888888</v>
      </c>
      <c r="AS84" s="70">
        <f t="shared" ref="AS84:AS86" si="1409">AN84/AS$6</f>
        <v>174.01166666666666</v>
      </c>
      <c r="AT84" s="70">
        <f t="shared" ref="AT84:AT86" si="1410">SUM(AN84:AS84)</f>
        <v>2870.0324222222221</v>
      </c>
      <c r="AU84" s="71">
        <v>0</v>
      </c>
      <c r="AV84" s="71">
        <v>0</v>
      </c>
      <c r="AW84" s="72">
        <f t="shared" ref="AW84:AW86" si="1411">((AM84*AW$6)+(AM84*$AO$6)+(AM84*$AP$6))*AU84</f>
        <v>0</v>
      </c>
      <c r="AX84" s="72">
        <f t="shared" ref="AX84:AX86" si="1412">((AM84*AX$6)+(AM84*$AO$6)+(AM84*$AP$6))*AV84</f>
        <v>0</v>
      </c>
      <c r="AY84" s="70">
        <f t="shared" ref="AY84:AY86" si="1413">SUM(AW84:AX84)</f>
        <v>0</v>
      </c>
      <c r="AZ84" s="73">
        <v>0</v>
      </c>
      <c r="BA84" s="74">
        <f t="shared" ref="BA84:BA86" si="1414">IF(AK84=1,($C$1*$Q$6),0)</f>
        <v>282.40000000000003</v>
      </c>
      <c r="BB84" s="303">
        <f t="shared" ref="BB84:BB86" si="1415">AT84+AY84+AZ84+BA84</f>
        <v>3152.4324222222222</v>
      </c>
      <c r="BC84" s="58">
        <v>1</v>
      </c>
      <c r="BD84" s="68" t="s">
        <v>294</v>
      </c>
      <c r="BE84" s="28">
        <f t="shared" ref="BE84:BE86" si="1416">BF84/$AM$4</f>
        <v>9.4915454545454541</v>
      </c>
      <c r="BF84" s="69">
        <v>2088.14</v>
      </c>
      <c r="BG84" s="28">
        <f t="shared" ref="BG84:BG86" si="1417">BF84*BG$6</f>
        <v>208.81399999999999</v>
      </c>
      <c r="BH84" s="28">
        <f t="shared" ref="BH84:BH86" si="1418">BF84*BH$6</f>
        <v>167.05119999999999</v>
      </c>
      <c r="BI84" s="28">
        <f t="shared" ref="BI84:BI86" si="1419">BF84/BI$6</f>
        <v>174.01166666666666</v>
      </c>
      <c r="BJ84" s="72">
        <f t="shared" ref="BJ84:BJ86" si="1420">BI84/BJ$6</f>
        <v>58.003888888888888</v>
      </c>
      <c r="BK84" s="70">
        <f t="shared" ref="BK84:BK86" si="1421">BF84/BK$6</f>
        <v>174.01166666666666</v>
      </c>
      <c r="BL84" s="70">
        <f t="shared" ref="BL84:BL86" si="1422">SUM(BF84:BK84)</f>
        <v>2870.0324222222221</v>
      </c>
      <c r="BM84" s="71">
        <v>0</v>
      </c>
      <c r="BN84" s="71">
        <v>0</v>
      </c>
      <c r="BO84" s="72">
        <f t="shared" ref="BO84:BO86" si="1423">((BE84*BO$6)+(BE84*$AO$6)+(BE84*$AP$6))*BM84</f>
        <v>0</v>
      </c>
      <c r="BP84" s="72">
        <f t="shared" ref="BP84:BP86" si="1424">((BE84*BP$6)+(BE84*$AO$6)+(BE84*$AP$6))*BN84</f>
        <v>0</v>
      </c>
      <c r="BQ84" s="70">
        <f t="shared" ref="BQ84:BQ86" si="1425">SUM(BO84:BP84)</f>
        <v>0</v>
      </c>
      <c r="BR84" s="73">
        <v>0</v>
      </c>
      <c r="BS84" s="74">
        <f t="shared" ref="BS84:BS86" si="1426">IF(BC84=1,($C$1*$Q$6),0)</f>
        <v>282.40000000000003</v>
      </c>
      <c r="BT84" s="303">
        <f t="shared" ref="BT84:BT86" si="1427">BL84+BQ84+BR84+BS84</f>
        <v>3152.4324222222222</v>
      </c>
      <c r="BU84" s="58">
        <v>1</v>
      </c>
      <c r="BV84" s="68" t="s">
        <v>294</v>
      </c>
      <c r="BW84" s="28">
        <f t="shared" ref="BW84:BW86" si="1428">BX84/$AM$4</f>
        <v>9.4915454545454541</v>
      </c>
      <c r="BX84" s="69">
        <v>2088.14</v>
      </c>
      <c r="BY84" s="28">
        <f t="shared" ref="BY84:BY86" si="1429">BX84*BY$6</f>
        <v>208.81399999999999</v>
      </c>
      <c r="BZ84" s="28">
        <f t="shared" ref="BZ84:BZ86" si="1430">BX84*BZ$6</f>
        <v>167.05119999999999</v>
      </c>
      <c r="CA84" s="28">
        <f t="shared" ref="CA84:CA86" si="1431">BX84/CA$6</f>
        <v>174.01166666666666</v>
      </c>
      <c r="CB84" s="72">
        <f t="shared" ref="CB84:CB86" si="1432">CA84/CB$6</f>
        <v>58.003888888888888</v>
      </c>
      <c r="CC84" s="70">
        <f t="shared" ref="CC84:CC86" si="1433">BX84/CC$6</f>
        <v>174.01166666666666</v>
      </c>
      <c r="CD84" s="70">
        <f t="shared" ref="CD84:CD86" si="1434">SUM(BX84:CC84)</f>
        <v>2870.0324222222221</v>
      </c>
      <c r="CE84" s="71">
        <v>0</v>
      </c>
      <c r="CF84" s="71">
        <v>0</v>
      </c>
      <c r="CG84" s="72">
        <f t="shared" ref="CG84:CG86" si="1435">((BW84*CG$6)+(BW84*$AO$6)+(BW84*$AP$6))*CE84</f>
        <v>0</v>
      </c>
      <c r="CH84" s="72">
        <f t="shared" ref="CH84:CH86" si="1436">((BW84*CH$6)+(BW84*$AO$6)+(BW84*$AP$6))*CF84</f>
        <v>0</v>
      </c>
      <c r="CI84" s="70">
        <f t="shared" ref="CI84:CI86" si="1437">SUM(CG84:CH84)</f>
        <v>0</v>
      </c>
      <c r="CJ84" s="73">
        <v>0</v>
      </c>
      <c r="CK84" s="74">
        <f t="shared" ref="CK84:CK86" si="1438">IF(BU84=1,($C$1*$Q$6),0)</f>
        <v>282.40000000000003</v>
      </c>
      <c r="CL84" s="303">
        <f t="shared" ref="CL84:CL86" si="1439">CD84+CI84+CJ84+CK84</f>
        <v>3152.4324222222222</v>
      </c>
      <c r="CM84" s="58">
        <v>1</v>
      </c>
      <c r="CN84" s="68" t="s">
        <v>294</v>
      </c>
      <c r="CO84" s="28">
        <f t="shared" ref="CO84:CO86" si="1440">CP84/$AM$4</f>
        <v>9.4915454545454541</v>
      </c>
      <c r="CP84" s="69">
        <v>2088.14</v>
      </c>
      <c r="CQ84" s="28">
        <f t="shared" ref="CQ84:CQ86" si="1441">CP84*CQ$6</f>
        <v>208.81399999999999</v>
      </c>
      <c r="CR84" s="28">
        <f t="shared" ref="CR84:CR86" si="1442">CP84*CR$6</f>
        <v>167.05119999999999</v>
      </c>
      <c r="CS84" s="28">
        <f t="shared" ref="CS84:CS86" si="1443">CP84/CS$6</f>
        <v>174.01166666666666</v>
      </c>
      <c r="CT84" s="72">
        <f t="shared" ref="CT84:CT86" si="1444">CS84/CT$6</f>
        <v>58.003888888888888</v>
      </c>
      <c r="CU84" s="70">
        <f t="shared" ref="CU84:CU86" si="1445">CP84/CU$6</f>
        <v>174.01166666666666</v>
      </c>
      <c r="CV84" s="70">
        <f t="shared" ref="CV84:CV86" si="1446">SUM(CP84:CU84)</f>
        <v>2870.0324222222221</v>
      </c>
      <c r="CW84" s="71">
        <v>0</v>
      </c>
      <c r="CX84" s="71">
        <v>0</v>
      </c>
      <c r="CY84" s="72">
        <f t="shared" ref="CY84:CY86" si="1447">((CO84*CY$6)+(CO84*$AO$6)+(CO84*$AP$6))*CW84</f>
        <v>0</v>
      </c>
      <c r="CZ84" s="72">
        <f t="shared" ref="CZ84:CZ86" si="1448">((CO84*CZ$6)+(CO84*$AO$6)+(CO84*$AP$6))*CX84</f>
        <v>0</v>
      </c>
      <c r="DA84" s="70">
        <f t="shared" ref="DA84:DA86" si="1449">SUM(CY84:CZ84)</f>
        <v>0</v>
      </c>
      <c r="DB84" s="73">
        <v>0</v>
      </c>
      <c r="DC84" s="74">
        <f t="shared" ref="DC84:DC86" si="1450">IF(CM84=1,($C$1*$Q$6),0)</f>
        <v>282.40000000000003</v>
      </c>
      <c r="DD84" s="303">
        <f t="shared" ref="DD84:DD86" si="1451">CV84+DA84+DB84+DC84</f>
        <v>3152.4324222222222</v>
      </c>
      <c r="DE84" s="58">
        <v>1</v>
      </c>
      <c r="DF84" s="68" t="s">
        <v>294</v>
      </c>
      <c r="DG84" s="28">
        <f t="shared" ref="DG84:DG86" si="1452">DH84/$AM$4</f>
        <v>9.4915454545454541</v>
      </c>
      <c r="DH84" s="69">
        <v>2088.14</v>
      </c>
      <c r="DI84" s="28">
        <f t="shared" ref="DI84:DI86" si="1453">DH84*DI$6</f>
        <v>208.81399999999999</v>
      </c>
      <c r="DJ84" s="28">
        <f t="shared" ref="DJ84:DJ86" si="1454">DH84*DJ$6</f>
        <v>167.05119999999999</v>
      </c>
      <c r="DK84" s="28">
        <f t="shared" ref="DK84:DK86" si="1455">DH84/DK$6</f>
        <v>174.01166666666666</v>
      </c>
      <c r="DL84" s="72">
        <f t="shared" ref="DL84:DL86" si="1456">DK84/DL$6</f>
        <v>58.003888888888888</v>
      </c>
      <c r="DM84" s="70">
        <f t="shared" ref="DM84:DM86" si="1457">DH84/DM$6</f>
        <v>174.01166666666666</v>
      </c>
      <c r="DN84" s="70">
        <f t="shared" ref="DN84:DN86" si="1458">SUM(DH84:DM84)</f>
        <v>2870.0324222222221</v>
      </c>
      <c r="DO84" s="71">
        <v>0</v>
      </c>
      <c r="DP84" s="71">
        <v>0</v>
      </c>
      <c r="DQ84" s="72">
        <f t="shared" ref="DQ84:DQ86" si="1459">((DG84*DQ$6)+(DG84*$AO$6)+(DG84*$AP$6))*DO84</f>
        <v>0</v>
      </c>
      <c r="DR84" s="72">
        <f t="shared" ref="DR84:DR86" si="1460">((DG84*DR$6)+(DG84*$AO$6)+(DG84*$AP$6))*DP84</f>
        <v>0</v>
      </c>
      <c r="DS84" s="70">
        <f t="shared" ref="DS84:DS86" si="1461">SUM(DQ84:DR84)</f>
        <v>0</v>
      </c>
      <c r="DT84" s="73">
        <v>0</v>
      </c>
      <c r="DU84" s="74">
        <f t="shared" ref="DU84:DU86" si="1462">IF(DE84=1,($C$1*$Q$6),0)</f>
        <v>282.40000000000003</v>
      </c>
      <c r="DV84" s="303">
        <f t="shared" ref="DV84:DV86" si="1463">DN84+DS84+DT84+DU84</f>
        <v>3152.4324222222222</v>
      </c>
      <c r="DW84" s="58">
        <v>1</v>
      </c>
      <c r="DX84" s="68" t="s">
        <v>294</v>
      </c>
      <c r="DY84" s="28">
        <f t="shared" ref="DY84:DY86" si="1464">DZ84/$AM$4</f>
        <v>9.4915454545454541</v>
      </c>
      <c r="DZ84" s="69">
        <v>2088.14</v>
      </c>
      <c r="EA84" s="28">
        <f t="shared" ref="EA84:EA86" si="1465">DZ84*EA$6</f>
        <v>208.81399999999999</v>
      </c>
      <c r="EB84" s="28">
        <f t="shared" ref="EB84:EB86" si="1466">DZ84*EB$6</f>
        <v>167.05119999999999</v>
      </c>
      <c r="EC84" s="28">
        <f t="shared" ref="EC84:EC86" si="1467">DZ84/EC$6</f>
        <v>174.01166666666666</v>
      </c>
      <c r="ED84" s="72">
        <f t="shared" ref="ED84:ED86" si="1468">EC84/ED$6</f>
        <v>58.003888888888888</v>
      </c>
      <c r="EE84" s="70">
        <f t="shared" ref="EE84:EE86" si="1469">DZ84/EE$6</f>
        <v>174.01166666666666</v>
      </c>
      <c r="EF84" s="70">
        <f t="shared" ref="EF84:EF86" si="1470">SUM(DZ84:EE84)</f>
        <v>2870.0324222222221</v>
      </c>
      <c r="EG84" s="71">
        <v>0</v>
      </c>
      <c r="EH84" s="71">
        <v>0</v>
      </c>
      <c r="EI84" s="72">
        <f t="shared" ref="EI84:EI86" si="1471">((DY84*EI$6)+(DY84*$AO$6)+(DY84*$AP$6))*EG84</f>
        <v>0</v>
      </c>
      <c r="EJ84" s="72">
        <f t="shared" ref="EJ84:EJ86" si="1472">((DY84*EJ$6)+(DY84*$AO$6)+(DY84*$AP$6))*EH84</f>
        <v>0</v>
      </c>
      <c r="EK84" s="70">
        <f t="shared" ref="EK84:EK86" si="1473">SUM(EI84:EJ84)</f>
        <v>0</v>
      </c>
      <c r="EL84" s="73">
        <v>0</v>
      </c>
      <c r="EM84" s="74">
        <f t="shared" ref="EM84:EM86" si="1474">IF(DW84=1,($C$1*$Q$6),0)</f>
        <v>282.40000000000003</v>
      </c>
      <c r="EN84" s="303">
        <f t="shared" ref="EN84:EN86" si="1475">EF84+EK84+EL84+EM84</f>
        <v>3152.4324222222222</v>
      </c>
      <c r="EO84" s="58">
        <v>1</v>
      </c>
      <c r="EP84" s="68" t="s">
        <v>294</v>
      </c>
      <c r="EQ84" s="28">
        <f t="shared" ref="EQ84:EQ86" si="1476">ER84/$AM$4</f>
        <v>9.4915454545454541</v>
      </c>
      <c r="ER84" s="69">
        <v>2088.14</v>
      </c>
      <c r="ES84" s="28">
        <f t="shared" ref="ES84:ES86" si="1477">ER84*ES$6</f>
        <v>208.81399999999999</v>
      </c>
      <c r="ET84" s="28">
        <f t="shared" ref="ET84:ET86" si="1478">ER84*ET$6</f>
        <v>167.05119999999999</v>
      </c>
      <c r="EU84" s="28">
        <f t="shared" ref="EU84:EU86" si="1479">ER84/EU$6</f>
        <v>174.01166666666666</v>
      </c>
      <c r="EV84" s="72">
        <f t="shared" ref="EV84:EV86" si="1480">EU84/EV$6</f>
        <v>58.003888888888888</v>
      </c>
      <c r="EW84" s="70">
        <f t="shared" ref="EW84:EW86" si="1481">ER84/EW$6</f>
        <v>174.01166666666666</v>
      </c>
      <c r="EX84" s="70">
        <f t="shared" ref="EX84:EX86" si="1482">SUM(ER84:EW84)</f>
        <v>2870.0324222222221</v>
      </c>
      <c r="EY84" s="71">
        <v>0</v>
      </c>
      <c r="EZ84" s="71">
        <v>0</v>
      </c>
      <c r="FA84" s="72">
        <f t="shared" ref="FA84:FA86" si="1483">((EQ84*FA$6)+(EQ84*$AO$6)+(EQ84*$AP$6))*EY84</f>
        <v>0</v>
      </c>
      <c r="FB84" s="72">
        <f t="shared" ref="FB84:FB86" si="1484">((EQ84*FB$6)+(EQ84*$AO$6)+(EQ84*$AP$6))*EZ84</f>
        <v>0</v>
      </c>
      <c r="FC84" s="70">
        <f t="shared" ref="FC84:FC86" si="1485">SUM(FA84:FB84)</f>
        <v>0</v>
      </c>
      <c r="FD84" s="73">
        <v>0</v>
      </c>
      <c r="FE84" s="74">
        <f t="shared" ref="FE84:FE86" si="1486">IF(EO84=1,($C$1*$Q$6),0)</f>
        <v>282.40000000000003</v>
      </c>
      <c r="FF84" s="303">
        <f t="shared" ref="FF84:FF86" si="1487">EX84+FC84+FD84+FE84</f>
        <v>3152.4324222222222</v>
      </c>
      <c r="FG84" s="58">
        <v>1</v>
      </c>
      <c r="FH84" s="68" t="s">
        <v>294</v>
      </c>
      <c r="FI84" s="28">
        <f t="shared" ref="FI84:FI86" si="1488">FJ84/$AM$4</f>
        <v>9.4915454545454541</v>
      </c>
      <c r="FJ84" s="69">
        <v>2088.14</v>
      </c>
      <c r="FK84" s="28">
        <f t="shared" ref="FK84:FK86" si="1489">FJ84*FK$6</f>
        <v>208.81399999999999</v>
      </c>
      <c r="FL84" s="28">
        <f t="shared" ref="FL84:FL86" si="1490">FJ84*FL$6</f>
        <v>167.05119999999999</v>
      </c>
      <c r="FM84" s="28">
        <f t="shared" ref="FM84:FM86" si="1491">FJ84/FM$6</f>
        <v>174.01166666666666</v>
      </c>
      <c r="FN84" s="72">
        <f t="shared" ref="FN84:FN86" si="1492">FM84/FN$6</f>
        <v>58.003888888888888</v>
      </c>
      <c r="FO84" s="70">
        <f t="shared" ref="FO84:FO86" si="1493">FJ84/FO$6</f>
        <v>174.01166666666666</v>
      </c>
      <c r="FP84" s="70">
        <f t="shared" ref="FP84:FP86" si="1494">SUM(FJ84:FO84)</f>
        <v>2870.0324222222221</v>
      </c>
      <c r="FQ84" s="71">
        <v>0</v>
      </c>
      <c r="FR84" s="71">
        <v>0</v>
      </c>
      <c r="FS84" s="72">
        <f t="shared" ref="FS84:FS86" si="1495">((FI84*FS$6)+(FI84*$AO$6)+(FI84*$AP$6))*FQ84</f>
        <v>0</v>
      </c>
      <c r="FT84" s="72">
        <f t="shared" ref="FT84:FT86" si="1496">((FI84*FT$6)+(FI84*$AO$6)+(FI84*$AP$6))*FR84</f>
        <v>0</v>
      </c>
      <c r="FU84" s="70">
        <f t="shared" ref="FU84:FU86" si="1497">SUM(FS84:FT84)</f>
        <v>0</v>
      </c>
      <c r="FV84" s="73">
        <v>0</v>
      </c>
      <c r="FW84" s="74">
        <f t="shared" ref="FW84:FW86" si="1498">IF(FG84=1,($C$1*$Q$6),0)</f>
        <v>282.40000000000003</v>
      </c>
      <c r="FX84" s="303">
        <f t="shared" ref="FX84:FX86" si="1499">FP84+FU84+FV84+FW84</f>
        <v>3152.4324222222222</v>
      </c>
      <c r="FY84" s="58">
        <v>1</v>
      </c>
      <c r="FZ84" s="68" t="s">
        <v>294</v>
      </c>
      <c r="GA84" s="28">
        <f t="shared" ref="GA84:GA86" si="1500">GB84/$AM$4</f>
        <v>9.4915454545454541</v>
      </c>
      <c r="GB84" s="69">
        <v>2088.14</v>
      </c>
      <c r="GC84" s="28">
        <f t="shared" ref="GC84:GC86" si="1501">GB84*GC$6</f>
        <v>208.81399999999999</v>
      </c>
      <c r="GD84" s="28">
        <f t="shared" ref="GD84:GD86" si="1502">GB84*GD$6</f>
        <v>167.05119999999999</v>
      </c>
      <c r="GE84" s="28">
        <f t="shared" ref="GE84:GE86" si="1503">GB84/GE$6</f>
        <v>174.01166666666666</v>
      </c>
      <c r="GF84" s="72">
        <f t="shared" ref="GF84:GF86" si="1504">GE84/GF$6</f>
        <v>58.003888888888888</v>
      </c>
      <c r="GG84" s="70">
        <f t="shared" ref="GG84:GG86" si="1505">GB84/GG$6</f>
        <v>174.01166666666666</v>
      </c>
      <c r="GH84" s="70">
        <f t="shared" ref="GH84:GH86" si="1506">SUM(GB84:GG84)</f>
        <v>2870.0324222222221</v>
      </c>
      <c r="GI84" s="71">
        <v>0</v>
      </c>
      <c r="GJ84" s="71">
        <v>0</v>
      </c>
      <c r="GK84" s="72">
        <f t="shared" ref="GK84:GK86" si="1507">((GA84*GK$6)+(GA84*$AO$6)+(GA84*$AP$6))*GI84</f>
        <v>0</v>
      </c>
      <c r="GL84" s="72">
        <f t="shared" ref="GL84:GL86" si="1508">((GA84*GL$6)+(GA84*$AO$6)+(GA84*$AP$6))*GJ84</f>
        <v>0</v>
      </c>
      <c r="GM84" s="70">
        <f t="shared" ref="GM84:GM86" si="1509">SUM(GK84:GL84)</f>
        <v>0</v>
      </c>
      <c r="GN84" s="73">
        <v>0</v>
      </c>
      <c r="GO84" s="74">
        <f t="shared" ref="GO84:GO86" si="1510">IF(FY84=1,($C$1*$Q$6),0)</f>
        <v>282.40000000000003</v>
      </c>
      <c r="GP84" s="303">
        <f t="shared" ref="GP84:GP86" si="1511">GH84+GM84+GN84+GO84</f>
        <v>3152.4324222222222</v>
      </c>
      <c r="GQ84" s="58">
        <v>1</v>
      </c>
      <c r="GR84" s="68" t="s">
        <v>294</v>
      </c>
      <c r="GS84" s="28">
        <f t="shared" ref="GS84:GS86" si="1512">GT84/$AM$4</f>
        <v>9.4915454545454541</v>
      </c>
      <c r="GT84" s="69">
        <v>2088.14</v>
      </c>
      <c r="GU84" s="28">
        <f t="shared" ref="GU84:GU86" si="1513">GT84*GU$6</f>
        <v>208.81399999999999</v>
      </c>
      <c r="GV84" s="28">
        <f t="shared" ref="GV84:GV86" si="1514">GT84*GV$6</f>
        <v>167.05119999999999</v>
      </c>
      <c r="GW84" s="28">
        <f t="shared" ref="GW84:GW86" si="1515">GT84/GW$6</f>
        <v>174.01166666666666</v>
      </c>
      <c r="GX84" s="72">
        <f t="shared" ref="GX84:GX86" si="1516">GW84/GX$6</f>
        <v>58.003888888888888</v>
      </c>
      <c r="GY84" s="70">
        <f t="shared" ref="GY84:GY86" si="1517">GT84/GY$6</f>
        <v>174.01166666666666</v>
      </c>
      <c r="GZ84" s="70">
        <f t="shared" ref="GZ84:GZ86" si="1518">SUM(GT84:GY84)</f>
        <v>2870.0324222222221</v>
      </c>
      <c r="HA84" s="71">
        <v>0</v>
      </c>
      <c r="HB84" s="71">
        <v>0</v>
      </c>
      <c r="HC84" s="72">
        <f t="shared" ref="HC84:HC86" si="1519">((GS84*HC$6)+(GS84*$AO$6)+(GS84*$AP$6))*HA84</f>
        <v>0</v>
      </c>
      <c r="HD84" s="72">
        <f t="shared" ref="HD84:HD86" si="1520">((GS84*HD$6)+(GS84*$AO$6)+(GS84*$AP$6))*HB84</f>
        <v>0</v>
      </c>
      <c r="HE84" s="70">
        <f t="shared" ref="HE84:HE86" si="1521">SUM(HC84:HD84)</f>
        <v>0</v>
      </c>
      <c r="HF84" s="73">
        <v>0</v>
      </c>
      <c r="HG84" s="74">
        <f t="shared" ref="HG84:HG86" si="1522">IF(GQ84=1,($C$1*$Q$6),0)</f>
        <v>282.40000000000003</v>
      </c>
      <c r="HH84" s="303">
        <f t="shared" ref="HH84:HH86" si="1523">GZ84+HE84+HF84+HG84</f>
        <v>3152.4324222222222</v>
      </c>
      <c r="HJ84" s="37"/>
      <c r="HK84" s="37"/>
      <c r="HL84" s="37"/>
      <c r="HM84" s="37"/>
      <c r="HN84" s="37"/>
      <c r="HO84" s="37"/>
      <c r="HP84" s="37"/>
      <c r="HQ84" s="37"/>
      <c r="HR84" s="37"/>
      <c r="HS84" s="37"/>
      <c r="HT84" s="37"/>
      <c r="HU84" s="37"/>
      <c r="HV84" s="37"/>
      <c r="HW84" s="37"/>
      <c r="HX84" s="37"/>
      <c r="HY84" s="37"/>
      <c r="HZ84" s="37"/>
      <c r="IA84" s="37"/>
      <c r="IB84" s="37"/>
      <c r="IC84" s="37"/>
      <c r="ID84" s="37"/>
      <c r="IE84" s="37"/>
      <c r="IF84" s="37"/>
      <c r="IG84" s="37"/>
      <c r="IH84" s="37"/>
      <c r="II84" s="37"/>
      <c r="IJ84" s="37"/>
      <c r="IK84" s="37"/>
      <c r="IL84" s="37"/>
      <c r="IM84" s="37"/>
      <c r="IN84" s="37"/>
      <c r="IO84" s="37"/>
      <c r="IP84" s="37"/>
    </row>
    <row r="85" spans="1:250" x14ac:dyDescent="0.3">
      <c r="A85" s="58">
        <v>0</v>
      </c>
      <c r="B85" s="68" t="s">
        <v>181</v>
      </c>
      <c r="C85" s="28">
        <f t="shared" si="1380"/>
        <v>0</v>
      </c>
      <c r="D85" s="69">
        <v>0</v>
      </c>
      <c r="E85" s="28">
        <f t="shared" si="1381"/>
        <v>0</v>
      </c>
      <c r="F85" s="28">
        <f t="shared" si="1382"/>
        <v>0</v>
      </c>
      <c r="G85" s="28">
        <f t="shared" si="1383"/>
        <v>0</v>
      </c>
      <c r="H85" s="72">
        <f t="shared" si="1384"/>
        <v>0</v>
      </c>
      <c r="I85" s="70">
        <f t="shared" si="1385"/>
        <v>0</v>
      </c>
      <c r="J85" s="70">
        <f t="shared" si="1386"/>
        <v>0</v>
      </c>
      <c r="K85" s="71">
        <v>0</v>
      </c>
      <c r="L85" s="71">
        <v>0</v>
      </c>
      <c r="M85" s="72">
        <f t="shared" si="1387"/>
        <v>0</v>
      </c>
      <c r="N85" s="72">
        <f t="shared" si="1388"/>
        <v>0</v>
      </c>
      <c r="O85" s="70">
        <f t="shared" si="1389"/>
        <v>0</v>
      </c>
      <c r="P85" s="73">
        <v>0</v>
      </c>
      <c r="Q85" s="74">
        <f t="shared" si="1390"/>
        <v>0</v>
      </c>
      <c r="R85" s="303">
        <f t="shared" si="1391"/>
        <v>0</v>
      </c>
      <c r="S85" s="58">
        <v>0</v>
      </c>
      <c r="T85" s="68" t="s">
        <v>181</v>
      </c>
      <c r="U85" s="28">
        <f t="shared" si="1392"/>
        <v>0</v>
      </c>
      <c r="V85" s="69">
        <v>0</v>
      </c>
      <c r="W85" s="28">
        <f t="shared" si="1393"/>
        <v>0</v>
      </c>
      <c r="X85" s="28">
        <f t="shared" si="1394"/>
        <v>0</v>
      </c>
      <c r="Y85" s="28">
        <f t="shared" si="1395"/>
        <v>0</v>
      </c>
      <c r="Z85" s="72">
        <f t="shared" si="1396"/>
        <v>0</v>
      </c>
      <c r="AA85" s="70">
        <f t="shared" si="1397"/>
        <v>0</v>
      </c>
      <c r="AB85" s="70">
        <f t="shared" si="1398"/>
        <v>0</v>
      </c>
      <c r="AC85" s="71">
        <v>0</v>
      </c>
      <c r="AD85" s="71">
        <v>0</v>
      </c>
      <c r="AE85" s="72">
        <f t="shared" si="1399"/>
        <v>0</v>
      </c>
      <c r="AF85" s="72">
        <f t="shared" si="1400"/>
        <v>0</v>
      </c>
      <c r="AG85" s="70">
        <f t="shared" si="1401"/>
        <v>0</v>
      </c>
      <c r="AH85" s="73">
        <v>0</v>
      </c>
      <c r="AI85" s="74">
        <f t="shared" si="1402"/>
        <v>0</v>
      </c>
      <c r="AJ85" s="303">
        <f t="shared" si="1403"/>
        <v>0</v>
      </c>
      <c r="AK85" s="58">
        <v>0</v>
      </c>
      <c r="AL85" s="68" t="s">
        <v>181</v>
      </c>
      <c r="AM85" s="28">
        <f t="shared" si="1404"/>
        <v>0</v>
      </c>
      <c r="AN85" s="69">
        <v>0</v>
      </c>
      <c r="AO85" s="28">
        <f t="shared" si="1405"/>
        <v>0</v>
      </c>
      <c r="AP85" s="28">
        <f t="shared" si="1406"/>
        <v>0</v>
      </c>
      <c r="AQ85" s="28">
        <f t="shared" si="1407"/>
        <v>0</v>
      </c>
      <c r="AR85" s="72">
        <f t="shared" si="1408"/>
        <v>0</v>
      </c>
      <c r="AS85" s="70">
        <f t="shared" si="1409"/>
        <v>0</v>
      </c>
      <c r="AT85" s="70">
        <f t="shared" si="1410"/>
        <v>0</v>
      </c>
      <c r="AU85" s="71">
        <v>0</v>
      </c>
      <c r="AV85" s="71">
        <v>0</v>
      </c>
      <c r="AW85" s="72">
        <f t="shared" si="1411"/>
        <v>0</v>
      </c>
      <c r="AX85" s="72">
        <f t="shared" si="1412"/>
        <v>0</v>
      </c>
      <c r="AY85" s="70">
        <f t="shared" si="1413"/>
        <v>0</v>
      </c>
      <c r="AZ85" s="73">
        <v>0</v>
      </c>
      <c r="BA85" s="74">
        <f t="shared" si="1414"/>
        <v>0</v>
      </c>
      <c r="BB85" s="303">
        <f t="shared" si="1415"/>
        <v>0</v>
      </c>
      <c r="BC85" s="58">
        <v>0</v>
      </c>
      <c r="BD85" s="68" t="s">
        <v>181</v>
      </c>
      <c r="BE85" s="28">
        <f t="shared" si="1416"/>
        <v>0</v>
      </c>
      <c r="BF85" s="69">
        <v>0</v>
      </c>
      <c r="BG85" s="28">
        <f t="shared" si="1417"/>
        <v>0</v>
      </c>
      <c r="BH85" s="28">
        <f t="shared" si="1418"/>
        <v>0</v>
      </c>
      <c r="BI85" s="28">
        <f t="shared" si="1419"/>
        <v>0</v>
      </c>
      <c r="BJ85" s="72">
        <f t="shared" si="1420"/>
        <v>0</v>
      </c>
      <c r="BK85" s="70">
        <f t="shared" si="1421"/>
        <v>0</v>
      </c>
      <c r="BL85" s="70">
        <f t="shared" si="1422"/>
        <v>0</v>
      </c>
      <c r="BM85" s="71">
        <v>0</v>
      </c>
      <c r="BN85" s="71">
        <v>0</v>
      </c>
      <c r="BO85" s="72">
        <f t="shared" si="1423"/>
        <v>0</v>
      </c>
      <c r="BP85" s="72">
        <f t="shared" si="1424"/>
        <v>0</v>
      </c>
      <c r="BQ85" s="70">
        <f t="shared" si="1425"/>
        <v>0</v>
      </c>
      <c r="BR85" s="73">
        <v>0</v>
      </c>
      <c r="BS85" s="74">
        <f t="shared" si="1426"/>
        <v>0</v>
      </c>
      <c r="BT85" s="303">
        <f t="shared" si="1427"/>
        <v>0</v>
      </c>
      <c r="BU85" s="58">
        <v>0</v>
      </c>
      <c r="BV85" s="68" t="s">
        <v>181</v>
      </c>
      <c r="BW85" s="28">
        <f t="shared" si="1428"/>
        <v>0</v>
      </c>
      <c r="BX85" s="69">
        <v>0</v>
      </c>
      <c r="BY85" s="28">
        <f t="shared" si="1429"/>
        <v>0</v>
      </c>
      <c r="BZ85" s="28">
        <f t="shared" si="1430"/>
        <v>0</v>
      </c>
      <c r="CA85" s="28">
        <f t="shared" si="1431"/>
        <v>0</v>
      </c>
      <c r="CB85" s="72">
        <f t="shared" si="1432"/>
        <v>0</v>
      </c>
      <c r="CC85" s="70">
        <f t="shared" si="1433"/>
        <v>0</v>
      </c>
      <c r="CD85" s="70">
        <f t="shared" si="1434"/>
        <v>0</v>
      </c>
      <c r="CE85" s="71">
        <v>0</v>
      </c>
      <c r="CF85" s="71">
        <v>0</v>
      </c>
      <c r="CG85" s="72">
        <f t="shared" si="1435"/>
        <v>0</v>
      </c>
      <c r="CH85" s="72">
        <f t="shared" si="1436"/>
        <v>0</v>
      </c>
      <c r="CI85" s="70">
        <f t="shared" si="1437"/>
        <v>0</v>
      </c>
      <c r="CJ85" s="73">
        <v>0</v>
      </c>
      <c r="CK85" s="74">
        <f t="shared" si="1438"/>
        <v>0</v>
      </c>
      <c r="CL85" s="303">
        <f t="shared" si="1439"/>
        <v>0</v>
      </c>
      <c r="CM85" s="58">
        <v>0</v>
      </c>
      <c r="CN85" s="68" t="s">
        <v>181</v>
      </c>
      <c r="CO85" s="28">
        <f t="shared" si="1440"/>
        <v>0</v>
      </c>
      <c r="CP85" s="69">
        <v>0</v>
      </c>
      <c r="CQ85" s="28">
        <f t="shared" si="1441"/>
        <v>0</v>
      </c>
      <c r="CR85" s="28">
        <f t="shared" si="1442"/>
        <v>0</v>
      </c>
      <c r="CS85" s="28">
        <f t="shared" si="1443"/>
        <v>0</v>
      </c>
      <c r="CT85" s="72">
        <f t="shared" si="1444"/>
        <v>0</v>
      </c>
      <c r="CU85" s="70">
        <f t="shared" si="1445"/>
        <v>0</v>
      </c>
      <c r="CV85" s="70">
        <f t="shared" si="1446"/>
        <v>0</v>
      </c>
      <c r="CW85" s="71">
        <v>0</v>
      </c>
      <c r="CX85" s="71">
        <v>0</v>
      </c>
      <c r="CY85" s="72">
        <f t="shared" si="1447"/>
        <v>0</v>
      </c>
      <c r="CZ85" s="72">
        <f t="shared" si="1448"/>
        <v>0</v>
      </c>
      <c r="DA85" s="70">
        <f t="shared" si="1449"/>
        <v>0</v>
      </c>
      <c r="DB85" s="73">
        <v>0</v>
      </c>
      <c r="DC85" s="74">
        <f t="shared" si="1450"/>
        <v>0</v>
      </c>
      <c r="DD85" s="303">
        <f t="shared" si="1451"/>
        <v>0</v>
      </c>
      <c r="DE85" s="58">
        <v>0</v>
      </c>
      <c r="DF85" s="68" t="s">
        <v>181</v>
      </c>
      <c r="DG85" s="28">
        <f t="shared" si="1452"/>
        <v>0</v>
      </c>
      <c r="DH85" s="69">
        <v>0</v>
      </c>
      <c r="DI85" s="28">
        <f t="shared" si="1453"/>
        <v>0</v>
      </c>
      <c r="DJ85" s="28">
        <f t="shared" si="1454"/>
        <v>0</v>
      </c>
      <c r="DK85" s="28">
        <f t="shared" si="1455"/>
        <v>0</v>
      </c>
      <c r="DL85" s="72">
        <f t="shared" si="1456"/>
        <v>0</v>
      </c>
      <c r="DM85" s="70">
        <f t="shared" si="1457"/>
        <v>0</v>
      </c>
      <c r="DN85" s="70">
        <f t="shared" si="1458"/>
        <v>0</v>
      </c>
      <c r="DO85" s="71">
        <v>0</v>
      </c>
      <c r="DP85" s="71">
        <v>0</v>
      </c>
      <c r="DQ85" s="72">
        <f t="shared" si="1459"/>
        <v>0</v>
      </c>
      <c r="DR85" s="72">
        <f t="shared" si="1460"/>
        <v>0</v>
      </c>
      <c r="DS85" s="70">
        <f t="shared" si="1461"/>
        <v>0</v>
      </c>
      <c r="DT85" s="73">
        <v>0</v>
      </c>
      <c r="DU85" s="74">
        <f t="shared" si="1462"/>
        <v>0</v>
      </c>
      <c r="DV85" s="303">
        <f t="shared" si="1463"/>
        <v>0</v>
      </c>
      <c r="DW85" s="58">
        <v>0</v>
      </c>
      <c r="DX85" s="68" t="s">
        <v>181</v>
      </c>
      <c r="DY85" s="28">
        <f t="shared" si="1464"/>
        <v>0</v>
      </c>
      <c r="DZ85" s="69">
        <v>0</v>
      </c>
      <c r="EA85" s="28">
        <f t="shared" si="1465"/>
        <v>0</v>
      </c>
      <c r="EB85" s="28">
        <f t="shared" si="1466"/>
        <v>0</v>
      </c>
      <c r="EC85" s="28">
        <f t="shared" si="1467"/>
        <v>0</v>
      </c>
      <c r="ED85" s="72">
        <f t="shared" si="1468"/>
        <v>0</v>
      </c>
      <c r="EE85" s="70">
        <f t="shared" si="1469"/>
        <v>0</v>
      </c>
      <c r="EF85" s="70">
        <f t="shared" si="1470"/>
        <v>0</v>
      </c>
      <c r="EG85" s="71">
        <v>0</v>
      </c>
      <c r="EH85" s="71">
        <v>0</v>
      </c>
      <c r="EI85" s="72">
        <f t="shared" si="1471"/>
        <v>0</v>
      </c>
      <c r="EJ85" s="72">
        <f t="shared" si="1472"/>
        <v>0</v>
      </c>
      <c r="EK85" s="70">
        <f t="shared" si="1473"/>
        <v>0</v>
      </c>
      <c r="EL85" s="73">
        <v>0</v>
      </c>
      <c r="EM85" s="74">
        <f t="shared" si="1474"/>
        <v>0</v>
      </c>
      <c r="EN85" s="303">
        <f t="shared" si="1475"/>
        <v>0</v>
      </c>
      <c r="EO85" s="58">
        <v>0</v>
      </c>
      <c r="EP85" s="68" t="s">
        <v>181</v>
      </c>
      <c r="EQ85" s="28">
        <f t="shared" si="1476"/>
        <v>0</v>
      </c>
      <c r="ER85" s="69">
        <v>0</v>
      </c>
      <c r="ES85" s="28">
        <f t="shared" si="1477"/>
        <v>0</v>
      </c>
      <c r="ET85" s="28">
        <f t="shared" si="1478"/>
        <v>0</v>
      </c>
      <c r="EU85" s="28">
        <f t="shared" si="1479"/>
        <v>0</v>
      </c>
      <c r="EV85" s="72">
        <f t="shared" si="1480"/>
        <v>0</v>
      </c>
      <c r="EW85" s="70">
        <f t="shared" si="1481"/>
        <v>0</v>
      </c>
      <c r="EX85" s="70">
        <f t="shared" si="1482"/>
        <v>0</v>
      </c>
      <c r="EY85" s="71">
        <v>0</v>
      </c>
      <c r="EZ85" s="71">
        <v>0</v>
      </c>
      <c r="FA85" s="72">
        <f t="shared" si="1483"/>
        <v>0</v>
      </c>
      <c r="FB85" s="72">
        <f t="shared" si="1484"/>
        <v>0</v>
      </c>
      <c r="FC85" s="70">
        <f t="shared" si="1485"/>
        <v>0</v>
      </c>
      <c r="FD85" s="73">
        <v>0</v>
      </c>
      <c r="FE85" s="74">
        <f t="shared" si="1486"/>
        <v>0</v>
      </c>
      <c r="FF85" s="303">
        <f t="shared" si="1487"/>
        <v>0</v>
      </c>
      <c r="FG85" s="58">
        <v>0</v>
      </c>
      <c r="FH85" s="68" t="s">
        <v>181</v>
      </c>
      <c r="FI85" s="28">
        <f t="shared" si="1488"/>
        <v>0</v>
      </c>
      <c r="FJ85" s="69">
        <v>0</v>
      </c>
      <c r="FK85" s="28">
        <f t="shared" si="1489"/>
        <v>0</v>
      </c>
      <c r="FL85" s="28">
        <f t="shared" si="1490"/>
        <v>0</v>
      </c>
      <c r="FM85" s="28">
        <f t="shared" si="1491"/>
        <v>0</v>
      </c>
      <c r="FN85" s="72">
        <f t="shared" si="1492"/>
        <v>0</v>
      </c>
      <c r="FO85" s="70">
        <f t="shared" si="1493"/>
        <v>0</v>
      </c>
      <c r="FP85" s="70">
        <f t="shared" si="1494"/>
        <v>0</v>
      </c>
      <c r="FQ85" s="71">
        <v>0</v>
      </c>
      <c r="FR85" s="71">
        <v>0</v>
      </c>
      <c r="FS85" s="72">
        <f t="shared" si="1495"/>
        <v>0</v>
      </c>
      <c r="FT85" s="72">
        <f t="shared" si="1496"/>
        <v>0</v>
      </c>
      <c r="FU85" s="70">
        <f t="shared" si="1497"/>
        <v>0</v>
      </c>
      <c r="FV85" s="73">
        <v>0</v>
      </c>
      <c r="FW85" s="74">
        <f t="shared" si="1498"/>
        <v>0</v>
      </c>
      <c r="FX85" s="303">
        <f t="shared" si="1499"/>
        <v>0</v>
      </c>
      <c r="FY85" s="58">
        <v>0</v>
      </c>
      <c r="FZ85" s="68" t="s">
        <v>181</v>
      </c>
      <c r="GA85" s="28">
        <f t="shared" si="1500"/>
        <v>0</v>
      </c>
      <c r="GB85" s="69">
        <v>0</v>
      </c>
      <c r="GC85" s="28">
        <f t="shared" si="1501"/>
        <v>0</v>
      </c>
      <c r="GD85" s="28">
        <f t="shared" si="1502"/>
        <v>0</v>
      </c>
      <c r="GE85" s="28">
        <f t="shared" si="1503"/>
        <v>0</v>
      </c>
      <c r="GF85" s="72">
        <f t="shared" si="1504"/>
        <v>0</v>
      </c>
      <c r="GG85" s="70">
        <f t="shared" si="1505"/>
        <v>0</v>
      </c>
      <c r="GH85" s="70">
        <f t="shared" si="1506"/>
        <v>0</v>
      </c>
      <c r="GI85" s="71">
        <v>0</v>
      </c>
      <c r="GJ85" s="71">
        <v>0</v>
      </c>
      <c r="GK85" s="72">
        <f t="shared" si="1507"/>
        <v>0</v>
      </c>
      <c r="GL85" s="72">
        <f t="shared" si="1508"/>
        <v>0</v>
      </c>
      <c r="GM85" s="70">
        <f t="shared" si="1509"/>
        <v>0</v>
      </c>
      <c r="GN85" s="73">
        <v>0</v>
      </c>
      <c r="GO85" s="74">
        <f t="shared" si="1510"/>
        <v>0</v>
      </c>
      <c r="GP85" s="303">
        <f t="shared" si="1511"/>
        <v>0</v>
      </c>
      <c r="GQ85" s="58">
        <v>0</v>
      </c>
      <c r="GR85" s="68" t="s">
        <v>181</v>
      </c>
      <c r="GS85" s="28">
        <f t="shared" si="1512"/>
        <v>0</v>
      </c>
      <c r="GT85" s="69">
        <v>0</v>
      </c>
      <c r="GU85" s="28">
        <f t="shared" si="1513"/>
        <v>0</v>
      </c>
      <c r="GV85" s="28">
        <f t="shared" si="1514"/>
        <v>0</v>
      </c>
      <c r="GW85" s="28">
        <f t="shared" si="1515"/>
        <v>0</v>
      </c>
      <c r="GX85" s="72">
        <f t="shared" si="1516"/>
        <v>0</v>
      </c>
      <c r="GY85" s="70">
        <f t="shared" si="1517"/>
        <v>0</v>
      </c>
      <c r="GZ85" s="70">
        <f t="shared" si="1518"/>
        <v>0</v>
      </c>
      <c r="HA85" s="71">
        <v>0</v>
      </c>
      <c r="HB85" s="71">
        <v>0</v>
      </c>
      <c r="HC85" s="72">
        <f t="shared" si="1519"/>
        <v>0</v>
      </c>
      <c r="HD85" s="72">
        <f t="shared" si="1520"/>
        <v>0</v>
      </c>
      <c r="HE85" s="70">
        <f t="shared" si="1521"/>
        <v>0</v>
      </c>
      <c r="HF85" s="73">
        <v>0</v>
      </c>
      <c r="HG85" s="74">
        <f t="shared" si="1522"/>
        <v>0</v>
      </c>
      <c r="HH85" s="303">
        <f t="shared" si="1523"/>
        <v>0</v>
      </c>
      <c r="HJ85" s="37"/>
      <c r="HK85" s="37"/>
      <c r="HL85" s="37"/>
      <c r="HM85" s="37"/>
      <c r="HN85" s="37"/>
      <c r="HO85" s="37"/>
      <c r="HP85" s="37"/>
      <c r="HQ85" s="37"/>
      <c r="HR85" s="37"/>
      <c r="HS85" s="37"/>
      <c r="HT85" s="37"/>
      <c r="HU85" s="37"/>
      <c r="HV85" s="37"/>
      <c r="HW85" s="37"/>
      <c r="HX85" s="37"/>
      <c r="HY85" s="37"/>
      <c r="HZ85" s="37"/>
      <c r="IA85" s="37"/>
      <c r="IB85" s="37"/>
      <c r="IC85" s="37"/>
      <c r="ID85" s="37"/>
      <c r="IE85" s="37"/>
      <c r="IF85" s="37"/>
      <c r="IG85" s="37"/>
      <c r="IH85" s="37"/>
      <c r="II85" s="37"/>
      <c r="IJ85" s="37"/>
      <c r="IK85" s="37"/>
      <c r="IL85" s="37"/>
      <c r="IM85" s="37"/>
      <c r="IN85" s="37"/>
      <c r="IO85" s="37"/>
      <c r="IP85" s="37"/>
    </row>
    <row r="86" spans="1:250" x14ac:dyDescent="0.3">
      <c r="A86" s="58">
        <v>0</v>
      </c>
      <c r="B86" s="68"/>
      <c r="C86" s="28">
        <f t="shared" si="1380"/>
        <v>0</v>
      </c>
      <c r="D86" s="28">
        <v>0</v>
      </c>
      <c r="E86" s="28">
        <f t="shared" si="1381"/>
        <v>0</v>
      </c>
      <c r="F86" s="28">
        <f t="shared" si="1382"/>
        <v>0</v>
      </c>
      <c r="G86" s="28">
        <f t="shared" si="1383"/>
        <v>0</v>
      </c>
      <c r="H86" s="72">
        <f t="shared" si="1384"/>
        <v>0</v>
      </c>
      <c r="I86" s="70">
        <f t="shared" si="1385"/>
        <v>0</v>
      </c>
      <c r="J86" s="70">
        <f t="shared" si="1386"/>
        <v>0</v>
      </c>
      <c r="K86" s="71">
        <v>0</v>
      </c>
      <c r="L86" s="71">
        <v>0</v>
      </c>
      <c r="M86" s="72">
        <f t="shared" si="1387"/>
        <v>0</v>
      </c>
      <c r="N86" s="72">
        <f t="shared" si="1388"/>
        <v>0</v>
      </c>
      <c r="O86" s="70">
        <f t="shared" si="1389"/>
        <v>0</v>
      </c>
      <c r="P86" s="73">
        <v>0</v>
      </c>
      <c r="Q86" s="74">
        <f t="shared" si="1390"/>
        <v>0</v>
      </c>
      <c r="R86" s="303">
        <f t="shared" si="1391"/>
        <v>0</v>
      </c>
      <c r="S86" s="58">
        <v>0</v>
      </c>
      <c r="T86" s="68"/>
      <c r="U86" s="28">
        <f t="shared" si="1392"/>
        <v>0</v>
      </c>
      <c r="V86" s="28">
        <v>0</v>
      </c>
      <c r="W86" s="28">
        <f t="shared" si="1393"/>
        <v>0</v>
      </c>
      <c r="X86" s="28">
        <f t="shared" si="1394"/>
        <v>0</v>
      </c>
      <c r="Y86" s="28">
        <f t="shared" si="1395"/>
        <v>0</v>
      </c>
      <c r="Z86" s="72">
        <f t="shared" si="1396"/>
        <v>0</v>
      </c>
      <c r="AA86" s="70">
        <f t="shared" si="1397"/>
        <v>0</v>
      </c>
      <c r="AB86" s="70">
        <f t="shared" si="1398"/>
        <v>0</v>
      </c>
      <c r="AC86" s="71">
        <v>0</v>
      </c>
      <c r="AD86" s="71">
        <v>0</v>
      </c>
      <c r="AE86" s="72">
        <f t="shared" si="1399"/>
        <v>0</v>
      </c>
      <c r="AF86" s="72">
        <f t="shared" si="1400"/>
        <v>0</v>
      </c>
      <c r="AG86" s="70">
        <f t="shared" si="1401"/>
        <v>0</v>
      </c>
      <c r="AH86" s="73">
        <v>0</v>
      </c>
      <c r="AI86" s="74">
        <f t="shared" si="1402"/>
        <v>0</v>
      </c>
      <c r="AJ86" s="303">
        <f t="shared" si="1403"/>
        <v>0</v>
      </c>
      <c r="AK86" s="58">
        <v>0</v>
      </c>
      <c r="AL86" s="68"/>
      <c r="AM86" s="28">
        <f t="shared" si="1404"/>
        <v>0</v>
      </c>
      <c r="AN86" s="28">
        <v>0</v>
      </c>
      <c r="AO86" s="28">
        <f t="shared" si="1405"/>
        <v>0</v>
      </c>
      <c r="AP86" s="28">
        <f t="shared" si="1406"/>
        <v>0</v>
      </c>
      <c r="AQ86" s="28">
        <f t="shared" si="1407"/>
        <v>0</v>
      </c>
      <c r="AR86" s="72">
        <f t="shared" si="1408"/>
        <v>0</v>
      </c>
      <c r="AS86" s="70">
        <f t="shared" si="1409"/>
        <v>0</v>
      </c>
      <c r="AT86" s="70">
        <f t="shared" si="1410"/>
        <v>0</v>
      </c>
      <c r="AU86" s="71">
        <v>0</v>
      </c>
      <c r="AV86" s="71">
        <v>0</v>
      </c>
      <c r="AW86" s="72">
        <f t="shared" si="1411"/>
        <v>0</v>
      </c>
      <c r="AX86" s="72">
        <f t="shared" si="1412"/>
        <v>0</v>
      </c>
      <c r="AY86" s="70">
        <f t="shared" si="1413"/>
        <v>0</v>
      </c>
      <c r="AZ86" s="73">
        <v>0</v>
      </c>
      <c r="BA86" s="74">
        <f t="shared" si="1414"/>
        <v>0</v>
      </c>
      <c r="BB86" s="303">
        <f t="shared" si="1415"/>
        <v>0</v>
      </c>
      <c r="BC86" s="58">
        <v>0</v>
      </c>
      <c r="BD86" s="68"/>
      <c r="BE86" s="28">
        <f t="shared" si="1416"/>
        <v>0</v>
      </c>
      <c r="BF86" s="28">
        <v>0</v>
      </c>
      <c r="BG86" s="28">
        <f t="shared" si="1417"/>
        <v>0</v>
      </c>
      <c r="BH86" s="28">
        <f t="shared" si="1418"/>
        <v>0</v>
      </c>
      <c r="BI86" s="28">
        <f t="shared" si="1419"/>
        <v>0</v>
      </c>
      <c r="BJ86" s="72">
        <f t="shared" si="1420"/>
        <v>0</v>
      </c>
      <c r="BK86" s="70">
        <f t="shared" si="1421"/>
        <v>0</v>
      </c>
      <c r="BL86" s="70">
        <f t="shared" si="1422"/>
        <v>0</v>
      </c>
      <c r="BM86" s="71">
        <v>0</v>
      </c>
      <c r="BN86" s="71">
        <v>0</v>
      </c>
      <c r="BO86" s="72">
        <f t="shared" si="1423"/>
        <v>0</v>
      </c>
      <c r="BP86" s="72">
        <f t="shared" si="1424"/>
        <v>0</v>
      </c>
      <c r="BQ86" s="70">
        <f t="shared" si="1425"/>
        <v>0</v>
      </c>
      <c r="BR86" s="73">
        <v>0</v>
      </c>
      <c r="BS86" s="74">
        <f t="shared" si="1426"/>
        <v>0</v>
      </c>
      <c r="BT86" s="303">
        <f t="shared" si="1427"/>
        <v>0</v>
      </c>
      <c r="BU86" s="58">
        <v>0</v>
      </c>
      <c r="BV86" s="68"/>
      <c r="BW86" s="28">
        <f t="shared" si="1428"/>
        <v>0</v>
      </c>
      <c r="BX86" s="28">
        <v>0</v>
      </c>
      <c r="BY86" s="28">
        <f t="shared" si="1429"/>
        <v>0</v>
      </c>
      <c r="BZ86" s="28">
        <f t="shared" si="1430"/>
        <v>0</v>
      </c>
      <c r="CA86" s="28">
        <f t="shared" si="1431"/>
        <v>0</v>
      </c>
      <c r="CB86" s="72">
        <f t="shared" si="1432"/>
        <v>0</v>
      </c>
      <c r="CC86" s="70">
        <f t="shared" si="1433"/>
        <v>0</v>
      </c>
      <c r="CD86" s="70">
        <f t="shared" si="1434"/>
        <v>0</v>
      </c>
      <c r="CE86" s="71">
        <v>0</v>
      </c>
      <c r="CF86" s="71">
        <v>0</v>
      </c>
      <c r="CG86" s="72">
        <f t="shared" si="1435"/>
        <v>0</v>
      </c>
      <c r="CH86" s="72">
        <f t="shared" si="1436"/>
        <v>0</v>
      </c>
      <c r="CI86" s="70">
        <f t="shared" si="1437"/>
        <v>0</v>
      </c>
      <c r="CJ86" s="73">
        <v>0</v>
      </c>
      <c r="CK86" s="74">
        <f t="shared" si="1438"/>
        <v>0</v>
      </c>
      <c r="CL86" s="303">
        <f t="shared" si="1439"/>
        <v>0</v>
      </c>
      <c r="CM86" s="58">
        <v>0</v>
      </c>
      <c r="CN86" s="68"/>
      <c r="CO86" s="28">
        <f t="shared" si="1440"/>
        <v>0</v>
      </c>
      <c r="CP86" s="28">
        <v>0</v>
      </c>
      <c r="CQ86" s="28">
        <f t="shared" si="1441"/>
        <v>0</v>
      </c>
      <c r="CR86" s="28">
        <f t="shared" si="1442"/>
        <v>0</v>
      </c>
      <c r="CS86" s="28">
        <f t="shared" si="1443"/>
        <v>0</v>
      </c>
      <c r="CT86" s="72">
        <f t="shared" si="1444"/>
        <v>0</v>
      </c>
      <c r="CU86" s="70">
        <f t="shared" si="1445"/>
        <v>0</v>
      </c>
      <c r="CV86" s="70">
        <f t="shared" si="1446"/>
        <v>0</v>
      </c>
      <c r="CW86" s="71">
        <v>0</v>
      </c>
      <c r="CX86" s="71">
        <v>0</v>
      </c>
      <c r="CY86" s="72">
        <f t="shared" si="1447"/>
        <v>0</v>
      </c>
      <c r="CZ86" s="72">
        <f t="shared" si="1448"/>
        <v>0</v>
      </c>
      <c r="DA86" s="70">
        <f t="shared" si="1449"/>
        <v>0</v>
      </c>
      <c r="DB86" s="73">
        <v>0</v>
      </c>
      <c r="DC86" s="74">
        <f t="shared" si="1450"/>
        <v>0</v>
      </c>
      <c r="DD86" s="303">
        <f t="shared" si="1451"/>
        <v>0</v>
      </c>
      <c r="DE86" s="58">
        <v>0</v>
      </c>
      <c r="DF86" s="68"/>
      <c r="DG86" s="28">
        <f t="shared" si="1452"/>
        <v>0</v>
      </c>
      <c r="DH86" s="28">
        <v>0</v>
      </c>
      <c r="DI86" s="28">
        <f t="shared" si="1453"/>
        <v>0</v>
      </c>
      <c r="DJ86" s="28">
        <f t="shared" si="1454"/>
        <v>0</v>
      </c>
      <c r="DK86" s="28">
        <f t="shared" si="1455"/>
        <v>0</v>
      </c>
      <c r="DL86" s="72">
        <f t="shared" si="1456"/>
        <v>0</v>
      </c>
      <c r="DM86" s="70">
        <f t="shared" si="1457"/>
        <v>0</v>
      </c>
      <c r="DN86" s="70">
        <f t="shared" si="1458"/>
        <v>0</v>
      </c>
      <c r="DO86" s="71">
        <v>0</v>
      </c>
      <c r="DP86" s="71">
        <v>0</v>
      </c>
      <c r="DQ86" s="72">
        <f t="shared" si="1459"/>
        <v>0</v>
      </c>
      <c r="DR86" s="72">
        <f t="shared" si="1460"/>
        <v>0</v>
      </c>
      <c r="DS86" s="70">
        <f t="shared" si="1461"/>
        <v>0</v>
      </c>
      <c r="DT86" s="73">
        <v>0</v>
      </c>
      <c r="DU86" s="74">
        <f t="shared" si="1462"/>
        <v>0</v>
      </c>
      <c r="DV86" s="303">
        <f t="shared" si="1463"/>
        <v>0</v>
      </c>
      <c r="DW86" s="58">
        <v>0</v>
      </c>
      <c r="DX86" s="68"/>
      <c r="DY86" s="28">
        <f t="shared" si="1464"/>
        <v>0</v>
      </c>
      <c r="DZ86" s="28">
        <v>0</v>
      </c>
      <c r="EA86" s="28">
        <f t="shared" si="1465"/>
        <v>0</v>
      </c>
      <c r="EB86" s="28">
        <f t="shared" si="1466"/>
        <v>0</v>
      </c>
      <c r="EC86" s="28">
        <f t="shared" si="1467"/>
        <v>0</v>
      </c>
      <c r="ED86" s="72">
        <f t="shared" si="1468"/>
        <v>0</v>
      </c>
      <c r="EE86" s="70">
        <f t="shared" si="1469"/>
        <v>0</v>
      </c>
      <c r="EF86" s="70">
        <f t="shared" si="1470"/>
        <v>0</v>
      </c>
      <c r="EG86" s="71">
        <v>0</v>
      </c>
      <c r="EH86" s="71">
        <v>0</v>
      </c>
      <c r="EI86" s="72">
        <f t="shared" si="1471"/>
        <v>0</v>
      </c>
      <c r="EJ86" s="72">
        <f t="shared" si="1472"/>
        <v>0</v>
      </c>
      <c r="EK86" s="70">
        <f t="shared" si="1473"/>
        <v>0</v>
      </c>
      <c r="EL86" s="73">
        <v>0</v>
      </c>
      <c r="EM86" s="74">
        <f t="shared" si="1474"/>
        <v>0</v>
      </c>
      <c r="EN86" s="303">
        <f t="shared" si="1475"/>
        <v>0</v>
      </c>
      <c r="EO86" s="58">
        <v>0</v>
      </c>
      <c r="EP86" s="68"/>
      <c r="EQ86" s="28">
        <f t="shared" si="1476"/>
        <v>0</v>
      </c>
      <c r="ER86" s="28">
        <v>0</v>
      </c>
      <c r="ES86" s="28">
        <f t="shared" si="1477"/>
        <v>0</v>
      </c>
      <c r="ET86" s="28">
        <f t="shared" si="1478"/>
        <v>0</v>
      </c>
      <c r="EU86" s="28">
        <f t="shared" si="1479"/>
        <v>0</v>
      </c>
      <c r="EV86" s="72">
        <f t="shared" si="1480"/>
        <v>0</v>
      </c>
      <c r="EW86" s="70">
        <f t="shared" si="1481"/>
        <v>0</v>
      </c>
      <c r="EX86" s="70">
        <f t="shared" si="1482"/>
        <v>0</v>
      </c>
      <c r="EY86" s="71">
        <v>0</v>
      </c>
      <c r="EZ86" s="71">
        <v>0</v>
      </c>
      <c r="FA86" s="72">
        <f t="shared" si="1483"/>
        <v>0</v>
      </c>
      <c r="FB86" s="72">
        <f t="shared" si="1484"/>
        <v>0</v>
      </c>
      <c r="FC86" s="70">
        <f t="shared" si="1485"/>
        <v>0</v>
      </c>
      <c r="FD86" s="73">
        <v>0</v>
      </c>
      <c r="FE86" s="74">
        <f t="shared" si="1486"/>
        <v>0</v>
      </c>
      <c r="FF86" s="303">
        <f t="shared" si="1487"/>
        <v>0</v>
      </c>
      <c r="FG86" s="58">
        <v>0</v>
      </c>
      <c r="FH86" s="68"/>
      <c r="FI86" s="28">
        <f t="shared" si="1488"/>
        <v>0</v>
      </c>
      <c r="FJ86" s="28">
        <v>0</v>
      </c>
      <c r="FK86" s="28">
        <f t="shared" si="1489"/>
        <v>0</v>
      </c>
      <c r="FL86" s="28">
        <f t="shared" si="1490"/>
        <v>0</v>
      </c>
      <c r="FM86" s="28">
        <f t="shared" si="1491"/>
        <v>0</v>
      </c>
      <c r="FN86" s="72">
        <f t="shared" si="1492"/>
        <v>0</v>
      </c>
      <c r="FO86" s="70">
        <f t="shared" si="1493"/>
        <v>0</v>
      </c>
      <c r="FP86" s="70">
        <f t="shared" si="1494"/>
        <v>0</v>
      </c>
      <c r="FQ86" s="71">
        <v>0</v>
      </c>
      <c r="FR86" s="71">
        <v>0</v>
      </c>
      <c r="FS86" s="72">
        <f t="shared" si="1495"/>
        <v>0</v>
      </c>
      <c r="FT86" s="72">
        <f t="shared" si="1496"/>
        <v>0</v>
      </c>
      <c r="FU86" s="70">
        <f t="shared" si="1497"/>
        <v>0</v>
      </c>
      <c r="FV86" s="73">
        <v>0</v>
      </c>
      <c r="FW86" s="74">
        <f t="shared" si="1498"/>
        <v>0</v>
      </c>
      <c r="FX86" s="303">
        <f t="shared" si="1499"/>
        <v>0</v>
      </c>
      <c r="FY86" s="58">
        <v>0</v>
      </c>
      <c r="FZ86" s="68"/>
      <c r="GA86" s="28">
        <f t="shared" si="1500"/>
        <v>0</v>
      </c>
      <c r="GB86" s="28">
        <v>0</v>
      </c>
      <c r="GC86" s="28">
        <f t="shared" si="1501"/>
        <v>0</v>
      </c>
      <c r="GD86" s="28">
        <f t="shared" si="1502"/>
        <v>0</v>
      </c>
      <c r="GE86" s="28">
        <f t="shared" si="1503"/>
        <v>0</v>
      </c>
      <c r="GF86" s="72">
        <f t="shared" si="1504"/>
        <v>0</v>
      </c>
      <c r="GG86" s="70">
        <f t="shared" si="1505"/>
        <v>0</v>
      </c>
      <c r="GH86" s="70">
        <f t="shared" si="1506"/>
        <v>0</v>
      </c>
      <c r="GI86" s="71">
        <v>0</v>
      </c>
      <c r="GJ86" s="71">
        <v>0</v>
      </c>
      <c r="GK86" s="72">
        <f t="shared" si="1507"/>
        <v>0</v>
      </c>
      <c r="GL86" s="72">
        <f t="shared" si="1508"/>
        <v>0</v>
      </c>
      <c r="GM86" s="70">
        <f t="shared" si="1509"/>
        <v>0</v>
      </c>
      <c r="GN86" s="73">
        <v>0</v>
      </c>
      <c r="GO86" s="74">
        <f t="shared" si="1510"/>
        <v>0</v>
      </c>
      <c r="GP86" s="303">
        <f t="shared" si="1511"/>
        <v>0</v>
      </c>
      <c r="GQ86" s="58">
        <v>0</v>
      </c>
      <c r="GR86" s="68"/>
      <c r="GS86" s="28">
        <f t="shared" si="1512"/>
        <v>0</v>
      </c>
      <c r="GT86" s="28">
        <v>0</v>
      </c>
      <c r="GU86" s="28">
        <f t="shared" si="1513"/>
        <v>0</v>
      </c>
      <c r="GV86" s="28">
        <f t="shared" si="1514"/>
        <v>0</v>
      </c>
      <c r="GW86" s="28">
        <f t="shared" si="1515"/>
        <v>0</v>
      </c>
      <c r="GX86" s="72">
        <f t="shared" si="1516"/>
        <v>0</v>
      </c>
      <c r="GY86" s="70">
        <f t="shared" si="1517"/>
        <v>0</v>
      </c>
      <c r="GZ86" s="70">
        <f t="shared" si="1518"/>
        <v>0</v>
      </c>
      <c r="HA86" s="71">
        <v>0</v>
      </c>
      <c r="HB86" s="71">
        <v>0</v>
      </c>
      <c r="HC86" s="72">
        <f t="shared" si="1519"/>
        <v>0</v>
      </c>
      <c r="HD86" s="72">
        <f t="shared" si="1520"/>
        <v>0</v>
      </c>
      <c r="HE86" s="70">
        <f t="shared" si="1521"/>
        <v>0</v>
      </c>
      <c r="HF86" s="73">
        <v>0</v>
      </c>
      <c r="HG86" s="74">
        <f t="shared" si="1522"/>
        <v>0</v>
      </c>
      <c r="HH86" s="303">
        <f t="shared" si="1523"/>
        <v>0</v>
      </c>
      <c r="HJ86" s="37"/>
      <c r="HK86" s="37"/>
      <c r="HL86" s="37"/>
      <c r="HM86" s="37"/>
      <c r="HN86" s="37"/>
      <c r="HO86" s="37"/>
      <c r="HP86" s="37"/>
      <c r="HQ86" s="37"/>
      <c r="HR86" s="37"/>
      <c r="HS86" s="37"/>
      <c r="HT86" s="37"/>
      <c r="HU86" s="37"/>
      <c r="HV86" s="37"/>
      <c r="HW86" s="37"/>
      <c r="HX86" s="37"/>
      <c r="HY86" s="37"/>
      <c r="HZ86" s="37"/>
      <c r="IA86" s="37"/>
      <c r="IB86" s="37"/>
      <c r="IC86" s="37"/>
      <c r="ID86" s="37"/>
      <c r="IE86" s="37"/>
      <c r="IF86" s="37"/>
      <c r="IG86" s="37"/>
      <c r="IH86" s="37"/>
      <c r="II86" s="37"/>
      <c r="IJ86" s="37"/>
      <c r="IK86" s="37"/>
      <c r="IL86" s="37"/>
      <c r="IM86" s="37"/>
      <c r="IN86" s="37"/>
      <c r="IO86" s="37"/>
      <c r="IP86" s="37"/>
    </row>
    <row r="87" spans="1:250" ht="15.6" x14ac:dyDescent="0.3">
      <c r="A87" s="541"/>
      <c r="B87" s="537"/>
      <c r="C87" s="537"/>
      <c r="D87" s="537"/>
      <c r="E87" s="537"/>
      <c r="F87" s="537"/>
      <c r="G87" s="537"/>
      <c r="H87" s="537"/>
      <c r="I87" s="537"/>
      <c r="J87" s="537"/>
      <c r="K87" s="537"/>
      <c r="L87" s="537"/>
      <c r="M87" s="537"/>
      <c r="N87" s="537"/>
      <c r="O87" s="537"/>
      <c r="P87" s="538"/>
      <c r="Q87" s="307" t="s">
        <v>8</v>
      </c>
      <c r="R87" s="304">
        <f>SUM(R84:R86)</f>
        <v>3152.4324222222222</v>
      </c>
      <c r="S87" s="541"/>
      <c r="T87" s="537"/>
      <c r="U87" s="537"/>
      <c r="V87" s="537"/>
      <c r="W87" s="537"/>
      <c r="X87" s="537"/>
      <c r="Y87" s="537"/>
      <c r="Z87" s="537"/>
      <c r="AA87" s="537"/>
      <c r="AB87" s="537"/>
      <c r="AC87" s="537"/>
      <c r="AD87" s="537"/>
      <c r="AE87" s="537"/>
      <c r="AF87" s="537"/>
      <c r="AG87" s="537"/>
      <c r="AH87" s="538"/>
      <c r="AI87" s="307" t="s">
        <v>8</v>
      </c>
      <c r="AJ87" s="304">
        <f>SUM(AJ84:AJ86)</f>
        <v>3152.4324222222222</v>
      </c>
      <c r="AK87" s="541"/>
      <c r="AL87" s="537"/>
      <c r="AM87" s="537"/>
      <c r="AN87" s="537"/>
      <c r="AO87" s="537"/>
      <c r="AP87" s="537"/>
      <c r="AQ87" s="537"/>
      <c r="AR87" s="537"/>
      <c r="AS87" s="537"/>
      <c r="AT87" s="537"/>
      <c r="AU87" s="537"/>
      <c r="AV87" s="537"/>
      <c r="AW87" s="537"/>
      <c r="AX87" s="537"/>
      <c r="AY87" s="537"/>
      <c r="AZ87" s="538"/>
      <c r="BA87" s="307" t="s">
        <v>8</v>
      </c>
      <c r="BB87" s="304">
        <f>SUM(BB84:BB86)</f>
        <v>3152.4324222222222</v>
      </c>
      <c r="BC87" s="541"/>
      <c r="BD87" s="537"/>
      <c r="BE87" s="537"/>
      <c r="BF87" s="537"/>
      <c r="BG87" s="537"/>
      <c r="BH87" s="537"/>
      <c r="BI87" s="537"/>
      <c r="BJ87" s="537"/>
      <c r="BK87" s="537"/>
      <c r="BL87" s="537"/>
      <c r="BM87" s="537"/>
      <c r="BN87" s="537"/>
      <c r="BO87" s="537"/>
      <c r="BP87" s="537"/>
      <c r="BQ87" s="537"/>
      <c r="BR87" s="538"/>
      <c r="BS87" s="307" t="s">
        <v>8</v>
      </c>
      <c r="BT87" s="304">
        <f>SUM(BT84:BT86)</f>
        <v>3152.4324222222222</v>
      </c>
      <c r="BU87" s="541"/>
      <c r="BV87" s="537"/>
      <c r="BW87" s="537"/>
      <c r="BX87" s="537"/>
      <c r="BY87" s="537"/>
      <c r="BZ87" s="537"/>
      <c r="CA87" s="537"/>
      <c r="CB87" s="537"/>
      <c r="CC87" s="537"/>
      <c r="CD87" s="537"/>
      <c r="CE87" s="537"/>
      <c r="CF87" s="537"/>
      <c r="CG87" s="537"/>
      <c r="CH87" s="537"/>
      <c r="CI87" s="537"/>
      <c r="CJ87" s="538"/>
      <c r="CK87" s="307" t="s">
        <v>8</v>
      </c>
      <c r="CL87" s="304">
        <f>SUM(CL84:CL86)</f>
        <v>3152.4324222222222</v>
      </c>
      <c r="CM87" s="541"/>
      <c r="CN87" s="537"/>
      <c r="CO87" s="537"/>
      <c r="CP87" s="537"/>
      <c r="CQ87" s="537"/>
      <c r="CR87" s="537"/>
      <c r="CS87" s="537"/>
      <c r="CT87" s="537"/>
      <c r="CU87" s="537"/>
      <c r="CV87" s="537"/>
      <c r="CW87" s="537"/>
      <c r="CX87" s="537"/>
      <c r="CY87" s="537"/>
      <c r="CZ87" s="537"/>
      <c r="DA87" s="537"/>
      <c r="DB87" s="538"/>
      <c r="DC87" s="307" t="s">
        <v>8</v>
      </c>
      <c r="DD87" s="304">
        <f>SUM(DD84:DD86)</f>
        <v>3152.4324222222222</v>
      </c>
      <c r="DE87" s="541"/>
      <c r="DF87" s="537"/>
      <c r="DG87" s="537"/>
      <c r="DH87" s="537"/>
      <c r="DI87" s="537"/>
      <c r="DJ87" s="537"/>
      <c r="DK87" s="537"/>
      <c r="DL87" s="537"/>
      <c r="DM87" s="537"/>
      <c r="DN87" s="537"/>
      <c r="DO87" s="537"/>
      <c r="DP87" s="537"/>
      <c r="DQ87" s="537"/>
      <c r="DR87" s="537"/>
      <c r="DS87" s="537"/>
      <c r="DT87" s="538"/>
      <c r="DU87" s="307" t="s">
        <v>8</v>
      </c>
      <c r="DV87" s="304">
        <f>SUM(DV84:DV86)</f>
        <v>3152.4324222222222</v>
      </c>
      <c r="DW87" s="541"/>
      <c r="DX87" s="537"/>
      <c r="DY87" s="537"/>
      <c r="DZ87" s="537"/>
      <c r="EA87" s="537"/>
      <c r="EB87" s="537"/>
      <c r="EC87" s="537"/>
      <c r="ED87" s="537"/>
      <c r="EE87" s="537"/>
      <c r="EF87" s="537"/>
      <c r="EG87" s="537"/>
      <c r="EH87" s="537"/>
      <c r="EI87" s="537"/>
      <c r="EJ87" s="537"/>
      <c r="EK87" s="537"/>
      <c r="EL87" s="538"/>
      <c r="EM87" s="307" t="s">
        <v>8</v>
      </c>
      <c r="EN87" s="304">
        <f>SUM(EN84:EN86)</f>
        <v>3152.4324222222222</v>
      </c>
      <c r="EO87" s="541"/>
      <c r="EP87" s="537"/>
      <c r="EQ87" s="537"/>
      <c r="ER87" s="537"/>
      <c r="ES87" s="537"/>
      <c r="ET87" s="537"/>
      <c r="EU87" s="537"/>
      <c r="EV87" s="537"/>
      <c r="EW87" s="537"/>
      <c r="EX87" s="537"/>
      <c r="EY87" s="537"/>
      <c r="EZ87" s="537"/>
      <c r="FA87" s="537"/>
      <c r="FB87" s="537"/>
      <c r="FC87" s="537"/>
      <c r="FD87" s="538"/>
      <c r="FE87" s="307" t="s">
        <v>8</v>
      </c>
      <c r="FF87" s="304">
        <f>SUM(FF84:FF86)</f>
        <v>3152.4324222222222</v>
      </c>
      <c r="FG87" s="541"/>
      <c r="FH87" s="537"/>
      <c r="FI87" s="537"/>
      <c r="FJ87" s="537"/>
      <c r="FK87" s="537"/>
      <c r="FL87" s="537"/>
      <c r="FM87" s="537"/>
      <c r="FN87" s="537"/>
      <c r="FO87" s="537"/>
      <c r="FP87" s="537"/>
      <c r="FQ87" s="537"/>
      <c r="FR87" s="537"/>
      <c r="FS87" s="537"/>
      <c r="FT87" s="537"/>
      <c r="FU87" s="537"/>
      <c r="FV87" s="538"/>
      <c r="FW87" s="307" t="s">
        <v>8</v>
      </c>
      <c r="FX87" s="304">
        <f>SUM(FX84:FX86)</f>
        <v>3152.4324222222222</v>
      </c>
      <c r="FY87" s="541"/>
      <c r="FZ87" s="537"/>
      <c r="GA87" s="537"/>
      <c r="GB87" s="537"/>
      <c r="GC87" s="537"/>
      <c r="GD87" s="537"/>
      <c r="GE87" s="537"/>
      <c r="GF87" s="537"/>
      <c r="GG87" s="537"/>
      <c r="GH87" s="537"/>
      <c r="GI87" s="537"/>
      <c r="GJ87" s="537"/>
      <c r="GK87" s="537"/>
      <c r="GL87" s="537"/>
      <c r="GM87" s="537"/>
      <c r="GN87" s="538"/>
      <c r="GO87" s="307" t="s">
        <v>8</v>
      </c>
      <c r="GP87" s="304">
        <f>SUM(GP84:GP86)</f>
        <v>3152.4324222222222</v>
      </c>
      <c r="GQ87" s="541"/>
      <c r="GR87" s="537"/>
      <c r="GS87" s="537"/>
      <c r="GT87" s="537"/>
      <c r="GU87" s="537"/>
      <c r="GV87" s="537"/>
      <c r="GW87" s="537"/>
      <c r="GX87" s="537"/>
      <c r="GY87" s="537"/>
      <c r="GZ87" s="537"/>
      <c r="HA87" s="537"/>
      <c r="HB87" s="537"/>
      <c r="HC87" s="537"/>
      <c r="HD87" s="537"/>
      <c r="HE87" s="537"/>
      <c r="HF87" s="538"/>
      <c r="HG87" s="307" t="s">
        <v>8</v>
      </c>
      <c r="HH87" s="304">
        <f>SUM(HH84:HH86)</f>
        <v>3152.4324222222222</v>
      </c>
      <c r="HJ87" s="37"/>
      <c r="HK87" s="37"/>
      <c r="HL87" s="37"/>
      <c r="HM87" s="37"/>
      <c r="HN87" s="37"/>
      <c r="HO87" s="37"/>
      <c r="HP87" s="37"/>
      <c r="HQ87" s="37"/>
      <c r="HR87" s="37"/>
      <c r="HS87" s="37"/>
      <c r="HT87" s="37"/>
      <c r="HU87" s="37"/>
      <c r="HV87" s="37"/>
      <c r="HW87" s="37"/>
      <c r="HX87" s="37"/>
      <c r="HY87" s="37"/>
      <c r="HZ87" s="37"/>
      <c r="IA87" s="37"/>
      <c r="IB87" s="37"/>
      <c r="IC87" s="37"/>
      <c r="ID87" s="37"/>
      <c r="IE87" s="37"/>
      <c r="IF87" s="37"/>
      <c r="IG87" s="37"/>
      <c r="IH87" s="37"/>
      <c r="II87" s="37"/>
      <c r="IJ87" s="37"/>
      <c r="IK87" s="37"/>
      <c r="IL87" s="37"/>
      <c r="IM87" s="37"/>
      <c r="IN87" s="37"/>
      <c r="IO87" s="37"/>
      <c r="IP87" s="37"/>
    </row>
    <row r="88" spans="1:250" ht="15.6" x14ac:dyDescent="0.3">
      <c r="A88" s="543"/>
      <c r="B88" s="544"/>
      <c r="C88" s="544"/>
      <c r="D88" s="544"/>
      <c r="E88" s="742" t="s">
        <v>121</v>
      </c>
      <c r="F88" s="742"/>
      <c r="G88" s="742"/>
      <c r="H88" s="742"/>
      <c r="I88" s="742"/>
      <c r="J88" s="742"/>
      <c r="K88" s="742"/>
      <c r="L88" s="742"/>
      <c r="M88" s="742"/>
      <c r="N88" s="544"/>
      <c r="O88" s="544"/>
      <c r="P88" s="544"/>
      <c r="Q88" s="544"/>
      <c r="R88" s="545"/>
      <c r="S88" s="543"/>
      <c r="T88" s="544"/>
      <c r="U88" s="544"/>
      <c r="V88" s="544"/>
      <c r="W88" s="742" t="s">
        <v>121</v>
      </c>
      <c r="X88" s="742"/>
      <c r="Y88" s="742"/>
      <c r="Z88" s="742"/>
      <c r="AA88" s="742"/>
      <c r="AB88" s="742"/>
      <c r="AC88" s="742"/>
      <c r="AD88" s="742"/>
      <c r="AE88" s="742"/>
      <c r="AF88" s="544"/>
      <c r="AG88" s="544"/>
      <c r="AH88" s="544"/>
      <c r="AI88" s="544"/>
      <c r="AJ88" s="545"/>
      <c r="AK88" s="543"/>
      <c r="AL88" s="544"/>
      <c r="AM88" s="544"/>
      <c r="AN88" s="544"/>
      <c r="AO88" s="742" t="s">
        <v>121</v>
      </c>
      <c r="AP88" s="742"/>
      <c r="AQ88" s="742"/>
      <c r="AR88" s="742"/>
      <c r="AS88" s="742"/>
      <c r="AT88" s="742"/>
      <c r="AU88" s="742"/>
      <c r="AV88" s="742"/>
      <c r="AW88" s="742"/>
      <c r="AX88" s="544"/>
      <c r="AY88" s="544"/>
      <c r="AZ88" s="544"/>
      <c r="BA88" s="544"/>
      <c r="BB88" s="545"/>
      <c r="BC88" s="543"/>
      <c r="BD88" s="544"/>
      <c r="BE88" s="544"/>
      <c r="BF88" s="544"/>
      <c r="BG88" s="742" t="s">
        <v>121</v>
      </c>
      <c r="BH88" s="742"/>
      <c r="BI88" s="742"/>
      <c r="BJ88" s="742"/>
      <c r="BK88" s="742"/>
      <c r="BL88" s="742"/>
      <c r="BM88" s="742"/>
      <c r="BN88" s="742"/>
      <c r="BO88" s="742"/>
      <c r="BP88" s="544"/>
      <c r="BQ88" s="544"/>
      <c r="BR88" s="544"/>
      <c r="BS88" s="544"/>
      <c r="BT88" s="545"/>
      <c r="BU88" s="543"/>
      <c r="BV88" s="544"/>
      <c r="BW88" s="544"/>
      <c r="BX88" s="544"/>
      <c r="BY88" s="742" t="s">
        <v>121</v>
      </c>
      <c r="BZ88" s="742"/>
      <c r="CA88" s="742"/>
      <c r="CB88" s="742"/>
      <c r="CC88" s="742"/>
      <c r="CD88" s="742"/>
      <c r="CE88" s="742"/>
      <c r="CF88" s="742"/>
      <c r="CG88" s="742"/>
      <c r="CH88" s="544"/>
      <c r="CI88" s="544"/>
      <c r="CJ88" s="544"/>
      <c r="CK88" s="544"/>
      <c r="CL88" s="545"/>
      <c r="CM88" s="543"/>
      <c r="CN88" s="544"/>
      <c r="CO88" s="544"/>
      <c r="CP88" s="544"/>
      <c r="CQ88" s="742" t="s">
        <v>121</v>
      </c>
      <c r="CR88" s="742"/>
      <c r="CS88" s="742"/>
      <c r="CT88" s="742"/>
      <c r="CU88" s="742"/>
      <c r="CV88" s="742"/>
      <c r="CW88" s="742"/>
      <c r="CX88" s="742"/>
      <c r="CY88" s="742"/>
      <c r="CZ88" s="544"/>
      <c r="DA88" s="544"/>
      <c r="DB88" s="544"/>
      <c r="DC88" s="544"/>
      <c r="DD88" s="545"/>
      <c r="DE88" s="543"/>
      <c r="DF88" s="544"/>
      <c r="DG88" s="544"/>
      <c r="DH88" s="544"/>
      <c r="DI88" s="742" t="s">
        <v>121</v>
      </c>
      <c r="DJ88" s="742"/>
      <c r="DK88" s="742"/>
      <c r="DL88" s="742"/>
      <c r="DM88" s="742"/>
      <c r="DN88" s="742"/>
      <c r="DO88" s="742"/>
      <c r="DP88" s="742"/>
      <c r="DQ88" s="742"/>
      <c r="DR88" s="544"/>
      <c r="DS88" s="544"/>
      <c r="DT88" s="544"/>
      <c r="DU88" s="544"/>
      <c r="DV88" s="545"/>
      <c r="DW88" s="543"/>
      <c r="DX88" s="544"/>
      <c r="DY88" s="544"/>
      <c r="DZ88" s="544"/>
      <c r="EA88" s="742" t="s">
        <v>121</v>
      </c>
      <c r="EB88" s="742"/>
      <c r="EC88" s="742"/>
      <c r="ED88" s="742"/>
      <c r="EE88" s="742"/>
      <c r="EF88" s="742"/>
      <c r="EG88" s="742"/>
      <c r="EH88" s="742"/>
      <c r="EI88" s="742"/>
      <c r="EJ88" s="544"/>
      <c r="EK88" s="544"/>
      <c r="EL88" s="544"/>
      <c r="EM88" s="544"/>
      <c r="EN88" s="545"/>
      <c r="EO88" s="543"/>
      <c r="EP88" s="544"/>
      <c r="EQ88" s="544"/>
      <c r="ER88" s="544"/>
      <c r="ES88" s="742" t="s">
        <v>121</v>
      </c>
      <c r="ET88" s="742"/>
      <c r="EU88" s="742"/>
      <c r="EV88" s="742"/>
      <c r="EW88" s="742"/>
      <c r="EX88" s="742"/>
      <c r="EY88" s="742"/>
      <c r="EZ88" s="742"/>
      <c r="FA88" s="742"/>
      <c r="FB88" s="544"/>
      <c r="FC88" s="544"/>
      <c r="FD88" s="544"/>
      <c r="FE88" s="544"/>
      <c r="FF88" s="545"/>
      <c r="FG88" s="543"/>
      <c r="FH88" s="544"/>
      <c r="FI88" s="544"/>
      <c r="FJ88" s="544"/>
      <c r="FK88" s="742" t="s">
        <v>121</v>
      </c>
      <c r="FL88" s="742"/>
      <c r="FM88" s="742"/>
      <c r="FN88" s="742"/>
      <c r="FO88" s="742"/>
      <c r="FP88" s="742"/>
      <c r="FQ88" s="742"/>
      <c r="FR88" s="742"/>
      <c r="FS88" s="742"/>
      <c r="FT88" s="544"/>
      <c r="FU88" s="544"/>
      <c r="FV88" s="544"/>
      <c r="FW88" s="544"/>
      <c r="FX88" s="545"/>
      <c r="FY88" s="543"/>
      <c r="FZ88" s="544"/>
      <c r="GA88" s="544"/>
      <c r="GB88" s="544"/>
      <c r="GC88" s="742" t="s">
        <v>121</v>
      </c>
      <c r="GD88" s="742"/>
      <c r="GE88" s="742"/>
      <c r="GF88" s="742"/>
      <c r="GG88" s="742"/>
      <c r="GH88" s="742"/>
      <c r="GI88" s="742"/>
      <c r="GJ88" s="742"/>
      <c r="GK88" s="742"/>
      <c r="GL88" s="544"/>
      <c r="GM88" s="544"/>
      <c r="GN88" s="544"/>
      <c r="GO88" s="544"/>
      <c r="GP88" s="545"/>
      <c r="GQ88" s="543"/>
      <c r="GR88" s="544"/>
      <c r="GS88" s="544"/>
      <c r="GT88" s="544"/>
      <c r="GU88" s="742" t="s">
        <v>121</v>
      </c>
      <c r="GV88" s="742"/>
      <c r="GW88" s="742"/>
      <c r="GX88" s="742"/>
      <c r="GY88" s="742"/>
      <c r="GZ88" s="742"/>
      <c r="HA88" s="742"/>
      <c r="HB88" s="742"/>
      <c r="HC88" s="742"/>
      <c r="HD88" s="544"/>
      <c r="HE88" s="544"/>
      <c r="HF88" s="544"/>
      <c r="HG88" s="544"/>
      <c r="HH88" s="545"/>
      <c r="HJ88" s="37"/>
      <c r="HK88" s="37"/>
      <c r="HL88" s="37"/>
      <c r="HM88" s="37"/>
      <c r="HN88" s="37"/>
      <c r="HO88" s="37"/>
      <c r="HP88" s="37"/>
      <c r="HQ88" s="37"/>
      <c r="HR88" s="37"/>
      <c r="HS88" s="37"/>
      <c r="HT88" s="37"/>
      <c r="HU88" s="37"/>
      <c r="HV88" s="37"/>
      <c r="HW88" s="37"/>
      <c r="HX88" s="37"/>
      <c r="HY88" s="37"/>
      <c r="HZ88" s="37"/>
      <c r="IA88" s="37"/>
      <c r="IB88" s="37"/>
      <c r="IC88" s="37"/>
      <c r="ID88" s="37"/>
      <c r="IE88" s="37"/>
      <c r="IF88" s="37"/>
      <c r="IG88" s="37"/>
      <c r="IH88" s="37"/>
      <c r="II88" s="37"/>
      <c r="IJ88" s="37"/>
      <c r="IK88" s="37"/>
      <c r="IL88" s="37"/>
      <c r="IM88" s="37"/>
      <c r="IN88" s="37"/>
      <c r="IO88" s="37"/>
      <c r="IP88" s="37"/>
    </row>
    <row r="89" spans="1:250" x14ac:dyDescent="0.3">
      <c r="A89" s="58">
        <v>1</v>
      </c>
      <c r="B89" s="68" t="s">
        <v>295</v>
      </c>
      <c r="C89" s="28">
        <f t="shared" ref="C89:C91" si="1524">D89/$AM$4</f>
        <v>9.4915454545454541</v>
      </c>
      <c r="D89" s="69">
        <v>2088.14</v>
      </c>
      <c r="E89" s="28">
        <f t="shared" ref="E89:E91" si="1525">D89*E$6</f>
        <v>208.81399999999999</v>
      </c>
      <c r="F89" s="28">
        <f t="shared" ref="F89:F91" si="1526">D89*F$6</f>
        <v>167.05119999999999</v>
      </c>
      <c r="G89" s="28">
        <f t="shared" ref="G89:G91" si="1527">D89/G$6</f>
        <v>174.01166666666666</v>
      </c>
      <c r="H89" s="72">
        <f t="shared" ref="H89:H91" si="1528">G89/H$6</f>
        <v>58.003888888888888</v>
      </c>
      <c r="I89" s="70">
        <f t="shared" ref="I89:I91" si="1529">D89/I$6</f>
        <v>174.01166666666666</v>
      </c>
      <c r="J89" s="70">
        <f t="shared" ref="J89:J91" si="1530">SUM(D89:I89)</f>
        <v>2870.0324222222221</v>
      </c>
      <c r="K89" s="71">
        <v>0</v>
      </c>
      <c r="L89" s="71">
        <v>0</v>
      </c>
      <c r="M89" s="72">
        <f t="shared" ref="M89:M91" si="1531">((C89*M$6)+(C89*$AO$6)+(C89*$AP$6))*K89</f>
        <v>0</v>
      </c>
      <c r="N89" s="72">
        <f t="shared" ref="N89:N91" si="1532">((C89*N$6)+(C89*$AO$6)+(C89*$AP$6))*L89</f>
        <v>0</v>
      </c>
      <c r="O89" s="70">
        <f t="shared" ref="O89:O91" si="1533">SUM(M89:N89)</f>
        <v>0</v>
      </c>
      <c r="P89" s="73">
        <v>0</v>
      </c>
      <c r="Q89" s="74">
        <f t="shared" ref="Q89:Q91" si="1534">IF(A89=1,($C$1*$Q$6),0)</f>
        <v>282.40000000000003</v>
      </c>
      <c r="R89" s="303">
        <f t="shared" ref="R89:R91" si="1535">J89+O89+P89+Q89</f>
        <v>3152.4324222222222</v>
      </c>
      <c r="S89" s="58">
        <v>1</v>
      </c>
      <c r="T89" s="68" t="s">
        <v>295</v>
      </c>
      <c r="U89" s="28">
        <f t="shared" ref="U89:U91" si="1536">V89/$AM$4</f>
        <v>9.4915454545454541</v>
      </c>
      <c r="V89" s="69">
        <v>2088.14</v>
      </c>
      <c r="W89" s="28">
        <f t="shared" ref="W89:W91" si="1537">V89*W$6</f>
        <v>208.81399999999999</v>
      </c>
      <c r="X89" s="28">
        <f t="shared" ref="X89:X91" si="1538">V89*X$6</f>
        <v>167.05119999999999</v>
      </c>
      <c r="Y89" s="28">
        <f t="shared" ref="Y89:Y91" si="1539">V89/Y$6</f>
        <v>174.01166666666666</v>
      </c>
      <c r="Z89" s="72">
        <f t="shared" ref="Z89:Z91" si="1540">Y89/Z$6</f>
        <v>58.003888888888888</v>
      </c>
      <c r="AA89" s="70">
        <f t="shared" ref="AA89:AA91" si="1541">V89/AA$6</f>
        <v>174.01166666666666</v>
      </c>
      <c r="AB89" s="70">
        <f t="shared" ref="AB89:AB91" si="1542">SUM(V89:AA89)</f>
        <v>2870.0324222222221</v>
      </c>
      <c r="AC89" s="71">
        <v>0</v>
      </c>
      <c r="AD89" s="71">
        <v>0</v>
      </c>
      <c r="AE89" s="72">
        <f t="shared" ref="AE89:AE91" si="1543">((U89*AE$6)+(U89*$AO$6)+(U89*$AP$6))*AC89</f>
        <v>0</v>
      </c>
      <c r="AF89" s="72">
        <f t="shared" ref="AF89:AF91" si="1544">((U89*AF$6)+(U89*$AO$6)+(U89*$AP$6))*AD89</f>
        <v>0</v>
      </c>
      <c r="AG89" s="70">
        <f t="shared" ref="AG89:AG91" si="1545">SUM(AE89:AF89)</f>
        <v>0</v>
      </c>
      <c r="AH89" s="73">
        <v>0</v>
      </c>
      <c r="AI89" s="74">
        <f t="shared" ref="AI89:AI91" si="1546">IF(S89=1,($C$1*$Q$6),0)</f>
        <v>282.40000000000003</v>
      </c>
      <c r="AJ89" s="303">
        <f t="shared" ref="AJ89:AJ91" si="1547">AB89+AG89+AH89+AI89</f>
        <v>3152.4324222222222</v>
      </c>
      <c r="AK89" s="58">
        <v>1</v>
      </c>
      <c r="AL89" s="68" t="s">
        <v>295</v>
      </c>
      <c r="AM89" s="28">
        <f t="shared" ref="AM89:AM91" si="1548">AN89/$AM$4</f>
        <v>9.4915454545454541</v>
      </c>
      <c r="AN89" s="69">
        <v>2088.14</v>
      </c>
      <c r="AO89" s="28">
        <f t="shared" ref="AO89:AO91" si="1549">AN89*AO$6</f>
        <v>208.81399999999999</v>
      </c>
      <c r="AP89" s="28">
        <f t="shared" ref="AP89:AP91" si="1550">AN89*AP$6</f>
        <v>167.05119999999999</v>
      </c>
      <c r="AQ89" s="28">
        <f t="shared" ref="AQ89:AQ91" si="1551">AN89/AQ$6</f>
        <v>174.01166666666666</v>
      </c>
      <c r="AR89" s="72">
        <f t="shared" ref="AR89:AR91" si="1552">AQ89/AR$6</f>
        <v>58.003888888888888</v>
      </c>
      <c r="AS89" s="70">
        <f t="shared" ref="AS89:AS91" si="1553">AN89/AS$6</f>
        <v>174.01166666666666</v>
      </c>
      <c r="AT89" s="70">
        <f t="shared" ref="AT89:AT91" si="1554">SUM(AN89:AS89)</f>
        <v>2870.0324222222221</v>
      </c>
      <c r="AU89" s="71">
        <v>0</v>
      </c>
      <c r="AV89" s="71">
        <v>0</v>
      </c>
      <c r="AW89" s="72">
        <f t="shared" ref="AW89:AW91" si="1555">((AM89*AW$6)+(AM89*$AO$6)+(AM89*$AP$6))*AU89</f>
        <v>0</v>
      </c>
      <c r="AX89" s="72">
        <f t="shared" ref="AX89:AX91" si="1556">((AM89*AX$6)+(AM89*$AO$6)+(AM89*$AP$6))*AV89</f>
        <v>0</v>
      </c>
      <c r="AY89" s="70">
        <f t="shared" ref="AY89:AY91" si="1557">SUM(AW89:AX89)</f>
        <v>0</v>
      </c>
      <c r="AZ89" s="73">
        <v>0</v>
      </c>
      <c r="BA89" s="74">
        <f t="shared" ref="BA89:BA91" si="1558">IF(AK89=1,($C$1*$Q$6),0)</f>
        <v>282.40000000000003</v>
      </c>
      <c r="BB89" s="303">
        <f t="shared" ref="BB89:BB91" si="1559">AT89+AY89+AZ89+BA89</f>
        <v>3152.4324222222222</v>
      </c>
      <c r="BC89" s="58">
        <v>1</v>
      </c>
      <c r="BD89" s="68" t="s">
        <v>295</v>
      </c>
      <c r="BE89" s="28">
        <f t="shared" ref="BE89:BE91" si="1560">BF89/$AM$4</f>
        <v>9.4915454545454541</v>
      </c>
      <c r="BF89" s="69">
        <v>2088.14</v>
      </c>
      <c r="BG89" s="28">
        <f t="shared" ref="BG89:BG91" si="1561">BF89*BG$6</f>
        <v>208.81399999999999</v>
      </c>
      <c r="BH89" s="28">
        <f t="shared" ref="BH89:BH91" si="1562">BF89*BH$6</f>
        <v>167.05119999999999</v>
      </c>
      <c r="BI89" s="28">
        <f t="shared" ref="BI89:BI91" si="1563">BF89/BI$6</f>
        <v>174.01166666666666</v>
      </c>
      <c r="BJ89" s="72">
        <f t="shared" ref="BJ89:BJ91" si="1564">BI89/BJ$6</f>
        <v>58.003888888888888</v>
      </c>
      <c r="BK89" s="70">
        <f t="shared" ref="BK89:BK91" si="1565">BF89/BK$6</f>
        <v>174.01166666666666</v>
      </c>
      <c r="BL89" s="70">
        <f t="shared" ref="BL89:BL91" si="1566">SUM(BF89:BK89)</f>
        <v>2870.0324222222221</v>
      </c>
      <c r="BM89" s="71">
        <v>0</v>
      </c>
      <c r="BN89" s="71">
        <v>0</v>
      </c>
      <c r="BO89" s="72">
        <f t="shared" ref="BO89:BO91" si="1567">((BE89*BO$6)+(BE89*$AO$6)+(BE89*$AP$6))*BM89</f>
        <v>0</v>
      </c>
      <c r="BP89" s="72">
        <f t="shared" ref="BP89:BP91" si="1568">((BE89*BP$6)+(BE89*$AO$6)+(BE89*$AP$6))*BN89</f>
        <v>0</v>
      </c>
      <c r="BQ89" s="70">
        <f t="shared" ref="BQ89:BQ91" si="1569">SUM(BO89:BP89)</f>
        <v>0</v>
      </c>
      <c r="BR89" s="73">
        <v>0</v>
      </c>
      <c r="BS89" s="74">
        <f t="shared" ref="BS89:BS91" si="1570">IF(BC89=1,($C$1*$Q$6),0)</f>
        <v>282.40000000000003</v>
      </c>
      <c r="BT89" s="303">
        <f t="shared" ref="BT89:BT91" si="1571">BL89+BQ89+BR89+BS89</f>
        <v>3152.4324222222222</v>
      </c>
      <c r="BU89" s="58">
        <v>1</v>
      </c>
      <c r="BV89" s="68" t="s">
        <v>295</v>
      </c>
      <c r="BW89" s="28">
        <f t="shared" ref="BW89:BW91" si="1572">BX89/$AM$4</f>
        <v>9.4915454545454541</v>
      </c>
      <c r="BX89" s="69">
        <v>2088.14</v>
      </c>
      <c r="BY89" s="28">
        <f t="shared" ref="BY89:BY91" si="1573">BX89*BY$6</f>
        <v>208.81399999999999</v>
      </c>
      <c r="BZ89" s="28">
        <f t="shared" ref="BZ89:BZ91" si="1574">BX89*BZ$6</f>
        <v>167.05119999999999</v>
      </c>
      <c r="CA89" s="28">
        <f t="shared" ref="CA89:CA91" si="1575">BX89/CA$6</f>
        <v>174.01166666666666</v>
      </c>
      <c r="CB89" s="72">
        <f t="shared" ref="CB89:CB91" si="1576">CA89/CB$6</f>
        <v>58.003888888888888</v>
      </c>
      <c r="CC89" s="70">
        <f t="shared" ref="CC89:CC91" si="1577">BX89/CC$6</f>
        <v>174.01166666666666</v>
      </c>
      <c r="CD89" s="70">
        <f t="shared" ref="CD89:CD91" si="1578">SUM(BX89:CC89)</f>
        <v>2870.0324222222221</v>
      </c>
      <c r="CE89" s="71">
        <v>0</v>
      </c>
      <c r="CF89" s="71">
        <v>0</v>
      </c>
      <c r="CG89" s="72">
        <f t="shared" ref="CG89:CG91" si="1579">((BW89*CG$6)+(BW89*$AO$6)+(BW89*$AP$6))*CE89</f>
        <v>0</v>
      </c>
      <c r="CH89" s="72">
        <f t="shared" ref="CH89:CH91" si="1580">((BW89*CH$6)+(BW89*$AO$6)+(BW89*$AP$6))*CF89</f>
        <v>0</v>
      </c>
      <c r="CI89" s="70">
        <f t="shared" ref="CI89:CI91" si="1581">SUM(CG89:CH89)</f>
        <v>0</v>
      </c>
      <c r="CJ89" s="73">
        <v>0</v>
      </c>
      <c r="CK89" s="74">
        <f t="shared" ref="CK89:CK91" si="1582">IF(BU89=1,($C$1*$Q$6),0)</f>
        <v>282.40000000000003</v>
      </c>
      <c r="CL89" s="303">
        <f t="shared" ref="CL89:CL91" si="1583">CD89+CI89+CJ89+CK89</f>
        <v>3152.4324222222222</v>
      </c>
      <c r="CM89" s="58">
        <v>1</v>
      </c>
      <c r="CN89" s="68" t="s">
        <v>295</v>
      </c>
      <c r="CO89" s="28">
        <f t="shared" ref="CO89:CO91" si="1584">CP89/$AM$4</f>
        <v>9.4915454545454541</v>
      </c>
      <c r="CP89" s="69">
        <v>2088.14</v>
      </c>
      <c r="CQ89" s="28">
        <f t="shared" ref="CQ89:CQ91" si="1585">CP89*CQ$6</f>
        <v>208.81399999999999</v>
      </c>
      <c r="CR89" s="28">
        <f t="shared" ref="CR89:CR91" si="1586">CP89*CR$6</f>
        <v>167.05119999999999</v>
      </c>
      <c r="CS89" s="28">
        <f t="shared" ref="CS89:CS91" si="1587">CP89/CS$6</f>
        <v>174.01166666666666</v>
      </c>
      <c r="CT89" s="72">
        <f t="shared" ref="CT89:CT91" si="1588">CS89/CT$6</f>
        <v>58.003888888888888</v>
      </c>
      <c r="CU89" s="70">
        <f t="shared" ref="CU89:CU91" si="1589">CP89/CU$6</f>
        <v>174.01166666666666</v>
      </c>
      <c r="CV89" s="70">
        <f t="shared" ref="CV89:CV91" si="1590">SUM(CP89:CU89)</f>
        <v>2870.0324222222221</v>
      </c>
      <c r="CW89" s="71">
        <v>0</v>
      </c>
      <c r="CX89" s="71">
        <v>0</v>
      </c>
      <c r="CY89" s="72">
        <f t="shared" ref="CY89:CY91" si="1591">((CO89*CY$6)+(CO89*$AO$6)+(CO89*$AP$6))*CW89</f>
        <v>0</v>
      </c>
      <c r="CZ89" s="72">
        <f t="shared" ref="CZ89:CZ91" si="1592">((CO89*CZ$6)+(CO89*$AO$6)+(CO89*$AP$6))*CX89</f>
        <v>0</v>
      </c>
      <c r="DA89" s="70">
        <f t="shared" ref="DA89:DA91" si="1593">SUM(CY89:CZ89)</f>
        <v>0</v>
      </c>
      <c r="DB89" s="73">
        <v>0</v>
      </c>
      <c r="DC89" s="74">
        <f t="shared" ref="DC89:DC91" si="1594">IF(CM89=1,($C$1*$Q$6),0)</f>
        <v>282.40000000000003</v>
      </c>
      <c r="DD89" s="303">
        <f t="shared" ref="DD89:DD91" si="1595">CV89+DA89+DB89+DC89</f>
        <v>3152.4324222222222</v>
      </c>
      <c r="DE89" s="58">
        <v>1</v>
      </c>
      <c r="DF89" s="68" t="s">
        <v>295</v>
      </c>
      <c r="DG89" s="28">
        <f t="shared" ref="DG89:DG91" si="1596">DH89/$AM$4</f>
        <v>9.4915454545454541</v>
      </c>
      <c r="DH89" s="69">
        <v>2088.14</v>
      </c>
      <c r="DI89" s="28">
        <f t="shared" ref="DI89:DI91" si="1597">DH89*DI$6</f>
        <v>208.81399999999999</v>
      </c>
      <c r="DJ89" s="28">
        <f t="shared" ref="DJ89:DJ91" si="1598">DH89*DJ$6</f>
        <v>167.05119999999999</v>
      </c>
      <c r="DK89" s="28">
        <f t="shared" ref="DK89:DK91" si="1599">DH89/DK$6</f>
        <v>174.01166666666666</v>
      </c>
      <c r="DL89" s="72">
        <f t="shared" ref="DL89:DL91" si="1600">DK89/DL$6</f>
        <v>58.003888888888888</v>
      </c>
      <c r="DM89" s="70">
        <f t="shared" ref="DM89:DM91" si="1601">DH89/DM$6</f>
        <v>174.01166666666666</v>
      </c>
      <c r="DN89" s="70">
        <f t="shared" ref="DN89:DN91" si="1602">SUM(DH89:DM89)</f>
        <v>2870.0324222222221</v>
      </c>
      <c r="DO89" s="71">
        <v>0</v>
      </c>
      <c r="DP89" s="71">
        <v>0</v>
      </c>
      <c r="DQ89" s="72">
        <f t="shared" ref="DQ89:DQ91" si="1603">((DG89*DQ$6)+(DG89*$AO$6)+(DG89*$AP$6))*DO89</f>
        <v>0</v>
      </c>
      <c r="DR89" s="72">
        <f t="shared" ref="DR89:DR91" si="1604">((DG89*DR$6)+(DG89*$AO$6)+(DG89*$AP$6))*DP89</f>
        <v>0</v>
      </c>
      <c r="DS89" s="70">
        <f t="shared" ref="DS89:DS91" si="1605">SUM(DQ89:DR89)</f>
        <v>0</v>
      </c>
      <c r="DT89" s="73">
        <v>0</v>
      </c>
      <c r="DU89" s="74">
        <f t="shared" ref="DU89:DU91" si="1606">IF(DE89=1,($C$1*$Q$6),0)</f>
        <v>282.40000000000003</v>
      </c>
      <c r="DV89" s="303">
        <f t="shared" ref="DV89:DV91" si="1607">DN89+DS89+DT89+DU89</f>
        <v>3152.4324222222222</v>
      </c>
      <c r="DW89" s="58">
        <v>1</v>
      </c>
      <c r="DX89" s="68" t="s">
        <v>295</v>
      </c>
      <c r="DY89" s="28">
        <f t="shared" ref="DY89:DY91" si="1608">DZ89/$AM$4</f>
        <v>9.4915454545454541</v>
      </c>
      <c r="DZ89" s="69">
        <v>2088.14</v>
      </c>
      <c r="EA89" s="28">
        <f t="shared" ref="EA89:EA91" si="1609">DZ89*EA$6</f>
        <v>208.81399999999999</v>
      </c>
      <c r="EB89" s="28">
        <f t="shared" ref="EB89:EB91" si="1610">DZ89*EB$6</f>
        <v>167.05119999999999</v>
      </c>
      <c r="EC89" s="28">
        <f t="shared" ref="EC89:EC91" si="1611">DZ89/EC$6</f>
        <v>174.01166666666666</v>
      </c>
      <c r="ED89" s="72">
        <f t="shared" ref="ED89:ED91" si="1612">EC89/ED$6</f>
        <v>58.003888888888888</v>
      </c>
      <c r="EE89" s="70">
        <f t="shared" ref="EE89:EE91" si="1613">DZ89/EE$6</f>
        <v>174.01166666666666</v>
      </c>
      <c r="EF89" s="70">
        <f t="shared" ref="EF89:EF91" si="1614">SUM(DZ89:EE89)</f>
        <v>2870.0324222222221</v>
      </c>
      <c r="EG89" s="71">
        <v>0</v>
      </c>
      <c r="EH89" s="71">
        <v>0</v>
      </c>
      <c r="EI89" s="72">
        <f t="shared" ref="EI89:EI91" si="1615">((DY89*EI$6)+(DY89*$AO$6)+(DY89*$AP$6))*EG89</f>
        <v>0</v>
      </c>
      <c r="EJ89" s="72">
        <f t="shared" ref="EJ89:EJ91" si="1616">((DY89*EJ$6)+(DY89*$AO$6)+(DY89*$AP$6))*EH89</f>
        <v>0</v>
      </c>
      <c r="EK89" s="70">
        <f t="shared" ref="EK89:EK91" si="1617">SUM(EI89:EJ89)</f>
        <v>0</v>
      </c>
      <c r="EL89" s="73">
        <v>0</v>
      </c>
      <c r="EM89" s="74">
        <f t="shared" ref="EM89:EM91" si="1618">IF(DW89=1,($C$1*$Q$6),0)</f>
        <v>282.40000000000003</v>
      </c>
      <c r="EN89" s="303">
        <f t="shared" ref="EN89:EN91" si="1619">EF89+EK89+EL89+EM89</f>
        <v>3152.4324222222222</v>
      </c>
      <c r="EO89" s="58">
        <v>1</v>
      </c>
      <c r="EP89" s="68" t="s">
        <v>295</v>
      </c>
      <c r="EQ89" s="28">
        <f t="shared" ref="EQ89:EQ91" si="1620">ER89/$AM$4</f>
        <v>9.4915454545454541</v>
      </c>
      <c r="ER89" s="69">
        <v>2088.14</v>
      </c>
      <c r="ES89" s="28">
        <f t="shared" ref="ES89:ES91" si="1621">ER89*ES$6</f>
        <v>208.81399999999999</v>
      </c>
      <c r="ET89" s="28">
        <f t="shared" ref="ET89:ET91" si="1622">ER89*ET$6</f>
        <v>167.05119999999999</v>
      </c>
      <c r="EU89" s="28">
        <f t="shared" ref="EU89:EU91" si="1623">ER89/EU$6</f>
        <v>174.01166666666666</v>
      </c>
      <c r="EV89" s="72">
        <f t="shared" ref="EV89:EV91" si="1624">EU89/EV$6</f>
        <v>58.003888888888888</v>
      </c>
      <c r="EW89" s="70">
        <f t="shared" ref="EW89:EW91" si="1625">ER89/EW$6</f>
        <v>174.01166666666666</v>
      </c>
      <c r="EX89" s="70">
        <f t="shared" ref="EX89:EX91" si="1626">SUM(ER89:EW89)</f>
        <v>2870.0324222222221</v>
      </c>
      <c r="EY89" s="71">
        <v>0</v>
      </c>
      <c r="EZ89" s="71">
        <v>0</v>
      </c>
      <c r="FA89" s="72">
        <f t="shared" ref="FA89:FA91" si="1627">((EQ89*FA$6)+(EQ89*$AO$6)+(EQ89*$AP$6))*EY89</f>
        <v>0</v>
      </c>
      <c r="FB89" s="72">
        <f t="shared" ref="FB89:FB91" si="1628">((EQ89*FB$6)+(EQ89*$AO$6)+(EQ89*$AP$6))*EZ89</f>
        <v>0</v>
      </c>
      <c r="FC89" s="70">
        <f t="shared" ref="FC89:FC91" si="1629">SUM(FA89:FB89)</f>
        <v>0</v>
      </c>
      <c r="FD89" s="73">
        <v>0</v>
      </c>
      <c r="FE89" s="74">
        <f t="shared" ref="FE89:FE91" si="1630">IF(EO89=1,($C$1*$Q$6),0)</f>
        <v>282.40000000000003</v>
      </c>
      <c r="FF89" s="303">
        <f t="shared" ref="FF89:FF91" si="1631">EX89+FC89+FD89+FE89</f>
        <v>3152.4324222222222</v>
      </c>
      <c r="FG89" s="58">
        <v>1</v>
      </c>
      <c r="FH89" s="68" t="s">
        <v>295</v>
      </c>
      <c r="FI89" s="28">
        <f t="shared" ref="FI89:FI91" si="1632">FJ89/$AM$4</f>
        <v>9.4915454545454541</v>
      </c>
      <c r="FJ89" s="69">
        <v>2088.14</v>
      </c>
      <c r="FK89" s="28">
        <f t="shared" ref="FK89:FK91" si="1633">FJ89*FK$6</f>
        <v>208.81399999999999</v>
      </c>
      <c r="FL89" s="28">
        <f t="shared" ref="FL89:FL91" si="1634">FJ89*FL$6</f>
        <v>167.05119999999999</v>
      </c>
      <c r="FM89" s="28">
        <f t="shared" ref="FM89:FM91" si="1635">FJ89/FM$6</f>
        <v>174.01166666666666</v>
      </c>
      <c r="FN89" s="72">
        <f t="shared" ref="FN89:FN91" si="1636">FM89/FN$6</f>
        <v>58.003888888888888</v>
      </c>
      <c r="FO89" s="70">
        <f t="shared" ref="FO89:FO91" si="1637">FJ89/FO$6</f>
        <v>174.01166666666666</v>
      </c>
      <c r="FP89" s="70">
        <f t="shared" ref="FP89:FP91" si="1638">SUM(FJ89:FO89)</f>
        <v>2870.0324222222221</v>
      </c>
      <c r="FQ89" s="71">
        <v>0</v>
      </c>
      <c r="FR89" s="71">
        <v>0</v>
      </c>
      <c r="FS89" s="72">
        <f t="shared" ref="FS89:FS91" si="1639">((FI89*FS$6)+(FI89*$AO$6)+(FI89*$AP$6))*FQ89</f>
        <v>0</v>
      </c>
      <c r="FT89" s="72">
        <f t="shared" ref="FT89:FT91" si="1640">((FI89*FT$6)+(FI89*$AO$6)+(FI89*$AP$6))*FR89</f>
        <v>0</v>
      </c>
      <c r="FU89" s="70">
        <f t="shared" ref="FU89:FU91" si="1641">SUM(FS89:FT89)</f>
        <v>0</v>
      </c>
      <c r="FV89" s="73">
        <v>0</v>
      </c>
      <c r="FW89" s="74">
        <f t="shared" ref="FW89:FW91" si="1642">IF(FG89=1,($C$1*$Q$6),0)</f>
        <v>282.40000000000003</v>
      </c>
      <c r="FX89" s="303">
        <f t="shared" ref="FX89:FX91" si="1643">FP89+FU89+FV89+FW89</f>
        <v>3152.4324222222222</v>
      </c>
      <c r="FY89" s="58">
        <v>1</v>
      </c>
      <c r="FZ89" s="68" t="s">
        <v>295</v>
      </c>
      <c r="GA89" s="28">
        <f t="shared" ref="GA89:GA91" si="1644">GB89/$AM$4</f>
        <v>9.4915454545454541</v>
      </c>
      <c r="GB89" s="69">
        <v>2088.14</v>
      </c>
      <c r="GC89" s="28">
        <f t="shared" ref="GC89:GC91" si="1645">GB89*GC$6</f>
        <v>208.81399999999999</v>
      </c>
      <c r="GD89" s="28">
        <f t="shared" ref="GD89:GD91" si="1646">GB89*GD$6</f>
        <v>167.05119999999999</v>
      </c>
      <c r="GE89" s="28">
        <f t="shared" ref="GE89:GE91" si="1647">GB89/GE$6</f>
        <v>174.01166666666666</v>
      </c>
      <c r="GF89" s="72">
        <f t="shared" ref="GF89:GF91" si="1648">GE89/GF$6</f>
        <v>58.003888888888888</v>
      </c>
      <c r="GG89" s="70">
        <f t="shared" ref="GG89:GG91" si="1649">GB89/GG$6</f>
        <v>174.01166666666666</v>
      </c>
      <c r="GH89" s="70">
        <f t="shared" ref="GH89:GH91" si="1650">SUM(GB89:GG89)</f>
        <v>2870.0324222222221</v>
      </c>
      <c r="GI89" s="71">
        <v>0</v>
      </c>
      <c r="GJ89" s="71">
        <v>0</v>
      </c>
      <c r="GK89" s="72">
        <f t="shared" ref="GK89:GK91" si="1651">((GA89*GK$6)+(GA89*$AO$6)+(GA89*$AP$6))*GI89</f>
        <v>0</v>
      </c>
      <c r="GL89" s="72">
        <f t="shared" ref="GL89:GL91" si="1652">((GA89*GL$6)+(GA89*$AO$6)+(GA89*$AP$6))*GJ89</f>
        <v>0</v>
      </c>
      <c r="GM89" s="70">
        <f t="shared" ref="GM89:GM91" si="1653">SUM(GK89:GL89)</f>
        <v>0</v>
      </c>
      <c r="GN89" s="73">
        <v>0</v>
      </c>
      <c r="GO89" s="74">
        <f t="shared" ref="GO89:GO91" si="1654">IF(FY89=1,($C$1*$Q$6),0)</f>
        <v>282.40000000000003</v>
      </c>
      <c r="GP89" s="303">
        <f t="shared" ref="GP89:GP91" si="1655">GH89+GM89+GN89+GO89</f>
        <v>3152.4324222222222</v>
      </c>
      <c r="GQ89" s="58">
        <v>1</v>
      </c>
      <c r="GR89" s="68" t="s">
        <v>295</v>
      </c>
      <c r="GS89" s="28">
        <f t="shared" ref="GS89:GS91" si="1656">GT89/$AM$4</f>
        <v>9.4915454545454541</v>
      </c>
      <c r="GT89" s="69">
        <v>2088.14</v>
      </c>
      <c r="GU89" s="28">
        <f t="shared" ref="GU89:GU91" si="1657">GT89*GU$6</f>
        <v>208.81399999999999</v>
      </c>
      <c r="GV89" s="28">
        <f t="shared" ref="GV89:GV91" si="1658">GT89*GV$6</f>
        <v>167.05119999999999</v>
      </c>
      <c r="GW89" s="28">
        <f t="shared" ref="GW89:GW91" si="1659">GT89/GW$6</f>
        <v>174.01166666666666</v>
      </c>
      <c r="GX89" s="72">
        <f t="shared" ref="GX89:GX91" si="1660">GW89/GX$6</f>
        <v>58.003888888888888</v>
      </c>
      <c r="GY89" s="70">
        <f t="shared" ref="GY89:GY91" si="1661">GT89/GY$6</f>
        <v>174.01166666666666</v>
      </c>
      <c r="GZ89" s="70">
        <f t="shared" ref="GZ89:GZ91" si="1662">SUM(GT89:GY89)</f>
        <v>2870.0324222222221</v>
      </c>
      <c r="HA89" s="71">
        <v>0</v>
      </c>
      <c r="HB89" s="71">
        <v>0</v>
      </c>
      <c r="HC89" s="72">
        <f t="shared" ref="HC89:HC91" si="1663">((GS89*HC$6)+(GS89*$AO$6)+(GS89*$AP$6))*HA89</f>
        <v>0</v>
      </c>
      <c r="HD89" s="72">
        <f t="shared" ref="HD89:HD91" si="1664">((GS89*HD$6)+(GS89*$AO$6)+(GS89*$AP$6))*HB89</f>
        <v>0</v>
      </c>
      <c r="HE89" s="70">
        <f t="shared" ref="HE89:HE91" si="1665">SUM(HC89:HD89)</f>
        <v>0</v>
      </c>
      <c r="HF89" s="73">
        <v>0</v>
      </c>
      <c r="HG89" s="74">
        <f t="shared" ref="HG89:HG91" si="1666">IF(GQ89=1,($C$1*$Q$6),0)</f>
        <v>282.40000000000003</v>
      </c>
      <c r="HH89" s="303">
        <f t="shared" ref="HH89:HH91" si="1667">GZ89+HE89+HF89+HG89</f>
        <v>3152.4324222222222</v>
      </c>
      <c r="HJ89" s="37"/>
      <c r="HK89" s="37"/>
      <c r="HL89" s="37"/>
      <c r="HM89" s="37"/>
      <c r="HN89" s="37"/>
      <c r="HO89" s="37"/>
      <c r="HP89" s="37"/>
      <c r="HQ89" s="37"/>
      <c r="HR89" s="37"/>
      <c r="HS89" s="37"/>
      <c r="HT89" s="37"/>
      <c r="HU89" s="37"/>
      <c r="HV89" s="37"/>
      <c r="HW89" s="37"/>
      <c r="HX89" s="37"/>
      <c r="HY89" s="37"/>
      <c r="HZ89" s="37"/>
      <c r="IA89" s="37"/>
      <c r="IB89" s="37"/>
      <c r="IC89" s="37"/>
      <c r="ID89" s="37"/>
      <c r="IE89" s="37"/>
      <c r="IF89" s="37"/>
      <c r="IG89" s="37"/>
      <c r="IH89" s="37"/>
      <c r="II89" s="37"/>
      <c r="IJ89" s="37"/>
      <c r="IK89" s="37"/>
      <c r="IL89" s="37"/>
      <c r="IM89" s="37"/>
      <c r="IN89" s="37"/>
      <c r="IO89" s="37"/>
      <c r="IP89" s="37"/>
    </row>
    <row r="90" spans="1:250" x14ac:dyDescent="0.3">
      <c r="A90" s="58">
        <v>0</v>
      </c>
      <c r="B90" s="68" t="s">
        <v>181</v>
      </c>
      <c r="C90" s="28">
        <f t="shared" si="1524"/>
        <v>0</v>
      </c>
      <c r="D90" s="69">
        <v>0</v>
      </c>
      <c r="E90" s="28">
        <f t="shared" si="1525"/>
        <v>0</v>
      </c>
      <c r="F90" s="28">
        <f t="shared" si="1526"/>
        <v>0</v>
      </c>
      <c r="G90" s="28">
        <f t="shared" si="1527"/>
        <v>0</v>
      </c>
      <c r="H90" s="72">
        <f t="shared" si="1528"/>
        <v>0</v>
      </c>
      <c r="I90" s="70">
        <f t="shared" si="1529"/>
        <v>0</v>
      </c>
      <c r="J90" s="70">
        <f t="shared" si="1530"/>
        <v>0</v>
      </c>
      <c r="K90" s="71">
        <v>0</v>
      </c>
      <c r="L90" s="71">
        <v>0</v>
      </c>
      <c r="M90" s="72">
        <f t="shared" si="1531"/>
        <v>0</v>
      </c>
      <c r="N90" s="72">
        <f t="shared" si="1532"/>
        <v>0</v>
      </c>
      <c r="O90" s="70">
        <f t="shared" si="1533"/>
        <v>0</v>
      </c>
      <c r="P90" s="73">
        <v>0</v>
      </c>
      <c r="Q90" s="74">
        <f t="shared" si="1534"/>
        <v>0</v>
      </c>
      <c r="R90" s="303">
        <f t="shared" si="1535"/>
        <v>0</v>
      </c>
      <c r="S90" s="58">
        <v>0</v>
      </c>
      <c r="T90" s="68" t="s">
        <v>181</v>
      </c>
      <c r="U90" s="28">
        <f t="shared" si="1536"/>
        <v>0</v>
      </c>
      <c r="V90" s="69">
        <v>0</v>
      </c>
      <c r="W90" s="28">
        <f t="shared" si="1537"/>
        <v>0</v>
      </c>
      <c r="X90" s="28">
        <f t="shared" si="1538"/>
        <v>0</v>
      </c>
      <c r="Y90" s="28">
        <f t="shared" si="1539"/>
        <v>0</v>
      </c>
      <c r="Z90" s="72">
        <f t="shared" si="1540"/>
        <v>0</v>
      </c>
      <c r="AA90" s="70">
        <f t="shared" si="1541"/>
        <v>0</v>
      </c>
      <c r="AB90" s="70">
        <f t="shared" si="1542"/>
        <v>0</v>
      </c>
      <c r="AC90" s="71">
        <v>0</v>
      </c>
      <c r="AD90" s="71">
        <v>0</v>
      </c>
      <c r="AE90" s="72">
        <f t="shared" si="1543"/>
        <v>0</v>
      </c>
      <c r="AF90" s="72">
        <f t="shared" si="1544"/>
        <v>0</v>
      </c>
      <c r="AG90" s="70">
        <f t="shared" si="1545"/>
        <v>0</v>
      </c>
      <c r="AH90" s="73">
        <v>0</v>
      </c>
      <c r="AI90" s="74">
        <f t="shared" si="1546"/>
        <v>0</v>
      </c>
      <c r="AJ90" s="303">
        <f t="shared" si="1547"/>
        <v>0</v>
      </c>
      <c r="AK90" s="58">
        <v>0</v>
      </c>
      <c r="AL90" s="68" t="s">
        <v>181</v>
      </c>
      <c r="AM90" s="28">
        <f t="shared" si="1548"/>
        <v>0</v>
      </c>
      <c r="AN90" s="69">
        <v>0</v>
      </c>
      <c r="AO90" s="28">
        <f t="shared" si="1549"/>
        <v>0</v>
      </c>
      <c r="AP90" s="28">
        <f t="shared" si="1550"/>
        <v>0</v>
      </c>
      <c r="AQ90" s="28">
        <f t="shared" si="1551"/>
        <v>0</v>
      </c>
      <c r="AR90" s="72">
        <f t="shared" si="1552"/>
        <v>0</v>
      </c>
      <c r="AS90" s="70">
        <f t="shared" si="1553"/>
        <v>0</v>
      </c>
      <c r="AT90" s="70">
        <f t="shared" si="1554"/>
        <v>0</v>
      </c>
      <c r="AU90" s="71">
        <v>0</v>
      </c>
      <c r="AV90" s="71">
        <v>0</v>
      </c>
      <c r="AW90" s="72">
        <f t="shared" si="1555"/>
        <v>0</v>
      </c>
      <c r="AX90" s="72">
        <f t="shared" si="1556"/>
        <v>0</v>
      </c>
      <c r="AY90" s="70">
        <f t="shared" si="1557"/>
        <v>0</v>
      </c>
      <c r="AZ90" s="73">
        <v>0</v>
      </c>
      <c r="BA90" s="74">
        <f t="shared" si="1558"/>
        <v>0</v>
      </c>
      <c r="BB90" s="303">
        <f t="shared" si="1559"/>
        <v>0</v>
      </c>
      <c r="BC90" s="58">
        <v>0</v>
      </c>
      <c r="BD90" s="68" t="s">
        <v>181</v>
      </c>
      <c r="BE90" s="28">
        <f t="shared" si="1560"/>
        <v>0</v>
      </c>
      <c r="BF90" s="69">
        <v>0</v>
      </c>
      <c r="BG90" s="28">
        <f t="shared" si="1561"/>
        <v>0</v>
      </c>
      <c r="BH90" s="28">
        <f t="shared" si="1562"/>
        <v>0</v>
      </c>
      <c r="BI90" s="28">
        <f t="shared" si="1563"/>
        <v>0</v>
      </c>
      <c r="BJ90" s="72">
        <f t="shared" si="1564"/>
        <v>0</v>
      </c>
      <c r="BK90" s="70">
        <f t="shared" si="1565"/>
        <v>0</v>
      </c>
      <c r="BL90" s="70">
        <f t="shared" si="1566"/>
        <v>0</v>
      </c>
      <c r="BM90" s="71">
        <v>0</v>
      </c>
      <c r="BN90" s="71">
        <v>0</v>
      </c>
      <c r="BO90" s="72">
        <f t="shared" si="1567"/>
        <v>0</v>
      </c>
      <c r="BP90" s="72">
        <f t="shared" si="1568"/>
        <v>0</v>
      </c>
      <c r="BQ90" s="70">
        <f t="shared" si="1569"/>
        <v>0</v>
      </c>
      <c r="BR90" s="73">
        <v>0</v>
      </c>
      <c r="BS90" s="74">
        <f t="shared" si="1570"/>
        <v>0</v>
      </c>
      <c r="BT90" s="303">
        <f t="shared" si="1571"/>
        <v>0</v>
      </c>
      <c r="BU90" s="58">
        <v>0</v>
      </c>
      <c r="BV90" s="68" t="s">
        <v>181</v>
      </c>
      <c r="BW90" s="28">
        <f t="shared" si="1572"/>
        <v>0</v>
      </c>
      <c r="BX90" s="69">
        <v>0</v>
      </c>
      <c r="BY90" s="28">
        <f t="shared" si="1573"/>
        <v>0</v>
      </c>
      <c r="BZ90" s="28">
        <f t="shared" si="1574"/>
        <v>0</v>
      </c>
      <c r="CA90" s="28">
        <f t="shared" si="1575"/>
        <v>0</v>
      </c>
      <c r="CB90" s="72">
        <f t="shared" si="1576"/>
        <v>0</v>
      </c>
      <c r="CC90" s="70">
        <f t="shared" si="1577"/>
        <v>0</v>
      </c>
      <c r="CD90" s="70">
        <f t="shared" si="1578"/>
        <v>0</v>
      </c>
      <c r="CE90" s="71">
        <v>0</v>
      </c>
      <c r="CF90" s="71">
        <v>0</v>
      </c>
      <c r="CG90" s="72">
        <f t="shared" si="1579"/>
        <v>0</v>
      </c>
      <c r="CH90" s="72">
        <f t="shared" si="1580"/>
        <v>0</v>
      </c>
      <c r="CI90" s="70">
        <f t="shared" si="1581"/>
        <v>0</v>
      </c>
      <c r="CJ90" s="73">
        <v>0</v>
      </c>
      <c r="CK90" s="74">
        <f t="shared" si="1582"/>
        <v>0</v>
      </c>
      <c r="CL90" s="303">
        <f t="shared" si="1583"/>
        <v>0</v>
      </c>
      <c r="CM90" s="58">
        <v>0</v>
      </c>
      <c r="CN90" s="68" t="s">
        <v>181</v>
      </c>
      <c r="CO90" s="28">
        <f t="shared" si="1584"/>
        <v>0</v>
      </c>
      <c r="CP90" s="69">
        <v>0</v>
      </c>
      <c r="CQ90" s="28">
        <f t="shared" si="1585"/>
        <v>0</v>
      </c>
      <c r="CR90" s="28">
        <f t="shared" si="1586"/>
        <v>0</v>
      </c>
      <c r="CS90" s="28">
        <f t="shared" si="1587"/>
        <v>0</v>
      </c>
      <c r="CT90" s="72">
        <f t="shared" si="1588"/>
        <v>0</v>
      </c>
      <c r="CU90" s="70">
        <f t="shared" si="1589"/>
        <v>0</v>
      </c>
      <c r="CV90" s="70">
        <f t="shared" si="1590"/>
        <v>0</v>
      </c>
      <c r="CW90" s="71">
        <v>0</v>
      </c>
      <c r="CX90" s="71">
        <v>0</v>
      </c>
      <c r="CY90" s="72">
        <f t="shared" si="1591"/>
        <v>0</v>
      </c>
      <c r="CZ90" s="72">
        <f t="shared" si="1592"/>
        <v>0</v>
      </c>
      <c r="DA90" s="70">
        <f t="shared" si="1593"/>
        <v>0</v>
      </c>
      <c r="DB90" s="73">
        <v>0</v>
      </c>
      <c r="DC90" s="74">
        <f t="shared" si="1594"/>
        <v>0</v>
      </c>
      <c r="DD90" s="303">
        <f t="shared" si="1595"/>
        <v>0</v>
      </c>
      <c r="DE90" s="58">
        <v>0</v>
      </c>
      <c r="DF90" s="68" t="s">
        <v>181</v>
      </c>
      <c r="DG90" s="28">
        <f t="shared" si="1596"/>
        <v>0</v>
      </c>
      <c r="DH90" s="69">
        <v>0</v>
      </c>
      <c r="DI90" s="28">
        <f t="shared" si="1597"/>
        <v>0</v>
      </c>
      <c r="DJ90" s="28">
        <f t="shared" si="1598"/>
        <v>0</v>
      </c>
      <c r="DK90" s="28">
        <f t="shared" si="1599"/>
        <v>0</v>
      </c>
      <c r="DL90" s="72">
        <f t="shared" si="1600"/>
        <v>0</v>
      </c>
      <c r="DM90" s="70">
        <f t="shared" si="1601"/>
        <v>0</v>
      </c>
      <c r="DN90" s="70">
        <f t="shared" si="1602"/>
        <v>0</v>
      </c>
      <c r="DO90" s="71">
        <v>0</v>
      </c>
      <c r="DP90" s="71">
        <v>0</v>
      </c>
      <c r="DQ90" s="72">
        <f t="shared" si="1603"/>
        <v>0</v>
      </c>
      <c r="DR90" s="72">
        <f t="shared" si="1604"/>
        <v>0</v>
      </c>
      <c r="DS90" s="70">
        <f t="shared" si="1605"/>
        <v>0</v>
      </c>
      <c r="DT90" s="73">
        <v>0</v>
      </c>
      <c r="DU90" s="74">
        <f t="shared" si="1606"/>
        <v>0</v>
      </c>
      <c r="DV90" s="303">
        <f t="shared" si="1607"/>
        <v>0</v>
      </c>
      <c r="DW90" s="58">
        <v>0</v>
      </c>
      <c r="DX90" s="68" t="s">
        <v>181</v>
      </c>
      <c r="DY90" s="28">
        <f t="shared" si="1608"/>
        <v>0</v>
      </c>
      <c r="DZ90" s="69">
        <v>0</v>
      </c>
      <c r="EA90" s="28">
        <f t="shared" si="1609"/>
        <v>0</v>
      </c>
      <c r="EB90" s="28">
        <f t="shared" si="1610"/>
        <v>0</v>
      </c>
      <c r="EC90" s="28">
        <f t="shared" si="1611"/>
        <v>0</v>
      </c>
      <c r="ED90" s="72">
        <f t="shared" si="1612"/>
        <v>0</v>
      </c>
      <c r="EE90" s="70">
        <f t="shared" si="1613"/>
        <v>0</v>
      </c>
      <c r="EF90" s="70">
        <f t="shared" si="1614"/>
        <v>0</v>
      </c>
      <c r="EG90" s="71">
        <v>0</v>
      </c>
      <c r="EH90" s="71">
        <v>0</v>
      </c>
      <c r="EI90" s="72">
        <f t="shared" si="1615"/>
        <v>0</v>
      </c>
      <c r="EJ90" s="72">
        <f t="shared" si="1616"/>
        <v>0</v>
      </c>
      <c r="EK90" s="70">
        <f t="shared" si="1617"/>
        <v>0</v>
      </c>
      <c r="EL90" s="73">
        <v>0</v>
      </c>
      <c r="EM90" s="74">
        <f t="shared" si="1618"/>
        <v>0</v>
      </c>
      <c r="EN90" s="303">
        <f t="shared" si="1619"/>
        <v>0</v>
      </c>
      <c r="EO90" s="58">
        <v>0</v>
      </c>
      <c r="EP90" s="68" t="s">
        <v>181</v>
      </c>
      <c r="EQ90" s="28">
        <f t="shared" si="1620"/>
        <v>0</v>
      </c>
      <c r="ER90" s="69">
        <v>0</v>
      </c>
      <c r="ES90" s="28">
        <f t="shared" si="1621"/>
        <v>0</v>
      </c>
      <c r="ET90" s="28">
        <f t="shared" si="1622"/>
        <v>0</v>
      </c>
      <c r="EU90" s="28">
        <f t="shared" si="1623"/>
        <v>0</v>
      </c>
      <c r="EV90" s="72">
        <f t="shared" si="1624"/>
        <v>0</v>
      </c>
      <c r="EW90" s="70">
        <f t="shared" si="1625"/>
        <v>0</v>
      </c>
      <c r="EX90" s="70">
        <f t="shared" si="1626"/>
        <v>0</v>
      </c>
      <c r="EY90" s="71">
        <v>0</v>
      </c>
      <c r="EZ90" s="71">
        <v>0</v>
      </c>
      <c r="FA90" s="72">
        <f t="shared" si="1627"/>
        <v>0</v>
      </c>
      <c r="FB90" s="72">
        <f t="shared" si="1628"/>
        <v>0</v>
      </c>
      <c r="FC90" s="70">
        <f t="shared" si="1629"/>
        <v>0</v>
      </c>
      <c r="FD90" s="73">
        <v>0</v>
      </c>
      <c r="FE90" s="74">
        <f t="shared" si="1630"/>
        <v>0</v>
      </c>
      <c r="FF90" s="303">
        <f t="shared" si="1631"/>
        <v>0</v>
      </c>
      <c r="FG90" s="58">
        <v>0</v>
      </c>
      <c r="FH90" s="68" t="s">
        <v>181</v>
      </c>
      <c r="FI90" s="28">
        <f t="shared" si="1632"/>
        <v>0</v>
      </c>
      <c r="FJ90" s="69">
        <v>0</v>
      </c>
      <c r="FK90" s="28">
        <f t="shared" si="1633"/>
        <v>0</v>
      </c>
      <c r="FL90" s="28">
        <f t="shared" si="1634"/>
        <v>0</v>
      </c>
      <c r="FM90" s="28">
        <f t="shared" si="1635"/>
        <v>0</v>
      </c>
      <c r="FN90" s="72">
        <f t="shared" si="1636"/>
        <v>0</v>
      </c>
      <c r="FO90" s="70">
        <f t="shared" si="1637"/>
        <v>0</v>
      </c>
      <c r="FP90" s="70">
        <f t="shared" si="1638"/>
        <v>0</v>
      </c>
      <c r="FQ90" s="71">
        <v>0</v>
      </c>
      <c r="FR90" s="71">
        <v>0</v>
      </c>
      <c r="FS90" s="72">
        <f t="shared" si="1639"/>
        <v>0</v>
      </c>
      <c r="FT90" s="72">
        <f t="shared" si="1640"/>
        <v>0</v>
      </c>
      <c r="FU90" s="70">
        <f t="shared" si="1641"/>
        <v>0</v>
      </c>
      <c r="FV90" s="73">
        <v>0</v>
      </c>
      <c r="FW90" s="74">
        <f t="shared" si="1642"/>
        <v>0</v>
      </c>
      <c r="FX90" s="303">
        <f t="shared" si="1643"/>
        <v>0</v>
      </c>
      <c r="FY90" s="58">
        <v>0</v>
      </c>
      <c r="FZ90" s="68" t="s">
        <v>181</v>
      </c>
      <c r="GA90" s="28">
        <f t="shared" si="1644"/>
        <v>0</v>
      </c>
      <c r="GB90" s="69">
        <v>0</v>
      </c>
      <c r="GC90" s="28">
        <f t="shared" si="1645"/>
        <v>0</v>
      </c>
      <c r="GD90" s="28">
        <f t="shared" si="1646"/>
        <v>0</v>
      </c>
      <c r="GE90" s="28">
        <f t="shared" si="1647"/>
        <v>0</v>
      </c>
      <c r="GF90" s="72">
        <f t="shared" si="1648"/>
        <v>0</v>
      </c>
      <c r="GG90" s="70">
        <f t="shared" si="1649"/>
        <v>0</v>
      </c>
      <c r="GH90" s="70">
        <f t="shared" si="1650"/>
        <v>0</v>
      </c>
      <c r="GI90" s="71">
        <v>0</v>
      </c>
      <c r="GJ90" s="71">
        <v>0</v>
      </c>
      <c r="GK90" s="72">
        <f t="shared" si="1651"/>
        <v>0</v>
      </c>
      <c r="GL90" s="72">
        <f t="shared" si="1652"/>
        <v>0</v>
      </c>
      <c r="GM90" s="70">
        <f t="shared" si="1653"/>
        <v>0</v>
      </c>
      <c r="GN90" s="73">
        <v>0</v>
      </c>
      <c r="GO90" s="74">
        <f t="shared" si="1654"/>
        <v>0</v>
      </c>
      <c r="GP90" s="303">
        <f t="shared" si="1655"/>
        <v>0</v>
      </c>
      <c r="GQ90" s="58">
        <v>0</v>
      </c>
      <c r="GR90" s="68" t="s">
        <v>181</v>
      </c>
      <c r="GS90" s="28">
        <f t="shared" si="1656"/>
        <v>0</v>
      </c>
      <c r="GT90" s="69">
        <v>0</v>
      </c>
      <c r="GU90" s="28">
        <f t="shared" si="1657"/>
        <v>0</v>
      </c>
      <c r="GV90" s="28">
        <f t="shared" si="1658"/>
        <v>0</v>
      </c>
      <c r="GW90" s="28">
        <f t="shared" si="1659"/>
        <v>0</v>
      </c>
      <c r="GX90" s="72">
        <f t="shared" si="1660"/>
        <v>0</v>
      </c>
      <c r="GY90" s="70">
        <f t="shared" si="1661"/>
        <v>0</v>
      </c>
      <c r="GZ90" s="70">
        <f t="shared" si="1662"/>
        <v>0</v>
      </c>
      <c r="HA90" s="71">
        <v>0</v>
      </c>
      <c r="HB90" s="71">
        <v>0</v>
      </c>
      <c r="HC90" s="72">
        <f t="shared" si="1663"/>
        <v>0</v>
      </c>
      <c r="HD90" s="72">
        <f t="shared" si="1664"/>
        <v>0</v>
      </c>
      <c r="HE90" s="70">
        <f t="shared" si="1665"/>
        <v>0</v>
      </c>
      <c r="HF90" s="73">
        <v>0</v>
      </c>
      <c r="HG90" s="74">
        <f t="shared" si="1666"/>
        <v>0</v>
      </c>
      <c r="HH90" s="303">
        <f t="shared" si="1667"/>
        <v>0</v>
      </c>
      <c r="HJ90" s="37"/>
      <c r="HK90" s="37"/>
      <c r="HL90" s="37"/>
      <c r="HM90" s="37"/>
      <c r="HN90" s="37"/>
      <c r="HO90" s="37"/>
      <c r="HP90" s="37"/>
      <c r="HQ90" s="37"/>
      <c r="HR90" s="37"/>
      <c r="HS90" s="37"/>
      <c r="HT90" s="37"/>
      <c r="HU90" s="37"/>
      <c r="HV90" s="37"/>
      <c r="HW90" s="37"/>
      <c r="HX90" s="37"/>
      <c r="HY90" s="37"/>
      <c r="HZ90" s="37"/>
      <c r="IA90" s="37"/>
      <c r="IB90" s="37"/>
      <c r="IC90" s="37"/>
      <c r="ID90" s="37"/>
      <c r="IE90" s="37"/>
      <c r="IF90" s="37"/>
      <c r="IG90" s="37"/>
      <c r="IH90" s="37"/>
      <c r="II90" s="37"/>
      <c r="IJ90" s="37"/>
      <c r="IK90" s="37"/>
      <c r="IL90" s="37"/>
      <c r="IM90" s="37"/>
      <c r="IN90" s="37"/>
      <c r="IO90" s="37"/>
      <c r="IP90" s="37"/>
    </row>
    <row r="91" spans="1:250" x14ac:dyDescent="0.3">
      <c r="A91" s="58">
        <v>0</v>
      </c>
      <c r="B91" s="68"/>
      <c r="C91" s="28">
        <f t="shared" si="1524"/>
        <v>0</v>
      </c>
      <c r="D91" s="28">
        <v>0</v>
      </c>
      <c r="E91" s="28">
        <f t="shared" si="1525"/>
        <v>0</v>
      </c>
      <c r="F91" s="28">
        <f t="shared" si="1526"/>
        <v>0</v>
      </c>
      <c r="G91" s="28">
        <f t="shared" si="1527"/>
        <v>0</v>
      </c>
      <c r="H91" s="72">
        <f t="shared" si="1528"/>
        <v>0</v>
      </c>
      <c r="I91" s="70">
        <f t="shared" si="1529"/>
        <v>0</v>
      </c>
      <c r="J91" s="70">
        <f t="shared" si="1530"/>
        <v>0</v>
      </c>
      <c r="K91" s="71">
        <v>0</v>
      </c>
      <c r="L91" s="71">
        <v>0</v>
      </c>
      <c r="M91" s="72">
        <f t="shared" si="1531"/>
        <v>0</v>
      </c>
      <c r="N91" s="72">
        <f t="shared" si="1532"/>
        <v>0</v>
      </c>
      <c r="O91" s="70">
        <f t="shared" si="1533"/>
        <v>0</v>
      </c>
      <c r="P91" s="73">
        <v>0</v>
      </c>
      <c r="Q91" s="74">
        <f t="shared" si="1534"/>
        <v>0</v>
      </c>
      <c r="R91" s="303">
        <f t="shared" si="1535"/>
        <v>0</v>
      </c>
      <c r="S91" s="58">
        <v>0</v>
      </c>
      <c r="T91" s="68"/>
      <c r="U91" s="28">
        <f t="shared" si="1536"/>
        <v>0</v>
      </c>
      <c r="V91" s="28">
        <v>0</v>
      </c>
      <c r="W91" s="28">
        <f t="shared" si="1537"/>
        <v>0</v>
      </c>
      <c r="X91" s="28">
        <f t="shared" si="1538"/>
        <v>0</v>
      </c>
      <c r="Y91" s="28">
        <f t="shared" si="1539"/>
        <v>0</v>
      </c>
      <c r="Z91" s="72">
        <f t="shared" si="1540"/>
        <v>0</v>
      </c>
      <c r="AA91" s="70">
        <f t="shared" si="1541"/>
        <v>0</v>
      </c>
      <c r="AB91" s="70">
        <f t="shared" si="1542"/>
        <v>0</v>
      </c>
      <c r="AC91" s="71">
        <v>0</v>
      </c>
      <c r="AD91" s="71">
        <v>0</v>
      </c>
      <c r="AE91" s="72">
        <f t="shared" si="1543"/>
        <v>0</v>
      </c>
      <c r="AF91" s="72">
        <f t="shared" si="1544"/>
        <v>0</v>
      </c>
      <c r="AG91" s="70">
        <f t="shared" si="1545"/>
        <v>0</v>
      </c>
      <c r="AH91" s="73">
        <v>0</v>
      </c>
      <c r="AI91" s="74">
        <f t="shared" si="1546"/>
        <v>0</v>
      </c>
      <c r="AJ91" s="303">
        <f t="shared" si="1547"/>
        <v>0</v>
      </c>
      <c r="AK91" s="58">
        <v>0</v>
      </c>
      <c r="AL91" s="68"/>
      <c r="AM91" s="28">
        <f t="shared" si="1548"/>
        <v>0</v>
      </c>
      <c r="AN91" s="28">
        <v>0</v>
      </c>
      <c r="AO91" s="28">
        <f t="shared" si="1549"/>
        <v>0</v>
      </c>
      <c r="AP91" s="28">
        <f t="shared" si="1550"/>
        <v>0</v>
      </c>
      <c r="AQ91" s="28">
        <f t="shared" si="1551"/>
        <v>0</v>
      </c>
      <c r="AR91" s="72">
        <f t="shared" si="1552"/>
        <v>0</v>
      </c>
      <c r="AS91" s="70">
        <f t="shared" si="1553"/>
        <v>0</v>
      </c>
      <c r="AT91" s="70">
        <f t="shared" si="1554"/>
        <v>0</v>
      </c>
      <c r="AU91" s="71">
        <v>0</v>
      </c>
      <c r="AV91" s="71">
        <v>0</v>
      </c>
      <c r="AW91" s="72">
        <f t="shared" si="1555"/>
        <v>0</v>
      </c>
      <c r="AX91" s="72">
        <f t="shared" si="1556"/>
        <v>0</v>
      </c>
      <c r="AY91" s="70">
        <f t="shared" si="1557"/>
        <v>0</v>
      </c>
      <c r="AZ91" s="73">
        <v>0</v>
      </c>
      <c r="BA91" s="74">
        <f t="shared" si="1558"/>
        <v>0</v>
      </c>
      <c r="BB91" s="303">
        <f t="shared" si="1559"/>
        <v>0</v>
      </c>
      <c r="BC91" s="58">
        <v>0</v>
      </c>
      <c r="BD91" s="68"/>
      <c r="BE91" s="28">
        <f t="shared" si="1560"/>
        <v>0</v>
      </c>
      <c r="BF91" s="28">
        <v>0</v>
      </c>
      <c r="BG91" s="28">
        <f t="shared" si="1561"/>
        <v>0</v>
      </c>
      <c r="BH91" s="28">
        <f t="shared" si="1562"/>
        <v>0</v>
      </c>
      <c r="BI91" s="28">
        <f t="shared" si="1563"/>
        <v>0</v>
      </c>
      <c r="BJ91" s="72">
        <f t="shared" si="1564"/>
        <v>0</v>
      </c>
      <c r="BK91" s="70">
        <f t="shared" si="1565"/>
        <v>0</v>
      </c>
      <c r="BL91" s="70">
        <f t="shared" si="1566"/>
        <v>0</v>
      </c>
      <c r="BM91" s="71">
        <v>0</v>
      </c>
      <c r="BN91" s="71">
        <v>0</v>
      </c>
      <c r="BO91" s="72">
        <f t="shared" si="1567"/>
        <v>0</v>
      </c>
      <c r="BP91" s="72">
        <f t="shared" si="1568"/>
        <v>0</v>
      </c>
      <c r="BQ91" s="70">
        <f t="shared" si="1569"/>
        <v>0</v>
      </c>
      <c r="BR91" s="73">
        <v>0</v>
      </c>
      <c r="BS91" s="74">
        <f t="shared" si="1570"/>
        <v>0</v>
      </c>
      <c r="BT91" s="303">
        <f t="shared" si="1571"/>
        <v>0</v>
      </c>
      <c r="BU91" s="58">
        <v>0</v>
      </c>
      <c r="BV91" s="68"/>
      <c r="BW91" s="28">
        <f t="shared" si="1572"/>
        <v>0</v>
      </c>
      <c r="BX91" s="28">
        <v>0</v>
      </c>
      <c r="BY91" s="28">
        <f t="shared" si="1573"/>
        <v>0</v>
      </c>
      <c r="BZ91" s="28">
        <f t="shared" si="1574"/>
        <v>0</v>
      </c>
      <c r="CA91" s="28">
        <f t="shared" si="1575"/>
        <v>0</v>
      </c>
      <c r="CB91" s="72">
        <f t="shared" si="1576"/>
        <v>0</v>
      </c>
      <c r="CC91" s="70">
        <f t="shared" si="1577"/>
        <v>0</v>
      </c>
      <c r="CD91" s="70">
        <f t="shared" si="1578"/>
        <v>0</v>
      </c>
      <c r="CE91" s="71">
        <v>0</v>
      </c>
      <c r="CF91" s="71">
        <v>0</v>
      </c>
      <c r="CG91" s="72">
        <f t="shared" si="1579"/>
        <v>0</v>
      </c>
      <c r="CH91" s="72">
        <f t="shared" si="1580"/>
        <v>0</v>
      </c>
      <c r="CI91" s="70">
        <f t="shared" si="1581"/>
        <v>0</v>
      </c>
      <c r="CJ91" s="73">
        <v>0</v>
      </c>
      <c r="CK91" s="74">
        <f t="shared" si="1582"/>
        <v>0</v>
      </c>
      <c r="CL91" s="303">
        <f t="shared" si="1583"/>
        <v>0</v>
      </c>
      <c r="CM91" s="58">
        <v>0</v>
      </c>
      <c r="CN91" s="68"/>
      <c r="CO91" s="28">
        <f t="shared" si="1584"/>
        <v>0</v>
      </c>
      <c r="CP91" s="28">
        <v>0</v>
      </c>
      <c r="CQ91" s="28">
        <f t="shared" si="1585"/>
        <v>0</v>
      </c>
      <c r="CR91" s="28">
        <f t="shared" si="1586"/>
        <v>0</v>
      </c>
      <c r="CS91" s="28">
        <f t="shared" si="1587"/>
        <v>0</v>
      </c>
      <c r="CT91" s="72">
        <f t="shared" si="1588"/>
        <v>0</v>
      </c>
      <c r="CU91" s="70">
        <f t="shared" si="1589"/>
        <v>0</v>
      </c>
      <c r="CV91" s="70">
        <f t="shared" si="1590"/>
        <v>0</v>
      </c>
      <c r="CW91" s="71">
        <v>0</v>
      </c>
      <c r="CX91" s="71">
        <v>0</v>
      </c>
      <c r="CY91" s="72">
        <f t="shared" si="1591"/>
        <v>0</v>
      </c>
      <c r="CZ91" s="72">
        <f t="shared" si="1592"/>
        <v>0</v>
      </c>
      <c r="DA91" s="70">
        <f t="shared" si="1593"/>
        <v>0</v>
      </c>
      <c r="DB91" s="73">
        <v>0</v>
      </c>
      <c r="DC91" s="74">
        <f t="shared" si="1594"/>
        <v>0</v>
      </c>
      <c r="DD91" s="303">
        <f t="shared" si="1595"/>
        <v>0</v>
      </c>
      <c r="DE91" s="58">
        <v>0</v>
      </c>
      <c r="DF91" s="68"/>
      <c r="DG91" s="28">
        <f t="shared" si="1596"/>
        <v>0</v>
      </c>
      <c r="DH91" s="28">
        <v>0</v>
      </c>
      <c r="DI91" s="28">
        <f t="shared" si="1597"/>
        <v>0</v>
      </c>
      <c r="DJ91" s="28">
        <f t="shared" si="1598"/>
        <v>0</v>
      </c>
      <c r="DK91" s="28">
        <f t="shared" si="1599"/>
        <v>0</v>
      </c>
      <c r="DL91" s="72">
        <f t="shared" si="1600"/>
        <v>0</v>
      </c>
      <c r="DM91" s="70">
        <f t="shared" si="1601"/>
        <v>0</v>
      </c>
      <c r="DN91" s="70">
        <f t="shared" si="1602"/>
        <v>0</v>
      </c>
      <c r="DO91" s="71">
        <v>0</v>
      </c>
      <c r="DP91" s="71">
        <v>0</v>
      </c>
      <c r="DQ91" s="72">
        <f t="shared" si="1603"/>
        <v>0</v>
      </c>
      <c r="DR91" s="72">
        <f t="shared" si="1604"/>
        <v>0</v>
      </c>
      <c r="DS91" s="70">
        <f t="shared" si="1605"/>
        <v>0</v>
      </c>
      <c r="DT91" s="73">
        <v>0</v>
      </c>
      <c r="DU91" s="74">
        <f t="shared" si="1606"/>
        <v>0</v>
      </c>
      <c r="DV91" s="303">
        <f t="shared" si="1607"/>
        <v>0</v>
      </c>
      <c r="DW91" s="58">
        <v>0</v>
      </c>
      <c r="DX91" s="68"/>
      <c r="DY91" s="28">
        <f t="shared" si="1608"/>
        <v>0</v>
      </c>
      <c r="DZ91" s="28">
        <v>0</v>
      </c>
      <c r="EA91" s="28">
        <f t="shared" si="1609"/>
        <v>0</v>
      </c>
      <c r="EB91" s="28">
        <f t="shared" si="1610"/>
        <v>0</v>
      </c>
      <c r="EC91" s="28">
        <f t="shared" si="1611"/>
        <v>0</v>
      </c>
      <c r="ED91" s="72">
        <f t="shared" si="1612"/>
        <v>0</v>
      </c>
      <c r="EE91" s="70">
        <f t="shared" si="1613"/>
        <v>0</v>
      </c>
      <c r="EF91" s="70">
        <f t="shared" si="1614"/>
        <v>0</v>
      </c>
      <c r="EG91" s="71">
        <v>0</v>
      </c>
      <c r="EH91" s="71">
        <v>0</v>
      </c>
      <c r="EI91" s="72">
        <f t="shared" si="1615"/>
        <v>0</v>
      </c>
      <c r="EJ91" s="72">
        <f t="shared" si="1616"/>
        <v>0</v>
      </c>
      <c r="EK91" s="70">
        <f t="shared" si="1617"/>
        <v>0</v>
      </c>
      <c r="EL91" s="73">
        <v>0</v>
      </c>
      <c r="EM91" s="74">
        <f t="shared" si="1618"/>
        <v>0</v>
      </c>
      <c r="EN91" s="303">
        <f t="shared" si="1619"/>
        <v>0</v>
      </c>
      <c r="EO91" s="58">
        <v>0</v>
      </c>
      <c r="EP91" s="68"/>
      <c r="EQ91" s="28">
        <f t="shared" si="1620"/>
        <v>0</v>
      </c>
      <c r="ER91" s="28">
        <v>0</v>
      </c>
      <c r="ES91" s="28">
        <f t="shared" si="1621"/>
        <v>0</v>
      </c>
      <c r="ET91" s="28">
        <f t="shared" si="1622"/>
        <v>0</v>
      </c>
      <c r="EU91" s="28">
        <f t="shared" si="1623"/>
        <v>0</v>
      </c>
      <c r="EV91" s="72">
        <f t="shared" si="1624"/>
        <v>0</v>
      </c>
      <c r="EW91" s="70">
        <f t="shared" si="1625"/>
        <v>0</v>
      </c>
      <c r="EX91" s="70">
        <f t="shared" si="1626"/>
        <v>0</v>
      </c>
      <c r="EY91" s="71">
        <v>0</v>
      </c>
      <c r="EZ91" s="71">
        <v>0</v>
      </c>
      <c r="FA91" s="72">
        <f t="shared" si="1627"/>
        <v>0</v>
      </c>
      <c r="FB91" s="72">
        <f t="shared" si="1628"/>
        <v>0</v>
      </c>
      <c r="FC91" s="70">
        <f t="shared" si="1629"/>
        <v>0</v>
      </c>
      <c r="FD91" s="73">
        <v>0</v>
      </c>
      <c r="FE91" s="74">
        <f t="shared" si="1630"/>
        <v>0</v>
      </c>
      <c r="FF91" s="303">
        <f t="shared" si="1631"/>
        <v>0</v>
      </c>
      <c r="FG91" s="58">
        <v>0</v>
      </c>
      <c r="FH91" s="68"/>
      <c r="FI91" s="28">
        <f t="shared" si="1632"/>
        <v>0</v>
      </c>
      <c r="FJ91" s="28">
        <v>0</v>
      </c>
      <c r="FK91" s="28">
        <f t="shared" si="1633"/>
        <v>0</v>
      </c>
      <c r="FL91" s="28">
        <f t="shared" si="1634"/>
        <v>0</v>
      </c>
      <c r="FM91" s="28">
        <f t="shared" si="1635"/>
        <v>0</v>
      </c>
      <c r="FN91" s="72">
        <f t="shared" si="1636"/>
        <v>0</v>
      </c>
      <c r="FO91" s="70">
        <f t="shared" si="1637"/>
        <v>0</v>
      </c>
      <c r="FP91" s="70">
        <f t="shared" si="1638"/>
        <v>0</v>
      </c>
      <c r="FQ91" s="71">
        <v>0</v>
      </c>
      <c r="FR91" s="71">
        <v>0</v>
      </c>
      <c r="FS91" s="72">
        <f t="shared" si="1639"/>
        <v>0</v>
      </c>
      <c r="FT91" s="72">
        <f t="shared" si="1640"/>
        <v>0</v>
      </c>
      <c r="FU91" s="70">
        <f t="shared" si="1641"/>
        <v>0</v>
      </c>
      <c r="FV91" s="73">
        <v>0</v>
      </c>
      <c r="FW91" s="74">
        <f t="shared" si="1642"/>
        <v>0</v>
      </c>
      <c r="FX91" s="303">
        <f t="shared" si="1643"/>
        <v>0</v>
      </c>
      <c r="FY91" s="58">
        <v>0</v>
      </c>
      <c r="FZ91" s="68"/>
      <c r="GA91" s="28">
        <f t="shared" si="1644"/>
        <v>0</v>
      </c>
      <c r="GB91" s="28">
        <v>0</v>
      </c>
      <c r="GC91" s="28">
        <f t="shared" si="1645"/>
        <v>0</v>
      </c>
      <c r="GD91" s="28">
        <f t="shared" si="1646"/>
        <v>0</v>
      </c>
      <c r="GE91" s="28">
        <f t="shared" si="1647"/>
        <v>0</v>
      </c>
      <c r="GF91" s="72">
        <f t="shared" si="1648"/>
        <v>0</v>
      </c>
      <c r="GG91" s="70">
        <f t="shared" si="1649"/>
        <v>0</v>
      </c>
      <c r="GH91" s="70">
        <f t="shared" si="1650"/>
        <v>0</v>
      </c>
      <c r="GI91" s="71">
        <v>0</v>
      </c>
      <c r="GJ91" s="71">
        <v>0</v>
      </c>
      <c r="GK91" s="72">
        <f t="shared" si="1651"/>
        <v>0</v>
      </c>
      <c r="GL91" s="72">
        <f t="shared" si="1652"/>
        <v>0</v>
      </c>
      <c r="GM91" s="70">
        <f t="shared" si="1653"/>
        <v>0</v>
      </c>
      <c r="GN91" s="73">
        <v>0</v>
      </c>
      <c r="GO91" s="74">
        <f t="shared" si="1654"/>
        <v>0</v>
      </c>
      <c r="GP91" s="303">
        <f t="shared" si="1655"/>
        <v>0</v>
      </c>
      <c r="GQ91" s="58">
        <v>0</v>
      </c>
      <c r="GR91" s="68"/>
      <c r="GS91" s="28">
        <f t="shared" si="1656"/>
        <v>0</v>
      </c>
      <c r="GT91" s="28">
        <v>0</v>
      </c>
      <c r="GU91" s="28">
        <f t="shared" si="1657"/>
        <v>0</v>
      </c>
      <c r="GV91" s="28">
        <f t="shared" si="1658"/>
        <v>0</v>
      </c>
      <c r="GW91" s="28">
        <f t="shared" si="1659"/>
        <v>0</v>
      </c>
      <c r="GX91" s="72">
        <f t="shared" si="1660"/>
        <v>0</v>
      </c>
      <c r="GY91" s="70">
        <f t="shared" si="1661"/>
        <v>0</v>
      </c>
      <c r="GZ91" s="70">
        <f t="shared" si="1662"/>
        <v>0</v>
      </c>
      <c r="HA91" s="71">
        <v>0</v>
      </c>
      <c r="HB91" s="71">
        <v>0</v>
      </c>
      <c r="HC91" s="72">
        <f t="shared" si="1663"/>
        <v>0</v>
      </c>
      <c r="HD91" s="72">
        <f t="shared" si="1664"/>
        <v>0</v>
      </c>
      <c r="HE91" s="70">
        <f t="shared" si="1665"/>
        <v>0</v>
      </c>
      <c r="HF91" s="73">
        <v>0</v>
      </c>
      <c r="HG91" s="74">
        <f t="shared" si="1666"/>
        <v>0</v>
      </c>
      <c r="HH91" s="303">
        <f t="shared" si="1667"/>
        <v>0</v>
      </c>
      <c r="HJ91" s="37"/>
      <c r="HK91" s="37"/>
      <c r="HL91" s="37"/>
      <c r="HM91" s="37"/>
      <c r="HN91" s="37"/>
      <c r="HO91" s="37"/>
      <c r="HP91" s="37"/>
      <c r="HQ91" s="37"/>
      <c r="HR91" s="37"/>
      <c r="HS91" s="37"/>
      <c r="HT91" s="37"/>
      <c r="HU91" s="37"/>
      <c r="HV91" s="37"/>
      <c r="HW91" s="37"/>
      <c r="HX91" s="37"/>
      <c r="HY91" s="37"/>
      <c r="HZ91" s="37"/>
      <c r="IA91" s="37"/>
      <c r="IB91" s="37"/>
      <c r="IC91" s="37"/>
      <c r="ID91" s="37"/>
      <c r="IE91" s="37"/>
      <c r="IF91" s="37"/>
      <c r="IG91" s="37"/>
      <c r="IH91" s="37"/>
      <c r="II91" s="37"/>
      <c r="IJ91" s="37"/>
      <c r="IK91" s="37"/>
      <c r="IL91" s="37"/>
      <c r="IM91" s="37"/>
      <c r="IN91" s="37"/>
      <c r="IO91" s="37"/>
      <c r="IP91" s="37"/>
    </row>
    <row r="92" spans="1:250" ht="15.6" x14ac:dyDescent="0.3">
      <c r="A92" s="541"/>
      <c r="B92" s="537"/>
      <c r="C92" s="537"/>
      <c r="D92" s="537"/>
      <c r="E92" s="537"/>
      <c r="F92" s="537"/>
      <c r="G92" s="537"/>
      <c r="H92" s="537"/>
      <c r="I92" s="537"/>
      <c r="J92" s="537"/>
      <c r="K92" s="537"/>
      <c r="L92" s="537"/>
      <c r="M92" s="537"/>
      <c r="N92" s="537"/>
      <c r="O92" s="537"/>
      <c r="P92" s="538"/>
      <c r="Q92" s="307" t="s">
        <v>8</v>
      </c>
      <c r="R92" s="304">
        <f>SUM(R89:R91)</f>
        <v>3152.4324222222222</v>
      </c>
      <c r="S92" s="541"/>
      <c r="T92" s="537"/>
      <c r="U92" s="537"/>
      <c r="V92" s="537"/>
      <c r="W92" s="537"/>
      <c r="X92" s="537"/>
      <c r="Y92" s="537"/>
      <c r="Z92" s="537"/>
      <c r="AA92" s="537"/>
      <c r="AB92" s="537"/>
      <c r="AC92" s="537"/>
      <c r="AD92" s="537"/>
      <c r="AE92" s="537"/>
      <c r="AF92" s="537"/>
      <c r="AG92" s="537"/>
      <c r="AH92" s="538"/>
      <c r="AI92" s="307" t="s">
        <v>8</v>
      </c>
      <c r="AJ92" s="304">
        <f>SUM(AJ89:AJ91)</f>
        <v>3152.4324222222222</v>
      </c>
      <c r="AK92" s="541"/>
      <c r="AL92" s="537"/>
      <c r="AM92" s="537"/>
      <c r="AN92" s="537"/>
      <c r="AO92" s="537"/>
      <c r="AP92" s="537"/>
      <c r="AQ92" s="537"/>
      <c r="AR92" s="537"/>
      <c r="AS92" s="537"/>
      <c r="AT92" s="537"/>
      <c r="AU92" s="537"/>
      <c r="AV92" s="537"/>
      <c r="AW92" s="537"/>
      <c r="AX92" s="537"/>
      <c r="AY92" s="537"/>
      <c r="AZ92" s="538"/>
      <c r="BA92" s="307" t="s">
        <v>8</v>
      </c>
      <c r="BB92" s="304">
        <f>SUM(BB89:BB91)</f>
        <v>3152.4324222222222</v>
      </c>
      <c r="BC92" s="541"/>
      <c r="BD92" s="537"/>
      <c r="BE92" s="537"/>
      <c r="BF92" s="537"/>
      <c r="BG92" s="537"/>
      <c r="BH92" s="537"/>
      <c r="BI92" s="537"/>
      <c r="BJ92" s="537"/>
      <c r="BK92" s="537"/>
      <c r="BL92" s="537"/>
      <c r="BM92" s="537"/>
      <c r="BN92" s="537"/>
      <c r="BO92" s="537"/>
      <c r="BP92" s="537"/>
      <c r="BQ92" s="537"/>
      <c r="BR92" s="538"/>
      <c r="BS92" s="307" t="s">
        <v>8</v>
      </c>
      <c r="BT92" s="304">
        <f>SUM(BT89:BT91)</f>
        <v>3152.4324222222222</v>
      </c>
      <c r="BU92" s="541"/>
      <c r="BV92" s="537"/>
      <c r="BW92" s="537"/>
      <c r="BX92" s="537"/>
      <c r="BY92" s="537"/>
      <c r="BZ92" s="537"/>
      <c r="CA92" s="537"/>
      <c r="CB92" s="537"/>
      <c r="CC92" s="537"/>
      <c r="CD92" s="537"/>
      <c r="CE92" s="537"/>
      <c r="CF92" s="537"/>
      <c r="CG92" s="537"/>
      <c r="CH92" s="537"/>
      <c r="CI92" s="537"/>
      <c r="CJ92" s="538"/>
      <c r="CK92" s="307" t="s">
        <v>8</v>
      </c>
      <c r="CL92" s="304">
        <f>SUM(CL89:CL91)</f>
        <v>3152.4324222222222</v>
      </c>
      <c r="CM92" s="541"/>
      <c r="CN92" s="537"/>
      <c r="CO92" s="537"/>
      <c r="CP92" s="537"/>
      <c r="CQ92" s="537"/>
      <c r="CR92" s="537"/>
      <c r="CS92" s="537"/>
      <c r="CT92" s="537"/>
      <c r="CU92" s="537"/>
      <c r="CV92" s="537"/>
      <c r="CW92" s="537"/>
      <c r="CX92" s="537"/>
      <c r="CY92" s="537"/>
      <c r="CZ92" s="537"/>
      <c r="DA92" s="537"/>
      <c r="DB92" s="538"/>
      <c r="DC92" s="307" t="s">
        <v>8</v>
      </c>
      <c r="DD92" s="304">
        <f>SUM(DD89:DD91)</f>
        <v>3152.4324222222222</v>
      </c>
      <c r="DE92" s="541"/>
      <c r="DF92" s="537"/>
      <c r="DG92" s="537"/>
      <c r="DH92" s="537"/>
      <c r="DI92" s="537"/>
      <c r="DJ92" s="537"/>
      <c r="DK92" s="537"/>
      <c r="DL92" s="537"/>
      <c r="DM92" s="537"/>
      <c r="DN92" s="537"/>
      <c r="DO92" s="537"/>
      <c r="DP92" s="537"/>
      <c r="DQ92" s="537"/>
      <c r="DR92" s="537"/>
      <c r="DS92" s="537"/>
      <c r="DT92" s="538"/>
      <c r="DU92" s="307" t="s">
        <v>8</v>
      </c>
      <c r="DV92" s="304">
        <f>SUM(DV89:DV91)</f>
        <v>3152.4324222222222</v>
      </c>
      <c r="DW92" s="541"/>
      <c r="DX92" s="537"/>
      <c r="DY92" s="537"/>
      <c r="DZ92" s="537"/>
      <c r="EA92" s="537"/>
      <c r="EB92" s="537"/>
      <c r="EC92" s="537"/>
      <c r="ED92" s="537"/>
      <c r="EE92" s="537"/>
      <c r="EF92" s="537"/>
      <c r="EG92" s="537"/>
      <c r="EH92" s="537"/>
      <c r="EI92" s="537"/>
      <c r="EJ92" s="537"/>
      <c r="EK92" s="537"/>
      <c r="EL92" s="538"/>
      <c r="EM92" s="307" t="s">
        <v>8</v>
      </c>
      <c r="EN92" s="304">
        <f>SUM(EN89:EN91)</f>
        <v>3152.4324222222222</v>
      </c>
      <c r="EO92" s="541"/>
      <c r="EP92" s="537"/>
      <c r="EQ92" s="537"/>
      <c r="ER92" s="537"/>
      <c r="ES92" s="537"/>
      <c r="ET92" s="537"/>
      <c r="EU92" s="537"/>
      <c r="EV92" s="537"/>
      <c r="EW92" s="537"/>
      <c r="EX92" s="537"/>
      <c r="EY92" s="537"/>
      <c r="EZ92" s="537"/>
      <c r="FA92" s="537"/>
      <c r="FB92" s="537"/>
      <c r="FC92" s="537"/>
      <c r="FD92" s="538"/>
      <c r="FE92" s="307" t="s">
        <v>8</v>
      </c>
      <c r="FF92" s="304">
        <f>SUM(FF89:FF91)</f>
        <v>3152.4324222222222</v>
      </c>
      <c r="FG92" s="541"/>
      <c r="FH92" s="537"/>
      <c r="FI92" s="537"/>
      <c r="FJ92" s="537"/>
      <c r="FK92" s="537"/>
      <c r="FL92" s="537"/>
      <c r="FM92" s="537"/>
      <c r="FN92" s="537"/>
      <c r="FO92" s="537"/>
      <c r="FP92" s="537"/>
      <c r="FQ92" s="537"/>
      <c r="FR92" s="537"/>
      <c r="FS92" s="537"/>
      <c r="FT92" s="537"/>
      <c r="FU92" s="537"/>
      <c r="FV92" s="538"/>
      <c r="FW92" s="307" t="s">
        <v>8</v>
      </c>
      <c r="FX92" s="304">
        <f>SUM(FX89:FX91)</f>
        <v>3152.4324222222222</v>
      </c>
      <c r="FY92" s="541"/>
      <c r="FZ92" s="537"/>
      <c r="GA92" s="537"/>
      <c r="GB92" s="537"/>
      <c r="GC92" s="537"/>
      <c r="GD92" s="537"/>
      <c r="GE92" s="537"/>
      <c r="GF92" s="537"/>
      <c r="GG92" s="537"/>
      <c r="GH92" s="537"/>
      <c r="GI92" s="537"/>
      <c r="GJ92" s="537"/>
      <c r="GK92" s="537"/>
      <c r="GL92" s="537"/>
      <c r="GM92" s="537"/>
      <c r="GN92" s="538"/>
      <c r="GO92" s="307" t="s">
        <v>8</v>
      </c>
      <c r="GP92" s="304">
        <f>SUM(GP89:GP91)</f>
        <v>3152.4324222222222</v>
      </c>
      <c r="GQ92" s="541"/>
      <c r="GR92" s="537"/>
      <c r="GS92" s="537"/>
      <c r="GT92" s="537"/>
      <c r="GU92" s="537"/>
      <c r="GV92" s="537"/>
      <c r="GW92" s="537"/>
      <c r="GX92" s="537"/>
      <c r="GY92" s="537"/>
      <c r="GZ92" s="537"/>
      <c r="HA92" s="537"/>
      <c r="HB92" s="537"/>
      <c r="HC92" s="537"/>
      <c r="HD92" s="537"/>
      <c r="HE92" s="537"/>
      <c r="HF92" s="538"/>
      <c r="HG92" s="307" t="s">
        <v>8</v>
      </c>
      <c r="HH92" s="304">
        <f>SUM(HH89:HH91)</f>
        <v>3152.4324222222222</v>
      </c>
      <c r="HJ92" s="37"/>
      <c r="HK92" s="37"/>
      <c r="HL92" s="37"/>
      <c r="HM92" s="37"/>
      <c r="HN92" s="37"/>
      <c r="HO92" s="37"/>
      <c r="HP92" s="37"/>
      <c r="HQ92" s="37"/>
      <c r="HR92" s="37"/>
      <c r="HS92" s="37"/>
      <c r="HT92" s="37"/>
      <c r="HU92" s="37"/>
      <c r="HV92" s="37"/>
      <c r="HW92" s="37"/>
      <c r="HX92" s="37"/>
      <c r="HY92" s="37"/>
      <c r="HZ92" s="37"/>
      <c r="IA92" s="37"/>
      <c r="IB92" s="37"/>
      <c r="IC92" s="37"/>
      <c r="ID92" s="37"/>
      <c r="IE92" s="37"/>
      <c r="IF92" s="37"/>
      <c r="IG92" s="37"/>
      <c r="IH92" s="37"/>
      <c r="II92" s="37"/>
      <c r="IJ92" s="37"/>
      <c r="IK92" s="37"/>
      <c r="IL92" s="37"/>
      <c r="IM92" s="37"/>
      <c r="IN92" s="37"/>
      <c r="IO92" s="37"/>
      <c r="IP92" s="37"/>
    </row>
    <row r="93" spans="1:250" ht="15.6" x14ac:dyDescent="0.3">
      <c r="A93" s="543"/>
      <c r="B93" s="544"/>
      <c r="C93" s="544"/>
      <c r="D93" s="544"/>
      <c r="E93" s="742" t="s">
        <v>122</v>
      </c>
      <c r="F93" s="742"/>
      <c r="G93" s="742"/>
      <c r="H93" s="742"/>
      <c r="I93" s="742"/>
      <c r="J93" s="742"/>
      <c r="K93" s="742"/>
      <c r="L93" s="742"/>
      <c r="M93" s="742"/>
      <c r="N93" s="544"/>
      <c r="O93" s="544"/>
      <c r="P93" s="544"/>
      <c r="Q93" s="544"/>
      <c r="R93" s="545"/>
      <c r="S93" s="543"/>
      <c r="T93" s="544"/>
      <c r="U93" s="544"/>
      <c r="V93" s="544"/>
      <c r="W93" s="742" t="s">
        <v>122</v>
      </c>
      <c r="X93" s="742"/>
      <c r="Y93" s="742"/>
      <c r="Z93" s="742"/>
      <c r="AA93" s="742"/>
      <c r="AB93" s="742"/>
      <c r="AC93" s="742"/>
      <c r="AD93" s="742"/>
      <c r="AE93" s="742"/>
      <c r="AF93" s="544"/>
      <c r="AG93" s="544"/>
      <c r="AH93" s="544"/>
      <c r="AI93" s="544"/>
      <c r="AJ93" s="545"/>
      <c r="AK93" s="543"/>
      <c r="AL93" s="544"/>
      <c r="AM93" s="544"/>
      <c r="AN93" s="544"/>
      <c r="AO93" s="742" t="s">
        <v>122</v>
      </c>
      <c r="AP93" s="742"/>
      <c r="AQ93" s="742"/>
      <c r="AR93" s="742"/>
      <c r="AS93" s="742"/>
      <c r="AT93" s="742"/>
      <c r="AU93" s="742"/>
      <c r="AV93" s="742"/>
      <c r="AW93" s="742"/>
      <c r="AX93" s="544"/>
      <c r="AY93" s="544"/>
      <c r="AZ93" s="544"/>
      <c r="BA93" s="544"/>
      <c r="BB93" s="545"/>
      <c r="BC93" s="543"/>
      <c r="BD93" s="544"/>
      <c r="BE93" s="544"/>
      <c r="BF93" s="544"/>
      <c r="BG93" s="742" t="s">
        <v>122</v>
      </c>
      <c r="BH93" s="742"/>
      <c r="BI93" s="742"/>
      <c r="BJ93" s="742"/>
      <c r="BK93" s="742"/>
      <c r="BL93" s="742"/>
      <c r="BM93" s="742"/>
      <c r="BN93" s="742"/>
      <c r="BO93" s="742"/>
      <c r="BP93" s="544"/>
      <c r="BQ93" s="544"/>
      <c r="BR93" s="544"/>
      <c r="BS93" s="544"/>
      <c r="BT93" s="545"/>
      <c r="BU93" s="543"/>
      <c r="BV93" s="544"/>
      <c r="BW93" s="544"/>
      <c r="BX93" s="544"/>
      <c r="BY93" s="742" t="s">
        <v>122</v>
      </c>
      <c r="BZ93" s="742"/>
      <c r="CA93" s="742"/>
      <c r="CB93" s="742"/>
      <c r="CC93" s="742"/>
      <c r="CD93" s="742"/>
      <c r="CE93" s="742"/>
      <c r="CF93" s="742"/>
      <c r="CG93" s="742"/>
      <c r="CH93" s="544"/>
      <c r="CI93" s="544"/>
      <c r="CJ93" s="544"/>
      <c r="CK93" s="544"/>
      <c r="CL93" s="545"/>
      <c r="CM93" s="543"/>
      <c r="CN93" s="544"/>
      <c r="CO93" s="544"/>
      <c r="CP93" s="544"/>
      <c r="CQ93" s="742" t="s">
        <v>122</v>
      </c>
      <c r="CR93" s="742"/>
      <c r="CS93" s="742"/>
      <c r="CT93" s="742"/>
      <c r="CU93" s="742"/>
      <c r="CV93" s="742"/>
      <c r="CW93" s="742"/>
      <c r="CX93" s="742"/>
      <c r="CY93" s="742"/>
      <c r="CZ93" s="544"/>
      <c r="DA93" s="544"/>
      <c r="DB93" s="544"/>
      <c r="DC93" s="544"/>
      <c r="DD93" s="545"/>
      <c r="DE93" s="543"/>
      <c r="DF93" s="544"/>
      <c r="DG93" s="544"/>
      <c r="DH93" s="544"/>
      <c r="DI93" s="742" t="s">
        <v>122</v>
      </c>
      <c r="DJ93" s="742"/>
      <c r="DK93" s="742"/>
      <c r="DL93" s="742"/>
      <c r="DM93" s="742"/>
      <c r="DN93" s="742"/>
      <c r="DO93" s="742"/>
      <c r="DP93" s="742"/>
      <c r="DQ93" s="742"/>
      <c r="DR93" s="544"/>
      <c r="DS93" s="544"/>
      <c r="DT93" s="544"/>
      <c r="DU93" s="544"/>
      <c r="DV93" s="545"/>
      <c r="DW93" s="543"/>
      <c r="DX93" s="544"/>
      <c r="DY93" s="544"/>
      <c r="DZ93" s="544"/>
      <c r="EA93" s="742" t="s">
        <v>122</v>
      </c>
      <c r="EB93" s="742"/>
      <c r="EC93" s="742"/>
      <c r="ED93" s="742"/>
      <c r="EE93" s="742"/>
      <c r="EF93" s="742"/>
      <c r="EG93" s="742"/>
      <c r="EH93" s="742"/>
      <c r="EI93" s="742"/>
      <c r="EJ93" s="544"/>
      <c r="EK93" s="544"/>
      <c r="EL93" s="544"/>
      <c r="EM93" s="544"/>
      <c r="EN93" s="545"/>
      <c r="EO93" s="543"/>
      <c r="EP93" s="544"/>
      <c r="EQ93" s="544"/>
      <c r="ER93" s="544"/>
      <c r="ES93" s="742" t="s">
        <v>122</v>
      </c>
      <c r="ET93" s="742"/>
      <c r="EU93" s="742"/>
      <c r="EV93" s="742"/>
      <c r="EW93" s="742"/>
      <c r="EX93" s="742"/>
      <c r="EY93" s="742"/>
      <c r="EZ93" s="742"/>
      <c r="FA93" s="742"/>
      <c r="FB93" s="544"/>
      <c r="FC93" s="544"/>
      <c r="FD93" s="544"/>
      <c r="FE93" s="544"/>
      <c r="FF93" s="545"/>
      <c r="FG93" s="543"/>
      <c r="FH93" s="544"/>
      <c r="FI93" s="544"/>
      <c r="FJ93" s="544"/>
      <c r="FK93" s="742" t="s">
        <v>122</v>
      </c>
      <c r="FL93" s="742"/>
      <c r="FM93" s="742"/>
      <c r="FN93" s="742"/>
      <c r="FO93" s="742"/>
      <c r="FP93" s="742"/>
      <c r="FQ93" s="742"/>
      <c r="FR93" s="742"/>
      <c r="FS93" s="742"/>
      <c r="FT93" s="544"/>
      <c r="FU93" s="544"/>
      <c r="FV93" s="544"/>
      <c r="FW93" s="544"/>
      <c r="FX93" s="545"/>
      <c r="FY93" s="543"/>
      <c r="FZ93" s="544"/>
      <c r="GA93" s="544"/>
      <c r="GB93" s="544"/>
      <c r="GC93" s="742" t="s">
        <v>122</v>
      </c>
      <c r="GD93" s="742"/>
      <c r="GE93" s="742"/>
      <c r="GF93" s="742"/>
      <c r="GG93" s="742"/>
      <c r="GH93" s="742"/>
      <c r="GI93" s="742"/>
      <c r="GJ93" s="742"/>
      <c r="GK93" s="742"/>
      <c r="GL93" s="544"/>
      <c r="GM93" s="544"/>
      <c r="GN93" s="544"/>
      <c r="GO93" s="544"/>
      <c r="GP93" s="545"/>
      <c r="GQ93" s="543"/>
      <c r="GR93" s="544"/>
      <c r="GS93" s="544"/>
      <c r="GT93" s="544"/>
      <c r="GU93" s="742" t="s">
        <v>122</v>
      </c>
      <c r="GV93" s="742"/>
      <c r="GW93" s="742"/>
      <c r="GX93" s="742"/>
      <c r="GY93" s="742"/>
      <c r="GZ93" s="742"/>
      <c r="HA93" s="742"/>
      <c r="HB93" s="742"/>
      <c r="HC93" s="742"/>
      <c r="HD93" s="544"/>
      <c r="HE93" s="544"/>
      <c r="HF93" s="544"/>
      <c r="HG93" s="544"/>
      <c r="HH93" s="545"/>
      <c r="HJ93" s="37"/>
      <c r="HK93" s="37"/>
      <c r="HL93" s="37"/>
      <c r="HM93" s="37"/>
      <c r="HN93" s="37"/>
      <c r="HO93" s="37"/>
      <c r="HP93" s="37"/>
      <c r="HQ93" s="37"/>
      <c r="HR93" s="37"/>
      <c r="HS93" s="37"/>
      <c r="HT93" s="37"/>
      <c r="HU93" s="37"/>
      <c r="HV93" s="37"/>
      <c r="HW93" s="37"/>
      <c r="HX93" s="37"/>
      <c r="HY93" s="37"/>
      <c r="HZ93" s="37"/>
      <c r="IA93" s="37"/>
      <c r="IB93" s="37"/>
      <c r="IC93" s="37"/>
      <c r="ID93" s="37"/>
      <c r="IE93" s="37"/>
      <c r="IF93" s="37"/>
      <c r="IG93" s="37"/>
      <c r="IH93" s="37"/>
      <c r="II93" s="37"/>
      <c r="IJ93" s="37"/>
      <c r="IK93" s="37"/>
      <c r="IL93" s="37"/>
      <c r="IM93" s="37"/>
      <c r="IN93" s="37"/>
      <c r="IO93" s="37"/>
      <c r="IP93" s="37"/>
    </row>
    <row r="94" spans="1:250" x14ac:dyDescent="0.3">
      <c r="A94" s="58">
        <v>1</v>
      </c>
      <c r="B94" s="68" t="s">
        <v>296</v>
      </c>
      <c r="C94" s="28">
        <f t="shared" ref="C94:C96" si="1668">D94/$AM$4</f>
        <v>9.4915454545454541</v>
      </c>
      <c r="D94" s="69">
        <v>2088.14</v>
      </c>
      <c r="E94" s="28">
        <f t="shared" ref="E94:E95" si="1669">D94*E$6</f>
        <v>208.81399999999999</v>
      </c>
      <c r="F94" s="28">
        <f t="shared" ref="F94:F95" si="1670">D94*F$6</f>
        <v>167.05119999999999</v>
      </c>
      <c r="G94" s="28">
        <f t="shared" ref="G94:G95" si="1671">D94/G$6</f>
        <v>174.01166666666666</v>
      </c>
      <c r="H94" s="72">
        <f t="shared" ref="H94:H95" si="1672">G94/H$6</f>
        <v>58.003888888888888</v>
      </c>
      <c r="I94" s="70">
        <f t="shared" ref="I94:I95" si="1673">D94/I$6</f>
        <v>174.01166666666666</v>
      </c>
      <c r="J94" s="70">
        <f t="shared" ref="J94:J95" si="1674">SUM(D94:I94)</f>
        <v>2870.0324222222221</v>
      </c>
      <c r="K94" s="71">
        <v>0</v>
      </c>
      <c r="L94" s="71">
        <v>0</v>
      </c>
      <c r="M94" s="72">
        <f t="shared" ref="M94:M96" si="1675">((C94*M$6)+(C94*$AO$6)+(C94*$AP$6))*K94</f>
        <v>0</v>
      </c>
      <c r="N94" s="72">
        <f t="shared" ref="N94:N96" si="1676">((C94*N$6)+(C94*$AO$6)+(C94*$AP$6))*L94</f>
        <v>0</v>
      </c>
      <c r="O94" s="70">
        <f t="shared" ref="O94:O95" si="1677">SUM(M94:N94)</f>
        <v>0</v>
      </c>
      <c r="P94" s="73">
        <v>0</v>
      </c>
      <c r="Q94" s="74">
        <f t="shared" ref="Q94:Q96" si="1678">IF(A94=1,($C$1*$Q$6),0)</f>
        <v>282.40000000000003</v>
      </c>
      <c r="R94" s="303">
        <f t="shared" ref="R94:R96" si="1679">J94+O94+P94+Q94</f>
        <v>3152.4324222222222</v>
      </c>
      <c r="S94" s="58">
        <v>1</v>
      </c>
      <c r="T94" s="68" t="s">
        <v>296</v>
      </c>
      <c r="U94" s="28">
        <f t="shared" ref="U94:U96" si="1680">V94/$AM$4</f>
        <v>9.4915454545454541</v>
      </c>
      <c r="V94" s="69">
        <v>2088.14</v>
      </c>
      <c r="W94" s="28">
        <f t="shared" ref="W94:W95" si="1681">V94*W$6</f>
        <v>208.81399999999999</v>
      </c>
      <c r="X94" s="28">
        <f t="shared" ref="X94:X95" si="1682">V94*X$6</f>
        <v>167.05119999999999</v>
      </c>
      <c r="Y94" s="28">
        <f t="shared" ref="Y94:Y95" si="1683">V94/Y$6</f>
        <v>174.01166666666666</v>
      </c>
      <c r="Z94" s="72">
        <f t="shared" ref="Z94:Z95" si="1684">Y94/Z$6</f>
        <v>58.003888888888888</v>
      </c>
      <c r="AA94" s="70">
        <f t="shared" ref="AA94:AA95" si="1685">V94/AA$6</f>
        <v>174.01166666666666</v>
      </c>
      <c r="AB94" s="70">
        <f t="shared" ref="AB94:AB95" si="1686">SUM(V94:AA94)</f>
        <v>2870.0324222222221</v>
      </c>
      <c r="AC94" s="71">
        <v>0</v>
      </c>
      <c r="AD94" s="71">
        <v>0</v>
      </c>
      <c r="AE94" s="72">
        <f t="shared" ref="AE94:AE96" si="1687">((U94*AE$6)+(U94*$AO$6)+(U94*$AP$6))*AC94</f>
        <v>0</v>
      </c>
      <c r="AF94" s="72">
        <f t="shared" ref="AF94:AF96" si="1688">((U94*AF$6)+(U94*$AO$6)+(U94*$AP$6))*AD94</f>
        <v>0</v>
      </c>
      <c r="AG94" s="70">
        <f t="shared" ref="AG94:AG95" si="1689">SUM(AE94:AF94)</f>
        <v>0</v>
      </c>
      <c r="AH94" s="73">
        <v>0</v>
      </c>
      <c r="AI94" s="74">
        <f t="shared" ref="AI94:AI96" si="1690">IF(S94=1,($C$1*$Q$6),0)</f>
        <v>282.40000000000003</v>
      </c>
      <c r="AJ94" s="303">
        <f t="shared" ref="AJ94:AJ96" si="1691">AB94+AG94+AH94+AI94</f>
        <v>3152.4324222222222</v>
      </c>
      <c r="AK94" s="58">
        <v>1</v>
      </c>
      <c r="AL94" s="68" t="s">
        <v>296</v>
      </c>
      <c r="AM94" s="28">
        <f t="shared" ref="AM94:AM96" si="1692">AN94/$AM$4</f>
        <v>9.4915454545454541</v>
      </c>
      <c r="AN94" s="69">
        <v>2088.14</v>
      </c>
      <c r="AO94" s="28">
        <f t="shared" ref="AO94:AO95" si="1693">AN94*AO$6</f>
        <v>208.81399999999999</v>
      </c>
      <c r="AP94" s="28">
        <f t="shared" ref="AP94:AP95" si="1694">AN94*AP$6</f>
        <v>167.05119999999999</v>
      </c>
      <c r="AQ94" s="28">
        <f t="shared" ref="AQ94:AQ95" si="1695">AN94/AQ$6</f>
        <v>174.01166666666666</v>
      </c>
      <c r="AR94" s="72">
        <f t="shared" ref="AR94:AR95" si="1696">AQ94/AR$6</f>
        <v>58.003888888888888</v>
      </c>
      <c r="AS94" s="70">
        <f t="shared" ref="AS94:AS95" si="1697">AN94/AS$6</f>
        <v>174.01166666666666</v>
      </c>
      <c r="AT94" s="70">
        <f t="shared" ref="AT94:AT95" si="1698">SUM(AN94:AS94)</f>
        <v>2870.0324222222221</v>
      </c>
      <c r="AU94" s="71">
        <v>0</v>
      </c>
      <c r="AV94" s="71">
        <v>0</v>
      </c>
      <c r="AW94" s="72">
        <f t="shared" ref="AW94:AW96" si="1699">((AM94*AW$6)+(AM94*$AO$6)+(AM94*$AP$6))*AU94</f>
        <v>0</v>
      </c>
      <c r="AX94" s="72">
        <f t="shared" ref="AX94:AX96" si="1700">((AM94*AX$6)+(AM94*$AO$6)+(AM94*$AP$6))*AV94</f>
        <v>0</v>
      </c>
      <c r="AY94" s="70">
        <f t="shared" ref="AY94:AY95" si="1701">SUM(AW94:AX94)</f>
        <v>0</v>
      </c>
      <c r="AZ94" s="73">
        <v>0</v>
      </c>
      <c r="BA94" s="74">
        <f t="shared" ref="BA94:BA96" si="1702">IF(AK94=1,($C$1*$Q$6),0)</f>
        <v>282.40000000000003</v>
      </c>
      <c r="BB94" s="303">
        <f t="shared" ref="BB94:BB96" si="1703">AT94+AY94+AZ94+BA94</f>
        <v>3152.4324222222222</v>
      </c>
      <c r="BC94" s="58">
        <v>1</v>
      </c>
      <c r="BD94" s="68" t="s">
        <v>296</v>
      </c>
      <c r="BE94" s="28">
        <f t="shared" ref="BE94:BE96" si="1704">BF94/$AM$4</f>
        <v>9.4915454545454541</v>
      </c>
      <c r="BF94" s="69">
        <v>2088.14</v>
      </c>
      <c r="BG94" s="28">
        <f t="shared" ref="BG94:BG95" si="1705">BF94*BG$6</f>
        <v>208.81399999999999</v>
      </c>
      <c r="BH94" s="28">
        <f t="shared" ref="BH94:BH95" si="1706">BF94*BH$6</f>
        <v>167.05119999999999</v>
      </c>
      <c r="BI94" s="28">
        <f t="shared" ref="BI94:BI95" si="1707">BF94/BI$6</f>
        <v>174.01166666666666</v>
      </c>
      <c r="BJ94" s="72">
        <f t="shared" ref="BJ94:BJ95" si="1708">BI94/BJ$6</f>
        <v>58.003888888888888</v>
      </c>
      <c r="BK94" s="70">
        <f t="shared" ref="BK94:BK95" si="1709">BF94/BK$6</f>
        <v>174.01166666666666</v>
      </c>
      <c r="BL94" s="70">
        <f t="shared" ref="BL94:BL95" si="1710">SUM(BF94:BK94)</f>
        <v>2870.0324222222221</v>
      </c>
      <c r="BM94" s="71">
        <v>0</v>
      </c>
      <c r="BN94" s="71">
        <v>0</v>
      </c>
      <c r="BO94" s="72">
        <f t="shared" ref="BO94:BO96" si="1711">((BE94*BO$6)+(BE94*$AO$6)+(BE94*$AP$6))*BM94</f>
        <v>0</v>
      </c>
      <c r="BP94" s="72">
        <f t="shared" ref="BP94:BP96" si="1712">((BE94*BP$6)+(BE94*$AO$6)+(BE94*$AP$6))*BN94</f>
        <v>0</v>
      </c>
      <c r="BQ94" s="70">
        <f t="shared" ref="BQ94:BQ95" si="1713">SUM(BO94:BP94)</f>
        <v>0</v>
      </c>
      <c r="BR94" s="73">
        <v>0</v>
      </c>
      <c r="BS94" s="74">
        <f t="shared" ref="BS94:BS96" si="1714">IF(BC94=1,($C$1*$Q$6),0)</f>
        <v>282.40000000000003</v>
      </c>
      <c r="BT94" s="303">
        <f t="shared" ref="BT94:BT96" si="1715">BL94+BQ94+BR94+BS94</f>
        <v>3152.4324222222222</v>
      </c>
      <c r="BU94" s="58">
        <v>1</v>
      </c>
      <c r="BV94" s="68" t="s">
        <v>296</v>
      </c>
      <c r="BW94" s="28">
        <f t="shared" ref="BW94:BW96" si="1716">BX94/$AM$4</f>
        <v>9.4915454545454541</v>
      </c>
      <c r="BX94" s="69">
        <v>2088.14</v>
      </c>
      <c r="BY94" s="28">
        <f t="shared" ref="BY94:BY95" si="1717">BX94*BY$6</f>
        <v>208.81399999999999</v>
      </c>
      <c r="BZ94" s="28">
        <f t="shared" ref="BZ94:BZ95" si="1718">BX94*BZ$6</f>
        <v>167.05119999999999</v>
      </c>
      <c r="CA94" s="28">
        <f t="shared" ref="CA94:CA95" si="1719">BX94/CA$6</f>
        <v>174.01166666666666</v>
      </c>
      <c r="CB94" s="72">
        <f t="shared" ref="CB94:CB95" si="1720">CA94/CB$6</f>
        <v>58.003888888888888</v>
      </c>
      <c r="CC94" s="70">
        <f t="shared" ref="CC94:CC95" si="1721">BX94/CC$6</f>
        <v>174.01166666666666</v>
      </c>
      <c r="CD94" s="70">
        <f t="shared" ref="CD94:CD95" si="1722">SUM(BX94:CC94)</f>
        <v>2870.0324222222221</v>
      </c>
      <c r="CE94" s="71">
        <v>0</v>
      </c>
      <c r="CF94" s="71">
        <v>0</v>
      </c>
      <c r="CG94" s="72">
        <f t="shared" ref="CG94:CG96" si="1723">((BW94*CG$6)+(BW94*$AO$6)+(BW94*$AP$6))*CE94</f>
        <v>0</v>
      </c>
      <c r="CH94" s="72">
        <f t="shared" ref="CH94:CH96" si="1724">((BW94*CH$6)+(BW94*$AO$6)+(BW94*$AP$6))*CF94</f>
        <v>0</v>
      </c>
      <c r="CI94" s="70">
        <f t="shared" ref="CI94:CI95" si="1725">SUM(CG94:CH94)</f>
        <v>0</v>
      </c>
      <c r="CJ94" s="73">
        <v>0</v>
      </c>
      <c r="CK94" s="74">
        <f t="shared" ref="CK94:CK96" si="1726">IF(BU94=1,($C$1*$Q$6),0)</f>
        <v>282.40000000000003</v>
      </c>
      <c r="CL94" s="303">
        <f t="shared" ref="CL94:CL96" si="1727">CD94+CI94+CJ94+CK94</f>
        <v>3152.4324222222222</v>
      </c>
      <c r="CM94" s="58">
        <v>1</v>
      </c>
      <c r="CN94" s="68" t="s">
        <v>296</v>
      </c>
      <c r="CO94" s="28">
        <f t="shared" ref="CO94:CO96" si="1728">CP94/$AM$4</f>
        <v>9.4915454545454541</v>
      </c>
      <c r="CP94" s="69">
        <v>2088.14</v>
      </c>
      <c r="CQ94" s="28">
        <f t="shared" ref="CQ94:CQ95" si="1729">CP94*CQ$6</f>
        <v>208.81399999999999</v>
      </c>
      <c r="CR94" s="28">
        <f t="shared" ref="CR94:CR95" si="1730">CP94*CR$6</f>
        <v>167.05119999999999</v>
      </c>
      <c r="CS94" s="28">
        <f t="shared" ref="CS94:CS95" si="1731">CP94/CS$6</f>
        <v>174.01166666666666</v>
      </c>
      <c r="CT94" s="72">
        <f t="shared" ref="CT94:CT95" si="1732">CS94/CT$6</f>
        <v>58.003888888888888</v>
      </c>
      <c r="CU94" s="70">
        <f t="shared" ref="CU94:CU95" si="1733">CP94/CU$6</f>
        <v>174.01166666666666</v>
      </c>
      <c r="CV94" s="70">
        <f t="shared" ref="CV94:CV95" si="1734">SUM(CP94:CU94)</f>
        <v>2870.0324222222221</v>
      </c>
      <c r="CW94" s="71">
        <v>0</v>
      </c>
      <c r="CX94" s="71">
        <v>0</v>
      </c>
      <c r="CY94" s="72">
        <f t="shared" ref="CY94:CY96" si="1735">((CO94*CY$6)+(CO94*$AO$6)+(CO94*$AP$6))*CW94</f>
        <v>0</v>
      </c>
      <c r="CZ94" s="72">
        <f t="shared" ref="CZ94:CZ96" si="1736">((CO94*CZ$6)+(CO94*$AO$6)+(CO94*$AP$6))*CX94</f>
        <v>0</v>
      </c>
      <c r="DA94" s="70">
        <f t="shared" ref="DA94:DA95" si="1737">SUM(CY94:CZ94)</f>
        <v>0</v>
      </c>
      <c r="DB94" s="73">
        <v>0</v>
      </c>
      <c r="DC94" s="74">
        <f t="shared" ref="DC94:DC96" si="1738">IF(CM94=1,($C$1*$Q$6),0)</f>
        <v>282.40000000000003</v>
      </c>
      <c r="DD94" s="303">
        <f t="shared" ref="DD94:DD96" si="1739">CV94+DA94+DB94+DC94</f>
        <v>3152.4324222222222</v>
      </c>
      <c r="DE94" s="58">
        <v>1</v>
      </c>
      <c r="DF94" s="68" t="s">
        <v>296</v>
      </c>
      <c r="DG94" s="28">
        <f t="shared" ref="DG94:DG96" si="1740">DH94/$AM$4</f>
        <v>9.4915454545454541</v>
      </c>
      <c r="DH94" s="69">
        <v>2088.14</v>
      </c>
      <c r="DI94" s="28">
        <f t="shared" ref="DI94:DI95" si="1741">DH94*DI$6</f>
        <v>208.81399999999999</v>
      </c>
      <c r="DJ94" s="28">
        <f t="shared" ref="DJ94:DJ95" si="1742">DH94*DJ$6</f>
        <v>167.05119999999999</v>
      </c>
      <c r="DK94" s="28">
        <f t="shared" ref="DK94:DK95" si="1743">DH94/DK$6</f>
        <v>174.01166666666666</v>
      </c>
      <c r="DL94" s="72">
        <f t="shared" ref="DL94:DL95" si="1744">DK94/DL$6</f>
        <v>58.003888888888888</v>
      </c>
      <c r="DM94" s="70">
        <f t="shared" ref="DM94:DM95" si="1745">DH94/DM$6</f>
        <v>174.01166666666666</v>
      </c>
      <c r="DN94" s="70">
        <f t="shared" ref="DN94:DN95" si="1746">SUM(DH94:DM94)</f>
        <v>2870.0324222222221</v>
      </c>
      <c r="DO94" s="71">
        <v>0</v>
      </c>
      <c r="DP94" s="71">
        <v>0</v>
      </c>
      <c r="DQ94" s="72">
        <f t="shared" ref="DQ94:DQ96" si="1747">((DG94*DQ$6)+(DG94*$AO$6)+(DG94*$AP$6))*DO94</f>
        <v>0</v>
      </c>
      <c r="DR94" s="72">
        <f t="shared" ref="DR94:DR96" si="1748">((DG94*DR$6)+(DG94*$AO$6)+(DG94*$AP$6))*DP94</f>
        <v>0</v>
      </c>
      <c r="DS94" s="70">
        <f t="shared" ref="DS94:DS95" si="1749">SUM(DQ94:DR94)</f>
        <v>0</v>
      </c>
      <c r="DT94" s="73">
        <v>0</v>
      </c>
      <c r="DU94" s="74">
        <f t="shared" ref="DU94:DU96" si="1750">IF(DE94=1,($C$1*$Q$6),0)</f>
        <v>282.40000000000003</v>
      </c>
      <c r="DV94" s="303">
        <f t="shared" ref="DV94:DV96" si="1751">DN94+DS94+DT94+DU94</f>
        <v>3152.4324222222222</v>
      </c>
      <c r="DW94" s="58">
        <v>1</v>
      </c>
      <c r="DX94" s="68" t="s">
        <v>296</v>
      </c>
      <c r="DY94" s="28">
        <f t="shared" ref="DY94:DY96" si="1752">DZ94/$AM$4</f>
        <v>9.4915454545454541</v>
      </c>
      <c r="DZ94" s="69">
        <v>2088.14</v>
      </c>
      <c r="EA94" s="28">
        <f t="shared" ref="EA94:EA95" si="1753">DZ94*EA$6</f>
        <v>208.81399999999999</v>
      </c>
      <c r="EB94" s="28">
        <f t="shared" ref="EB94:EB95" si="1754">DZ94*EB$6</f>
        <v>167.05119999999999</v>
      </c>
      <c r="EC94" s="28">
        <f t="shared" ref="EC94:EC95" si="1755">DZ94/EC$6</f>
        <v>174.01166666666666</v>
      </c>
      <c r="ED94" s="72">
        <f t="shared" ref="ED94:ED95" si="1756">EC94/ED$6</f>
        <v>58.003888888888888</v>
      </c>
      <c r="EE94" s="70">
        <f t="shared" ref="EE94:EE95" si="1757">DZ94/EE$6</f>
        <v>174.01166666666666</v>
      </c>
      <c r="EF94" s="70">
        <f t="shared" ref="EF94:EF95" si="1758">SUM(DZ94:EE94)</f>
        <v>2870.0324222222221</v>
      </c>
      <c r="EG94" s="71">
        <v>0</v>
      </c>
      <c r="EH94" s="71">
        <v>0</v>
      </c>
      <c r="EI94" s="72">
        <f t="shared" ref="EI94:EI96" si="1759">((DY94*EI$6)+(DY94*$AO$6)+(DY94*$AP$6))*EG94</f>
        <v>0</v>
      </c>
      <c r="EJ94" s="72">
        <f t="shared" ref="EJ94:EJ96" si="1760">((DY94*EJ$6)+(DY94*$AO$6)+(DY94*$AP$6))*EH94</f>
        <v>0</v>
      </c>
      <c r="EK94" s="70">
        <f t="shared" ref="EK94:EK95" si="1761">SUM(EI94:EJ94)</f>
        <v>0</v>
      </c>
      <c r="EL94" s="73">
        <v>0</v>
      </c>
      <c r="EM94" s="74">
        <f t="shared" ref="EM94:EM96" si="1762">IF(DW94=1,($C$1*$Q$6),0)</f>
        <v>282.40000000000003</v>
      </c>
      <c r="EN94" s="303">
        <f t="shared" ref="EN94:EN96" si="1763">EF94+EK94+EL94+EM94</f>
        <v>3152.4324222222222</v>
      </c>
      <c r="EO94" s="58">
        <v>1</v>
      </c>
      <c r="EP94" s="68" t="s">
        <v>296</v>
      </c>
      <c r="EQ94" s="28">
        <f t="shared" ref="EQ94:EQ96" si="1764">ER94/$AM$4</f>
        <v>9.4915454545454541</v>
      </c>
      <c r="ER94" s="69">
        <v>2088.14</v>
      </c>
      <c r="ES94" s="28">
        <f t="shared" ref="ES94:ES95" si="1765">ER94*ES$6</f>
        <v>208.81399999999999</v>
      </c>
      <c r="ET94" s="28">
        <f t="shared" ref="ET94:ET95" si="1766">ER94*ET$6</f>
        <v>167.05119999999999</v>
      </c>
      <c r="EU94" s="28">
        <f t="shared" ref="EU94:EU95" si="1767">ER94/EU$6</f>
        <v>174.01166666666666</v>
      </c>
      <c r="EV94" s="72">
        <f t="shared" ref="EV94:EV95" si="1768">EU94/EV$6</f>
        <v>58.003888888888888</v>
      </c>
      <c r="EW94" s="70">
        <f t="shared" ref="EW94:EW95" si="1769">ER94/EW$6</f>
        <v>174.01166666666666</v>
      </c>
      <c r="EX94" s="70">
        <f t="shared" ref="EX94:EX95" si="1770">SUM(ER94:EW94)</f>
        <v>2870.0324222222221</v>
      </c>
      <c r="EY94" s="71">
        <v>0</v>
      </c>
      <c r="EZ94" s="71">
        <v>0</v>
      </c>
      <c r="FA94" s="72">
        <f t="shared" ref="FA94:FA96" si="1771">((EQ94*FA$6)+(EQ94*$AO$6)+(EQ94*$AP$6))*EY94</f>
        <v>0</v>
      </c>
      <c r="FB94" s="72">
        <f t="shared" ref="FB94:FB96" si="1772">((EQ94*FB$6)+(EQ94*$AO$6)+(EQ94*$AP$6))*EZ94</f>
        <v>0</v>
      </c>
      <c r="FC94" s="70">
        <f t="shared" ref="FC94:FC95" si="1773">SUM(FA94:FB94)</f>
        <v>0</v>
      </c>
      <c r="FD94" s="73">
        <v>0</v>
      </c>
      <c r="FE94" s="74">
        <f t="shared" ref="FE94:FE96" si="1774">IF(EO94=1,($C$1*$Q$6),0)</f>
        <v>282.40000000000003</v>
      </c>
      <c r="FF94" s="303">
        <f t="shared" ref="FF94:FF96" si="1775">EX94+FC94+FD94+FE94</f>
        <v>3152.4324222222222</v>
      </c>
      <c r="FG94" s="58">
        <v>1</v>
      </c>
      <c r="FH94" s="68" t="s">
        <v>296</v>
      </c>
      <c r="FI94" s="28">
        <f t="shared" ref="FI94:FI96" si="1776">FJ94/$AM$4</f>
        <v>9.4915454545454541</v>
      </c>
      <c r="FJ94" s="69">
        <v>2088.14</v>
      </c>
      <c r="FK94" s="28">
        <f t="shared" ref="FK94:FK95" si="1777">FJ94*FK$6</f>
        <v>208.81399999999999</v>
      </c>
      <c r="FL94" s="28">
        <f t="shared" ref="FL94:FL95" si="1778">FJ94*FL$6</f>
        <v>167.05119999999999</v>
      </c>
      <c r="FM94" s="28">
        <f t="shared" ref="FM94:FM95" si="1779">FJ94/FM$6</f>
        <v>174.01166666666666</v>
      </c>
      <c r="FN94" s="72">
        <f t="shared" ref="FN94:FN95" si="1780">FM94/FN$6</f>
        <v>58.003888888888888</v>
      </c>
      <c r="FO94" s="70">
        <f t="shared" ref="FO94:FO95" si="1781">FJ94/FO$6</f>
        <v>174.01166666666666</v>
      </c>
      <c r="FP94" s="70">
        <f t="shared" ref="FP94:FP95" si="1782">SUM(FJ94:FO94)</f>
        <v>2870.0324222222221</v>
      </c>
      <c r="FQ94" s="71">
        <v>0</v>
      </c>
      <c r="FR94" s="71">
        <v>0</v>
      </c>
      <c r="FS94" s="72">
        <f t="shared" ref="FS94:FS96" si="1783">((FI94*FS$6)+(FI94*$AO$6)+(FI94*$AP$6))*FQ94</f>
        <v>0</v>
      </c>
      <c r="FT94" s="72">
        <f t="shared" ref="FT94:FT96" si="1784">((FI94*FT$6)+(FI94*$AO$6)+(FI94*$AP$6))*FR94</f>
        <v>0</v>
      </c>
      <c r="FU94" s="70">
        <f t="shared" ref="FU94:FU95" si="1785">SUM(FS94:FT94)</f>
        <v>0</v>
      </c>
      <c r="FV94" s="73">
        <v>0</v>
      </c>
      <c r="FW94" s="74">
        <f t="shared" ref="FW94:FW96" si="1786">IF(FG94=1,($C$1*$Q$6),0)</f>
        <v>282.40000000000003</v>
      </c>
      <c r="FX94" s="303">
        <f t="shared" ref="FX94:FX96" si="1787">FP94+FU94+FV94+FW94</f>
        <v>3152.4324222222222</v>
      </c>
      <c r="FY94" s="58">
        <v>1</v>
      </c>
      <c r="FZ94" s="68" t="s">
        <v>296</v>
      </c>
      <c r="GA94" s="28">
        <f t="shared" ref="GA94:GA96" si="1788">GB94/$AM$4</f>
        <v>9.4915454545454541</v>
      </c>
      <c r="GB94" s="69">
        <v>2088.14</v>
      </c>
      <c r="GC94" s="28">
        <f t="shared" ref="GC94:GC95" si="1789">GB94*GC$6</f>
        <v>208.81399999999999</v>
      </c>
      <c r="GD94" s="28">
        <f t="shared" ref="GD94:GD95" si="1790">GB94*GD$6</f>
        <v>167.05119999999999</v>
      </c>
      <c r="GE94" s="28">
        <f t="shared" ref="GE94:GE95" si="1791">GB94/GE$6</f>
        <v>174.01166666666666</v>
      </c>
      <c r="GF94" s="72">
        <f t="shared" ref="GF94:GF95" si="1792">GE94/GF$6</f>
        <v>58.003888888888888</v>
      </c>
      <c r="GG94" s="70">
        <f t="shared" ref="GG94:GG95" si="1793">GB94/GG$6</f>
        <v>174.01166666666666</v>
      </c>
      <c r="GH94" s="70">
        <f t="shared" ref="GH94:GH95" si="1794">SUM(GB94:GG94)</f>
        <v>2870.0324222222221</v>
      </c>
      <c r="GI94" s="71">
        <v>0</v>
      </c>
      <c r="GJ94" s="71">
        <v>0</v>
      </c>
      <c r="GK94" s="72">
        <f t="shared" ref="GK94:GK96" si="1795">((GA94*GK$6)+(GA94*$AO$6)+(GA94*$AP$6))*GI94</f>
        <v>0</v>
      </c>
      <c r="GL94" s="72">
        <f t="shared" ref="GL94:GL96" si="1796">((GA94*GL$6)+(GA94*$AO$6)+(GA94*$AP$6))*GJ94</f>
        <v>0</v>
      </c>
      <c r="GM94" s="70">
        <f t="shared" ref="GM94:GM95" si="1797">SUM(GK94:GL94)</f>
        <v>0</v>
      </c>
      <c r="GN94" s="73">
        <v>0</v>
      </c>
      <c r="GO94" s="74">
        <f t="shared" ref="GO94:GO96" si="1798">IF(FY94=1,($C$1*$Q$6),0)</f>
        <v>282.40000000000003</v>
      </c>
      <c r="GP94" s="303">
        <f t="shared" ref="GP94:GP96" si="1799">GH94+GM94+GN94+GO94</f>
        <v>3152.4324222222222</v>
      </c>
      <c r="GQ94" s="58">
        <v>1</v>
      </c>
      <c r="GR94" s="68" t="s">
        <v>296</v>
      </c>
      <c r="GS94" s="28">
        <f t="shared" ref="GS94:GS96" si="1800">GT94/$AM$4</f>
        <v>9.4915454545454541</v>
      </c>
      <c r="GT94" s="69">
        <v>2088.14</v>
      </c>
      <c r="GU94" s="28">
        <f t="shared" ref="GU94:GU95" si="1801">GT94*GU$6</f>
        <v>208.81399999999999</v>
      </c>
      <c r="GV94" s="28">
        <f t="shared" ref="GV94:GV95" si="1802">GT94*GV$6</f>
        <v>167.05119999999999</v>
      </c>
      <c r="GW94" s="28">
        <f t="shared" ref="GW94:GW95" si="1803">GT94/GW$6</f>
        <v>174.01166666666666</v>
      </c>
      <c r="GX94" s="72">
        <f t="shared" ref="GX94:GX95" si="1804">GW94/GX$6</f>
        <v>58.003888888888888</v>
      </c>
      <c r="GY94" s="70">
        <f t="shared" ref="GY94:GY95" si="1805">GT94/GY$6</f>
        <v>174.01166666666666</v>
      </c>
      <c r="GZ94" s="70">
        <f t="shared" ref="GZ94:GZ95" si="1806">SUM(GT94:GY94)</f>
        <v>2870.0324222222221</v>
      </c>
      <c r="HA94" s="71">
        <v>0</v>
      </c>
      <c r="HB94" s="71">
        <v>0</v>
      </c>
      <c r="HC94" s="72">
        <f t="shared" ref="HC94:HC96" si="1807">((GS94*HC$6)+(GS94*$AO$6)+(GS94*$AP$6))*HA94</f>
        <v>0</v>
      </c>
      <c r="HD94" s="72">
        <f t="shared" ref="HD94:HD96" si="1808">((GS94*HD$6)+(GS94*$AO$6)+(GS94*$AP$6))*HB94</f>
        <v>0</v>
      </c>
      <c r="HE94" s="70">
        <f t="shared" ref="HE94:HE95" si="1809">SUM(HC94:HD94)</f>
        <v>0</v>
      </c>
      <c r="HF94" s="73">
        <v>0</v>
      </c>
      <c r="HG94" s="74">
        <f t="shared" ref="HG94:HG96" si="1810">IF(GQ94=1,($C$1*$Q$6),0)</f>
        <v>282.40000000000003</v>
      </c>
      <c r="HH94" s="303">
        <f t="shared" ref="HH94:HH96" si="1811">GZ94+HE94+HF94+HG94</f>
        <v>3152.4324222222222</v>
      </c>
      <c r="HJ94" s="37"/>
      <c r="HK94" s="37"/>
      <c r="HL94" s="37"/>
      <c r="HM94" s="37"/>
      <c r="HN94" s="37"/>
      <c r="HO94" s="37"/>
      <c r="HP94" s="37"/>
      <c r="HQ94" s="37"/>
      <c r="HR94" s="37"/>
      <c r="HS94" s="37"/>
      <c r="HT94" s="37"/>
      <c r="HU94" s="37"/>
      <c r="HV94" s="37"/>
      <c r="HW94" s="37"/>
      <c r="HX94" s="37"/>
      <c r="HY94" s="37"/>
      <c r="HZ94" s="37"/>
      <c r="IA94" s="37"/>
      <c r="IB94" s="37"/>
      <c r="IC94" s="37"/>
      <c r="ID94" s="37"/>
      <c r="IE94" s="37"/>
      <c r="IF94" s="37"/>
      <c r="IG94" s="37"/>
      <c r="IH94" s="37"/>
      <c r="II94" s="37"/>
      <c r="IJ94" s="37"/>
      <c r="IK94" s="37"/>
      <c r="IL94" s="37"/>
      <c r="IM94" s="37"/>
      <c r="IN94" s="37"/>
      <c r="IO94" s="37"/>
      <c r="IP94" s="37"/>
    </row>
    <row r="95" spans="1:250" x14ac:dyDescent="0.3">
      <c r="A95" s="58">
        <v>0</v>
      </c>
      <c r="B95" s="68" t="s">
        <v>181</v>
      </c>
      <c r="C95" s="28">
        <f t="shared" si="1668"/>
        <v>0</v>
      </c>
      <c r="D95" s="69">
        <v>0</v>
      </c>
      <c r="E95" s="28">
        <f t="shared" si="1669"/>
        <v>0</v>
      </c>
      <c r="F95" s="28">
        <f t="shared" si="1670"/>
        <v>0</v>
      </c>
      <c r="G95" s="28">
        <f t="shared" si="1671"/>
        <v>0</v>
      </c>
      <c r="H95" s="72">
        <f t="shared" si="1672"/>
        <v>0</v>
      </c>
      <c r="I95" s="70">
        <f t="shared" si="1673"/>
        <v>0</v>
      </c>
      <c r="J95" s="70">
        <f t="shared" si="1674"/>
        <v>0</v>
      </c>
      <c r="K95" s="71">
        <v>0</v>
      </c>
      <c r="L95" s="71">
        <v>0</v>
      </c>
      <c r="M95" s="72">
        <f t="shared" si="1675"/>
        <v>0</v>
      </c>
      <c r="N95" s="72">
        <f t="shared" si="1676"/>
        <v>0</v>
      </c>
      <c r="O95" s="70">
        <f t="shared" si="1677"/>
        <v>0</v>
      </c>
      <c r="P95" s="73">
        <v>0</v>
      </c>
      <c r="Q95" s="74">
        <f t="shared" si="1678"/>
        <v>0</v>
      </c>
      <c r="R95" s="303">
        <f t="shared" si="1679"/>
        <v>0</v>
      </c>
      <c r="S95" s="58">
        <v>0</v>
      </c>
      <c r="T95" s="68" t="s">
        <v>181</v>
      </c>
      <c r="U95" s="28">
        <f t="shared" si="1680"/>
        <v>0</v>
      </c>
      <c r="V95" s="69">
        <v>0</v>
      </c>
      <c r="W95" s="28">
        <f t="shared" si="1681"/>
        <v>0</v>
      </c>
      <c r="X95" s="28">
        <f t="shared" si="1682"/>
        <v>0</v>
      </c>
      <c r="Y95" s="28">
        <f t="shared" si="1683"/>
        <v>0</v>
      </c>
      <c r="Z95" s="72">
        <f t="shared" si="1684"/>
        <v>0</v>
      </c>
      <c r="AA95" s="70">
        <f t="shared" si="1685"/>
        <v>0</v>
      </c>
      <c r="AB95" s="70">
        <f t="shared" si="1686"/>
        <v>0</v>
      </c>
      <c r="AC95" s="71">
        <v>0</v>
      </c>
      <c r="AD95" s="71">
        <v>0</v>
      </c>
      <c r="AE95" s="72">
        <f t="shared" si="1687"/>
        <v>0</v>
      </c>
      <c r="AF95" s="72">
        <f t="shared" si="1688"/>
        <v>0</v>
      </c>
      <c r="AG95" s="70">
        <f t="shared" si="1689"/>
        <v>0</v>
      </c>
      <c r="AH95" s="73">
        <v>0</v>
      </c>
      <c r="AI95" s="74">
        <f t="shared" si="1690"/>
        <v>0</v>
      </c>
      <c r="AJ95" s="303">
        <f t="shared" si="1691"/>
        <v>0</v>
      </c>
      <c r="AK95" s="58">
        <v>0</v>
      </c>
      <c r="AL95" s="68" t="s">
        <v>181</v>
      </c>
      <c r="AM95" s="28">
        <f t="shared" si="1692"/>
        <v>0</v>
      </c>
      <c r="AN95" s="69">
        <v>0</v>
      </c>
      <c r="AO95" s="28">
        <f t="shared" si="1693"/>
        <v>0</v>
      </c>
      <c r="AP95" s="28">
        <f t="shared" si="1694"/>
        <v>0</v>
      </c>
      <c r="AQ95" s="28">
        <f t="shared" si="1695"/>
        <v>0</v>
      </c>
      <c r="AR95" s="72">
        <f t="shared" si="1696"/>
        <v>0</v>
      </c>
      <c r="AS95" s="70">
        <f t="shared" si="1697"/>
        <v>0</v>
      </c>
      <c r="AT95" s="70">
        <f t="shared" si="1698"/>
        <v>0</v>
      </c>
      <c r="AU95" s="71">
        <v>0</v>
      </c>
      <c r="AV95" s="71">
        <v>0</v>
      </c>
      <c r="AW95" s="72">
        <f t="shared" si="1699"/>
        <v>0</v>
      </c>
      <c r="AX95" s="72">
        <f t="shared" si="1700"/>
        <v>0</v>
      </c>
      <c r="AY95" s="70">
        <f t="shared" si="1701"/>
        <v>0</v>
      </c>
      <c r="AZ95" s="73">
        <v>0</v>
      </c>
      <c r="BA95" s="74">
        <f t="shared" si="1702"/>
        <v>0</v>
      </c>
      <c r="BB95" s="303">
        <f t="shared" si="1703"/>
        <v>0</v>
      </c>
      <c r="BC95" s="58">
        <v>0</v>
      </c>
      <c r="BD95" s="68" t="s">
        <v>181</v>
      </c>
      <c r="BE95" s="28">
        <f t="shared" si="1704"/>
        <v>0</v>
      </c>
      <c r="BF95" s="69">
        <v>0</v>
      </c>
      <c r="BG95" s="28">
        <f t="shared" si="1705"/>
        <v>0</v>
      </c>
      <c r="BH95" s="28">
        <f t="shared" si="1706"/>
        <v>0</v>
      </c>
      <c r="BI95" s="28">
        <f t="shared" si="1707"/>
        <v>0</v>
      </c>
      <c r="BJ95" s="72">
        <f t="shared" si="1708"/>
        <v>0</v>
      </c>
      <c r="BK95" s="70">
        <f t="shared" si="1709"/>
        <v>0</v>
      </c>
      <c r="BL95" s="70">
        <f t="shared" si="1710"/>
        <v>0</v>
      </c>
      <c r="BM95" s="71">
        <v>0</v>
      </c>
      <c r="BN95" s="71">
        <v>0</v>
      </c>
      <c r="BO95" s="72">
        <f t="shared" si="1711"/>
        <v>0</v>
      </c>
      <c r="BP95" s="72">
        <f t="shared" si="1712"/>
        <v>0</v>
      </c>
      <c r="BQ95" s="70">
        <f t="shared" si="1713"/>
        <v>0</v>
      </c>
      <c r="BR95" s="73">
        <v>0</v>
      </c>
      <c r="BS95" s="74">
        <f t="shared" si="1714"/>
        <v>0</v>
      </c>
      <c r="BT95" s="303">
        <f t="shared" si="1715"/>
        <v>0</v>
      </c>
      <c r="BU95" s="58">
        <v>0</v>
      </c>
      <c r="BV95" s="68" t="s">
        <v>181</v>
      </c>
      <c r="BW95" s="28">
        <f t="shared" si="1716"/>
        <v>0</v>
      </c>
      <c r="BX95" s="69">
        <v>0</v>
      </c>
      <c r="BY95" s="28">
        <f t="shared" si="1717"/>
        <v>0</v>
      </c>
      <c r="BZ95" s="28">
        <f t="shared" si="1718"/>
        <v>0</v>
      </c>
      <c r="CA95" s="28">
        <f t="shared" si="1719"/>
        <v>0</v>
      </c>
      <c r="CB95" s="72">
        <f t="shared" si="1720"/>
        <v>0</v>
      </c>
      <c r="CC95" s="70">
        <f t="shared" si="1721"/>
        <v>0</v>
      </c>
      <c r="CD95" s="70">
        <f t="shared" si="1722"/>
        <v>0</v>
      </c>
      <c r="CE95" s="71">
        <v>0</v>
      </c>
      <c r="CF95" s="71">
        <v>0</v>
      </c>
      <c r="CG95" s="72">
        <f t="shared" si="1723"/>
        <v>0</v>
      </c>
      <c r="CH95" s="72">
        <f t="shared" si="1724"/>
        <v>0</v>
      </c>
      <c r="CI95" s="70">
        <f t="shared" si="1725"/>
        <v>0</v>
      </c>
      <c r="CJ95" s="73">
        <v>0</v>
      </c>
      <c r="CK95" s="74">
        <f t="shared" si="1726"/>
        <v>0</v>
      </c>
      <c r="CL95" s="303">
        <f t="shared" si="1727"/>
        <v>0</v>
      </c>
      <c r="CM95" s="58">
        <v>0</v>
      </c>
      <c r="CN95" s="68" t="s">
        <v>181</v>
      </c>
      <c r="CO95" s="28">
        <f t="shared" si="1728"/>
        <v>0</v>
      </c>
      <c r="CP95" s="69">
        <v>0</v>
      </c>
      <c r="CQ95" s="28">
        <f t="shared" si="1729"/>
        <v>0</v>
      </c>
      <c r="CR95" s="28">
        <f t="shared" si="1730"/>
        <v>0</v>
      </c>
      <c r="CS95" s="28">
        <f t="shared" si="1731"/>
        <v>0</v>
      </c>
      <c r="CT95" s="72">
        <f t="shared" si="1732"/>
        <v>0</v>
      </c>
      <c r="CU95" s="70">
        <f t="shared" si="1733"/>
        <v>0</v>
      </c>
      <c r="CV95" s="70">
        <f t="shared" si="1734"/>
        <v>0</v>
      </c>
      <c r="CW95" s="71">
        <v>0</v>
      </c>
      <c r="CX95" s="71">
        <v>0</v>
      </c>
      <c r="CY95" s="72">
        <f t="shared" si="1735"/>
        <v>0</v>
      </c>
      <c r="CZ95" s="72">
        <f t="shared" si="1736"/>
        <v>0</v>
      </c>
      <c r="DA95" s="70">
        <f t="shared" si="1737"/>
        <v>0</v>
      </c>
      <c r="DB95" s="73">
        <v>0</v>
      </c>
      <c r="DC95" s="74">
        <f t="shared" si="1738"/>
        <v>0</v>
      </c>
      <c r="DD95" s="303">
        <f t="shared" si="1739"/>
        <v>0</v>
      </c>
      <c r="DE95" s="58">
        <v>0</v>
      </c>
      <c r="DF95" s="68" t="s">
        <v>181</v>
      </c>
      <c r="DG95" s="28">
        <f t="shared" si="1740"/>
        <v>0</v>
      </c>
      <c r="DH95" s="69">
        <v>0</v>
      </c>
      <c r="DI95" s="28">
        <f t="shared" si="1741"/>
        <v>0</v>
      </c>
      <c r="DJ95" s="28">
        <f t="shared" si="1742"/>
        <v>0</v>
      </c>
      <c r="DK95" s="28">
        <f t="shared" si="1743"/>
        <v>0</v>
      </c>
      <c r="DL95" s="72">
        <f t="shared" si="1744"/>
        <v>0</v>
      </c>
      <c r="DM95" s="70">
        <f t="shared" si="1745"/>
        <v>0</v>
      </c>
      <c r="DN95" s="70">
        <f t="shared" si="1746"/>
        <v>0</v>
      </c>
      <c r="DO95" s="71">
        <v>0</v>
      </c>
      <c r="DP95" s="71">
        <v>0</v>
      </c>
      <c r="DQ95" s="72">
        <f t="shared" si="1747"/>
        <v>0</v>
      </c>
      <c r="DR95" s="72">
        <f t="shared" si="1748"/>
        <v>0</v>
      </c>
      <c r="DS95" s="70">
        <f t="shared" si="1749"/>
        <v>0</v>
      </c>
      <c r="DT95" s="73">
        <v>0</v>
      </c>
      <c r="DU95" s="74">
        <f t="shared" si="1750"/>
        <v>0</v>
      </c>
      <c r="DV95" s="303">
        <f t="shared" si="1751"/>
        <v>0</v>
      </c>
      <c r="DW95" s="58">
        <v>0</v>
      </c>
      <c r="DX95" s="68" t="s">
        <v>181</v>
      </c>
      <c r="DY95" s="28">
        <f t="shared" si="1752"/>
        <v>0</v>
      </c>
      <c r="DZ95" s="69">
        <v>0</v>
      </c>
      <c r="EA95" s="28">
        <f t="shared" si="1753"/>
        <v>0</v>
      </c>
      <c r="EB95" s="28">
        <f t="shared" si="1754"/>
        <v>0</v>
      </c>
      <c r="EC95" s="28">
        <f t="shared" si="1755"/>
        <v>0</v>
      </c>
      <c r="ED95" s="72">
        <f t="shared" si="1756"/>
        <v>0</v>
      </c>
      <c r="EE95" s="70">
        <f t="shared" si="1757"/>
        <v>0</v>
      </c>
      <c r="EF95" s="70">
        <f t="shared" si="1758"/>
        <v>0</v>
      </c>
      <c r="EG95" s="71">
        <v>0</v>
      </c>
      <c r="EH95" s="71">
        <v>0</v>
      </c>
      <c r="EI95" s="72">
        <f t="shared" si="1759"/>
        <v>0</v>
      </c>
      <c r="EJ95" s="72">
        <f t="shared" si="1760"/>
        <v>0</v>
      </c>
      <c r="EK95" s="70">
        <f t="shared" si="1761"/>
        <v>0</v>
      </c>
      <c r="EL95" s="73">
        <v>0</v>
      </c>
      <c r="EM95" s="74">
        <f t="shared" si="1762"/>
        <v>0</v>
      </c>
      <c r="EN95" s="303">
        <f t="shared" si="1763"/>
        <v>0</v>
      </c>
      <c r="EO95" s="58">
        <v>0</v>
      </c>
      <c r="EP95" s="68" t="s">
        <v>181</v>
      </c>
      <c r="EQ95" s="28">
        <f t="shared" si="1764"/>
        <v>0</v>
      </c>
      <c r="ER95" s="69">
        <v>0</v>
      </c>
      <c r="ES95" s="28">
        <f t="shared" si="1765"/>
        <v>0</v>
      </c>
      <c r="ET95" s="28">
        <f t="shared" si="1766"/>
        <v>0</v>
      </c>
      <c r="EU95" s="28">
        <f t="shared" si="1767"/>
        <v>0</v>
      </c>
      <c r="EV95" s="72">
        <f t="shared" si="1768"/>
        <v>0</v>
      </c>
      <c r="EW95" s="70">
        <f t="shared" si="1769"/>
        <v>0</v>
      </c>
      <c r="EX95" s="70">
        <f t="shared" si="1770"/>
        <v>0</v>
      </c>
      <c r="EY95" s="71">
        <v>0</v>
      </c>
      <c r="EZ95" s="71">
        <v>0</v>
      </c>
      <c r="FA95" s="72">
        <f t="shared" si="1771"/>
        <v>0</v>
      </c>
      <c r="FB95" s="72">
        <f t="shared" si="1772"/>
        <v>0</v>
      </c>
      <c r="FC95" s="70">
        <f t="shared" si="1773"/>
        <v>0</v>
      </c>
      <c r="FD95" s="73">
        <v>0</v>
      </c>
      <c r="FE95" s="74">
        <f t="shared" si="1774"/>
        <v>0</v>
      </c>
      <c r="FF95" s="303">
        <f t="shared" si="1775"/>
        <v>0</v>
      </c>
      <c r="FG95" s="58">
        <v>0</v>
      </c>
      <c r="FH95" s="68" t="s">
        <v>181</v>
      </c>
      <c r="FI95" s="28">
        <f t="shared" si="1776"/>
        <v>0</v>
      </c>
      <c r="FJ95" s="69">
        <v>0</v>
      </c>
      <c r="FK95" s="28">
        <f t="shared" si="1777"/>
        <v>0</v>
      </c>
      <c r="FL95" s="28">
        <f t="shared" si="1778"/>
        <v>0</v>
      </c>
      <c r="FM95" s="28">
        <f t="shared" si="1779"/>
        <v>0</v>
      </c>
      <c r="FN95" s="72">
        <f t="shared" si="1780"/>
        <v>0</v>
      </c>
      <c r="FO95" s="70">
        <f t="shared" si="1781"/>
        <v>0</v>
      </c>
      <c r="FP95" s="70">
        <f t="shared" si="1782"/>
        <v>0</v>
      </c>
      <c r="FQ95" s="71">
        <v>0</v>
      </c>
      <c r="FR95" s="71">
        <v>0</v>
      </c>
      <c r="FS95" s="72">
        <f t="shared" si="1783"/>
        <v>0</v>
      </c>
      <c r="FT95" s="72">
        <f t="shared" si="1784"/>
        <v>0</v>
      </c>
      <c r="FU95" s="70">
        <f t="shared" si="1785"/>
        <v>0</v>
      </c>
      <c r="FV95" s="73">
        <v>0</v>
      </c>
      <c r="FW95" s="74">
        <f t="shared" si="1786"/>
        <v>0</v>
      </c>
      <c r="FX95" s="303">
        <f t="shared" si="1787"/>
        <v>0</v>
      </c>
      <c r="FY95" s="58">
        <v>0</v>
      </c>
      <c r="FZ95" s="68" t="s">
        <v>181</v>
      </c>
      <c r="GA95" s="28">
        <f t="shared" si="1788"/>
        <v>0</v>
      </c>
      <c r="GB95" s="69">
        <v>0</v>
      </c>
      <c r="GC95" s="28">
        <f t="shared" si="1789"/>
        <v>0</v>
      </c>
      <c r="GD95" s="28">
        <f t="shared" si="1790"/>
        <v>0</v>
      </c>
      <c r="GE95" s="28">
        <f t="shared" si="1791"/>
        <v>0</v>
      </c>
      <c r="GF95" s="72">
        <f t="shared" si="1792"/>
        <v>0</v>
      </c>
      <c r="GG95" s="70">
        <f t="shared" si="1793"/>
        <v>0</v>
      </c>
      <c r="GH95" s="70">
        <f t="shared" si="1794"/>
        <v>0</v>
      </c>
      <c r="GI95" s="71">
        <v>0</v>
      </c>
      <c r="GJ95" s="71">
        <v>0</v>
      </c>
      <c r="GK95" s="72">
        <f t="shared" si="1795"/>
        <v>0</v>
      </c>
      <c r="GL95" s="72">
        <f t="shared" si="1796"/>
        <v>0</v>
      </c>
      <c r="GM95" s="70">
        <f t="shared" si="1797"/>
        <v>0</v>
      </c>
      <c r="GN95" s="73">
        <v>0</v>
      </c>
      <c r="GO95" s="74">
        <f t="shared" si="1798"/>
        <v>0</v>
      </c>
      <c r="GP95" s="303">
        <f t="shared" si="1799"/>
        <v>0</v>
      </c>
      <c r="GQ95" s="58">
        <v>0</v>
      </c>
      <c r="GR95" s="68" t="s">
        <v>181</v>
      </c>
      <c r="GS95" s="28">
        <f t="shared" si="1800"/>
        <v>0</v>
      </c>
      <c r="GT95" s="69">
        <v>0</v>
      </c>
      <c r="GU95" s="28">
        <f t="shared" si="1801"/>
        <v>0</v>
      </c>
      <c r="GV95" s="28">
        <f t="shared" si="1802"/>
        <v>0</v>
      </c>
      <c r="GW95" s="28">
        <f t="shared" si="1803"/>
        <v>0</v>
      </c>
      <c r="GX95" s="72">
        <f t="shared" si="1804"/>
        <v>0</v>
      </c>
      <c r="GY95" s="70">
        <f t="shared" si="1805"/>
        <v>0</v>
      </c>
      <c r="GZ95" s="70">
        <f t="shared" si="1806"/>
        <v>0</v>
      </c>
      <c r="HA95" s="71">
        <v>0</v>
      </c>
      <c r="HB95" s="71">
        <v>0</v>
      </c>
      <c r="HC95" s="72">
        <f t="shared" si="1807"/>
        <v>0</v>
      </c>
      <c r="HD95" s="72">
        <f t="shared" si="1808"/>
        <v>0</v>
      </c>
      <c r="HE95" s="70">
        <f t="shared" si="1809"/>
        <v>0</v>
      </c>
      <c r="HF95" s="73">
        <v>0</v>
      </c>
      <c r="HG95" s="74">
        <f t="shared" si="1810"/>
        <v>0</v>
      </c>
      <c r="HH95" s="303">
        <f t="shared" si="1811"/>
        <v>0</v>
      </c>
      <c r="HJ95" s="37"/>
      <c r="HK95" s="37"/>
      <c r="HL95" s="37"/>
      <c r="HM95" s="37"/>
      <c r="HN95" s="37"/>
      <c r="HO95" s="37"/>
      <c r="HP95" s="37"/>
      <c r="HQ95" s="37"/>
      <c r="HR95" s="37"/>
      <c r="HS95" s="37"/>
      <c r="HT95" s="37"/>
      <c r="HU95" s="37"/>
      <c r="HV95" s="37"/>
      <c r="HW95" s="37"/>
      <c r="HX95" s="37"/>
      <c r="HY95" s="37"/>
      <c r="HZ95" s="37"/>
      <c r="IA95" s="37"/>
      <c r="IB95" s="37"/>
      <c r="IC95" s="37"/>
      <c r="ID95" s="37"/>
      <c r="IE95" s="37"/>
      <c r="IF95" s="37"/>
      <c r="IG95" s="37"/>
      <c r="IH95" s="37"/>
      <c r="II95" s="37"/>
      <c r="IJ95" s="37"/>
      <c r="IK95" s="37"/>
      <c r="IL95" s="37"/>
      <c r="IM95" s="37"/>
      <c r="IN95" s="37"/>
      <c r="IO95" s="37"/>
      <c r="IP95" s="37"/>
    </row>
    <row r="96" spans="1:250" x14ac:dyDescent="0.3">
      <c r="A96" s="58">
        <v>0</v>
      </c>
      <c r="B96" s="68"/>
      <c r="C96" s="28">
        <f t="shared" si="1668"/>
        <v>0</v>
      </c>
      <c r="D96" s="28">
        <v>0</v>
      </c>
      <c r="E96" s="28">
        <f>D96*E$6</f>
        <v>0</v>
      </c>
      <c r="F96" s="28">
        <f>D96*F$6</f>
        <v>0</v>
      </c>
      <c r="G96" s="28">
        <f>D96/G$6</f>
        <v>0</v>
      </c>
      <c r="H96" s="72">
        <f>G96/H$6</f>
        <v>0</v>
      </c>
      <c r="I96" s="70">
        <f>D96/I$6</f>
        <v>0</v>
      </c>
      <c r="J96" s="70">
        <f>SUM(D96:I96)</f>
        <v>0</v>
      </c>
      <c r="K96" s="71">
        <v>0</v>
      </c>
      <c r="L96" s="71">
        <v>0</v>
      </c>
      <c r="M96" s="72">
        <f t="shared" si="1675"/>
        <v>0</v>
      </c>
      <c r="N96" s="72">
        <f t="shared" si="1676"/>
        <v>0</v>
      </c>
      <c r="O96" s="70">
        <f>SUM(M96:N96)</f>
        <v>0</v>
      </c>
      <c r="P96" s="73">
        <v>0</v>
      </c>
      <c r="Q96" s="74">
        <f t="shared" si="1678"/>
        <v>0</v>
      </c>
      <c r="R96" s="303">
        <f t="shared" si="1679"/>
        <v>0</v>
      </c>
      <c r="S96" s="58">
        <v>0</v>
      </c>
      <c r="T96" s="68"/>
      <c r="U96" s="28">
        <f t="shared" si="1680"/>
        <v>0</v>
      </c>
      <c r="V96" s="28">
        <v>0</v>
      </c>
      <c r="W96" s="28">
        <f>V96*W$6</f>
        <v>0</v>
      </c>
      <c r="X96" s="28">
        <f>V96*X$6</f>
        <v>0</v>
      </c>
      <c r="Y96" s="28">
        <f>V96/Y$6</f>
        <v>0</v>
      </c>
      <c r="Z96" s="72">
        <f>Y96/Z$6</f>
        <v>0</v>
      </c>
      <c r="AA96" s="70">
        <f>V96/AA$6</f>
        <v>0</v>
      </c>
      <c r="AB96" s="70">
        <f>SUM(V96:AA96)</f>
        <v>0</v>
      </c>
      <c r="AC96" s="71">
        <v>0</v>
      </c>
      <c r="AD96" s="71">
        <v>0</v>
      </c>
      <c r="AE96" s="72">
        <f t="shared" si="1687"/>
        <v>0</v>
      </c>
      <c r="AF96" s="72">
        <f t="shared" si="1688"/>
        <v>0</v>
      </c>
      <c r="AG96" s="70">
        <f>SUM(AE96:AF96)</f>
        <v>0</v>
      </c>
      <c r="AH96" s="73">
        <v>0</v>
      </c>
      <c r="AI96" s="74">
        <f t="shared" si="1690"/>
        <v>0</v>
      </c>
      <c r="AJ96" s="303">
        <f t="shared" si="1691"/>
        <v>0</v>
      </c>
      <c r="AK96" s="58">
        <v>0</v>
      </c>
      <c r="AL96" s="68"/>
      <c r="AM96" s="28">
        <f t="shared" si="1692"/>
        <v>0</v>
      </c>
      <c r="AN96" s="28">
        <v>0</v>
      </c>
      <c r="AO96" s="28">
        <f>AN96*AO$6</f>
        <v>0</v>
      </c>
      <c r="AP96" s="28">
        <f>AN96*AP$6</f>
        <v>0</v>
      </c>
      <c r="AQ96" s="28">
        <f>AN96/AQ$6</f>
        <v>0</v>
      </c>
      <c r="AR96" s="72">
        <f>AQ96/AR$6</f>
        <v>0</v>
      </c>
      <c r="AS96" s="70">
        <f>AN96/AS$6</f>
        <v>0</v>
      </c>
      <c r="AT96" s="70">
        <f>SUM(AN96:AS96)</f>
        <v>0</v>
      </c>
      <c r="AU96" s="71">
        <v>0</v>
      </c>
      <c r="AV96" s="71">
        <v>0</v>
      </c>
      <c r="AW96" s="72">
        <f t="shared" si="1699"/>
        <v>0</v>
      </c>
      <c r="AX96" s="72">
        <f t="shared" si="1700"/>
        <v>0</v>
      </c>
      <c r="AY96" s="70">
        <f>SUM(AW96:AX96)</f>
        <v>0</v>
      </c>
      <c r="AZ96" s="73">
        <v>0</v>
      </c>
      <c r="BA96" s="74">
        <f t="shared" si="1702"/>
        <v>0</v>
      </c>
      <c r="BB96" s="303">
        <f t="shared" si="1703"/>
        <v>0</v>
      </c>
      <c r="BC96" s="58">
        <v>0</v>
      </c>
      <c r="BD96" s="68"/>
      <c r="BE96" s="28">
        <f t="shared" si="1704"/>
        <v>0</v>
      </c>
      <c r="BF96" s="28">
        <v>0</v>
      </c>
      <c r="BG96" s="28">
        <f>BF96*BG$6</f>
        <v>0</v>
      </c>
      <c r="BH96" s="28">
        <f>BF96*BH$6</f>
        <v>0</v>
      </c>
      <c r="BI96" s="28">
        <f>BF96/BI$6</f>
        <v>0</v>
      </c>
      <c r="BJ96" s="72">
        <f>BI96/BJ$6</f>
        <v>0</v>
      </c>
      <c r="BK96" s="70">
        <f>BF96/BK$6</f>
        <v>0</v>
      </c>
      <c r="BL96" s="70">
        <f>SUM(BF96:BK96)</f>
        <v>0</v>
      </c>
      <c r="BM96" s="71">
        <v>0</v>
      </c>
      <c r="BN96" s="71">
        <v>0</v>
      </c>
      <c r="BO96" s="72">
        <f t="shared" si="1711"/>
        <v>0</v>
      </c>
      <c r="BP96" s="72">
        <f t="shared" si="1712"/>
        <v>0</v>
      </c>
      <c r="BQ96" s="70">
        <f>SUM(BO96:BP96)</f>
        <v>0</v>
      </c>
      <c r="BR96" s="73">
        <v>0</v>
      </c>
      <c r="BS96" s="74">
        <f t="shared" si="1714"/>
        <v>0</v>
      </c>
      <c r="BT96" s="303">
        <f t="shared" si="1715"/>
        <v>0</v>
      </c>
      <c r="BU96" s="58">
        <v>0</v>
      </c>
      <c r="BV96" s="68"/>
      <c r="BW96" s="28">
        <f t="shared" si="1716"/>
        <v>0</v>
      </c>
      <c r="BX96" s="28">
        <v>0</v>
      </c>
      <c r="BY96" s="28">
        <f>BX96*BY$6</f>
        <v>0</v>
      </c>
      <c r="BZ96" s="28">
        <f>BX96*BZ$6</f>
        <v>0</v>
      </c>
      <c r="CA96" s="28">
        <f>BX96/CA$6</f>
        <v>0</v>
      </c>
      <c r="CB96" s="72">
        <f>CA96/CB$6</f>
        <v>0</v>
      </c>
      <c r="CC96" s="70">
        <f>BX96/CC$6</f>
        <v>0</v>
      </c>
      <c r="CD96" s="70">
        <f>SUM(BX96:CC96)</f>
        <v>0</v>
      </c>
      <c r="CE96" s="71">
        <v>0</v>
      </c>
      <c r="CF96" s="71">
        <v>0</v>
      </c>
      <c r="CG96" s="72">
        <f t="shared" si="1723"/>
        <v>0</v>
      </c>
      <c r="CH96" s="72">
        <f t="shared" si="1724"/>
        <v>0</v>
      </c>
      <c r="CI96" s="70">
        <f>SUM(CG96:CH96)</f>
        <v>0</v>
      </c>
      <c r="CJ96" s="73">
        <v>0</v>
      </c>
      <c r="CK96" s="74">
        <f t="shared" si="1726"/>
        <v>0</v>
      </c>
      <c r="CL96" s="303">
        <f t="shared" si="1727"/>
        <v>0</v>
      </c>
      <c r="CM96" s="58">
        <v>0</v>
      </c>
      <c r="CN96" s="68"/>
      <c r="CO96" s="28">
        <f t="shared" si="1728"/>
        <v>0</v>
      </c>
      <c r="CP96" s="28">
        <v>0</v>
      </c>
      <c r="CQ96" s="28">
        <f>CP96*CQ$6</f>
        <v>0</v>
      </c>
      <c r="CR96" s="28">
        <f>CP96*CR$6</f>
        <v>0</v>
      </c>
      <c r="CS96" s="28">
        <f>CP96/CS$6</f>
        <v>0</v>
      </c>
      <c r="CT96" s="72">
        <f>CS96/CT$6</f>
        <v>0</v>
      </c>
      <c r="CU96" s="70">
        <f>CP96/CU$6</f>
        <v>0</v>
      </c>
      <c r="CV96" s="70">
        <f>SUM(CP96:CU96)</f>
        <v>0</v>
      </c>
      <c r="CW96" s="71">
        <v>0</v>
      </c>
      <c r="CX96" s="71">
        <v>0</v>
      </c>
      <c r="CY96" s="72">
        <f t="shared" si="1735"/>
        <v>0</v>
      </c>
      <c r="CZ96" s="72">
        <f t="shared" si="1736"/>
        <v>0</v>
      </c>
      <c r="DA96" s="70">
        <f>SUM(CY96:CZ96)</f>
        <v>0</v>
      </c>
      <c r="DB96" s="73">
        <v>0</v>
      </c>
      <c r="DC96" s="74">
        <f t="shared" si="1738"/>
        <v>0</v>
      </c>
      <c r="DD96" s="303">
        <f t="shared" si="1739"/>
        <v>0</v>
      </c>
      <c r="DE96" s="58">
        <v>0</v>
      </c>
      <c r="DF96" s="68"/>
      <c r="DG96" s="28">
        <f t="shared" si="1740"/>
        <v>0</v>
      </c>
      <c r="DH96" s="28">
        <v>0</v>
      </c>
      <c r="DI96" s="28">
        <f>DH96*DI$6</f>
        <v>0</v>
      </c>
      <c r="DJ96" s="28">
        <f>DH96*DJ$6</f>
        <v>0</v>
      </c>
      <c r="DK96" s="28">
        <f>DH96/DK$6</f>
        <v>0</v>
      </c>
      <c r="DL96" s="72">
        <f>DK96/DL$6</f>
        <v>0</v>
      </c>
      <c r="DM96" s="70">
        <f>DH96/DM$6</f>
        <v>0</v>
      </c>
      <c r="DN96" s="70">
        <f>SUM(DH96:DM96)</f>
        <v>0</v>
      </c>
      <c r="DO96" s="71">
        <v>0</v>
      </c>
      <c r="DP96" s="71">
        <v>0</v>
      </c>
      <c r="DQ96" s="72">
        <f t="shared" si="1747"/>
        <v>0</v>
      </c>
      <c r="DR96" s="72">
        <f t="shared" si="1748"/>
        <v>0</v>
      </c>
      <c r="DS96" s="70">
        <f>SUM(DQ96:DR96)</f>
        <v>0</v>
      </c>
      <c r="DT96" s="73">
        <v>0</v>
      </c>
      <c r="DU96" s="74">
        <f t="shared" si="1750"/>
        <v>0</v>
      </c>
      <c r="DV96" s="303">
        <f t="shared" si="1751"/>
        <v>0</v>
      </c>
      <c r="DW96" s="58">
        <v>0</v>
      </c>
      <c r="DX96" s="68"/>
      <c r="DY96" s="28">
        <f t="shared" si="1752"/>
        <v>0</v>
      </c>
      <c r="DZ96" s="28">
        <v>0</v>
      </c>
      <c r="EA96" s="28">
        <f>DZ96*EA$6</f>
        <v>0</v>
      </c>
      <c r="EB96" s="28">
        <f>DZ96*EB$6</f>
        <v>0</v>
      </c>
      <c r="EC96" s="28">
        <f>DZ96/EC$6</f>
        <v>0</v>
      </c>
      <c r="ED96" s="72">
        <f>EC96/ED$6</f>
        <v>0</v>
      </c>
      <c r="EE96" s="70">
        <f>DZ96/EE$6</f>
        <v>0</v>
      </c>
      <c r="EF96" s="70">
        <f>SUM(DZ96:EE96)</f>
        <v>0</v>
      </c>
      <c r="EG96" s="71">
        <v>0</v>
      </c>
      <c r="EH96" s="71">
        <v>0</v>
      </c>
      <c r="EI96" s="72">
        <f t="shared" si="1759"/>
        <v>0</v>
      </c>
      <c r="EJ96" s="72">
        <f t="shared" si="1760"/>
        <v>0</v>
      </c>
      <c r="EK96" s="70">
        <f>SUM(EI96:EJ96)</f>
        <v>0</v>
      </c>
      <c r="EL96" s="73">
        <v>0</v>
      </c>
      <c r="EM96" s="74">
        <f t="shared" si="1762"/>
        <v>0</v>
      </c>
      <c r="EN96" s="303">
        <f t="shared" si="1763"/>
        <v>0</v>
      </c>
      <c r="EO96" s="58">
        <v>0</v>
      </c>
      <c r="EP96" s="68"/>
      <c r="EQ96" s="28">
        <f t="shared" si="1764"/>
        <v>0</v>
      </c>
      <c r="ER96" s="28">
        <v>0</v>
      </c>
      <c r="ES96" s="28">
        <f>ER96*ES$6</f>
        <v>0</v>
      </c>
      <c r="ET96" s="28">
        <f>ER96*ET$6</f>
        <v>0</v>
      </c>
      <c r="EU96" s="28">
        <f>ER96/EU$6</f>
        <v>0</v>
      </c>
      <c r="EV96" s="72">
        <f>EU96/EV$6</f>
        <v>0</v>
      </c>
      <c r="EW96" s="70">
        <f>ER96/EW$6</f>
        <v>0</v>
      </c>
      <c r="EX96" s="70">
        <f>SUM(ER96:EW96)</f>
        <v>0</v>
      </c>
      <c r="EY96" s="71">
        <v>0</v>
      </c>
      <c r="EZ96" s="71">
        <v>0</v>
      </c>
      <c r="FA96" s="72">
        <f t="shared" si="1771"/>
        <v>0</v>
      </c>
      <c r="FB96" s="72">
        <f t="shared" si="1772"/>
        <v>0</v>
      </c>
      <c r="FC96" s="70">
        <f>SUM(FA96:FB96)</f>
        <v>0</v>
      </c>
      <c r="FD96" s="73">
        <v>0</v>
      </c>
      <c r="FE96" s="74">
        <f t="shared" si="1774"/>
        <v>0</v>
      </c>
      <c r="FF96" s="303">
        <f t="shared" si="1775"/>
        <v>0</v>
      </c>
      <c r="FG96" s="58">
        <v>0</v>
      </c>
      <c r="FH96" s="68"/>
      <c r="FI96" s="28">
        <f t="shared" si="1776"/>
        <v>0</v>
      </c>
      <c r="FJ96" s="28">
        <v>0</v>
      </c>
      <c r="FK96" s="28">
        <f>FJ96*FK$6</f>
        <v>0</v>
      </c>
      <c r="FL96" s="28">
        <f>FJ96*FL$6</f>
        <v>0</v>
      </c>
      <c r="FM96" s="28">
        <f>FJ96/FM$6</f>
        <v>0</v>
      </c>
      <c r="FN96" s="72">
        <f>FM96/FN$6</f>
        <v>0</v>
      </c>
      <c r="FO96" s="70">
        <f>FJ96/FO$6</f>
        <v>0</v>
      </c>
      <c r="FP96" s="70">
        <f>SUM(FJ96:FO96)</f>
        <v>0</v>
      </c>
      <c r="FQ96" s="71">
        <v>0</v>
      </c>
      <c r="FR96" s="71">
        <v>0</v>
      </c>
      <c r="FS96" s="72">
        <f t="shared" si="1783"/>
        <v>0</v>
      </c>
      <c r="FT96" s="72">
        <f t="shared" si="1784"/>
        <v>0</v>
      </c>
      <c r="FU96" s="70">
        <f>SUM(FS96:FT96)</f>
        <v>0</v>
      </c>
      <c r="FV96" s="73">
        <v>0</v>
      </c>
      <c r="FW96" s="74">
        <f t="shared" si="1786"/>
        <v>0</v>
      </c>
      <c r="FX96" s="303">
        <f t="shared" si="1787"/>
        <v>0</v>
      </c>
      <c r="FY96" s="58">
        <v>0</v>
      </c>
      <c r="FZ96" s="68"/>
      <c r="GA96" s="28">
        <f t="shared" si="1788"/>
        <v>0</v>
      </c>
      <c r="GB96" s="28">
        <v>0</v>
      </c>
      <c r="GC96" s="28">
        <f>GB96*GC$6</f>
        <v>0</v>
      </c>
      <c r="GD96" s="28">
        <f>GB96*GD$6</f>
        <v>0</v>
      </c>
      <c r="GE96" s="28">
        <f>GB96/GE$6</f>
        <v>0</v>
      </c>
      <c r="GF96" s="72">
        <f>GE96/GF$6</f>
        <v>0</v>
      </c>
      <c r="GG96" s="70">
        <f>GB96/GG$6</f>
        <v>0</v>
      </c>
      <c r="GH96" s="70">
        <f>SUM(GB96:GG96)</f>
        <v>0</v>
      </c>
      <c r="GI96" s="71">
        <v>0</v>
      </c>
      <c r="GJ96" s="71">
        <v>0</v>
      </c>
      <c r="GK96" s="72">
        <f t="shared" si="1795"/>
        <v>0</v>
      </c>
      <c r="GL96" s="72">
        <f t="shared" si="1796"/>
        <v>0</v>
      </c>
      <c r="GM96" s="70">
        <f>SUM(GK96:GL96)</f>
        <v>0</v>
      </c>
      <c r="GN96" s="73">
        <v>0</v>
      </c>
      <c r="GO96" s="74">
        <f t="shared" si="1798"/>
        <v>0</v>
      </c>
      <c r="GP96" s="303">
        <f t="shared" si="1799"/>
        <v>0</v>
      </c>
      <c r="GQ96" s="58">
        <v>0</v>
      </c>
      <c r="GR96" s="68"/>
      <c r="GS96" s="28">
        <f t="shared" si="1800"/>
        <v>0</v>
      </c>
      <c r="GT96" s="28">
        <v>0</v>
      </c>
      <c r="GU96" s="28">
        <f>GT96*GU$6</f>
        <v>0</v>
      </c>
      <c r="GV96" s="28">
        <f>GT96*GV$6</f>
        <v>0</v>
      </c>
      <c r="GW96" s="28">
        <f>GT96/GW$6</f>
        <v>0</v>
      </c>
      <c r="GX96" s="72">
        <f>GW96/GX$6</f>
        <v>0</v>
      </c>
      <c r="GY96" s="70">
        <f>GT96/GY$6</f>
        <v>0</v>
      </c>
      <c r="GZ96" s="70">
        <f>SUM(GT96:GY96)</f>
        <v>0</v>
      </c>
      <c r="HA96" s="71">
        <v>0</v>
      </c>
      <c r="HB96" s="71">
        <v>0</v>
      </c>
      <c r="HC96" s="72">
        <f t="shared" si="1807"/>
        <v>0</v>
      </c>
      <c r="HD96" s="72">
        <f t="shared" si="1808"/>
        <v>0</v>
      </c>
      <c r="HE96" s="70">
        <f>SUM(HC96:HD96)</f>
        <v>0</v>
      </c>
      <c r="HF96" s="73">
        <v>0</v>
      </c>
      <c r="HG96" s="74">
        <f t="shared" si="1810"/>
        <v>0</v>
      </c>
      <c r="HH96" s="303">
        <f t="shared" si="1811"/>
        <v>0</v>
      </c>
      <c r="HJ96" s="37"/>
      <c r="HK96" s="37"/>
      <c r="HL96" s="37"/>
      <c r="HM96" s="37"/>
      <c r="HN96" s="37"/>
      <c r="HO96" s="37"/>
      <c r="HP96" s="37"/>
      <c r="HQ96" s="37"/>
      <c r="HR96" s="37"/>
      <c r="HS96" s="37"/>
      <c r="HT96" s="37"/>
      <c r="HU96" s="37"/>
      <c r="HV96" s="37"/>
      <c r="HW96" s="37"/>
      <c r="HX96" s="37"/>
      <c r="HY96" s="37"/>
      <c r="HZ96" s="37"/>
      <c r="IA96" s="37"/>
      <c r="IB96" s="37"/>
      <c r="IC96" s="37"/>
      <c r="ID96" s="37"/>
      <c r="IE96" s="37"/>
      <c r="IF96" s="37"/>
      <c r="IG96" s="37"/>
      <c r="IH96" s="37"/>
      <c r="II96" s="37"/>
      <c r="IJ96" s="37"/>
      <c r="IK96" s="37"/>
      <c r="IL96" s="37"/>
      <c r="IM96" s="37"/>
      <c r="IN96" s="37"/>
      <c r="IO96" s="37"/>
      <c r="IP96" s="37"/>
    </row>
    <row r="97" spans="1:250" ht="15.6" x14ac:dyDescent="0.3">
      <c r="A97" s="541"/>
      <c r="B97" s="537"/>
      <c r="C97" s="537"/>
      <c r="D97" s="537"/>
      <c r="E97" s="537"/>
      <c r="F97" s="537"/>
      <c r="G97" s="537"/>
      <c r="H97" s="537"/>
      <c r="I97" s="537"/>
      <c r="J97" s="537"/>
      <c r="K97" s="537"/>
      <c r="L97" s="537"/>
      <c r="M97" s="537"/>
      <c r="N97" s="537"/>
      <c r="O97" s="537"/>
      <c r="P97" s="538"/>
      <c r="Q97" s="423" t="s">
        <v>8</v>
      </c>
      <c r="R97" s="304">
        <f>SUM(R94:R96)</f>
        <v>3152.4324222222222</v>
      </c>
      <c r="S97" s="541"/>
      <c r="T97" s="537"/>
      <c r="U97" s="537"/>
      <c r="V97" s="537"/>
      <c r="W97" s="537"/>
      <c r="X97" s="537"/>
      <c r="Y97" s="537"/>
      <c r="Z97" s="537"/>
      <c r="AA97" s="537"/>
      <c r="AB97" s="537"/>
      <c r="AC97" s="537"/>
      <c r="AD97" s="537"/>
      <c r="AE97" s="537"/>
      <c r="AF97" s="537"/>
      <c r="AG97" s="537"/>
      <c r="AH97" s="538"/>
      <c r="AI97" s="423" t="s">
        <v>8</v>
      </c>
      <c r="AJ97" s="304">
        <f>SUM(AJ94:AJ96)</f>
        <v>3152.4324222222222</v>
      </c>
      <c r="AK97" s="541"/>
      <c r="AL97" s="537"/>
      <c r="AM97" s="537"/>
      <c r="AN97" s="537"/>
      <c r="AO97" s="537"/>
      <c r="AP97" s="537"/>
      <c r="AQ97" s="537"/>
      <c r="AR97" s="537"/>
      <c r="AS97" s="537"/>
      <c r="AT97" s="537"/>
      <c r="AU97" s="537"/>
      <c r="AV97" s="537"/>
      <c r="AW97" s="537"/>
      <c r="AX97" s="537"/>
      <c r="AY97" s="537"/>
      <c r="AZ97" s="538"/>
      <c r="BA97" s="423" t="s">
        <v>8</v>
      </c>
      <c r="BB97" s="304">
        <f>SUM(BB94:BB96)</f>
        <v>3152.4324222222222</v>
      </c>
      <c r="BC97" s="541"/>
      <c r="BD97" s="537"/>
      <c r="BE97" s="537"/>
      <c r="BF97" s="537"/>
      <c r="BG97" s="537"/>
      <c r="BH97" s="537"/>
      <c r="BI97" s="537"/>
      <c r="BJ97" s="537"/>
      <c r="BK97" s="537"/>
      <c r="BL97" s="537"/>
      <c r="BM97" s="537"/>
      <c r="BN97" s="537"/>
      <c r="BO97" s="537"/>
      <c r="BP97" s="537"/>
      <c r="BQ97" s="537"/>
      <c r="BR97" s="538"/>
      <c r="BS97" s="423" t="s">
        <v>8</v>
      </c>
      <c r="BT97" s="304">
        <f>SUM(BT94:BT96)</f>
        <v>3152.4324222222222</v>
      </c>
      <c r="BU97" s="541"/>
      <c r="BV97" s="537"/>
      <c r="BW97" s="537"/>
      <c r="BX97" s="537"/>
      <c r="BY97" s="537"/>
      <c r="BZ97" s="537"/>
      <c r="CA97" s="537"/>
      <c r="CB97" s="537"/>
      <c r="CC97" s="537"/>
      <c r="CD97" s="537"/>
      <c r="CE97" s="537"/>
      <c r="CF97" s="537"/>
      <c r="CG97" s="537"/>
      <c r="CH97" s="537"/>
      <c r="CI97" s="537"/>
      <c r="CJ97" s="538"/>
      <c r="CK97" s="423" t="s">
        <v>8</v>
      </c>
      <c r="CL97" s="304">
        <f>SUM(CL94:CL96)</f>
        <v>3152.4324222222222</v>
      </c>
      <c r="CM97" s="541"/>
      <c r="CN97" s="537"/>
      <c r="CO97" s="537"/>
      <c r="CP97" s="537"/>
      <c r="CQ97" s="537"/>
      <c r="CR97" s="537"/>
      <c r="CS97" s="537"/>
      <c r="CT97" s="537"/>
      <c r="CU97" s="537"/>
      <c r="CV97" s="537"/>
      <c r="CW97" s="537"/>
      <c r="CX97" s="537"/>
      <c r="CY97" s="537"/>
      <c r="CZ97" s="537"/>
      <c r="DA97" s="537"/>
      <c r="DB97" s="538"/>
      <c r="DC97" s="423" t="s">
        <v>8</v>
      </c>
      <c r="DD97" s="304">
        <f>SUM(DD94:DD96)</f>
        <v>3152.4324222222222</v>
      </c>
      <c r="DE97" s="541"/>
      <c r="DF97" s="537"/>
      <c r="DG97" s="537"/>
      <c r="DH97" s="537"/>
      <c r="DI97" s="537"/>
      <c r="DJ97" s="537"/>
      <c r="DK97" s="537"/>
      <c r="DL97" s="537"/>
      <c r="DM97" s="537"/>
      <c r="DN97" s="537"/>
      <c r="DO97" s="537"/>
      <c r="DP97" s="537"/>
      <c r="DQ97" s="537"/>
      <c r="DR97" s="537"/>
      <c r="DS97" s="537"/>
      <c r="DT97" s="538"/>
      <c r="DU97" s="423" t="s">
        <v>8</v>
      </c>
      <c r="DV97" s="304">
        <f>SUM(DV94:DV96)</f>
        <v>3152.4324222222222</v>
      </c>
      <c r="DW97" s="541"/>
      <c r="DX97" s="537"/>
      <c r="DY97" s="537"/>
      <c r="DZ97" s="537"/>
      <c r="EA97" s="537"/>
      <c r="EB97" s="537"/>
      <c r="EC97" s="537"/>
      <c r="ED97" s="537"/>
      <c r="EE97" s="537"/>
      <c r="EF97" s="537"/>
      <c r="EG97" s="537"/>
      <c r="EH97" s="537"/>
      <c r="EI97" s="537"/>
      <c r="EJ97" s="537"/>
      <c r="EK97" s="537"/>
      <c r="EL97" s="538"/>
      <c r="EM97" s="423" t="s">
        <v>8</v>
      </c>
      <c r="EN97" s="304">
        <f>SUM(EN94:EN96)</f>
        <v>3152.4324222222222</v>
      </c>
      <c r="EO97" s="541"/>
      <c r="EP97" s="537"/>
      <c r="EQ97" s="537"/>
      <c r="ER97" s="537"/>
      <c r="ES97" s="537"/>
      <c r="ET97" s="537"/>
      <c r="EU97" s="537"/>
      <c r="EV97" s="537"/>
      <c r="EW97" s="537"/>
      <c r="EX97" s="537"/>
      <c r="EY97" s="537"/>
      <c r="EZ97" s="537"/>
      <c r="FA97" s="537"/>
      <c r="FB97" s="537"/>
      <c r="FC97" s="537"/>
      <c r="FD97" s="538"/>
      <c r="FE97" s="423" t="s">
        <v>8</v>
      </c>
      <c r="FF97" s="304">
        <f>SUM(FF94:FF96)</f>
        <v>3152.4324222222222</v>
      </c>
      <c r="FG97" s="541"/>
      <c r="FH97" s="537"/>
      <c r="FI97" s="537"/>
      <c r="FJ97" s="537"/>
      <c r="FK97" s="537"/>
      <c r="FL97" s="537"/>
      <c r="FM97" s="537"/>
      <c r="FN97" s="537"/>
      <c r="FO97" s="537"/>
      <c r="FP97" s="537"/>
      <c r="FQ97" s="537"/>
      <c r="FR97" s="537"/>
      <c r="FS97" s="537"/>
      <c r="FT97" s="537"/>
      <c r="FU97" s="537"/>
      <c r="FV97" s="538"/>
      <c r="FW97" s="423" t="s">
        <v>8</v>
      </c>
      <c r="FX97" s="304">
        <f>SUM(FX94:FX96)</f>
        <v>3152.4324222222222</v>
      </c>
      <c r="FY97" s="541"/>
      <c r="FZ97" s="537"/>
      <c r="GA97" s="537"/>
      <c r="GB97" s="537"/>
      <c r="GC97" s="537"/>
      <c r="GD97" s="537"/>
      <c r="GE97" s="537"/>
      <c r="GF97" s="537"/>
      <c r="GG97" s="537"/>
      <c r="GH97" s="537"/>
      <c r="GI97" s="537"/>
      <c r="GJ97" s="537"/>
      <c r="GK97" s="537"/>
      <c r="GL97" s="537"/>
      <c r="GM97" s="537"/>
      <c r="GN97" s="538"/>
      <c r="GO97" s="423" t="s">
        <v>8</v>
      </c>
      <c r="GP97" s="304">
        <f>SUM(GP94:GP96)</f>
        <v>3152.4324222222222</v>
      </c>
      <c r="GQ97" s="541"/>
      <c r="GR97" s="537"/>
      <c r="GS97" s="537"/>
      <c r="GT97" s="537"/>
      <c r="GU97" s="537"/>
      <c r="GV97" s="537"/>
      <c r="GW97" s="537"/>
      <c r="GX97" s="537"/>
      <c r="GY97" s="537"/>
      <c r="GZ97" s="537"/>
      <c r="HA97" s="537"/>
      <c r="HB97" s="537"/>
      <c r="HC97" s="537"/>
      <c r="HD97" s="537"/>
      <c r="HE97" s="537"/>
      <c r="HF97" s="538"/>
      <c r="HG97" s="423" t="s">
        <v>8</v>
      </c>
      <c r="HH97" s="304">
        <f>SUM(HH94:HH96)</f>
        <v>3152.4324222222222</v>
      </c>
      <c r="HJ97" s="37"/>
      <c r="HK97" s="37"/>
      <c r="HL97" s="37"/>
      <c r="HM97" s="37"/>
      <c r="HN97" s="37"/>
      <c r="HO97" s="37"/>
      <c r="HP97" s="37"/>
      <c r="HQ97" s="37"/>
      <c r="HR97" s="37"/>
      <c r="HS97" s="37"/>
      <c r="HT97" s="37"/>
      <c r="HU97" s="37"/>
      <c r="HV97" s="37"/>
      <c r="HW97" s="37"/>
      <c r="HX97" s="37"/>
      <c r="HY97" s="37"/>
      <c r="HZ97" s="37"/>
      <c r="IA97" s="37"/>
      <c r="IB97" s="37"/>
      <c r="IC97" s="37"/>
      <c r="ID97" s="37"/>
      <c r="IE97" s="37"/>
      <c r="IF97" s="37"/>
      <c r="IG97" s="37"/>
      <c r="IH97" s="37"/>
      <c r="II97" s="37"/>
      <c r="IJ97" s="37"/>
      <c r="IK97" s="37"/>
      <c r="IL97" s="37"/>
      <c r="IM97" s="37"/>
      <c r="IN97" s="37"/>
      <c r="IO97" s="37"/>
      <c r="IP97" s="37"/>
    </row>
    <row r="98" spans="1:250" ht="15.75" customHeight="1" x14ac:dyDescent="0.3">
      <c r="A98" s="543"/>
      <c r="B98" s="544"/>
      <c r="C98" s="544"/>
      <c r="D98" s="544"/>
      <c r="E98" s="742" t="s">
        <v>123</v>
      </c>
      <c r="F98" s="742"/>
      <c r="G98" s="742"/>
      <c r="H98" s="742"/>
      <c r="I98" s="742"/>
      <c r="J98" s="742"/>
      <c r="K98" s="742"/>
      <c r="L98" s="742"/>
      <c r="M98" s="742"/>
      <c r="N98" s="544"/>
      <c r="O98" s="544"/>
      <c r="P98" s="544"/>
      <c r="Q98" s="544"/>
      <c r="R98" s="545"/>
      <c r="S98" s="543"/>
      <c r="T98" s="544"/>
      <c r="U98" s="544"/>
      <c r="V98" s="544"/>
      <c r="W98" s="742" t="s">
        <v>123</v>
      </c>
      <c r="X98" s="742"/>
      <c r="Y98" s="742"/>
      <c r="Z98" s="742"/>
      <c r="AA98" s="742"/>
      <c r="AB98" s="742"/>
      <c r="AC98" s="742"/>
      <c r="AD98" s="742"/>
      <c r="AE98" s="742"/>
      <c r="AF98" s="544"/>
      <c r="AG98" s="544"/>
      <c r="AH98" s="544"/>
      <c r="AI98" s="544"/>
      <c r="AJ98" s="545"/>
      <c r="AK98" s="543"/>
      <c r="AL98" s="544"/>
      <c r="AM98" s="544"/>
      <c r="AN98" s="544"/>
      <c r="AO98" s="742" t="s">
        <v>123</v>
      </c>
      <c r="AP98" s="742"/>
      <c r="AQ98" s="742"/>
      <c r="AR98" s="742"/>
      <c r="AS98" s="742"/>
      <c r="AT98" s="742"/>
      <c r="AU98" s="742"/>
      <c r="AV98" s="742"/>
      <c r="AW98" s="742"/>
      <c r="AX98" s="544"/>
      <c r="AY98" s="544"/>
      <c r="AZ98" s="544"/>
      <c r="BA98" s="544"/>
      <c r="BB98" s="545"/>
      <c r="BC98" s="543"/>
      <c r="BD98" s="544"/>
      <c r="BE98" s="544"/>
      <c r="BF98" s="544"/>
      <c r="BG98" s="742" t="s">
        <v>123</v>
      </c>
      <c r="BH98" s="742"/>
      <c r="BI98" s="742"/>
      <c r="BJ98" s="742"/>
      <c r="BK98" s="742"/>
      <c r="BL98" s="742"/>
      <c r="BM98" s="742"/>
      <c r="BN98" s="742"/>
      <c r="BO98" s="742"/>
      <c r="BP98" s="544"/>
      <c r="BQ98" s="544"/>
      <c r="BR98" s="544"/>
      <c r="BS98" s="544"/>
      <c r="BT98" s="545"/>
      <c r="BU98" s="543"/>
      <c r="BV98" s="544"/>
      <c r="BW98" s="544"/>
      <c r="BX98" s="544"/>
      <c r="BY98" s="742" t="s">
        <v>123</v>
      </c>
      <c r="BZ98" s="742"/>
      <c r="CA98" s="742"/>
      <c r="CB98" s="742"/>
      <c r="CC98" s="742"/>
      <c r="CD98" s="742"/>
      <c r="CE98" s="742"/>
      <c r="CF98" s="742"/>
      <c r="CG98" s="742"/>
      <c r="CH98" s="544"/>
      <c r="CI98" s="544"/>
      <c r="CJ98" s="544"/>
      <c r="CK98" s="544"/>
      <c r="CL98" s="545"/>
      <c r="CM98" s="543"/>
      <c r="CN98" s="544"/>
      <c r="CO98" s="544"/>
      <c r="CP98" s="544"/>
      <c r="CQ98" s="742" t="s">
        <v>123</v>
      </c>
      <c r="CR98" s="742"/>
      <c r="CS98" s="742"/>
      <c r="CT98" s="742"/>
      <c r="CU98" s="742"/>
      <c r="CV98" s="742"/>
      <c r="CW98" s="742"/>
      <c r="CX98" s="742"/>
      <c r="CY98" s="742"/>
      <c r="CZ98" s="544"/>
      <c r="DA98" s="544"/>
      <c r="DB98" s="544"/>
      <c r="DC98" s="544"/>
      <c r="DD98" s="545"/>
      <c r="DE98" s="543"/>
      <c r="DF98" s="544"/>
      <c r="DG98" s="544"/>
      <c r="DH98" s="544"/>
      <c r="DI98" s="742" t="s">
        <v>123</v>
      </c>
      <c r="DJ98" s="742"/>
      <c r="DK98" s="742"/>
      <c r="DL98" s="742"/>
      <c r="DM98" s="742"/>
      <c r="DN98" s="742"/>
      <c r="DO98" s="742"/>
      <c r="DP98" s="742"/>
      <c r="DQ98" s="742"/>
      <c r="DR98" s="544"/>
      <c r="DS98" s="544"/>
      <c r="DT98" s="544"/>
      <c r="DU98" s="544"/>
      <c r="DV98" s="545"/>
      <c r="DW98" s="543"/>
      <c r="DX98" s="544"/>
      <c r="DY98" s="544"/>
      <c r="DZ98" s="544"/>
      <c r="EA98" s="742" t="s">
        <v>123</v>
      </c>
      <c r="EB98" s="742"/>
      <c r="EC98" s="742"/>
      <c r="ED98" s="742"/>
      <c r="EE98" s="742"/>
      <c r="EF98" s="742"/>
      <c r="EG98" s="742"/>
      <c r="EH98" s="742"/>
      <c r="EI98" s="742"/>
      <c r="EJ98" s="544"/>
      <c r="EK98" s="544"/>
      <c r="EL98" s="544"/>
      <c r="EM98" s="544"/>
      <c r="EN98" s="545"/>
      <c r="EO98" s="543"/>
      <c r="EP98" s="544"/>
      <c r="EQ98" s="544"/>
      <c r="ER98" s="544"/>
      <c r="ES98" s="742" t="s">
        <v>123</v>
      </c>
      <c r="ET98" s="742"/>
      <c r="EU98" s="742"/>
      <c r="EV98" s="742"/>
      <c r="EW98" s="742"/>
      <c r="EX98" s="742"/>
      <c r="EY98" s="742"/>
      <c r="EZ98" s="742"/>
      <c r="FA98" s="742"/>
      <c r="FB98" s="544"/>
      <c r="FC98" s="544"/>
      <c r="FD98" s="544"/>
      <c r="FE98" s="544"/>
      <c r="FF98" s="545"/>
      <c r="FG98" s="543"/>
      <c r="FH98" s="544"/>
      <c r="FI98" s="544"/>
      <c r="FJ98" s="544"/>
      <c r="FK98" s="742" t="s">
        <v>123</v>
      </c>
      <c r="FL98" s="742"/>
      <c r="FM98" s="742"/>
      <c r="FN98" s="742"/>
      <c r="FO98" s="742"/>
      <c r="FP98" s="742"/>
      <c r="FQ98" s="742"/>
      <c r="FR98" s="742"/>
      <c r="FS98" s="742"/>
      <c r="FT98" s="544"/>
      <c r="FU98" s="544"/>
      <c r="FV98" s="544"/>
      <c r="FW98" s="544"/>
      <c r="FX98" s="545"/>
      <c r="FY98" s="543"/>
      <c r="FZ98" s="544"/>
      <c r="GA98" s="544"/>
      <c r="GB98" s="544"/>
      <c r="GC98" s="742" t="s">
        <v>123</v>
      </c>
      <c r="GD98" s="742"/>
      <c r="GE98" s="742"/>
      <c r="GF98" s="742"/>
      <c r="GG98" s="742"/>
      <c r="GH98" s="742"/>
      <c r="GI98" s="742"/>
      <c r="GJ98" s="742"/>
      <c r="GK98" s="742"/>
      <c r="GL98" s="544"/>
      <c r="GM98" s="544"/>
      <c r="GN98" s="544"/>
      <c r="GO98" s="544"/>
      <c r="GP98" s="545"/>
      <c r="GQ98" s="543"/>
      <c r="GR98" s="544"/>
      <c r="GS98" s="544"/>
      <c r="GT98" s="544"/>
      <c r="GU98" s="742" t="s">
        <v>123</v>
      </c>
      <c r="GV98" s="742"/>
      <c r="GW98" s="742"/>
      <c r="GX98" s="742"/>
      <c r="GY98" s="742"/>
      <c r="GZ98" s="742"/>
      <c r="HA98" s="742"/>
      <c r="HB98" s="742"/>
      <c r="HC98" s="742"/>
      <c r="HD98" s="544"/>
      <c r="HE98" s="544"/>
      <c r="HF98" s="544"/>
      <c r="HG98" s="544"/>
      <c r="HH98" s="545"/>
      <c r="HJ98" s="37"/>
      <c r="HK98" s="37"/>
      <c r="HL98" s="37"/>
      <c r="HM98" s="37"/>
      <c r="HN98" s="37"/>
      <c r="HO98" s="37"/>
      <c r="HP98" s="37"/>
      <c r="HQ98" s="37"/>
      <c r="HR98" s="37"/>
      <c r="HS98" s="37"/>
      <c r="HT98" s="37"/>
      <c r="HU98" s="37"/>
      <c r="HV98" s="37"/>
      <c r="HW98" s="37"/>
      <c r="HX98" s="37"/>
      <c r="HY98" s="37"/>
      <c r="HZ98" s="37"/>
      <c r="IA98" s="37"/>
      <c r="IB98" s="37"/>
      <c r="IC98" s="37"/>
      <c r="ID98" s="37"/>
      <c r="IE98" s="37"/>
      <c r="IF98" s="37"/>
      <c r="IG98" s="37"/>
      <c r="IH98" s="37"/>
      <c r="II98" s="37"/>
      <c r="IJ98" s="37"/>
      <c r="IK98" s="37"/>
      <c r="IL98" s="37"/>
      <c r="IM98" s="37"/>
      <c r="IN98" s="37"/>
      <c r="IO98" s="37"/>
      <c r="IP98" s="37"/>
    </row>
    <row r="99" spans="1:250" ht="15" customHeight="1" x14ac:dyDescent="0.3">
      <c r="A99" s="58">
        <v>1</v>
      </c>
      <c r="B99" s="68" t="s">
        <v>297</v>
      </c>
      <c r="C99" s="28">
        <f t="shared" ref="C99:C101" si="1812">D99/$AM$4</f>
        <v>9.4915454545454541</v>
      </c>
      <c r="D99" s="69">
        <v>2088.14</v>
      </c>
      <c r="E99" s="28">
        <f t="shared" ref="E99:E101" si="1813">D99*E$6</f>
        <v>208.81399999999999</v>
      </c>
      <c r="F99" s="28">
        <f t="shared" ref="F99:F101" si="1814">D99*F$6</f>
        <v>167.05119999999999</v>
      </c>
      <c r="G99" s="28">
        <f t="shared" ref="G99:G101" si="1815">D99/G$6</f>
        <v>174.01166666666666</v>
      </c>
      <c r="H99" s="72">
        <f t="shared" ref="H99:H101" si="1816">G99/H$6</f>
        <v>58.003888888888888</v>
      </c>
      <c r="I99" s="70">
        <f t="shared" ref="I99:I101" si="1817">D99/I$6</f>
        <v>174.01166666666666</v>
      </c>
      <c r="J99" s="70">
        <f t="shared" ref="J99:J101" si="1818">SUM(D99:I99)</f>
        <v>2870.0324222222221</v>
      </c>
      <c r="K99" s="71">
        <v>0</v>
      </c>
      <c r="L99" s="71">
        <v>0</v>
      </c>
      <c r="M99" s="72">
        <f t="shared" ref="M99:M101" si="1819">((C99*M$6)+(C99*$AO$6)+(C99*$AP$6))*K99</f>
        <v>0</v>
      </c>
      <c r="N99" s="72">
        <f t="shared" ref="N99:N101" si="1820">((C99*N$6)+(C99*$AO$6)+(C99*$AP$6))*L99</f>
        <v>0</v>
      </c>
      <c r="O99" s="70">
        <f t="shared" ref="O99:O101" si="1821">SUM(M99:N99)</f>
        <v>0</v>
      </c>
      <c r="P99" s="73">
        <v>0</v>
      </c>
      <c r="Q99" s="74">
        <f t="shared" ref="Q99:Q101" si="1822">IF(A99=1,($C$1*$Q$6),0)</f>
        <v>282.40000000000003</v>
      </c>
      <c r="R99" s="303">
        <f t="shared" ref="R99:R101" si="1823">J99+O99+P99+Q99</f>
        <v>3152.4324222222222</v>
      </c>
      <c r="S99" s="58">
        <v>1</v>
      </c>
      <c r="T99" s="68" t="s">
        <v>297</v>
      </c>
      <c r="U99" s="28">
        <f t="shared" ref="U99:U101" si="1824">V99/$AM$4</f>
        <v>9.4915454545454541</v>
      </c>
      <c r="V99" s="69">
        <v>2088.14</v>
      </c>
      <c r="W99" s="28">
        <f t="shared" ref="W99:W101" si="1825">V99*W$6</f>
        <v>208.81399999999999</v>
      </c>
      <c r="X99" s="28">
        <f t="shared" ref="X99:X101" si="1826">V99*X$6</f>
        <v>167.05119999999999</v>
      </c>
      <c r="Y99" s="28">
        <f t="shared" ref="Y99:Y101" si="1827">V99/Y$6</f>
        <v>174.01166666666666</v>
      </c>
      <c r="Z99" s="72">
        <f t="shared" ref="Z99:Z101" si="1828">Y99/Z$6</f>
        <v>58.003888888888888</v>
      </c>
      <c r="AA99" s="70">
        <f t="shared" ref="AA99:AA101" si="1829">V99/AA$6</f>
        <v>174.01166666666666</v>
      </c>
      <c r="AB99" s="70">
        <f t="shared" ref="AB99:AB101" si="1830">SUM(V99:AA99)</f>
        <v>2870.0324222222221</v>
      </c>
      <c r="AC99" s="71">
        <v>0</v>
      </c>
      <c r="AD99" s="71">
        <v>0</v>
      </c>
      <c r="AE99" s="72">
        <f t="shared" ref="AE99:AE101" si="1831">((U99*AE$6)+(U99*$AO$6)+(U99*$AP$6))*AC99</f>
        <v>0</v>
      </c>
      <c r="AF99" s="72">
        <f t="shared" ref="AF99:AF101" si="1832">((U99*AF$6)+(U99*$AO$6)+(U99*$AP$6))*AD99</f>
        <v>0</v>
      </c>
      <c r="AG99" s="70">
        <f t="shared" ref="AG99:AG101" si="1833">SUM(AE99:AF99)</f>
        <v>0</v>
      </c>
      <c r="AH99" s="73">
        <v>0</v>
      </c>
      <c r="AI99" s="74">
        <f t="shared" ref="AI99:AI101" si="1834">IF(S99=1,($C$1*$Q$6),0)</f>
        <v>282.40000000000003</v>
      </c>
      <c r="AJ99" s="303">
        <f t="shared" ref="AJ99:AJ101" si="1835">AB99+AG99+AH99+AI99</f>
        <v>3152.4324222222222</v>
      </c>
      <c r="AK99" s="58">
        <v>1</v>
      </c>
      <c r="AL99" s="68" t="s">
        <v>297</v>
      </c>
      <c r="AM99" s="28">
        <f t="shared" ref="AM99:AM101" si="1836">AN99/$AM$4</f>
        <v>9.4915454545454541</v>
      </c>
      <c r="AN99" s="69">
        <v>2088.14</v>
      </c>
      <c r="AO99" s="28">
        <f t="shared" ref="AO99:AO101" si="1837">AN99*AO$6</f>
        <v>208.81399999999999</v>
      </c>
      <c r="AP99" s="28">
        <f t="shared" ref="AP99:AP101" si="1838">AN99*AP$6</f>
        <v>167.05119999999999</v>
      </c>
      <c r="AQ99" s="28">
        <f t="shared" ref="AQ99:AQ101" si="1839">AN99/AQ$6</f>
        <v>174.01166666666666</v>
      </c>
      <c r="AR99" s="72">
        <f t="shared" ref="AR99:AR101" si="1840">AQ99/AR$6</f>
        <v>58.003888888888888</v>
      </c>
      <c r="AS99" s="70">
        <f t="shared" ref="AS99:AS101" si="1841">AN99/AS$6</f>
        <v>174.01166666666666</v>
      </c>
      <c r="AT99" s="70">
        <f t="shared" ref="AT99:AT101" si="1842">SUM(AN99:AS99)</f>
        <v>2870.0324222222221</v>
      </c>
      <c r="AU99" s="71">
        <v>0</v>
      </c>
      <c r="AV99" s="71">
        <v>0</v>
      </c>
      <c r="AW99" s="72">
        <f t="shared" ref="AW99:AW101" si="1843">((AM99*AW$6)+(AM99*$AO$6)+(AM99*$AP$6))*AU99</f>
        <v>0</v>
      </c>
      <c r="AX99" s="72">
        <f t="shared" ref="AX99:AX101" si="1844">((AM99*AX$6)+(AM99*$AO$6)+(AM99*$AP$6))*AV99</f>
        <v>0</v>
      </c>
      <c r="AY99" s="70">
        <f t="shared" ref="AY99:AY101" si="1845">SUM(AW99:AX99)</f>
        <v>0</v>
      </c>
      <c r="AZ99" s="73">
        <v>0</v>
      </c>
      <c r="BA99" s="74">
        <f t="shared" ref="BA99:BA101" si="1846">IF(AK99=1,($C$1*$Q$6),0)</f>
        <v>282.40000000000003</v>
      </c>
      <c r="BB99" s="303">
        <f t="shared" ref="BB99:BB101" si="1847">AT99+AY99+AZ99+BA99</f>
        <v>3152.4324222222222</v>
      </c>
      <c r="BC99" s="58">
        <v>1</v>
      </c>
      <c r="BD99" s="68" t="s">
        <v>297</v>
      </c>
      <c r="BE99" s="28">
        <f t="shared" ref="BE99:BE101" si="1848">BF99/$AM$4</f>
        <v>9.4915454545454541</v>
      </c>
      <c r="BF99" s="69">
        <v>2088.14</v>
      </c>
      <c r="BG99" s="28">
        <f t="shared" ref="BG99:BG101" si="1849">BF99*BG$6</f>
        <v>208.81399999999999</v>
      </c>
      <c r="BH99" s="28">
        <f t="shared" ref="BH99:BH101" si="1850">BF99*BH$6</f>
        <v>167.05119999999999</v>
      </c>
      <c r="BI99" s="28">
        <f t="shared" ref="BI99:BI101" si="1851">BF99/BI$6</f>
        <v>174.01166666666666</v>
      </c>
      <c r="BJ99" s="72">
        <f t="shared" ref="BJ99:BJ101" si="1852">BI99/BJ$6</f>
        <v>58.003888888888888</v>
      </c>
      <c r="BK99" s="70">
        <f t="shared" ref="BK99:BK101" si="1853">BF99/BK$6</f>
        <v>174.01166666666666</v>
      </c>
      <c r="BL99" s="70">
        <f t="shared" ref="BL99:BL101" si="1854">SUM(BF99:BK99)</f>
        <v>2870.0324222222221</v>
      </c>
      <c r="BM99" s="71">
        <v>0</v>
      </c>
      <c r="BN99" s="71">
        <v>0</v>
      </c>
      <c r="BO99" s="72">
        <f t="shared" ref="BO99:BO101" si="1855">((BE99*BO$6)+(BE99*$AO$6)+(BE99*$AP$6))*BM99</f>
        <v>0</v>
      </c>
      <c r="BP99" s="72">
        <f t="shared" ref="BP99:BP101" si="1856">((BE99*BP$6)+(BE99*$AO$6)+(BE99*$AP$6))*BN99</f>
        <v>0</v>
      </c>
      <c r="BQ99" s="70">
        <f t="shared" ref="BQ99:BQ101" si="1857">SUM(BO99:BP99)</f>
        <v>0</v>
      </c>
      <c r="BR99" s="73">
        <v>0</v>
      </c>
      <c r="BS99" s="74">
        <f t="shared" ref="BS99:BS101" si="1858">IF(BC99=1,($C$1*$Q$6),0)</f>
        <v>282.40000000000003</v>
      </c>
      <c r="BT99" s="303">
        <f t="shared" ref="BT99:BT101" si="1859">BL99+BQ99+BR99+BS99</f>
        <v>3152.4324222222222</v>
      </c>
      <c r="BU99" s="58">
        <v>1</v>
      </c>
      <c r="BV99" s="68" t="s">
        <v>297</v>
      </c>
      <c r="BW99" s="28">
        <f t="shared" ref="BW99:BW101" si="1860">BX99/$AM$4</f>
        <v>9.4915454545454541</v>
      </c>
      <c r="BX99" s="69">
        <v>2088.14</v>
      </c>
      <c r="BY99" s="28">
        <f t="shared" ref="BY99:BY101" si="1861">BX99*BY$6</f>
        <v>208.81399999999999</v>
      </c>
      <c r="BZ99" s="28">
        <f t="shared" ref="BZ99:BZ101" si="1862">BX99*BZ$6</f>
        <v>167.05119999999999</v>
      </c>
      <c r="CA99" s="28">
        <f t="shared" ref="CA99:CA101" si="1863">BX99/CA$6</f>
        <v>174.01166666666666</v>
      </c>
      <c r="CB99" s="72">
        <f t="shared" ref="CB99:CB101" si="1864">CA99/CB$6</f>
        <v>58.003888888888888</v>
      </c>
      <c r="CC99" s="70">
        <f t="shared" ref="CC99:CC101" si="1865">BX99/CC$6</f>
        <v>174.01166666666666</v>
      </c>
      <c r="CD99" s="70">
        <f t="shared" ref="CD99:CD101" si="1866">SUM(BX99:CC99)</f>
        <v>2870.0324222222221</v>
      </c>
      <c r="CE99" s="71">
        <v>0</v>
      </c>
      <c r="CF99" s="71">
        <v>0</v>
      </c>
      <c r="CG99" s="72">
        <f t="shared" ref="CG99:CG101" si="1867">((BW99*CG$6)+(BW99*$AO$6)+(BW99*$AP$6))*CE99</f>
        <v>0</v>
      </c>
      <c r="CH99" s="72">
        <f t="shared" ref="CH99:CH101" si="1868">((BW99*CH$6)+(BW99*$AO$6)+(BW99*$AP$6))*CF99</f>
        <v>0</v>
      </c>
      <c r="CI99" s="70">
        <f t="shared" ref="CI99:CI101" si="1869">SUM(CG99:CH99)</f>
        <v>0</v>
      </c>
      <c r="CJ99" s="73">
        <v>0</v>
      </c>
      <c r="CK99" s="74">
        <f t="shared" ref="CK99:CK101" si="1870">IF(BU99=1,($C$1*$Q$6),0)</f>
        <v>282.40000000000003</v>
      </c>
      <c r="CL99" s="303">
        <f t="shared" ref="CL99:CL101" si="1871">CD99+CI99+CJ99+CK99</f>
        <v>3152.4324222222222</v>
      </c>
      <c r="CM99" s="58">
        <v>1</v>
      </c>
      <c r="CN99" s="68" t="s">
        <v>297</v>
      </c>
      <c r="CO99" s="28">
        <f t="shared" ref="CO99:CO101" si="1872">CP99/$AM$4</f>
        <v>9.4915454545454541</v>
      </c>
      <c r="CP99" s="69">
        <v>2088.14</v>
      </c>
      <c r="CQ99" s="28">
        <f t="shared" ref="CQ99:CQ101" si="1873">CP99*CQ$6</f>
        <v>208.81399999999999</v>
      </c>
      <c r="CR99" s="28">
        <f t="shared" ref="CR99:CR101" si="1874">CP99*CR$6</f>
        <v>167.05119999999999</v>
      </c>
      <c r="CS99" s="28">
        <f t="shared" ref="CS99:CS101" si="1875">CP99/CS$6</f>
        <v>174.01166666666666</v>
      </c>
      <c r="CT99" s="72">
        <f t="shared" ref="CT99:CT101" si="1876">CS99/CT$6</f>
        <v>58.003888888888888</v>
      </c>
      <c r="CU99" s="70">
        <f t="shared" ref="CU99:CU101" si="1877">CP99/CU$6</f>
        <v>174.01166666666666</v>
      </c>
      <c r="CV99" s="70">
        <f t="shared" ref="CV99:CV101" si="1878">SUM(CP99:CU99)</f>
        <v>2870.0324222222221</v>
      </c>
      <c r="CW99" s="71">
        <v>0</v>
      </c>
      <c r="CX99" s="71">
        <v>0</v>
      </c>
      <c r="CY99" s="72">
        <f t="shared" ref="CY99:CY101" si="1879">((CO99*CY$6)+(CO99*$AO$6)+(CO99*$AP$6))*CW99</f>
        <v>0</v>
      </c>
      <c r="CZ99" s="72">
        <f t="shared" ref="CZ99:CZ101" si="1880">((CO99*CZ$6)+(CO99*$AO$6)+(CO99*$AP$6))*CX99</f>
        <v>0</v>
      </c>
      <c r="DA99" s="70">
        <f t="shared" ref="DA99:DA101" si="1881">SUM(CY99:CZ99)</f>
        <v>0</v>
      </c>
      <c r="DB99" s="73">
        <v>0</v>
      </c>
      <c r="DC99" s="74">
        <f t="shared" ref="DC99:DC101" si="1882">IF(CM99=1,($C$1*$Q$6),0)</f>
        <v>282.40000000000003</v>
      </c>
      <c r="DD99" s="303">
        <f t="shared" ref="DD99:DD101" si="1883">CV99+DA99+DB99+DC99</f>
        <v>3152.4324222222222</v>
      </c>
      <c r="DE99" s="58">
        <v>1</v>
      </c>
      <c r="DF99" s="68" t="s">
        <v>297</v>
      </c>
      <c r="DG99" s="28">
        <f t="shared" ref="DG99:DG101" si="1884">DH99/$AM$4</f>
        <v>9.4915454545454541</v>
      </c>
      <c r="DH99" s="69">
        <v>2088.14</v>
      </c>
      <c r="DI99" s="28">
        <f t="shared" ref="DI99:DI101" si="1885">DH99*DI$6</f>
        <v>208.81399999999999</v>
      </c>
      <c r="DJ99" s="28">
        <f t="shared" ref="DJ99:DJ101" si="1886">DH99*DJ$6</f>
        <v>167.05119999999999</v>
      </c>
      <c r="DK99" s="28">
        <f t="shared" ref="DK99:DK101" si="1887">DH99/DK$6</f>
        <v>174.01166666666666</v>
      </c>
      <c r="DL99" s="72">
        <f t="shared" ref="DL99:DL101" si="1888">DK99/DL$6</f>
        <v>58.003888888888888</v>
      </c>
      <c r="DM99" s="70">
        <f t="shared" ref="DM99:DM101" si="1889">DH99/DM$6</f>
        <v>174.01166666666666</v>
      </c>
      <c r="DN99" s="70">
        <f t="shared" ref="DN99:DN101" si="1890">SUM(DH99:DM99)</f>
        <v>2870.0324222222221</v>
      </c>
      <c r="DO99" s="71">
        <v>0</v>
      </c>
      <c r="DP99" s="71">
        <v>0</v>
      </c>
      <c r="DQ99" s="72">
        <f t="shared" ref="DQ99:DQ101" si="1891">((DG99*DQ$6)+(DG99*$AO$6)+(DG99*$AP$6))*DO99</f>
        <v>0</v>
      </c>
      <c r="DR99" s="72">
        <f t="shared" ref="DR99:DR101" si="1892">((DG99*DR$6)+(DG99*$AO$6)+(DG99*$AP$6))*DP99</f>
        <v>0</v>
      </c>
      <c r="DS99" s="70">
        <f t="shared" ref="DS99:DS101" si="1893">SUM(DQ99:DR99)</f>
        <v>0</v>
      </c>
      <c r="DT99" s="73">
        <v>0</v>
      </c>
      <c r="DU99" s="74">
        <f t="shared" ref="DU99:DU101" si="1894">IF(DE99=1,($C$1*$Q$6),0)</f>
        <v>282.40000000000003</v>
      </c>
      <c r="DV99" s="303">
        <f t="shared" ref="DV99:DV101" si="1895">DN99+DS99+DT99+DU99</f>
        <v>3152.4324222222222</v>
      </c>
      <c r="DW99" s="58">
        <v>1</v>
      </c>
      <c r="DX99" s="68" t="s">
        <v>297</v>
      </c>
      <c r="DY99" s="28">
        <f t="shared" ref="DY99:DY101" si="1896">DZ99/$AM$4</f>
        <v>9.4915454545454541</v>
      </c>
      <c r="DZ99" s="69">
        <v>2088.14</v>
      </c>
      <c r="EA99" s="28">
        <f t="shared" ref="EA99:EA101" si="1897">DZ99*EA$6</f>
        <v>208.81399999999999</v>
      </c>
      <c r="EB99" s="28">
        <f t="shared" ref="EB99:EB101" si="1898">DZ99*EB$6</f>
        <v>167.05119999999999</v>
      </c>
      <c r="EC99" s="28">
        <f t="shared" ref="EC99:EC101" si="1899">DZ99/EC$6</f>
        <v>174.01166666666666</v>
      </c>
      <c r="ED99" s="72">
        <f t="shared" ref="ED99:ED101" si="1900">EC99/ED$6</f>
        <v>58.003888888888888</v>
      </c>
      <c r="EE99" s="70">
        <f t="shared" ref="EE99:EE101" si="1901">DZ99/EE$6</f>
        <v>174.01166666666666</v>
      </c>
      <c r="EF99" s="70">
        <f t="shared" ref="EF99:EF101" si="1902">SUM(DZ99:EE99)</f>
        <v>2870.0324222222221</v>
      </c>
      <c r="EG99" s="71">
        <v>0</v>
      </c>
      <c r="EH99" s="71">
        <v>0</v>
      </c>
      <c r="EI99" s="72">
        <f t="shared" ref="EI99:EI101" si="1903">((DY99*EI$6)+(DY99*$AO$6)+(DY99*$AP$6))*EG99</f>
        <v>0</v>
      </c>
      <c r="EJ99" s="72">
        <f t="shared" ref="EJ99:EJ101" si="1904">((DY99*EJ$6)+(DY99*$AO$6)+(DY99*$AP$6))*EH99</f>
        <v>0</v>
      </c>
      <c r="EK99" s="70">
        <f t="shared" ref="EK99:EK101" si="1905">SUM(EI99:EJ99)</f>
        <v>0</v>
      </c>
      <c r="EL99" s="73">
        <v>0</v>
      </c>
      <c r="EM99" s="74">
        <f t="shared" ref="EM99:EM101" si="1906">IF(DW99=1,($C$1*$Q$6),0)</f>
        <v>282.40000000000003</v>
      </c>
      <c r="EN99" s="303">
        <f t="shared" ref="EN99:EN101" si="1907">EF99+EK99+EL99+EM99</f>
        <v>3152.4324222222222</v>
      </c>
      <c r="EO99" s="58">
        <v>1</v>
      </c>
      <c r="EP99" s="68" t="s">
        <v>297</v>
      </c>
      <c r="EQ99" s="28">
        <f t="shared" ref="EQ99:EQ101" si="1908">ER99/$AM$4</f>
        <v>9.4915454545454541</v>
      </c>
      <c r="ER99" s="69">
        <v>2088.14</v>
      </c>
      <c r="ES99" s="28">
        <f t="shared" ref="ES99:ES101" si="1909">ER99*ES$6</f>
        <v>208.81399999999999</v>
      </c>
      <c r="ET99" s="28">
        <f t="shared" ref="ET99:ET101" si="1910">ER99*ET$6</f>
        <v>167.05119999999999</v>
      </c>
      <c r="EU99" s="28">
        <f t="shared" ref="EU99:EU101" si="1911">ER99/EU$6</f>
        <v>174.01166666666666</v>
      </c>
      <c r="EV99" s="72">
        <f t="shared" ref="EV99:EV101" si="1912">EU99/EV$6</f>
        <v>58.003888888888888</v>
      </c>
      <c r="EW99" s="70">
        <f t="shared" ref="EW99:EW101" si="1913">ER99/EW$6</f>
        <v>174.01166666666666</v>
      </c>
      <c r="EX99" s="70">
        <f t="shared" ref="EX99:EX101" si="1914">SUM(ER99:EW99)</f>
        <v>2870.0324222222221</v>
      </c>
      <c r="EY99" s="71">
        <v>0</v>
      </c>
      <c r="EZ99" s="71">
        <v>0</v>
      </c>
      <c r="FA99" s="72">
        <f t="shared" ref="FA99:FA101" si="1915">((EQ99*FA$6)+(EQ99*$AO$6)+(EQ99*$AP$6))*EY99</f>
        <v>0</v>
      </c>
      <c r="FB99" s="72">
        <f t="shared" ref="FB99:FB101" si="1916">((EQ99*FB$6)+(EQ99*$AO$6)+(EQ99*$AP$6))*EZ99</f>
        <v>0</v>
      </c>
      <c r="FC99" s="70">
        <f t="shared" ref="FC99:FC101" si="1917">SUM(FA99:FB99)</f>
        <v>0</v>
      </c>
      <c r="FD99" s="73">
        <v>0</v>
      </c>
      <c r="FE99" s="74">
        <f t="shared" ref="FE99:FE101" si="1918">IF(EO99=1,($C$1*$Q$6),0)</f>
        <v>282.40000000000003</v>
      </c>
      <c r="FF99" s="303">
        <f t="shared" ref="FF99:FF101" si="1919">EX99+FC99+FD99+FE99</f>
        <v>3152.4324222222222</v>
      </c>
      <c r="FG99" s="58">
        <v>1</v>
      </c>
      <c r="FH99" s="68" t="s">
        <v>297</v>
      </c>
      <c r="FI99" s="28">
        <f t="shared" ref="FI99:FI101" si="1920">FJ99/$AM$4</f>
        <v>9.4915454545454541</v>
      </c>
      <c r="FJ99" s="69">
        <v>2088.14</v>
      </c>
      <c r="FK99" s="28">
        <f t="shared" ref="FK99:FK101" si="1921">FJ99*FK$6</f>
        <v>208.81399999999999</v>
      </c>
      <c r="FL99" s="28">
        <f t="shared" ref="FL99:FL101" si="1922">FJ99*FL$6</f>
        <v>167.05119999999999</v>
      </c>
      <c r="FM99" s="28">
        <f t="shared" ref="FM99:FM101" si="1923">FJ99/FM$6</f>
        <v>174.01166666666666</v>
      </c>
      <c r="FN99" s="72">
        <f t="shared" ref="FN99:FN101" si="1924">FM99/FN$6</f>
        <v>58.003888888888888</v>
      </c>
      <c r="FO99" s="70">
        <f t="shared" ref="FO99:FO101" si="1925">FJ99/FO$6</f>
        <v>174.01166666666666</v>
      </c>
      <c r="FP99" s="70">
        <f t="shared" ref="FP99:FP101" si="1926">SUM(FJ99:FO99)</f>
        <v>2870.0324222222221</v>
      </c>
      <c r="FQ99" s="71">
        <v>0</v>
      </c>
      <c r="FR99" s="71">
        <v>0</v>
      </c>
      <c r="FS99" s="72">
        <f t="shared" ref="FS99:FS101" si="1927">((FI99*FS$6)+(FI99*$AO$6)+(FI99*$AP$6))*FQ99</f>
        <v>0</v>
      </c>
      <c r="FT99" s="72">
        <f t="shared" ref="FT99:FT101" si="1928">((FI99*FT$6)+(FI99*$AO$6)+(FI99*$AP$6))*FR99</f>
        <v>0</v>
      </c>
      <c r="FU99" s="70">
        <f t="shared" ref="FU99:FU101" si="1929">SUM(FS99:FT99)</f>
        <v>0</v>
      </c>
      <c r="FV99" s="73">
        <v>0</v>
      </c>
      <c r="FW99" s="74">
        <f t="shared" ref="FW99:FW101" si="1930">IF(FG99=1,($C$1*$Q$6),0)</f>
        <v>282.40000000000003</v>
      </c>
      <c r="FX99" s="303">
        <f t="shared" ref="FX99:FX101" si="1931">FP99+FU99+FV99+FW99</f>
        <v>3152.4324222222222</v>
      </c>
      <c r="FY99" s="58">
        <v>1</v>
      </c>
      <c r="FZ99" s="68" t="s">
        <v>297</v>
      </c>
      <c r="GA99" s="28">
        <f t="shared" ref="GA99:GA101" si="1932">GB99/$AM$4</f>
        <v>9.4915454545454541</v>
      </c>
      <c r="GB99" s="69">
        <v>2088.14</v>
      </c>
      <c r="GC99" s="28">
        <f t="shared" ref="GC99:GC101" si="1933">GB99*GC$6</f>
        <v>208.81399999999999</v>
      </c>
      <c r="GD99" s="28">
        <f t="shared" ref="GD99:GD101" si="1934">GB99*GD$6</f>
        <v>167.05119999999999</v>
      </c>
      <c r="GE99" s="28">
        <f t="shared" ref="GE99:GE101" si="1935">GB99/GE$6</f>
        <v>174.01166666666666</v>
      </c>
      <c r="GF99" s="72">
        <f t="shared" ref="GF99:GF101" si="1936">GE99/GF$6</f>
        <v>58.003888888888888</v>
      </c>
      <c r="GG99" s="70">
        <f t="shared" ref="GG99:GG101" si="1937">GB99/GG$6</f>
        <v>174.01166666666666</v>
      </c>
      <c r="GH99" s="70">
        <f t="shared" ref="GH99:GH101" si="1938">SUM(GB99:GG99)</f>
        <v>2870.0324222222221</v>
      </c>
      <c r="GI99" s="71">
        <v>0</v>
      </c>
      <c r="GJ99" s="71">
        <v>0</v>
      </c>
      <c r="GK99" s="72">
        <f t="shared" ref="GK99:GK101" si="1939">((GA99*GK$6)+(GA99*$AO$6)+(GA99*$AP$6))*GI99</f>
        <v>0</v>
      </c>
      <c r="GL99" s="72">
        <f t="shared" ref="GL99:GL101" si="1940">((GA99*GL$6)+(GA99*$AO$6)+(GA99*$AP$6))*GJ99</f>
        <v>0</v>
      </c>
      <c r="GM99" s="70">
        <f t="shared" ref="GM99:GM101" si="1941">SUM(GK99:GL99)</f>
        <v>0</v>
      </c>
      <c r="GN99" s="73">
        <v>0</v>
      </c>
      <c r="GO99" s="74">
        <f t="shared" ref="GO99:GO101" si="1942">IF(FY99=1,($C$1*$Q$6),0)</f>
        <v>282.40000000000003</v>
      </c>
      <c r="GP99" s="303">
        <f t="shared" ref="GP99:GP101" si="1943">GH99+GM99+GN99+GO99</f>
        <v>3152.4324222222222</v>
      </c>
      <c r="GQ99" s="58">
        <v>1</v>
      </c>
      <c r="GR99" s="68" t="s">
        <v>297</v>
      </c>
      <c r="GS99" s="28">
        <f t="shared" ref="GS99:GS101" si="1944">GT99/$AM$4</f>
        <v>9.4915454545454541</v>
      </c>
      <c r="GT99" s="69">
        <v>2088.14</v>
      </c>
      <c r="GU99" s="28">
        <f t="shared" ref="GU99:GU101" si="1945">GT99*GU$6</f>
        <v>208.81399999999999</v>
      </c>
      <c r="GV99" s="28">
        <f t="shared" ref="GV99:GV101" si="1946">GT99*GV$6</f>
        <v>167.05119999999999</v>
      </c>
      <c r="GW99" s="28">
        <f t="shared" ref="GW99:GW101" si="1947">GT99/GW$6</f>
        <v>174.01166666666666</v>
      </c>
      <c r="GX99" s="72">
        <f t="shared" ref="GX99:GX101" si="1948">GW99/GX$6</f>
        <v>58.003888888888888</v>
      </c>
      <c r="GY99" s="70">
        <f t="shared" ref="GY99:GY101" si="1949">GT99/GY$6</f>
        <v>174.01166666666666</v>
      </c>
      <c r="GZ99" s="70">
        <f t="shared" ref="GZ99:GZ101" si="1950">SUM(GT99:GY99)</f>
        <v>2870.0324222222221</v>
      </c>
      <c r="HA99" s="71">
        <v>0</v>
      </c>
      <c r="HB99" s="71">
        <v>0</v>
      </c>
      <c r="HC99" s="72">
        <f t="shared" ref="HC99:HC101" si="1951">((GS99*HC$6)+(GS99*$AO$6)+(GS99*$AP$6))*HA99</f>
        <v>0</v>
      </c>
      <c r="HD99" s="72">
        <f t="shared" ref="HD99:HD101" si="1952">((GS99*HD$6)+(GS99*$AO$6)+(GS99*$AP$6))*HB99</f>
        <v>0</v>
      </c>
      <c r="HE99" s="70">
        <f t="shared" ref="HE99:HE101" si="1953">SUM(HC99:HD99)</f>
        <v>0</v>
      </c>
      <c r="HF99" s="73">
        <v>0</v>
      </c>
      <c r="HG99" s="74">
        <f t="shared" ref="HG99:HG101" si="1954">IF(GQ99=1,($C$1*$Q$6),0)</f>
        <v>282.40000000000003</v>
      </c>
      <c r="HH99" s="303">
        <f t="shared" ref="HH99:HH101" si="1955">GZ99+HE99+HF99+HG99</f>
        <v>3152.4324222222222</v>
      </c>
      <c r="HJ99" s="37"/>
      <c r="HK99" s="37"/>
      <c r="HL99" s="37"/>
      <c r="HM99" s="37"/>
      <c r="HN99" s="37"/>
      <c r="HO99" s="37"/>
      <c r="HP99" s="37"/>
      <c r="HQ99" s="37"/>
      <c r="HR99" s="37"/>
      <c r="HS99" s="37"/>
      <c r="HT99" s="37"/>
      <c r="HU99" s="37"/>
      <c r="HV99" s="37"/>
      <c r="HW99" s="37"/>
      <c r="HX99" s="37"/>
      <c r="HY99" s="37"/>
      <c r="HZ99" s="37"/>
      <c r="IA99" s="37"/>
      <c r="IB99" s="37"/>
      <c r="IC99" s="37"/>
      <c r="ID99" s="37"/>
      <c r="IE99" s="37"/>
      <c r="IF99" s="37"/>
      <c r="IG99" s="37"/>
      <c r="IH99" s="37"/>
      <c r="II99" s="37"/>
      <c r="IJ99" s="37"/>
      <c r="IK99" s="37"/>
      <c r="IL99" s="37"/>
      <c r="IM99" s="37"/>
      <c r="IN99" s="37"/>
      <c r="IO99" s="37"/>
      <c r="IP99" s="37"/>
    </row>
    <row r="100" spans="1:250" x14ac:dyDescent="0.3">
      <c r="A100" s="58">
        <v>0</v>
      </c>
      <c r="B100" s="68"/>
      <c r="C100" s="28">
        <f t="shared" si="1812"/>
        <v>0</v>
      </c>
      <c r="D100" s="28">
        <v>0</v>
      </c>
      <c r="E100" s="28">
        <f t="shared" si="1813"/>
        <v>0</v>
      </c>
      <c r="F100" s="28">
        <f t="shared" si="1814"/>
        <v>0</v>
      </c>
      <c r="G100" s="28">
        <f t="shared" si="1815"/>
        <v>0</v>
      </c>
      <c r="H100" s="72">
        <f t="shared" si="1816"/>
        <v>0</v>
      </c>
      <c r="I100" s="70">
        <f t="shared" si="1817"/>
        <v>0</v>
      </c>
      <c r="J100" s="70">
        <f t="shared" si="1818"/>
        <v>0</v>
      </c>
      <c r="K100" s="71">
        <v>0</v>
      </c>
      <c r="L100" s="71">
        <v>0</v>
      </c>
      <c r="M100" s="72">
        <f t="shared" si="1819"/>
        <v>0</v>
      </c>
      <c r="N100" s="72">
        <f t="shared" si="1820"/>
        <v>0</v>
      </c>
      <c r="O100" s="70">
        <f t="shared" si="1821"/>
        <v>0</v>
      </c>
      <c r="P100" s="73">
        <v>0</v>
      </c>
      <c r="Q100" s="74">
        <f t="shared" si="1822"/>
        <v>0</v>
      </c>
      <c r="R100" s="303">
        <f t="shared" si="1823"/>
        <v>0</v>
      </c>
      <c r="S100" s="58">
        <v>0</v>
      </c>
      <c r="T100" s="68"/>
      <c r="U100" s="28">
        <f t="shared" si="1824"/>
        <v>0</v>
      </c>
      <c r="V100" s="28">
        <v>0</v>
      </c>
      <c r="W100" s="28">
        <f t="shared" si="1825"/>
        <v>0</v>
      </c>
      <c r="X100" s="28">
        <f t="shared" si="1826"/>
        <v>0</v>
      </c>
      <c r="Y100" s="28">
        <f t="shared" si="1827"/>
        <v>0</v>
      </c>
      <c r="Z100" s="72">
        <f t="shared" si="1828"/>
        <v>0</v>
      </c>
      <c r="AA100" s="70">
        <f t="shared" si="1829"/>
        <v>0</v>
      </c>
      <c r="AB100" s="70">
        <f t="shared" si="1830"/>
        <v>0</v>
      </c>
      <c r="AC100" s="71">
        <v>0</v>
      </c>
      <c r="AD100" s="71">
        <v>0</v>
      </c>
      <c r="AE100" s="72">
        <f t="shared" si="1831"/>
        <v>0</v>
      </c>
      <c r="AF100" s="72">
        <f t="shared" si="1832"/>
        <v>0</v>
      </c>
      <c r="AG100" s="70">
        <f t="shared" si="1833"/>
        <v>0</v>
      </c>
      <c r="AH100" s="73">
        <v>0</v>
      </c>
      <c r="AI100" s="74">
        <f t="shared" si="1834"/>
        <v>0</v>
      </c>
      <c r="AJ100" s="303">
        <f t="shared" si="1835"/>
        <v>0</v>
      </c>
      <c r="AK100" s="58">
        <v>0</v>
      </c>
      <c r="AL100" s="68"/>
      <c r="AM100" s="28">
        <f t="shared" si="1836"/>
        <v>0</v>
      </c>
      <c r="AN100" s="28">
        <v>0</v>
      </c>
      <c r="AO100" s="28">
        <f t="shared" si="1837"/>
        <v>0</v>
      </c>
      <c r="AP100" s="28">
        <f t="shared" si="1838"/>
        <v>0</v>
      </c>
      <c r="AQ100" s="28">
        <f t="shared" si="1839"/>
        <v>0</v>
      </c>
      <c r="AR100" s="72">
        <f t="shared" si="1840"/>
        <v>0</v>
      </c>
      <c r="AS100" s="70">
        <f t="shared" si="1841"/>
        <v>0</v>
      </c>
      <c r="AT100" s="70">
        <f t="shared" si="1842"/>
        <v>0</v>
      </c>
      <c r="AU100" s="71">
        <v>0</v>
      </c>
      <c r="AV100" s="71">
        <v>0</v>
      </c>
      <c r="AW100" s="72">
        <f t="shared" si="1843"/>
        <v>0</v>
      </c>
      <c r="AX100" s="72">
        <f t="shared" si="1844"/>
        <v>0</v>
      </c>
      <c r="AY100" s="70">
        <f t="shared" si="1845"/>
        <v>0</v>
      </c>
      <c r="AZ100" s="73">
        <v>0</v>
      </c>
      <c r="BA100" s="74">
        <f t="shared" si="1846"/>
        <v>0</v>
      </c>
      <c r="BB100" s="303">
        <f t="shared" si="1847"/>
        <v>0</v>
      </c>
      <c r="BC100" s="58">
        <v>0</v>
      </c>
      <c r="BD100" s="68"/>
      <c r="BE100" s="28">
        <f t="shared" si="1848"/>
        <v>0</v>
      </c>
      <c r="BF100" s="28">
        <v>0</v>
      </c>
      <c r="BG100" s="28">
        <f t="shared" si="1849"/>
        <v>0</v>
      </c>
      <c r="BH100" s="28">
        <f t="shared" si="1850"/>
        <v>0</v>
      </c>
      <c r="BI100" s="28">
        <f t="shared" si="1851"/>
        <v>0</v>
      </c>
      <c r="BJ100" s="72">
        <f t="shared" si="1852"/>
        <v>0</v>
      </c>
      <c r="BK100" s="70">
        <f t="shared" si="1853"/>
        <v>0</v>
      </c>
      <c r="BL100" s="70">
        <f t="shared" si="1854"/>
        <v>0</v>
      </c>
      <c r="BM100" s="71">
        <v>0</v>
      </c>
      <c r="BN100" s="71">
        <v>0</v>
      </c>
      <c r="BO100" s="72">
        <f t="shared" si="1855"/>
        <v>0</v>
      </c>
      <c r="BP100" s="72">
        <f t="shared" si="1856"/>
        <v>0</v>
      </c>
      <c r="BQ100" s="70">
        <f t="shared" si="1857"/>
        <v>0</v>
      </c>
      <c r="BR100" s="73">
        <v>0</v>
      </c>
      <c r="BS100" s="74">
        <f t="shared" si="1858"/>
        <v>0</v>
      </c>
      <c r="BT100" s="303">
        <f t="shared" si="1859"/>
        <v>0</v>
      </c>
      <c r="BU100" s="58">
        <v>0</v>
      </c>
      <c r="BV100" s="68"/>
      <c r="BW100" s="28">
        <f t="shared" si="1860"/>
        <v>0</v>
      </c>
      <c r="BX100" s="28">
        <v>0</v>
      </c>
      <c r="BY100" s="28">
        <f t="shared" si="1861"/>
        <v>0</v>
      </c>
      <c r="BZ100" s="28">
        <f t="shared" si="1862"/>
        <v>0</v>
      </c>
      <c r="CA100" s="28">
        <f t="shared" si="1863"/>
        <v>0</v>
      </c>
      <c r="CB100" s="72">
        <f t="shared" si="1864"/>
        <v>0</v>
      </c>
      <c r="CC100" s="70">
        <f t="shared" si="1865"/>
        <v>0</v>
      </c>
      <c r="CD100" s="70">
        <f t="shared" si="1866"/>
        <v>0</v>
      </c>
      <c r="CE100" s="71">
        <v>0</v>
      </c>
      <c r="CF100" s="71">
        <v>0</v>
      </c>
      <c r="CG100" s="72">
        <f t="shared" si="1867"/>
        <v>0</v>
      </c>
      <c r="CH100" s="72">
        <f t="shared" si="1868"/>
        <v>0</v>
      </c>
      <c r="CI100" s="70">
        <f t="shared" si="1869"/>
        <v>0</v>
      </c>
      <c r="CJ100" s="73">
        <v>0</v>
      </c>
      <c r="CK100" s="74">
        <f t="shared" si="1870"/>
        <v>0</v>
      </c>
      <c r="CL100" s="303">
        <f t="shared" si="1871"/>
        <v>0</v>
      </c>
      <c r="CM100" s="58">
        <v>0</v>
      </c>
      <c r="CN100" s="68"/>
      <c r="CO100" s="28">
        <f t="shared" si="1872"/>
        <v>0</v>
      </c>
      <c r="CP100" s="28">
        <v>0</v>
      </c>
      <c r="CQ100" s="28">
        <f t="shared" si="1873"/>
        <v>0</v>
      </c>
      <c r="CR100" s="28">
        <f t="shared" si="1874"/>
        <v>0</v>
      </c>
      <c r="CS100" s="28">
        <f t="shared" si="1875"/>
        <v>0</v>
      </c>
      <c r="CT100" s="72">
        <f t="shared" si="1876"/>
        <v>0</v>
      </c>
      <c r="CU100" s="70">
        <f t="shared" si="1877"/>
        <v>0</v>
      </c>
      <c r="CV100" s="70">
        <f t="shared" si="1878"/>
        <v>0</v>
      </c>
      <c r="CW100" s="71">
        <v>0</v>
      </c>
      <c r="CX100" s="71">
        <v>0</v>
      </c>
      <c r="CY100" s="72">
        <f t="shared" si="1879"/>
        <v>0</v>
      </c>
      <c r="CZ100" s="72">
        <f t="shared" si="1880"/>
        <v>0</v>
      </c>
      <c r="DA100" s="70">
        <f t="shared" si="1881"/>
        <v>0</v>
      </c>
      <c r="DB100" s="73">
        <v>0</v>
      </c>
      <c r="DC100" s="74">
        <f t="shared" si="1882"/>
        <v>0</v>
      </c>
      <c r="DD100" s="303">
        <f t="shared" si="1883"/>
        <v>0</v>
      </c>
      <c r="DE100" s="58">
        <v>0</v>
      </c>
      <c r="DF100" s="68"/>
      <c r="DG100" s="28">
        <f t="shared" si="1884"/>
        <v>0</v>
      </c>
      <c r="DH100" s="28">
        <v>0</v>
      </c>
      <c r="DI100" s="28">
        <f t="shared" si="1885"/>
        <v>0</v>
      </c>
      <c r="DJ100" s="28">
        <f t="shared" si="1886"/>
        <v>0</v>
      </c>
      <c r="DK100" s="28">
        <f t="shared" si="1887"/>
        <v>0</v>
      </c>
      <c r="DL100" s="72">
        <f t="shared" si="1888"/>
        <v>0</v>
      </c>
      <c r="DM100" s="70">
        <f t="shared" si="1889"/>
        <v>0</v>
      </c>
      <c r="DN100" s="70">
        <f t="shared" si="1890"/>
        <v>0</v>
      </c>
      <c r="DO100" s="71">
        <v>0</v>
      </c>
      <c r="DP100" s="71">
        <v>0</v>
      </c>
      <c r="DQ100" s="72">
        <f t="shared" si="1891"/>
        <v>0</v>
      </c>
      <c r="DR100" s="72">
        <f t="shared" si="1892"/>
        <v>0</v>
      </c>
      <c r="DS100" s="70">
        <f t="shared" si="1893"/>
        <v>0</v>
      </c>
      <c r="DT100" s="73">
        <v>0</v>
      </c>
      <c r="DU100" s="74">
        <f t="shared" si="1894"/>
        <v>0</v>
      </c>
      <c r="DV100" s="303">
        <f t="shared" si="1895"/>
        <v>0</v>
      </c>
      <c r="DW100" s="58">
        <v>0</v>
      </c>
      <c r="DX100" s="68"/>
      <c r="DY100" s="28">
        <f t="shared" si="1896"/>
        <v>0</v>
      </c>
      <c r="DZ100" s="28">
        <v>0</v>
      </c>
      <c r="EA100" s="28">
        <f t="shared" si="1897"/>
        <v>0</v>
      </c>
      <c r="EB100" s="28">
        <f t="shared" si="1898"/>
        <v>0</v>
      </c>
      <c r="EC100" s="28">
        <f t="shared" si="1899"/>
        <v>0</v>
      </c>
      <c r="ED100" s="72">
        <f t="shared" si="1900"/>
        <v>0</v>
      </c>
      <c r="EE100" s="70">
        <f t="shared" si="1901"/>
        <v>0</v>
      </c>
      <c r="EF100" s="70">
        <f t="shared" si="1902"/>
        <v>0</v>
      </c>
      <c r="EG100" s="71">
        <v>0</v>
      </c>
      <c r="EH100" s="71">
        <v>0</v>
      </c>
      <c r="EI100" s="72">
        <f t="shared" si="1903"/>
        <v>0</v>
      </c>
      <c r="EJ100" s="72">
        <f t="shared" si="1904"/>
        <v>0</v>
      </c>
      <c r="EK100" s="70">
        <f t="shared" si="1905"/>
        <v>0</v>
      </c>
      <c r="EL100" s="73">
        <v>0</v>
      </c>
      <c r="EM100" s="74">
        <f t="shared" si="1906"/>
        <v>0</v>
      </c>
      <c r="EN100" s="303">
        <f t="shared" si="1907"/>
        <v>0</v>
      </c>
      <c r="EO100" s="58">
        <v>0</v>
      </c>
      <c r="EP100" s="68"/>
      <c r="EQ100" s="28">
        <f t="shared" si="1908"/>
        <v>0</v>
      </c>
      <c r="ER100" s="28">
        <v>0</v>
      </c>
      <c r="ES100" s="28">
        <f t="shared" si="1909"/>
        <v>0</v>
      </c>
      <c r="ET100" s="28">
        <f t="shared" si="1910"/>
        <v>0</v>
      </c>
      <c r="EU100" s="28">
        <f t="shared" si="1911"/>
        <v>0</v>
      </c>
      <c r="EV100" s="72">
        <f t="shared" si="1912"/>
        <v>0</v>
      </c>
      <c r="EW100" s="70">
        <f t="shared" si="1913"/>
        <v>0</v>
      </c>
      <c r="EX100" s="70">
        <f t="shared" si="1914"/>
        <v>0</v>
      </c>
      <c r="EY100" s="71">
        <v>0</v>
      </c>
      <c r="EZ100" s="71">
        <v>0</v>
      </c>
      <c r="FA100" s="72">
        <f t="shared" si="1915"/>
        <v>0</v>
      </c>
      <c r="FB100" s="72">
        <f t="shared" si="1916"/>
        <v>0</v>
      </c>
      <c r="FC100" s="70">
        <f t="shared" si="1917"/>
        <v>0</v>
      </c>
      <c r="FD100" s="73">
        <v>0</v>
      </c>
      <c r="FE100" s="74">
        <f t="shared" si="1918"/>
        <v>0</v>
      </c>
      <c r="FF100" s="303">
        <f t="shared" si="1919"/>
        <v>0</v>
      </c>
      <c r="FG100" s="58">
        <v>0</v>
      </c>
      <c r="FH100" s="68"/>
      <c r="FI100" s="28">
        <f t="shared" si="1920"/>
        <v>0</v>
      </c>
      <c r="FJ100" s="28">
        <v>0</v>
      </c>
      <c r="FK100" s="28">
        <f t="shared" si="1921"/>
        <v>0</v>
      </c>
      <c r="FL100" s="28">
        <f t="shared" si="1922"/>
        <v>0</v>
      </c>
      <c r="FM100" s="28">
        <f t="shared" si="1923"/>
        <v>0</v>
      </c>
      <c r="FN100" s="72">
        <f t="shared" si="1924"/>
        <v>0</v>
      </c>
      <c r="FO100" s="70">
        <f t="shared" si="1925"/>
        <v>0</v>
      </c>
      <c r="FP100" s="70">
        <f t="shared" si="1926"/>
        <v>0</v>
      </c>
      <c r="FQ100" s="71">
        <v>0</v>
      </c>
      <c r="FR100" s="71">
        <v>0</v>
      </c>
      <c r="FS100" s="72">
        <f t="shared" si="1927"/>
        <v>0</v>
      </c>
      <c r="FT100" s="72">
        <f t="shared" si="1928"/>
        <v>0</v>
      </c>
      <c r="FU100" s="70">
        <f t="shared" si="1929"/>
        <v>0</v>
      </c>
      <c r="FV100" s="73">
        <v>0</v>
      </c>
      <c r="FW100" s="74">
        <f t="shared" si="1930"/>
        <v>0</v>
      </c>
      <c r="FX100" s="303">
        <f t="shared" si="1931"/>
        <v>0</v>
      </c>
      <c r="FY100" s="58">
        <v>0</v>
      </c>
      <c r="FZ100" s="68"/>
      <c r="GA100" s="28">
        <f t="shared" si="1932"/>
        <v>0</v>
      </c>
      <c r="GB100" s="28">
        <v>0</v>
      </c>
      <c r="GC100" s="28">
        <f t="shared" si="1933"/>
        <v>0</v>
      </c>
      <c r="GD100" s="28">
        <f t="shared" si="1934"/>
        <v>0</v>
      </c>
      <c r="GE100" s="28">
        <f t="shared" si="1935"/>
        <v>0</v>
      </c>
      <c r="GF100" s="72">
        <f t="shared" si="1936"/>
        <v>0</v>
      </c>
      <c r="GG100" s="70">
        <f t="shared" si="1937"/>
        <v>0</v>
      </c>
      <c r="GH100" s="70">
        <f t="shared" si="1938"/>
        <v>0</v>
      </c>
      <c r="GI100" s="71">
        <v>0</v>
      </c>
      <c r="GJ100" s="71">
        <v>0</v>
      </c>
      <c r="GK100" s="72">
        <f t="shared" si="1939"/>
        <v>0</v>
      </c>
      <c r="GL100" s="72">
        <f t="shared" si="1940"/>
        <v>0</v>
      </c>
      <c r="GM100" s="70">
        <f t="shared" si="1941"/>
        <v>0</v>
      </c>
      <c r="GN100" s="73">
        <v>0</v>
      </c>
      <c r="GO100" s="74">
        <f t="shared" si="1942"/>
        <v>0</v>
      </c>
      <c r="GP100" s="303">
        <f t="shared" si="1943"/>
        <v>0</v>
      </c>
      <c r="GQ100" s="58">
        <v>0</v>
      </c>
      <c r="GR100" s="68"/>
      <c r="GS100" s="28">
        <f t="shared" si="1944"/>
        <v>0</v>
      </c>
      <c r="GT100" s="28">
        <v>0</v>
      </c>
      <c r="GU100" s="28">
        <f t="shared" si="1945"/>
        <v>0</v>
      </c>
      <c r="GV100" s="28">
        <f t="shared" si="1946"/>
        <v>0</v>
      </c>
      <c r="GW100" s="28">
        <f t="shared" si="1947"/>
        <v>0</v>
      </c>
      <c r="GX100" s="72">
        <f t="shared" si="1948"/>
        <v>0</v>
      </c>
      <c r="GY100" s="70">
        <f t="shared" si="1949"/>
        <v>0</v>
      </c>
      <c r="GZ100" s="70">
        <f t="shared" si="1950"/>
        <v>0</v>
      </c>
      <c r="HA100" s="71">
        <v>0</v>
      </c>
      <c r="HB100" s="71">
        <v>0</v>
      </c>
      <c r="HC100" s="72">
        <f t="shared" si="1951"/>
        <v>0</v>
      </c>
      <c r="HD100" s="72">
        <f t="shared" si="1952"/>
        <v>0</v>
      </c>
      <c r="HE100" s="70">
        <f t="shared" si="1953"/>
        <v>0</v>
      </c>
      <c r="HF100" s="73">
        <v>0</v>
      </c>
      <c r="HG100" s="74">
        <f t="shared" si="1954"/>
        <v>0</v>
      </c>
      <c r="HH100" s="303">
        <f t="shared" si="1955"/>
        <v>0</v>
      </c>
      <c r="HJ100" s="37"/>
      <c r="HK100" s="37"/>
      <c r="HL100" s="37"/>
      <c r="HM100" s="37"/>
      <c r="HN100" s="37"/>
      <c r="HO100" s="37"/>
      <c r="HP100" s="37"/>
      <c r="HQ100" s="37"/>
      <c r="HR100" s="37"/>
      <c r="HS100" s="37"/>
      <c r="HT100" s="37"/>
      <c r="HU100" s="37"/>
      <c r="HV100" s="37"/>
      <c r="HW100" s="37"/>
      <c r="HX100" s="37"/>
      <c r="HY100" s="37"/>
      <c r="HZ100" s="37"/>
      <c r="IA100" s="37"/>
      <c r="IB100" s="37"/>
      <c r="IC100" s="37"/>
      <c r="ID100" s="37"/>
      <c r="IE100" s="37"/>
      <c r="IF100" s="37"/>
      <c r="IG100" s="37"/>
      <c r="IH100" s="37"/>
      <c r="II100" s="37"/>
      <c r="IJ100" s="37"/>
      <c r="IK100" s="37"/>
      <c r="IL100" s="37"/>
      <c r="IM100" s="37"/>
      <c r="IN100" s="37"/>
      <c r="IO100" s="37"/>
      <c r="IP100" s="37"/>
    </row>
    <row r="101" spans="1:250" x14ac:dyDescent="0.3">
      <c r="A101" s="58">
        <v>0</v>
      </c>
      <c r="B101" s="68"/>
      <c r="C101" s="28">
        <f t="shared" si="1812"/>
        <v>0</v>
      </c>
      <c r="D101" s="28">
        <v>0</v>
      </c>
      <c r="E101" s="28">
        <f t="shared" si="1813"/>
        <v>0</v>
      </c>
      <c r="F101" s="28">
        <f t="shared" si="1814"/>
        <v>0</v>
      </c>
      <c r="G101" s="28">
        <f t="shared" si="1815"/>
        <v>0</v>
      </c>
      <c r="H101" s="72">
        <f t="shared" si="1816"/>
        <v>0</v>
      </c>
      <c r="I101" s="70">
        <f t="shared" si="1817"/>
        <v>0</v>
      </c>
      <c r="J101" s="70">
        <f t="shared" si="1818"/>
        <v>0</v>
      </c>
      <c r="K101" s="71">
        <v>0</v>
      </c>
      <c r="L101" s="71">
        <v>0</v>
      </c>
      <c r="M101" s="72">
        <f t="shared" si="1819"/>
        <v>0</v>
      </c>
      <c r="N101" s="72">
        <f t="shared" si="1820"/>
        <v>0</v>
      </c>
      <c r="O101" s="70">
        <f t="shared" si="1821"/>
        <v>0</v>
      </c>
      <c r="P101" s="73">
        <v>0</v>
      </c>
      <c r="Q101" s="74">
        <f t="shared" si="1822"/>
        <v>0</v>
      </c>
      <c r="R101" s="303">
        <f t="shared" si="1823"/>
        <v>0</v>
      </c>
      <c r="S101" s="58">
        <v>0</v>
      </c>
      <c r="T101" s="68"/>
      <c r="U101" s="28">
        <f t="shared" si="1824"/>
        <v>0</v>
      </c>
      <c r="V101" s="28">
        <v>0</v>
      </c>
      <c r="W101" s="28">
        <f t="shared" si="1825"/>
        <v>0</v>
      </c>
      <c r="X101" s="28">
        <f t="shared" si="1826"/>
        <v>0</v>
      </c>
      <c r="Y101" s="28">
        <f t="shared" si="1827"/>
        <v>0</v>
      </c>
      <c r="Z101" s="72">
        <f t="shared" si="1828"/>
        <v>0</v>
      </c>
      <c r="AA101" s="70">
        <f t="shared" si="1829"/>
        <v>0</v>
      </c>
      <c r="AB101" s="70">
        <f t="shared" si="1830"/>
        <v>0</v>
      </c>
      <c r="AC101" s="71">
        <v>0</v>
      </c>
      <c r="AD101" s="71">
        <v>0</v>
      </c>
      <c r="AE101" s="72">
        <f t="shared" si="1831"/>
        <v>0</v>
      </c>
      <c r="AF101" s="72">
        <f t="shared" si="1832"/>
        <v>0</v>
      </c>
      <c r="AG101" s="70">
        <f t="shared" si="1833"/>
        <v>0</v>
      </c>
      <c r="AH101" s="73">
        <v>0</v>
      </c>
      <c r="AI101" s="74">
        <f t="shared" si="1834"/>
        <v>0</v>
      </c>
      <c r="AJ101" s="303">
        <f t="shared" si="1835"/>
        <v>0</v>
      </c>
      <c r="AK101" s="58">
        <v>0</v>
      </c>
      <c r="AL101" s="68"/>
      <c r="AM101" s="28">
        <f t="shared" si="1836"/>
        <v>0</v>
      </c>
      <c r="AN101" s="28">
        <v>0</v>
      </c>
      <c r="AO101" s="28">
        <f t="shared" si="1837"/>
        <v>0</v>
      </c>
      <c r="AP101" s="28">
        <f t="shared" si="1838"/>
        <v>0</v>
      </c>
      <c r="AQ101" s="28">
        <f t="shared" si="1839"/>
        <v>0</v>
      </c>
      <c r="AR101" s="72">
        <f t="shared" si="1840"/>
        <v>0</v>
      </c>
      <c r="AS101" s="70">
        <f t="shared" si="1841"/>
        <v>0</v>
      </c>
      <c r="AT101" s="70">
        <f t="shared" si="1842"/>
        <v>0</v>
      </c>
      <c r="AU101" s="71">
        <v>0</v>
      </c>
      <c r="AV101" s="71">
        <v>0</v>
      </c>
      <c r="AW101" s="72">
        <f t="shared" si="1843"/>
        <v>0</v>
      </c>
      <c r="AX101" s="72">
        <f t="shared" si="1844"/>
        <v>0</v>
      </c>
      <c r="AY101" s="70">
        <f t="shared" si="1845"/>
        <v>0</v>
      </c>
      <c r="AZ101" s="73">
        <v>0</v>
      </c>
      <c r="BA101" s="74">
        <f t="shared" si="1846"/>
        <v>0</v>
      </c>
      <c r="BB101" s="303">
        <f t="shared" si="1847"/>
        <v>0</v>
      </c>
      <c r="BC101" s="58">
        <v>0</v>
      </c>
      <c r="BD101" s="68"/>
      <c r="BE101" s="28">
        <f t="shared" si="1848"/>
        <v>0</v>
      </c>
      <c r="BF101" s="28">
        <v>0</v>
      </c>
      <c r="BG101" s="28">
        <f t="shared" si="1849"/>
        <v>0</v>
      </c>
      <c r="BH101" s="28">
        <f t="shared" si="1850"/>
        <v>0</v>
      </c>
      <c r="BI101" s="28">
        <f t="shared" si="1851"/>
        <v>0</v>
      </c>
      <c r="BJ101" s="72">
        <f t="shared" si="1852"/>
        <v>0</v>
      </c>
      <c r="BK101" s="70">
        <f t="shared" si="1853"/>
        <v>0</v>
      </c>
      <c r="BL101" s="70">
        <f t="shared" si="1854"/>
        <v>0</v>
      </c>
      <c r="BM101" s="71">
        <v>0</v>
      </c>
      <c r="BN101" s="71">
        <v>0</v>
      </c>
      <c r="BO101" s="72">
        <f t="shared" si="1855"/>
        <v>0</v>
      </c>
      <c r="BP101" s="72">
        <f t="shared" si="1856"/>
        <v>0</v>
      </c>
      <c r="BQ101" s="70">
        <f t="shared" si="1857"/>
        <v>0</v>
      </c>
      <c r="BR101" s="73">
        <v>0</v>
      </c>
      <c r="BS101" s="74">
        <f t="shared" si="1858"/>
        <v>0</v>
      </c>
      <c r="BT101" s="303">
        <f t="shared" si="1859"/>
        <v>0</v>
      </c>
      <c r="BU101" s="58">
        <v>0</v>
      </c>
      <c r="BV101" s="68"/>
      <c r="BW101" s="28">
        <f t="shared" si="1860"/>
        <v>0</v>
      </c>
      <c r="BX101" s="28">
        <v>0</v>
      </c>
      <c r="BY101" s="28">
        <f t="shared" si="1861"/>
        <v>0</v>
      </c>
      <c r="BZ101" s="28">
        <f t="shared" si="1862"/>
        <v>0</v>
      </c>
      <c r="CA101" s="28">
        <f t="shared" si="1863"/>
        <v>0</v>
      </c>
      <c r="CB101" s="72">
        <f t="shared" si="1864"/>
        <v>0</v>
      </c>
      <c r="CC101" s="70">
        <f t="shared" si="1865"/>
        <v>0</v>
      </c>
      <c r="CD101" s="70">
        <f t="shared" si="1866"/>
        <v>0</v>
      </c>
      <c r="CE101" s="71">
        <v>0</v>
      </c>
      <c r="CF101" s="71">
        <v>0</v>
      </c>
      <c r="CG101" s="72">
        <f t="shared" si="1867"/>
        <v>0</v>
      </c>
      <c r="CH101" s="72">
        <f t="shared" si="1868"/>
        <v>0</v>
      </c>
      <c r="CI101" s="70">
        <f t="shared" si="1869"/>
        <v>0</v>
      </c>
      <c r="CJ101" s="73">
        <v>0</v>
      </c>
      <c r="CK101" s="74">
        <f t="shared" si="1870"/>
        <v>0</v>
      </c>
      <c r="CL101" s="303">
        <f t="shared" si="1871"/>
        <v>0</v>
      </c>
      <c r="CM101" s="58">
        <v>0</v>
      </c>
      <c r="CN101" s="68"/>
      <c r="CO101" s="28">
        <f t="shared" si="1872"/>
        <v>0</v>
      </c>
      <c r="CP101" s="28">
        <v>0</v>
      </c>
      <c r="CQ101" s="28">
        <f t="shared" si="1873"/>
        <v>0</v>
      </c>
      <c r="CR101" s="28">
        <f t="shared" si="1874"/>
        <v>0</v>
      </c>
      <c r="CS101" s="28">
        <f t="shared" si="1875"/>
        <v>0</v>
      </c>
      <c r="CT101" s="72">
        <f t="shared" si="1876"/>
        <v>0</v>
      </c>
      <c r="CU101" s="70">
        <f t="shared" si="1877"/>
        <v>0</v>
      </c>
      <c r="CV101" s="70">
        <f t="shared" si="1878"/>
        <v>0</v>
      </c>
      <c r="CW101" s="71">
        <v>0</v>
      </c>
      <c r="CX101" s="71">
        <v>0</v>
      </c>
      <c r="CY101" s="72">
        <f t="shared" si="1879"/>
        <v>0</v>
      </c>
      <c r="CZ101" s="72">
        <f t="shared" si="1880"/>
        <v>0</v>
      </c>
      <c r="DA101" s="70">
        <f t="shared" si="1881"/>
        <v>0</v>
      </c>
      <c r="DB101" s="73">
        <v>0</v>
      </c>
      <c r="DC101" s="74">
        <f t="shared" si="1882"/>
        <v>0</v>
      </c>
      <c r="DD101" s="303">
        <f t="shared" si="1883"/>
        <v>0</v>
      </c>
      <c r="DE101" s="58">
        <v>0</v>
      </c>
      <c r="DF101" s="68"/>
      <c r="DG101" s="28">
        <f t="shared" si="1884"/>
        <v>0</v>
      </c>
      <c r="DH101" s="28">
        <v>0</v>
      </c>
      <c r="DI101" s="28">
        <f t="shared" si="1885"/>
        <v>0</v>
      </c>
      <c r="DJ101" s="28">
        <f t="shared" si="1886"/>
        <v>0</v>
      </c>
      <c r="DK101" s="28">
        <f t="shared" si="1887"/>
        <v>0</v>
      </c>
      <c r="DL101" s="72">
        <f t="shared" si="1888"/>
        <v>0</v>
      </c>
      <c r="DM101" s="70">
        <f t="shared" si="1889"/>
        <v>0</v>
      </c>
      <c r="DN101" s="70">
        <f t="shared" si="1890"/>
        <v>0</v>
      </c>
      <c r="DO101" s="71">
        <v>0</v>
      </c>
      <c r="DP101" s="71">
        <v>0</v>
      </c>
      <c r="DQ101" s="72">
        <f t="shared" si="1891"/>
        <v>0</v>
      </c>
      <c r="DR101" s="72">
        <f t="shared" si="1892"/>
        <v>0</v>
      </c>
      <c r="DS101" s="70">
        <f t="shared" si="1893"/>
        <v>0</v>
      </c>
      <c r="DT101" s="73">
        <v>0</v>
      </c>
      <c r="DU101" s="74">
        <f t="shared" si="1894"/>
        <v>0</v>
      </c>
      <c r="DV101" s="303">
        <f t="shared" si="1895"/>
        <v>0</v>
      </c>
      <c r="DW101" s="58">
        <v>0</v>
      </c>
      <c r="DX101" s="68"/>
      <c r="DY101" s="28">
        <f t="shared" si="1896"/>
        <v>0</v>
      </c>
      <c r="DZ101" s="28">
        <v>0</v>
      </c>
      <c r="EA101" s="28">
        <f t="shared" si="1897"/>
        <v>0</v>
      </c>
      <c r="EB101" s="28">
        <f t="shared" si="1898"/>
        <v>0</v>
      </c>
      <c r="EC101" s="28">
        <f t="shared" si="1899"/>
        <v>0</v>
      </c>
      <c r="ED101" s="72">
        <f t="shared" si="1900"/>
        <v>0</v>
      </c>
      <c r="EE101" s="70">
        <f t="shared" si="1901"/>
        <v>0</v>
      </c>
      <c r="EF101" s="70">
        <f t="shared" si="1902"/>
        <v>0</v>
      </c>
      <c r="EG101" s="71">
        <v>0</v>
      </c>
      <c r="EH101" s="71">
        <v>0</v>
      </c>
      <c r="EI101" s="72">
        <f t="shared" si="1903"/>
        <v>0</v>
      </c>
      <c r="EJ101" s="72">
        <f t="shared" si="1904"/>
        <v>0</v>
      </c>
      <c r="EK101" s="70">
        <f t="shared" si="1905"/>
        <v>0</v>
      </c>
      <c r="EL101" s="73">
        <v>0</v>
      </c>
      <c r="EM101" s="74">
        <f t="shared" si="1906"/>
        <v>0</v>
      </c>
      <c r="EN101" s="303">
        <f t="shared" si="1907"/>
        <v>0</v>
      </c>
      <c r="EO101" s="58">
        <v>0</v>
      </c>
      <c r="EP101" s="68"/>
      <c r="EQ101" s="28">
        <f t="shared" si="1908"/>
        <v>0</v>
      </c>
      <c r="ER101" s="28">
        <v>0</v>
      </c>
      <c r="ES101" s="28">
        <f t="shared" si="1909"/>
        <v>0</v>
      </c>
      <c r="ET101" s="28">
        <f t="shared" si="1910"/>
        <v>0</v>
      </c>
      <c r="EU101" s="28">
        <f t="shared" si="1911"/>
        <v>0</v>
      </c>
      <c r="EV101" s="72">
        <f t="shared" si="1912"/>
        <v>0</v>
      </c>
      <c r="EW101" s="70">
        <f t="shared" si="1913"/>
        <v>0</v>
      </c>
      <c r="EX101" s="70">
        <f t="shared" si="1914"/>
        <v>0</v>
      </c>
      <c r="EY101" s="71">
        <v>0</v>
      </c>
      <c r="EZ101" s="71">
        <v>0</v>
      </c>
      <c r="FA101" s="72">
        <f t="shared" si="1915"/>
        <v>0</v>
      </c>
      <c r="FB101" s="72">
        <f t="shared" si="1916"/>
        <v>0</v>
      </c>
      <c r="FC101" s="70">
        <f t="shared" si="1917"/>
        <v>0</v>
      </c>
      <c r="FD101" s="73">
        <v>0</v>
      </c>
      <c r="FE101" s="74">
        <f t="shared" si="1918"/>
        <v>0</v>
      </c>
      <c r="FF101" s="303">
        <f t="shared" si="1919"/>
        <v>0</v>
      </c>
      <c r="FG101" s="58">
        <v>0</v>
      </c>
      <c r="FH101" s="68"/>
      <c r="FI101" s="28">
        <f t="shared" si="1920"/>
        <v>0</v>
      </c>
      <c r="FJ101" s="28">
        <v>0</v>
      </c>
      <c r="FK101" s="28">
        <f t="shared" si="1921"/>
        <v>0</v>
      </c>
      <c r="FL101" s="28">
        <f t="shared" si="1922"/>
        <v>0</v>
      </c>
      <c r="FM101" s="28">
        <f t="shared" si="1923"/>
        <v>0</v>
      </c>
      <c r="FN101" s="72">
        <f t="shared" si="1924"/>
        <v>0</v>
      </c>
      <c r="FO101" s="70">
        <f t="shared" si="1925"/>
        <v>0</v>
      </c>
      <c r="FP101" s="70">
        <f t="shared" si="1926"/>
        <v>0</v>
      </c>
      <c r="FQ101" s="71">
        <v>0</v>
      </c>
      <c r="FR101" s="71">
        <v>0</v>
      </c>
      <c r="FS101" s="72">
        <f t="shared" si="1927"/>
        <v>0</v>
      </c>
      <c r="FT101" s="72">
        <f t="shared" si="1928"/>
        <v>0</v>
      </c>
      <c r="FU101" s="70">
        <f t="shared" si="1929"/>
        <v>0</v>
      </c>
      <c r="FV101" s="73">
        <v>0</v>
      </c>
      <c r="FW101" s="74">
        <f t="shared" si="1930"/>
        <v>0</v>
      </c>
      <c r="FX101" s="303">
        <f t="shared" si="1931"/>
        <v>0</v>
      </c>
      <c r="FY101" s="58">
        <v>0</v>
      </c>
      <c r="FZ101" s="68"/>
      <c r="GA101" s="28">
        <f t="shared" si="1932"/>
        <v>0</v>
      </c>
      <c r="GB101" s="28">
        <v>0</v>
      </c>
      <c r="GC101" s="28">
        <f t="shared" si="1933"/>
        <v>0</v>
      </c>
      <c r="GD101" s="28">
        <f t="shared" si="1934"/>
        <v>0</v>
      </c>
      <c r="GE101" s="28">
        <f t="shared" si="1935"/>
        <v>0</v>
      </c>
      <c r="GF101" s="72">
        <f t="shared" si="1936"/>
        <v>0</v>
      </c>
      <c r="GG101" s="70">
        <f t="shared" si="1937"/>
        <v>0</v>
      </c>
      <c r="GH101" s="70">
        <f t="shared" si="1938"/>
        <v>0</v>
      </c>
      <c r="GI101" s="71">
        <v>0</v>
      </c>
      <c r="GJ101" s="71">
        <v>0</v>
      </c>
      <c r="GK101" s="72">
        <f t="shared" si="1939"/>
        <v>0</v>
      </c>
      <c r="GL101" s="72">
        <f t="shared" si="1940"/>
        <v>0</v>
      </c>
      <c r="GM101" s="70">
        <f t="shared" si="1941"/>
        <v>0</v>
      </c>
      <c r="GN101" s="73">
        <v>0</v>
      </c>
      <c r="GO101" s="74">
        <f t="shared" si="1942"/>
        <v>0</v>
      </c>
      <c r="GP101" s="303">
        <f t="shared" si="1943"/>
        <v>0</v>
      </c>
      <c r="GQ101" s="58">
        <v>0</v>
      </c>
      <c r="GR101" s="68"/>
      <c r="GS101" s="28">
        <f t="shared" si="1944"/>
        <v>0</v>
      </c>
      <c r="GT101" s="28">
        <v>0</v>
      </c>
      <c r="GU101" s="28">
        <f t="shared" si="1945"/>
        <v>0</v>
      </c>
      <c r="GV101" s="28">
        <f t="shared" si="1946"/>
        <v>0</v>
      </c>
      <c r="GW101" s="28">
        <f t="shared" si="1947"/>
        <v>0</v>
      </c>
      <c r="GX101" s="72">
        <f t="shared" si="1948"/>
        <v>0</v>
      </c>
      <c r="GY101" s="70">
        <f t="shared" si="1949"/>
        <v>0</v>
      </c>
      <c r="GZ101" s="70">
        <f t="shared" si="1950"/>
        <v>0</v>
      </c>
      <c r="HA101" s="71">
        <v>0</v>
      </c>
      <c r="HB101" s="71">
        <v>0</v>
      </c>
      <c r="HC101" s="72">
        <f t="shared" si="1951"/>
        <v>0</v>
      </c>
      <c r="HD101" s="72">
        <f t="shared" si="1952"/>
        <v>0</v>
      </c>
      <c r="HE101" s="70">
        <f t="shared" si="1953"/>
        <v>0</v>
      </c>
      <c r="HF101" s="73">
        <v>0</v>
      </c>
      <c r="HG101" s="74">
        <f t="shared" si="1954"/>
        <v>0</v>
      </c>
      <c r="HH101" s="303">
        <f t="shared" si="1955"/>
        <v>0</v>
      </c>
      <c r="HJ101" s="37"/>
      <c r="HK101" s="37"/>
      <c r="HL101" s="37"/>
      <c r="HM101" s="37"/>
      <c r="HN101" s="37"/>
      <c r="HO101" s="37"/>
      <c r="HP101" s="37"/>
      <c r="HQ101" s="37"/>
      <c r="HR101" s="37"/>
      <c r="HS101" s="37"/>
      <c r="HT101" s="37"/>
      <c r="HU101" s="37"/>
      <c r="HV101" s="37"/>
      <c r="HW101" s="37"/>
      <c r="HX101" s="37"/>
      <c r="HY101" s="37"/>
      <c r="HZ101" s="37"/>
      <c r="IA101" s="37"/>
      <c r="IB101" s="37"/>
      <c r="IC101" s="37"/>
      <c r="ID101" s="37"/>
      <c r="IE101" s="37"/>
      <c r="IF101" s="37"/>
      <c r="IG101" s="37"/>
      <c r="IH101" s="37"/>
      <c r="II101" s="37"/>
      <c r="IJ101" s="37"/>
      <c r="IK101" s="37"/>
      <c r="IL101" s="37"/>
      <c r="IM101" s="37"/>
      <c r="IN101" s="37"/>
      <c r="IO101" s="37"/>
      <c r="IP101" s="37"/>
    </row>
    <row r="102" spans="1:250" ht="15.6" x14ac:dyDescent="0.3">
      <c r="A102" s="541"/>
      <c r="B102" s="537"/>
      <c r="C102" s="537"/>
      <c r="D102" s="537"/>
      <c r="E102" s="537"/>
      <c r="F102" s="537"/>
      <c r="G102" s="537"/>
      <c r="H102" s="537"/>
      <c r="I102" s="537"/>
      <c r="J102" s="537"/>
      <c r="K102" s="537"/>
      <c r="L102" s="537"/>
      <c r="M102" s="537"/>
      <c r="N102" s="537"/>
      <c r="O102" s="537"/>
      <c r="P102" s="538"/>
      <c r="Q102" s="423" t="s">
        <v>8</v>
      </c>
      <c r="R102" s="304">
        <f>SUM(R99:R101)</f>
        <v>3152.4324222222222</v>
      </c>
      <c r="S102" s="541"/>
      <c r="T102" s="537"/>
      <c r="U102" s="537"/>
      <c r="V102" s="537"/>
      <c r="W102" s="537"/>
      <c r="X102" s="537"/>
      <c r="Y102" s="537"/>
      <c r="Z102" s="537"/>
      <c r="AA102" s="537"/>
      <c r="AB102" s="537"/>
      <c r="AC102" s="537"/>
      <c r="AD102" s="537"/>
      <c r="AE102" s="537"/>
      <c r="AF102" s="537"/>
      <c r="AG102" s="537"/>
      <c r="AH102" s="538"/>
      <c r="AI102" s="423" t="s">
        <v>8</v>
      </c>
      <c r="AJ102" s="304">
        <f>SUM(AJ99:AJ101)</f>
        <v>3152.4324222222222</v>
      </c>
      <c r="AK102" s="541"/>
      <c r="AL102" s="537"/>
      <c r="AM102" s="537"/>
      <c r="AN102" s="537"/>
      <c r="AO102" s="537"/>
      <c r="AP102" s="537"/>
      <c r="AQ102" s="537"/>
      <c r="AR102" s="537"/>
      <c r="AS102" s="537"/>
      <c r="AT102" s="537"/>
      <c r="AU102" s="537"/>
      <c r="AV102" s="537"/>
      <c r="AW102" s="537"/>
      <c r="AX102" s="537"/>
      <c r="AY102" s="537"/>
      <c r="AZ102" s="538"/>
      <c r="BA102" s="423" t="s">
        <v>8</v>
      </c>
      <c r="BB102" s="304">
        <f>SUM(BB99:BB101)</f>
        <v>3152.4324222222222</v>
      </c>
      <c r="BC102" s="541"/>
      <c r="BD102" s="537"/>
      <c r="BE102" s="537"/>
      <c r="BF102" s="537"/>
      <c r="BG102" s="537"/>
      <c r="BH102" s="537"/>
      <c r="BI102" s="537"/>
      <c r="BJ102" s="537"/>
      <c r="BK102" s="537"/>
      <c r="BL102" s="537"/>
      <c r="BM102" s="537"/>
      <c r="BN102" s="537"/>
      <c r="BO102" s="537"/>
      <c r="BP102" s="537"/>
      <c r="BQ102" s="537"/>
      <c r="BR102" s="538"/>
      <c r="BS102" s="423" t="s">
        <v>8</v>
      </c>
      <c r="BT102" s="304">
        <f>SUM(BT99:BT101)</f>
        <v>3152.4324222222222</v>
      </c>
      <c r="BU102" s="541"/>
      <c r="BV102" s="537"/>
      <c r="BW102" s="537"/>
      <c r="BX102" s="537"/>
      <c r="BY102" s="537"/>
      <c r="BZ102" s="537"/>
      <c r="CA102" s="537"/>
      <c r="CB102" s="537"/>
      <c r="CC102" s="537"/>
      <c r="CD102" s="537"/>
      <c r="CE102" s="537"/>
      <c r="CF102" s="537"/>
      <c r="CG102" s="537"/>
      <c r="CH102" s="537"/>
      <c r="CI102" s="537"/>
      <c r="CJ102" s="538"/>
      <c r="CK102" s="423" t="s">
        <v>8</v>
      </c>
      <c r="CL102" s="304">
        <f>SUM(CL99:CL101)</f>
        <v>3152.4324222222222</v>
      </c>
      <c r="CM102" s="541"/>
      <c r="CN102" s="537"/>
      <c r="CO102" s="537"/>
      <c r="CP102" s="537"/>
      <c r="CQ102" s="537"/>
      <c r="CR102" s="537"/>
      <c r="CS102" s="537"/>
      <c r="CT102" s="537"/>
      <c r="CU102" s="537"/>
      <c r="CV102" s="537"/>
      <c r="CW102" s="537"/>
      <c r="CX102" s="537"/>
      <c r="CY102" s="537"/>
      <c r="CZ102" s="537"/>
      <c r="DA102" s="537"/>
      <c r="DB102" s="538"/>
      <c r="DC102" s="423" t="s">
        <v>8</v>
      </c>
      <c r="DD102" s="304">
        <f>SUM(DD99:DD101)</f>
        <v>3152.4324222222222</v>
      </c>
      <c r="DE102" s="541"/>
      <c r="DF102" s="537"/>
      <c r="DG102" s="537"/>
      <c r="DH102" s="537"/>
      <c r="DI102" s="537"/>
      <c r="DJ102" s="537"/>
      <c r="DK102" s="537"/>
      <c r="DL102" s="537"/>
      <c r="DM102" s="537"/>
      <c r="DN102" s="537"/>
      <c r="DO102" s="537"/>
      <c r="DP102" s="537"/>
      <c r="DQ102" s="537"/>
      <c r="DR102" s="537"/>
      <c r="DS102" s="537"/>
      <c r="DT102" s="538"/>
      <c r="DU102" s="423" t="s">
        <v>8</v>
      </c>
      <c r="DV102" s="304">
        <f>SUM(DV99:DV101)</f>
        <v>3152.4324222222222</v>
      </c>
      <c r="DW102" s="541"/>
      <c r="DX102" s="537"/>
      <c r="DY102" s="537"/>
      <c r="DZ102" s="537"/>
      <c r="EA102" s="537"/>
      <c r="EB102" s="537"/>
      <c r="EC102" s="537"/>
      <c r="ED102" s="537"/>
      <c r="EE102" s="537"/>
      <c r="EF102" s="537"/>
      <c r="EG102" s="537"/>
      <c r="EH102" s="537"/>
      <c r="EI102" s="537"/>
      <c r="EJ102" s="537"/>
      <c r="EK102" s="537"/>
      <c r="EL102" s="538"/>
      <c r="EM102" s="423" t="s">
        <v>8</v>
      </c>
      <c r="EN102" s="304">
        <f>SUM(EN99:EN101)</f>
        <v>3152.4324222222222</v>
      </c>
      <c r="EO102" s="541"/>
      <c r="EP102" s="537"/>
      <c r="EQ102" s="537"/>
      <c r="ER102" s="537"/>
      <c r="ES102" s="537"/>
      <c r="ET102" s="537"/>
      <c r="EU102" s="537"/>
      <c r="EV102" s="537"/>
      <c r="EW102" s="537"/>
      <c r="EX102" s="537"/>
      <c r="EY102" s="537"/>
      <c r="EZ102" s="537"/>
      <c r="FA102" s="537"/>
      <c r="FB102" s="537"/>
      <c r="FC102" s="537"/>
      <c r="FD102" s="538"/>
      <c r="FE102" s="423" t="s">
        <v>8</v>
      </c>
      <c r="FF102" s="304">
        <f>SUM(FF99:FF101)</f>
        <v>3152.4324222222222</v>
      </c>
      <c r="FG102" s="541"/>
      <c r="FH102" s="537"/>
      <c r="FI102" s="537"/>
      <c r="FJ102" s="537"/>
      <c r="FK102" s="537"/>
      <c r="FL102" s="537"/>
      <c r="FM102" s="537"/>
      <c r="FN102" s="537"/>
      <c r="FO102" s="537"/>
      <c r="FP102" s="537"/>
      <c r="FQ102" s="537"/>
      <c r="FR102" s="537"/>
      <c r="FS102" s="537"/>
      <c r="FT102" s="537"/>
      <c r="FU102" s="537"/>
      <c r="FV102" s="538"/>
      <c r="FW102" s="423" t="s">
        <v>8</v>
      </c>
      <c r="FX102" s="304">
        <f>SUM(FX99:FX101)</f>
        <v>3152.4324222222222</v>
      </c>
      <c r="FY102" s="541"/>
      <c r="FZ102" s="537"/>
      <c r="GA102" s="537"/>
      <c r="GB102" s="537"/>
      <c r="GC102" s="537"/>
      <c r="GD102" s="537"/>
      <c r="GE102" s="537"/>
      <c r="GF102" s="537"/>
      <c r="GG102" s="537"/>
      <c r="GH102" s="537"/>
      <c r="GI102" s="537"/>
      <c r="GJ102" s="537"/>
      <c r="GK102" s="537"/>
      <c r="GL102" s="537"/>
      <c r="GM102" s="537"/>
      <c r="GN102" s="538"/>
      <c r="GO102" s="423" t="s">
        <v>8</v>
      </c>
      <c r="GP102" s="304">
        <f>SUM(GP99:GP101)</f>
        <v>3152.4324222222222</v>
      </c>
      <c r="GQ102" s="541"/>
      <c r="GR102" s="537"/>
      <c r="GS102" s="537"/>
      <c r="GT102" s="537"/>
      <c r="GU102" s="537"/>
      <c r="GV102" s="537"/>
      <c r="GW102" s="537"/>
      <c r="GX102" s="537"/>
      <c r="GY102" s="537"/>
      <c r="GZ102" s="537"/>
      <c r="HA102" s="537"/>
      <c r="HB102" s="537"/>
      <c r="HC102" s="537"/>
      <c r="HD102" s="537"/>
      <c r="HE102" s="537"/>
      <c r="HF102" s="538"/>
      <c r="HG102" s="423" t="s">
        <v>8</v>
      </c>
      <c r="HH102" s="304">
        <f>SUM(HH99:HH101)</f>
        <v>3152.4324222222222</v>
      </c>
      <c r="HJ102" s="37"/>
      <c r="HK102" s="37"/>
      <c r="HL102" s="37"/>
      <c r="HM102" s="37"/>
      <c r="HN102" s="37"/>
      <c r="HO102" s="37"/>
      <c r="HP102" s="37"/>
      <c r="HQ102" s="37"/>
      <c r="HR102" s="37"/>
      <c r="HS102" s="37"/>
      <c r="HT102" s="37"/>
      <c r="HU102" s="37"/>
      <c r="HV102" s="37"/>
      <c r="HW102" s="37"/>
      <c r="HX102" s="37"/>
      <c r="HY102" s="37"/>
      <c r="HZ102" s="37"/>
      <c r="IA102" s="37"/>
      <c r="IB102" s="37"/>
      <c r="IC102" s="37"/>
      <c r="ID102" s="37"/>
      <c r="IE102" s="37"/>
      <c r="IF102" s="37"/>
      <c r="IG102" s="37"/>
      <c r="IH102" s="37"/>
      <c r="II102" s="37"/>
      <c r="IJ102" s="37"/>
      <c r="IK102" s="37"/>
      <c r="IL102" s="37"/>
      <c r="IM102" s="37"/>
      <c r="IN102" s="37"/>
      <c r="IO102" s="37"/>
      <c r="IP102" s="37"/>
    </row>
    <row r="103" spans="1:250" ht="15.75" customHeight="1" x14ac:dyDescent="0.3">
      <c r="A103" s="543"/>
      <c r="B103" s="544"/>
      <c r="C103" s="544"/>
      <c r="D103" s="544"/>
      <c r="E103" s="742" t="s">
        <v>189</v>
      </c>
      <c r="F103" s="742"/>
      <c r="G103" s="742"/>
      <c r="H103" s="742"/>
      <c r="I103" s="742"/>
      <c r="J103" s="742"/>
      <c r="K103" s="742"/>
      <c r="L103" s="742"/>
      <c r="M103" s="742"/>
      <c r="N103" s="544"/>
      <c r="O103" s="544"/>
      <c r="P103" s="544"/>
      <c r="Q103" s="544"/>
      <c r="R103" s="545"/>
      <c r="S103" s="543"/>
      <c r="T103" s="544"/>
      <c r="U103" s="544"/>
      <c r="V103" s="544"/>
      <c r="W103" s="742" t="s">
        <v>189</v>
      </c>
      <c r="X103" s="742"/>
      <c r="Y103" s="742"/>
      <c r="Z103" s="742"/>
      <c r="AA103" s="742"/>
      <c r="AB103" s="742"/>
      <c r="AC103" s="742"/>
      <c r="AD103" s="742"/>
      <c r="AE103" s="742"/>
      <c r="AF103" s="544"/>
      <c r="AG103" s="544"/>
      <c r="AH103" s="544"/>
      <c r="AI103" s="544"/>
      <c r="AJ103" s="545"/>
      <c r="AK103" s="543"/>
      <c r="AL103" s="544"/>
      <c r="AM103" s="544"/>
      <c r="AN103" s="544"/>
      <c r="AO103" s="742" t="s">
        <v>189</v>
      </c>
      <c r="AP103" s="742"/>
      <c r="AQ103" s="742"/>
      <c r="AR103" s="742"/>
      <c r="AS103" s="742"/>
      <c r="AT103" s="742"/>
      <c r="AU103" s="742"/>
      <c r="AV103" s="742"/>
      <c r="AW103" s="742"/>
      <c r="AX103" s="544"/>
      <c r="AY103" s="544"/>
      <c r="AZ103" s="544"/>
      <c r="BA103" s="544"/>
      <c r="BB103" s="545"/>
      <c r="BC103" s="543"/>
      <c r="BD103" s="544"/>
      <c r="BE103" s="544"/>
      <c r="BF103" s="544"/>
      <c r="BG103" s="742" t="s">
        <v>189</v>
      </c>
      <c r="BH103" s="742"/>
      <c r="BI103" s="742"/>
      <c r="BJ103" s="742"/>
      <c r="BK103" s="742"/>
      <c r="BL103" s="742"/>
      <c r="BM103" s="742"/>
      <c r="BN103" s="742"/>
      <c r="BO103" s="742"/>
      <c r="BP103" s="544"/>
      <c r="BQ103" s="544"/>
      <c r="BR103" s="544"/>
      <c r="BS103" s="544"/>
      <c r="BT103" s="545"/>
      <c r="BU103" s="543"/>
      <c r="BV103" s="544"/>
      <c r="BW103" s="544"/>
      <c r="BX103" s="544"/>
      <c r="BY103" s="742" t="s">
        <v>189</v>
      </c>
      <c r="BZ103" s="742"/>
      <c r="CA103" s="742"/>
      <c r="CB103" s="742"/>
      <c r="CC103" s="742"/>
      <c r="CD103" s="742"/>
      <c r="CE103" s="742"/>
      <c r="CF103" s="742"/>
      <c r="CG103" s="742"/>
      <c r="CH103" s="544"/>
      <c r="CI103" s="544"/>
      <c r="CJ103" s="544"/>
      <c r="CK103" s="544"/>
      <c r="CL103" s="545"/>
      <c r="CM103" s="543"/>
      <c r="CN103" s="544"/>
      <c r="CO103" s="544"/>
      <c r="CP103" s="544"/>
      <c r="CQ103" s="742" t="s">
        <v>189</v>
      </c>
      <c r="CR103" s="742"/>
      <c r="CS103" s="742"/>
      <c r="CT103" s="742"/>
      <c r="CU103" s="742"/>
      <c r="CV103" s="742"/>
      <c r="CW103" s="742"/>
      <c r="CX103" s="742"/>
      <c r="CY103" s="742"/>
      <c r="CZ103" s="544"/>
      <c r="DA103" s="544"/>
      <c r="DB103" s="544"/>
      <c r="DC103" s="544"/>
      <c r="DD103" s="545"/>
      <c r="DE103" s="543"/>
      <c r="DF103" s="544"/>
      <c r="DG103" s="544"/>
      <c r="DH103" s="544"/>
      <c r="DI103" s="742" t="s">
        <v>189</v>
      </c>
      <c r="DJ103" s="742"/>
      <c r="DK103" s="742"/>
      <c r="DL103" s="742"/>
      <c r="DM103" s="742"/>
      <c r="DN103" s="742"/>
      <c r="DO103" s="742"/>
      <c r="DP103" s="742"/>
      <c r="DQ103" s="742"/>
      <c r="DR103" s="544"/>
      <c r="DS103" s="544"/>
      <c r="DT103" s="544"/>
      <c r="DU103" s="544"/>
      <c r="DV103" s="545"/>
      <c r="DW103" s="543"/>
      <c r="DX103" s="544"/>
      <c r="DY103" s="544"/>
      <c r="DZ103" s="544"/>
      <c r="EA103" s="742" t="s">
        <v>189</v>
      </c>
      <c r="EB103" s="742"/>
      <c r="EC103" s="742"/>
      <c r="ED103" s="742"/>
      <c r="EE103" s="742"/>
      <c r="EF103" s="742"/>
      <c r="EG103" s="742"/>
      <c r="EH103" s="742"/>
      <c r="EI103" s="742"/>
      <c r="EJ103" s="544"/>
      <c r="EK103" s="544"/>
      <c r="EL103" s="544"/>
      <c r="EM103" s="544"/>
      <c r="EN103" s="545"/>
      <c r="EO103" s="543"/>
      <c r="EP103" s="544"/>
      <c r="EQ103" s="544"/>
      <c r="ER103" s="544"/>
      <c r="ES103" s="742" t="s">
        <v>189</v>
      </c>
      <c r="ET103" s="742"/>
      <c r="EU103" s="742"/>
      <c r="EV103" s="742"/>
      <c r="EW103" s="742"/>
      <c r="EX103" s="742"/>
      <c r="EY103" s="742"/>
      <c r="EZ103" s="742"/>
      <c r="FA103" s="742"/>
      <c r="FB103" s="544"/>
      <c r="FC103" s="544"/>
      <c r="FD103" s="544"/>
      <c r="FE103" s="544"/>
      <c r="FF103" s="545"/>
      <c r="FG103" s="543"/>
      <c r="FH103" s="544"/>
      <c r="FI103" s="544"/>
      <c r="FJ103" s="544"/>
      <c r="FK103" s="742" t="s">
        <v>189</v>
      </c>
      <c r="FL103" s="742"/>
      <c r="FM103" s="742"/>
      <c r="FN103" s="742"/>
      <c r="FO103" s="742"/>
      <c r="FP103" s="742"/>
      <c r="FQ103" s="742"/>
      <c r="FR103" s="742"/>
      <c r="FS103" s="742"/>
      <c r="FT103" s="544"/>
      <c r="FU103" s="544"/>
      <c r="FV103" s="544"/>
      <c r="FW103" s="544"/>
      <c r="FX103" s="545"/>
      <c r="FY103" s="543"/>
      <c r="FZ103" s="544"/>
      <c r="GA103" s="544"/>
      <c r="GB103" s="544"/>
      <c r="GC103" s="742" t="s">
        <v>189</v>
      </c>
      <c r="GD103" s="742"/>
      <c r="GE103" s="742"/>
      <c r="GF103" s="742"/>
      <c r="GG103" s="742"/>
      <c r="GH103" s="742"/>
      <c r="GI103" s="742"/>
      <c r="GJ103" s="742"/>
      <c r="GK103" s="742"/>
      <c r="GL103" s="544"/>
      <c r="GM103" s="544"/>
      <c r="GN103" s="544"/>
      <c r="GO103" s="544"/>
      <c r="GP103" s="545"/>
      <c r="GQ103" s="543"/>
      <c r="GR103" s="544"/>
      <c r="GS103" s="544"/>
      <c r="GT103" s="544"/>
      <c r="GU103" s="742" t="s">
        <v>189</v>
      </c>
      <c r="GV103" s="742"/>
      <c r="GW103" s="742"/>
      <c r="GX103" s="742"/>
      <c r="GY103" s="742"/>
      <c r="GZ103" s="742"/>
      <c r="HA103" s="742"/>
      <c r="HB103" s="742"/>
      <c r="HC103" s="742"/>
      <c r="HD103" s="544"/>
      <c r="HE103" s="544"/>
      <c r="HF103" s="544"/>
      <c r="HG103" s="544"/>
      <c r="HH103" s="545"/>
      <c r="HJ103" s="37"/>
      <c r="HK103" s="37"/>
      <c r="HL103" s="37"/>
      <c r="HM103" s="37"/>
      <c r="HN103" s="37"/>
      <c r="HO103" s="37"/>
      <c r="HP103" s="37"/>
      <c r="HQ103" s="37"/>
      <c r="HR103" s="37"/>
      <c r="HS103" s="37"/>
      <c r="HT103" s="37"/>
      <c r="HU103" s="37"/>
      <c r="HV103" s="37"/>
      <c r="HW103" s="37"/>
      <c r="HX103" s="37"/>
      <c r="HY103" s="37"/>
      <c r="HZ103" s="37"/>
      <c r="IA103" s="37"/>
      <c r="IB103" s="37"/>
      <c r="IC103" s="37"/>
      <c r="ID103" s="37"/>
      <c r="IE103" s="37"/>
      <c r="IF103" s="37"/>
      <c r="IG103" s="37"/>
      <c r="IH103" s="37"/>
      <c r="II103" s="37"/>
      <c r="IJ103" s="37"/>
      <c r="IK103" s="37"/>
      <c r="IL103" s="37"/>
      <c r="IM103" s="37"/>
      <c r="IN103" s="37"/>
      <c r="IO103" s="37"/>
      <c r="IP103" s="37"/>
    </row>
    <row r="104" spans="1:250" x14ac:dyDescent="0.3">
      <c r="A104" s="58">
        <v>1</v>
      </c>
      <c r="B104" s="68" t="s">
        <v>298</v>
      </c>
      <c r="C104" s="28">
        <f t="shared" ref="C104:C106" si="1956">D104/$AM$4</f>
        <v>10.396681818181818</v>
      </c>
      <c r="D104" s="69">
        <v>2287.27</v>
      </c>
      <c r="E104" s="28">
        <f>D104*E$6</f>
        <v>228.727</v>
      </c>
      <c r="F104" s="28">
        <f>D104*F$6</f>
        <v>182.98160000000001</v>
      </c>
      <c r="G104" s="28">
        <f>D104/G$6</f>
        <v>190.60583333333332</v>
      </c>
      <c r="H104" s="72">
        <f>G104/H$6</f>
        <v>63.535277777777772</v>
      </c>
      <c r="I104" s="72">
        <f>D104/I$6</f>
        <v>190.60583333333332</v>
      </c>
      <c r="J104" s="70">
        <f>SUM(D104:I104)</f>
        <v>3143.7255444444449</v>
      </c>
      <c r="K104" s="71">
        <v>0</v>
      </c>
      <c r="L104" s="71">
        <v>0</v>
      </c>
      <c r="M104" s="72">
        <f t="shared" ref="M104:M106" si="1957">((C104*M$6)+(C104*$AO$6)+(C104*$AP$6))*K104</f>
        <v>0</v>
      </c>
      <c r="N104" s="72">
        <f t="shared" ref="N104:N106" si="1958">((C104*N$6)+(C104*$AO$6)+(C104*$AP$6))*L104</f>
        <v>0</v>
      </c>
      <c r="O104" s="70">
        <f>SUM(M104:N104)</f>
        <v>0</v>
      </c>
      <c r="P104" s="73">
        <v>0</v>
      </c>
      <c r="Q104" s="74">
        <f t="shared" ref="Q104:Q106" si="1959">IF(A104=1,($C$1*$Q$6),0)</f>
        <v>282.40000000000003</v>
      </c>
      <c r="R104" s="303">
        <f t="shared" ref="R104:R106" si="1960">J104+O104+P104+Q104</f>
        <v>3426.125544444445</v>
      </c>
      <c r="S104" s="58">
        <v>1</v>
      </c>
      <c r="T104" s="68" t="s">
        <v>298</v>
      </c>
      <c r="U104" s="28">
        <f t="shared" ref="U104:U106" si="1961">V104/$AM$4</f>
        <v>10.396681818181818</v>
      </c>
      <c r="V104" s="69">
        <v>2287.27</v>
      </c>
      <c r="W104" s="28">
        <f>V104*W$6</f>
        <v>228.727</v>
      </c>
      <c r="X104" s="28">
        <f>V104*X$6</f>
        <v>182.98160000000001</v>
      </c>
      <c r="Y104" s="28">
        <f>V104/Y$6</f>
        <v>190.60583333333332</v>
      </c>
      <c r="Z104" s="72">
        <f>Y104/Z$6</f>
        <v>63.535277777777772</v>
      </c>
      <c r="AA104" s="72">
        <f>V104/AA$6</f>
        <v>190.60583333333332</v>
      </c>
      <c r="AB104" s="70">
        <f>SUM(V104:AA104)</f>
        <v>3143.7255444444449</v>
      </c>
      <c r="AC104" s="71">
        <v>0</v>
      </c>
      <c r="AD104" s="71">
        <v>0</v>
      </c>
      <c r="AE104" s="72">
        <f t="shared" ref="AE104:AE106" si="1962">((U104*AE$6)+(U104*$AO$6)+(U104*$AP$6))*AC104</f>
        <v>0</v>
      </c>
      <c r="AF104" s="72">
        <f t="shared" ref="AF104:AF106" si="1963">((U104*AF$6)+(U104*$AO$6)+(U104*$AP$6))*AD104</f>
        <v>0</v>
      </c>
      <c r="AG104" s="70">
        <f>SUM(AE104:AF104)</f>
        <v>0</v>
      </c>
      <c r="AH104" s="73">
        <v>0</v>
      </c>
      <c r="AI104" s="74">
        <f t="shared" ref="AI104:AI106" si="1964">IF(S104=1,($C$1*$Q$6),0)</f>
        <v>282.40000000000003</v>
      </c>
      <c r="AJ104" s="303">
        <f t="shared" ref="AJ104:AJ106" si="1965">AB104+AG104+AH104+AI104</f>
        <v>3426.125544444445</v>
      </c>
      <c r="AK104" s="58">
        <v>1</v>
      </c>
      <c r="AL104" s="68" t="s">
        <v>298</v>
      </c>
      <c r="AM104" s="28">
        <f t="shared" ref="AM104:AM106" si="1966">AN104/$AM$4</f>
        <v>10.396681818181818</v>
      </c>
      <c r="AN104" s="69">
        <v>2287.27</v>
      </c>
      <c r="AO104" s="28">
        <f>AN104*AO$6</f>
        <v>228.727</v>
      </c>
      <c r="AP104" s="28">
        <f>AN104*AP$6</f>
        <v>182.98160000000001</v>
      </c>
      <c r="AQ104" s="28">
        <f>AN104/AQ$6</f>
        <v>190.60583333333332</v>
      </c>
      <c r="AR104" s="72">
        <f>AQ104/AR$6</f>
        <v>63.535277777777772</v>
      </c>
      <c r="AS104" s="72">
        <f>AN104/AS$6</f>
        <v>190.60583333333332</v>
      </c>
      <c r="AT104" s="70">
        <f>SUM(AN104:AS104)</f>
        <v>3143.7255444444449</v>
      </c>
      <c r="AU104" s="71">
        <v>0</v>
      </c>
      <c r="AV104" s="71">
        <v>0</v>
      </c>
      <c r="AW104" s="72">
        <f t="shared" ref="AW104:AW106" si="1967">((AM104*AW$6)+(AM104*$AO$6)+(AM104*$AP$6))*AU104</f>
        <v>0</v>
      </c>
      <c r="AX104" s="72">
        <f t="shared" ref="AX104:AX106" si="1968">((AM104*AX$6)+(AM104*$AO$6)+(AM104*$AP$6))*AV104</f>
        <v>0</v>
      </c>
      <c r="AY104" s="70">
        <f>SUM(AW104:AX104)</f>
        <v>0</v>
      </c>
      <c r="AZ104" s="73">
        <v>0</v>
      </c>
      <c r="BA104" s="74">
        <f t="shared" ref="BA104:BA106" si="1969">IF(AK104=1,($C$1*$Q$6),0)</f>
        <v>282.40000000000003</v>
      </c>
      <c r="BB104" s="303">
        <f t="shared" ref="BB104:BB106" si="1970">AT104+AY104+AZ104+BA104</f>
        <v>3426.125544444445</v>
      </c>
      <c r="BC104" s="58">
        <v>1</v>
      </c>
      <c r="BD104" s="68" t="s">
        <v>298</v>
      </c>
      <c r="BE104" s="28">
        <f t="shared" ref="BE104:BE106" si="1971">BF104/$AM$4</f>
        <v>10.396681818181818</v>
      </c>
      <c r="BF104" s="69">
        <v>2287.27</v>
      </c>
      <c r="BG104" s="28">
        <f>BF104*BG$6</f>
        <v>228.727</v>
      </c>
      <c r="BH104" s="28">
        <f>BF104*BH$6</f>
        <v>182.98160000000001</v>
      </c>
      <c r="BI104" s="28">
        <f>BF104/BI$6</f>
        <v>190.60583333333332</v>
      </c>
      <c r="BJ104" s="72">
        <f>BI104/BJ$6</f>
        <v>63.535277777777772</v>
      </c>
      <c r="BK104" s="72">
        <f>BF104/BK$6</f>
        <v>190.60583333333332</v>
      </c>
      <c r="BL104" s="70">
        <f>SUM(BF104:BK104)</f>
        <v>3143.7255444444449</v>
      </c>
      <c r="BM104" s="71">
        <v>0</v>
      </c>
      <c r="BN104" s="71">
        <v>0</v>
      </c>
      <c r="BO104" s="72">
        <f t="shared" ref="BO104:BO106" si="1972">((BE104*BO$6)+(BE104*$AO$6)+(BE104*$AP$6))*BM104</f>
        <v>0</v>
      </c>
      <c r="BP104" s="72">
        <f t="shared" ref="BP104:BP106" si="1973">((BE104*BP$6)+(BE104*$AO$6)+(BE104*$AP$6))*BN104</f>
        <v>0</v>
      </c>
      <c r="BQ104" s="70">
        <f>SUM(BO104:BP104)</f>
        <v>0</v>
      </c>
      <c r="BR104" s="73">
        <v>0</v>
      </c>
      <c r="BS104" s="74">
        <f t="shared" ref="BS104:BS106" si="1974">IF(BC104=1,($C$1*$Q$6),0)</f>
        <v>282.40000000000003</v>
      </c>
      <c r="BT104" s="303">
        <f t="shared" ref="BT104:BT106" si="1975">BL104+BQ104+BR104+BS104</f>
        <v>3426.125544444445</v>
      </c>
      <c r="BU104" s="58">
        <v>1</v>
      </c>
      <c r="BV104" s="68" t="s">
        <v>298</v>
      </c>
      <c r="BW104" s="28">
        <f t="shared" ref="BW104:BW106" si="1976">BX104/$AM$4</f>
        <v>10.396681818181818</v>
      </c>
      <c r="BX104" s="69">
        <v>2287.27</v>
      </c>
      <c r="BY104" s="28">
        <f>BX104*BY$6</f>
        <v>228.727</v>
      </c>
      <c r="BZ104" s="28">
        <f>BX104*BZ$6</f>
        <v>182.98160000000001</v>
      </c>
      <c r="CA104" s="28">
        <f>BX104/CA$6</f>
        <v>190.60583333333332</v>
      </c>
      <c r="CB104" s="72">
        <f>CA104/CB$6</f>
        <v>63.535277777777772</v>
      </c>
      <c r="CC104" s="72">
        <f>BX104/CC$6</f>
        <v>190.60583333333332</v>
      </c>
      <c r="CD104" s="70">
        <f>SUM(BX104:CC104)</f>
        <v>3143.7255444444449</v>
      </c>
      <c r="CE104" s="71">
        <v>0</v>
      </c>
      <c r="CF104" s="71">
        <v>0</v>
      </c>
      <c r="CG104" s="72">
        <f t="shared" ref="CG104:CG106" si="1977">((BW104*CG$6)+(BW104*$AO$6)+(BW104*$AP$6))*CE104</f>
        <v>0</v>
      </c>
      <c r="CH104" s="72">
        <f t="shared" ref="CH104:CH106" si="1978">((BW104*CH$6)+(BW104*$AO$6)+(BW104*$AP$6))*CF104</f>
        <v>0</v>
      </c>
      <c r="CI104" s="70">
        <f>SUM(CG104:CH104)</f>
        <v>0</v>
      </c>
      <c r="CJ104" s="73">
        <v>0</v>
      </c>
      <c r="CK104" s="74">
        <f t="shared" ref="CK104:CK106" si="1979">IF(BU104=1,($C$1*$Q$6),0)</f>
        <v>282.40000000000003</v>
      </c>
      <c r="CL104" s="303">
        <f t="shared" ref="CL104:CL106" si="1980">CD104+CI104+CJ104+CK104</f>
        <v>3426.125544444445</v>
      </c>
      <c r="CM104" s="58">
        <v>1</v>
      </c>
      <c r="CN104" s="68" t="s">
        <v>298</v>
      </c>
      <c r="CO104" s="28">
        <f t="shared" ref="CO104:CO106" si="1981">CP104/$AM$4</f>
        <v>10.396681818181818</v>
      </c>
      <c r="CP104" s="69">
        <v>2287.27</v>
      </c>
      <c r="CQ104" s="28">
        <f>CP104*CQ$6</f>
        <v>228.727</v>
      </c>
      <c r="CR104" s="28">
        <f>CP104*CR$6</f>
        <v>182.98160000000001</v>
      </c>
      <c r="CS104" s="28">
        <f>CP104/CS$6</f>
        <v>190.60583333333332</v>
      </c>
      <c r="CT104" s="72">
        <f>CS104/CT$6</f>
        <v>63.535277777777772</v>
      </c>
      <c r="CU104" s="72">
        <f>CP104/CU$6</f>
        <v>190.60583333333332</v>
      </c>
      <c r="CV104" s="70">
        <f>SUM(CP104:CU104)</f>
        <v>3143.7255444444449</v>
      </c>
      <c r="CW104" s="71">
        <v>0</v>
      </c>
      <c r="CX104" s="71">
        <v>0</v>
      </c>
      <c r="CY104" s="72">
        <f t="shared" ref="CY104:CY106" si="1982">((CO104*CY$6)+(CO104*$AO$6)+(CO104*$AP$6))*CW104</f>
        <v>0</v>
      </c>
      <c r="CZ104" s="72">
        <f t="shared" ref="CZ104:CZ106" si="1983">((CO104*CZ$6)+(CO104*$AO$6)+(CO104*$AP$6))*CX104</f>
        <v>0</v>
      </c>
      <c r="DA104" s="70">
        <f>SUM(CY104:CZ104)</f>
        <v>0</v>
      </c>
      <c r="DB104" s="73">
        <v>0</v>
      </c>
      <c r="DC104" s="74">
        <f t="shared" ref="DC104:DC106" si="1984">IF(CM104=1,($C$1*$Q$6),0)</f>
        <v>282.40000000000003</v>
      </c>
      <c r="DD104" s="303">
        <f t="shared" ref="DD104:DD106" si="1985">CV104+DA104+DB104+DC104</f>
        <v>3426.125544444445</v>
      </c>
      <c r="DE104" s="58">
        <v>1</v>
      </c>
      <c r="DF104" s="68" t="s">
        <v>298</v>
      </c>
      <c r="DG104" s="28">
        <f t="shared" ref="DG104:DG106" si="1986">DH104/$AM$4</f>
        <v>10.396681818181818</v>
      </c>
      <c r="DH104" s="69">
        <v>2287.27</v>
      </c>
      <c r="DI104" s="28">
        <f>DH104*DI$6</f>
        <v>228.727</v>
      </c>
      <c r="DJ104" s="28">
        <f>DH104*DJ$6</f>
        <v>182.98160000000001</v>
      </c>
      <c r="DK104" s="28">
        <f>DH104/DK$6</f>
        <v>190.60583333333332</v>
      </c>
      <c r="DL104" s="72">
        <f>DK104/DL$6</f>
        <v>63.535277777777772</v>
      </c>
      <c r="DM104" s="72">
        <f>DH104/DM$6</f>
        <v>190.60583333333332</v>
      </c>
      <c r="DN104" s="70">
        <f>SUM(DH104:DM104)</f>
        <v>3143.7255444444449</v>
      </c>
      <c r="DO104" s="71">
        <v>0</v>
      </c>
      <c r="DP104" s="71">
        <v>0</v>
      </c>
      <c r="DQ104" s="72">
        <f t="shared" ref="DQ104:DQ106" si="1987">((DG104*DQ$6)+(DG104*$AO$6)+(DG104*$AP$6))*DO104</f>
        <v>0</v>
      </c>
      <c r="DR104" s="72">
        <f t="shared" ref="DR104:DR106" si="1988">((DG104*DR$6)+(DG104*$AO$6)+(DG104*$AP$6))*DP104</f>
        <v>0</v>
      </c>
      <c r="DS104" s="70">
        <f>SUM(DQ104:DR104)</f>
        <v>0</v>
      </c>
      <c r="DT104" s="73">
        <v>0</v>
      </c>
      <c r="DU104" s="74">
        <f t="shared" ref="DU104:DU106" si="1989">IF(DE104=1,($C$1*$Q$6),0)</f>
        <v>282.40000000000003</v>
      </c>
      <c r="DV104" s="303">
        <f t="shared" ref="DV104:DV106" si="1990">DN104+DS104+DT104+DU104</f>
        <v>3426.125544444445</v>
      </c>
      <c r="DW104" s="58">
        <v>1</v>
      </c>
      <c r="DX104" s="68" t="s">
        <v>298</v>
      </c>
      <c r="DY104" s="28">
        <f t="shared" ref="DY104:DY106" si="1991">DZ104/$AM$4</f>
        <v>10.396681818181818</v>
      </c>
      <c r="DZ104" s="69">
        <v>2287.27</v>
      </c>
      <c r="EA104" s="28">
        <f>DZ104*EA$6</f>
        <v>228.727</v>
      </c>
      <c r="EB104" s="28">
        <f>DZ104*EB$6</f>
        <v>182.98160000000001</v>
      </c>
      <c r="EC104" s="28">
        <f>DZ104/EC$6</f>
        <v>190.60583333333332</v>
      </c>
      <c r="ED104" s="72">
        <f>EC104/ED$6</f>
        <v>63.535277777777772</v>
      </c>
      <c r="EE104" s="72">
        <f>DZ104/EE$6</f>
        <v>190.60583333333332</v>
      </c>
      <c r="EF104" s="70">
        <f>SUM(DZ104:EE104)</f>
        <v>3143.7255444444449</v>
      </c>
      <c r="EG104" s="71">
        <v>0</v>
      </c>
      <c r="EH104" s="71">
        <v>0</v>
      </c>
      <c r="EI104" s="72">
        <f t="shared" ref="EI104:EI106" si="1992">((DY104*EI$6)+(DY104*$AO$6)+(DY104*$AP$6))*EG104</f>
        <v>0</v>
      </c>
      <c r="EJ104" s="72">
        <f t="shared" ref="EJ104:EJ106" si="1993">((DY104*EJ$6)+(DY104*$AO$6)+(DY104*$AP$6))*EH104</f>
        <v>0</v>
      </c>
      <c r="EK104" s="70">
        <f>SUM(EI104:EJ104)</f>
        <v>0</v>
      </c>
      <c r="EL104" s="73">
        <v>0</v>
      </c>
      <c r="EM104" s="74">
        <f t="shared" ref="EM104:EM106" si="1994">IF(DW104=1,($C$1*$Q$6),0)</f>
        <v>282.40000000000003</v>
      </c>
      <c r="EN104" s="303">
        <f t="shared" ref="EN104:EN106" si="1995">EF104+EK104+EL104+EM104</f>
        <v>3426.125544444445</v>
      </c>
      <c r="EO104" s="58">
        <v>1</v>
      </c>
      <c r="EP104" s="68" t="s">
        <v>298</v>
      </c>
      <c r="EQ104" s="28">
        <f t="shared" ref="EQ104:EQ106" si="1996">ER104/$AM$4</f>
        <v>10.396681818181818</v>
      </c>
      <c r="ER104" s="69">
        <v>2287.27</v>
      </c>
      <c r="ES104" s="28">
        <f>ER104*ES$6</f>
        <v>228.727</v>
      </c>
      <c r="ET104" s="28">
        <f>ER104*ET$6</f>
        <v>182.98160000000001</v>
      </c>
      <c r="EU104" s="28">
        <f>ER104/EU$6</f>
        <v>190.60583333333332</v>
      </c>
      <c r="EV104" s="72">
        <f>EU104/EV$6</f>
        <v>63.535277777777772</v>
      </c>
      <c r="EW104" s="72">
        <f>ER104/EW$6</f>
        <v>190.60583333333332</v>
      </c>
      <c r="EX104" s="70">
        <f>SUM(ER104:EW104)</f>
        <v>3143.7255444444449</v>
      </c>
      <c r="EY104" s="71">
        <v>0</v>
      </c>
      <c r="EZ104" s="71">
        <v>0</v>
      </c>
      <c r="FA104" s="72">
        <f t="shared" ref="FA104:FA106" si="1997">((EQ104*FA$6)+(EQ104*$AO$6)+(EQ104*$AP$6))*EY104</f>
        <v>0</v>
      </c>
      <c r="FB104" s="72">
        <f t="shared" ref="FB104:FB106" si="1998">((EQ104*FB$6)+(EQ104*$AO$6)+(EQ104*$AP$6))*EZ104</f>
        <v>0</v>
      </c>
      <c r="FC104" s="70">
        <f>SUM(FA104:FB104)</f>
        <v>0</v>
      </c>
      <c r="FD104" s="73">
        <v>0</v>
      </c>
      <c r="FE104" s="74">
        <f t="shared" ref="FE104:FE106" si="1999">IF(EO104=1,($C$1*$Q$6),0)</f>
        <v>282.40000000000003</v>
      </c>
      <c r="FF104" s="303">
        <f t="shared" ref="FF104:FF106" si="2000">EX104+FC104+FD104+FE104</f>
        <v>3426.125544444445</v>
      </c>
      <c r="FG104" s="58">
        <v>1</v>
      </c>
      <c r="FH104" s="68" t="s">
        <v>298</v>
      </c>
      <c r="FI104" s="28">
        <f t="shared" ref="FI104:FI106" si="2001">FJ104/$AM$4</f>
        <v>10.396681818181818</v>
      </c>
      <c r="FJ104" s="69">
        <v>2287.27</v>
      </c>
      <c r="FK104" s="28">
        <f>FJ104*FK$6</f>
        <v>228.727</v>
      </c>
      <c r="FL104" s="28">
        <f>FJ104*FL$6</f>
        <v>182.98160000000001</v>
      </c>
      <c r="FM104" s="28">
        <f>FJ104/FM$6</f>
        <v>190.60583333333332</v>
      </c>
      <c r="FN104" s="72">
        <f>FM104/FN$6</f>
        <v>63.535277777777772</v>
      </c>
      <c r="FO104" s="72">
        <f>FJ104/FO$6</f>
        <v>190.60583333333332</v>
      </c>
      <c r="FP104" s="70">
        <f>SUM(FJ104:FO104)</f>
        <v>3143.7255444444449</v>
      </c>
      <c r="FQ104" s="71">
        <v>0</v>
      </c>
      <c r="FR104" s="71">
        <v>0</v>
      </c>
      <c r="FS104" s="72">
        <f t="shared" ref="FS104:FS106" si="2002">((FI104*FS$6)+(FI104*$AO$6)+(FI104*$AP$6))*FQ104</f>
        <v>0</v>
      </c>
      <c r="FT104" s="72">
        <f t="shared" ref="FT104:FT106" si="2003">((FI104*FT$6)+(FI104*$AO$6)+(FI104*$AP$6))*FR104</f>
        <v>0</v>
      </c>
      <c r="FU104" s="70">
        <f>SUM(FS104:FT104)</f>
        <v>0</v>
      </c>
      <c r="FV104" s="73">
        <v>0</v>
      </c>
      <c r="FW104" s="74">
        <f t="shared" ref="FW104:FW106" si="2004">IF(FG104=1,($C$1*$Q$6),0)</f>
        <v>282.40000000000003</v>
      </c>
      <c r="FX104" s="303">
        <f t="shared" ref="FX104:FX106" si="2005">FP104+FU104+FV104+FW104</f>
        <v>3426.125544444445</v>
      </c>
      <c r="FY104" s="58">
        <v>1</v>
      </c>
      <c r="FZ104" s="68" t="s">
        <v>298</v>
      </c>
      <c r="GA104" s="28">
        <f t="shared" ref="GA104:GA106" si="2006">GB104/$AM$4</f>
        <v>10.396681818181818</v>
      </c>
      <c r="GB104" s="69">
        <v>2287.27</v>
      </c>
      <c r="GC104" s="28">
        <f>GB104*GC$6</f>
        <v>228.727</v>
      </c>
      <c r="GD104" s="28">
        <f>GB104*GD$6</f>
        <v>182.98160000000001</v>
      </c>
      <c r="GE104" s="28">
        <f>GB104/GE$6</f>
        <v>190.60583333333332</v>
      </c>
      <c r="GF104" s="72">
        <f>GE104/GF$6</f>
        <v>63.535277777777772</v>
      </c>
      <c r="GG104" s="72">
        <f>GB104/GG$6</f>
        <v>190.60583333333332</v>
      </c>
      <c r="GH104" s="70">
        <f>SUM(GB104:GG104)</f>
        <v>3143.7255444444449</v>
      </c>
      <c r="GI104" s="71">
        <v>0</v>
      </c>
      <c r="GJ104" s="71">
        <v>0</v>
      </c>
      <c r="GK104" s="72">
        <f t="shared" ref="GK104:GK106" si="2007">((GA104*GK$6)+(GA104*$AO$6)+(GA104*$AP$6))*GI104</f>
        <v>0</v>
      </c>
      <c r="GL104" s="72">
        <f t="shared" ref="GL104:GL106" si="2008">((GA104*GL$6)+(GA104*$AO$6)+(GA104*$AP$6))*GJ104</f>
        <v>0</v>
      </c>
      <c r="GM104" s="70">
        <f>SUM(GK104:GL104)</f>
        <v>0</v>
      </c>
      <c r="GN104" s="73">
        <v>0</v>
      </c>
      <c r="GO104" s="74">
        <f t="shared" ref="GO104:GO106" si="2009">IF(FY104=1,($C$1*$Q$6),0)</f>
        <v>282.40000000000003</v>
      </c>
      <c r="GP104" s="303">
        <f t="shared" ref="GP104:GP106" si="2010">GH104+GM104+GN104+GO104</f>
        <v>3426.125544444445</v>
      </c>
      <c r="GQ104" s="58">
        <v>1</v>
      </c>
      <c r="GR104" s="68" t="s">
        <v>298</v>
      </c>
      <c r="GS104" s="28">
        <f t="shared" ref="GS104:GS106" si="2011">GT104/$AM$4</f>
        <v>10.396681818181818</v>
      </c>
      <c r="GT104" s="69">
        <v>2287.27</v>
      </c>
      <c r="GU104" s="28">
        <f>GT104*GU$6</f>
        <v>228.727</v>
      </c>
      <c r="GV104" s="28">
        <f>GT104*GV$6</f>
        <v>182.98160000000001</v>
      </c>
      <c r="GW104" s="28">
        <f>GT104/GW$6</f>
        <v>190.60583333333332</v>
      </c>
      <c r="GX104" s="72">
        <f>GW104/GX$6</f>
        <v>63.535277777777772</v>
      </c>
      <c r="GY104" s="72">
        <f>GT104/GY$6</f>
        <v>190.60583333333332</v>
      </c>
      <c r="GZ104" s="70">
        <f>SUM(GT104:GY104)</f>
        <v>3143.7255444444449</v>
      </c>
      <c r="HA104" s="71">
        <v>0</v>
      </c>
      <c r="HB104" s="71">
        <v>0</v>
      </c>
      <c r="HC104" s="72">
        <f t="shared" ref="HC104:HC106" si="2012">((GS104*HC$6)+(GS104*$AO$6)+(GS104*$AP$6))*HA104</f>
        <v>0</v>
      </c>
      <c r="HD104" s="72">
        <f t="shared" ref="HD104:HD106" si="2013">((GS104*HD$6)+(GS104*$AO$6)+(GS104*$AP$6))*HB104</f>
        <v>0</v>
      </c>
      <c r="HE104" s="70">
        <f>SUM(HC104:HD104)</f>
        <v>0</v>
      </c>
      <c r="HF104" s="73">
        <v>0</v>
      </c>
      <c r="HG104" s="74">
        <f t="shared" ref="HG104:HG106" si="2014">IF(GQ104=1,($C$1*$Q$6),0)</f>
        <v>282.40000000000003</v>
      </c>
      <c r="HH104" s="303">
        <f t="shared" ref="HH104:HH106" si="2015">GZ104+HE104+HF104+HG104</f>
        <v>3426.125544444445</v>
      </c>
      <c r="HJ104" s="37"/>
      <c r="HK104" s="37"/>
      <c r="HL104" s="37"/>
      <c r="HM104" s="37"/>
      <c r="HN104" s="37"/>
      <c r="HO104" s="37"/>
      <c r="HP104" s="37"/>
      <c r="HQ104" s="37"/>
      <c r="HR104" s="37"/>
      <c r="HS104" s="37"/>
      <c r="HT104" s="37"/>
      <c r="HU104" s="37"/>
      <c r="HV104" s="37"/>
      <c r="HW104" s="37"/>
      <c r="HX104" s="37"/>
      <c r="HY104" s="37"/>
      <c r="HZ104" s="37"/>
      <c r="IA104" s="37"/>
      <c r="IB104" s="37"/>
      <c r="IC104" s="37"/>
      <c r="ID104" s="37"/>
      <c r="IE104" s="37"/>
      <c r="IF104" s="37"/>
      <c r="IG104" s="37"/>
      <c r="IH104" s="37"/>
      <c r="II104" s="37"/>
      <c r="IJ104" s="37"/>
      <c r="IK104" s="37"/>
      <c r="IL104" s="37"/>
      <c r="IM104" s="37"/>
      <c r="IN104" s="37"/>
      <c r="IO104" s="37"/>
      <c r="IP104" s="37"/>
    </row>
    <row r="105" spans="1:250" x14ac:dyDescent="0.3">
      <c r="A105" s="58">
        <v>0</v>
      </c>
      <c r="B105" s="68" t="s">
        <v>181</v>
      </c>
      <c r="C105" s="28">
        <f t="shared" si="1956"/>
        <v>0</v>
      </c>
      <c r="D105" s="69">
        <v>0</v>
      </c>
      <c r="E105" s="28">
        <f>D105*E$6</f>
        <v>0</v>
      </c>
      <c r="F105" s="28">
        <f>D105*F$6</f>
        <v>0</v>
      </c>
      <c r="G105" s="28">
        <f>D105/G$6</f>
        <v>0</v>
      </c>
      <c r="H105" s="72">
        <f>G105/H$6</f>
        <v>0</v>
      </c>
      <c r="I105" s="72">
        <f>D105/I$6</f>
        <v>0</v>
      </c>
      <c r="J105" s="70">
        <f>SUM(D105:I105)</f>
        <v>0</v>
      </c>
      <c r="K105" s="71">
        <v>0</v>
      </c>
      <c r="L105" s="71">
        <v>0</v>
      </c>
      <c r="M105" s="72">
        <f t="shared" si="1957"/>
        <v>0</v>
      </c>
      <c r="N105" s="72">
        <f t="shared" si="1958"/>
        <v>0</v>
      </c>
      <c r="O105" s="70">
        <f>SUM(M105:N105)</f>
        <v>0</v>
      </c>
      <c r="P105" s="73">
        <v>0</v>
      </c>
      <c r="Q105" s="74">
        <f t="shared" si="1959"/>
        <v>0</v>
      </c>
      <c r="R105" s="303">
        <f t="shared" si="1960"/>
        <v>0</v>
      </c>
      <c r="S105" s="58">
        <v>0</v>
      </c>
      <c r="T105" s="68" t="s">
        <v>181</v>
      </c>
      <c r="U105" s="28">
        <f t="shared" si="1961"/>
        <v>0</v>
      </c>
      <c r="V105" s="69">
        <v>0</v>
      </c>
      <c r="W105" s="28">
        <f>V105*W$6</f>
        <v>0</v>
      </c>
      <c r="X105" s="28">
        <f>V105*X$6</f>
        <v>0</v>
      </c>
      <c r="Y105" s="28">
        <f>V105/Y$6</f>
        <v>0</v>
      </c>
      <c r="Z105" s="72">
        <f>Y105/Z$6</f>
        <v>0</v>
      </c>
      <c r="AA105" s="72">
        <f>V105/AA$6</f>
        <v>0</v>
      </c>
      <c r="AB105" s="70">
        <f>SUM(V105:AA105)</f>
        <v>0</v>
      </c>
      <c r="AC105" s="71">
        <v>0</v>
      </c>
      <c r="AD105" s="71">
        <v>0</v>
      </c>
      <c r="AE105" s="72">
        <f t="shared" si="1962"/>
        <v>0</v>
      </c>
      <c r="AF105" s="72">
        <f t="shared" si="1963"/>
        <v>0</v>
      </c>
      <c r="AG105" s="70">
        <f>SUM(AE105:AF105)</f>
        <v>0</v>
      </c>
      <c r="AH105" s="73">
        <v>0</v>
      </c>
      <c r="AI105" s="74">
        <f t="shared" si="1964"/>
        <v>0</v>
      </c>
      <c r="AJ105" s="303">
        <f t="shared" si="1965"/>
        <v>0</v>
      </c>
      <c r="AK105" s="58">
        <v>0</v>
      </c>
      <c r="AL105" s="68" t="s">
        <v>181</v>
      </c>
      <c r="AM105" s="28">
        <f t="shared" si="1966"/>
        <v>0</v>
      </c>
      <c r="AN105" s="69">
        <v>0</v>
      </c>
      <c r="AO105" s="28">
        <f>AN105*AO$6</f>
        <v>0</v>
      </c>
      <c r="AP105" s="28">
        <f>AN105*AP$6</f>
        <v>0</v>
      </c>
      <c r="AQ105" s="28">
        <f>AN105/AQ$6</f>
        <v>0</v>
      </c>
      <c r="AR105" s="72">
        <f>AQ105/AR$6</f>
        <v>0</v>
      </c>
      <c r="AS105" s="72">
        <f>AN105/AS$6</f>
        <v>0</v>
      </c>
      <c r="AT105" s="70">
        <f>SUM(AN105:AS105)</f>
        <v>0</v>
      </c>
      <c r="AU105" s="71">
        <v>0</v>
      </c>
      <c r="AV105" s="71">
        <v>0</v>
      </c>
      <c r="AW105" s="72">
        <f t="shared" si="1967"/>
        <v>0</v>
      </c>
      <c r="AX105" s="72">
        <f t="shared" si="1968"/>
        <v>0</v>
      </c>
      <c r="AY105" s="70">
        <f>SUM(AW105:AX105)</f>
        <v>0</v>
      </c>
      <c r="AZ105" s="73">
        <v>0</v>
      </c>
      <c r="BA105" s="74">
        <f t="shared" si="1969"/>
        <v>0</v>
      </c>
      <c r="BB105" s="303">
        <f t="shared" si="1970"/>
        <v>0</v>
      </c>
      <c r="BC105" s="58">
        <v>0</v>
      </c>
      <c r="BD105" s="68" t="s">
        <v>181</v>
      </c>
      <c r="BE105" s="28">
        <f t="shared" si="1971"/>
        <v>0</v>
      </c>
      <c r="BF105" s="69">
        <v>0</v>
      </c>
      <c r="BG105" s="28">
        <f>BF105*BG$6</f>
        <v>0</v>
      </c>
      <c r="BH105" s="28">
        <f>BF105*BH$6</f>
        <v>0</v>
      </c>
      <c r="BI105" s="28">
        <f>BF105/BI$6</f>
        <v>0</v>
      </c>
      <c r="BJ105" s="72">
        <f>BI105/BJ$6</f>
        <v>0</v>
      </c>
      <c r="BK105" s="72">
        <f>BF105/BK$6</f>
        <v>0</v>
      </c>
      <c r="BL105" s="70">
        <f>SUM(BF105:BK105)</f>
        <v>0</v>
      </c>
      <c r="BM105" s="71">
        <v>0</v>
      </c>
      <c r="BN105" s="71">
        <v>0</v>
      </c>
      <c r="BO105" s="72">
        <f t="shared" si="1972"/>
        <v>0</v>
      </c>
      <c r="BP105" s="72">
        <f t="shared" si="1973"/>
        <v>0</v>
      </c>
      <c r="BQ105" s="70">
        <f>SUM(BO105:BP105)</f>
        <v>0</v>
      </c>
      <c r="BR105" s="73">
        <v>0</v>
      </c>
      <c r="BS105" s="74">
        <f t="shared" si="1974"/>
        <v>0</v>
      </c>
      <c r="BT105" s="303">
        <f t="shared" si="1975"/>
        <v>0</v>
      </c>
      <c r="BU105" s="58">
        <v>0</v>
      </c>
      <c r="BV105" s="68" t="s">
        <v>181</v>
      </c>
      <c r="BW105" s="28">
        <f t="shared" si="1976"/>
        <v>0</v>
      </c>
      <c r="BX105" s="69">
        <v>0</v>
      </c>
      <c r="BY105" s="28">
        <f>BX105*BY$6</f>
        <v>0</v>
      </c>
      <c r="BZ105" s="28">
        <f>BX105*BZ$6</f>
        <v>0</v>
      </c>
      <c r="CA105" s="28">
        <f>BX105/CA$6</f>
        <v>0</v>
      </c>
      <c r="CB105" s="72">
        <f>CA105/CB$6</f>
        <v>0</v>
      </c>
      <c r="CC105" s="72">
        <f>BX105/CC$6</f>
        <v>0</v>
      </c>
      <c r="CD105" s="70">
        <f>SUM(BX105:CC105)</f>
        <v>0</v>
      </c>
      <c r="CE105" s="71">
        <v>0</v>
      </c>
      <c r="CF105" s="71">
        <v>0</v>
      </c>
      <c r="CG105" s="72">
        <f t="shared" si="1977"/>
        <v>0</v>
      </c>
      <c r="CH105" s="72">
        <f t="shared" si="1978"/>
        <v>0</v>
      </c>
      <c r="CI105" s="70">
        <f>SUM(CG105:CH105)</f>
        <v>0</v>
      </c>
      <c r="CJ105" s="73">
        <v>0</v>
      </c>
      <c r="CK105" s="74">
        <f t="shared" si="1979"/>
        <v>0</v>
      </c>
      <c r="CL105" s="303">
        <f t="shared" si="1980"/>
        <v>0</v>
      </c>
      <c r="CM105" s="58">
        <v>0</v>
      </c>
      <c r="CN105" s="68" t="s">
        <v>181</v>
      </c>
      <c r="CO105" s="28">
        <f t="shared" si="1981"/>
        <v>0</v>
      </c>
      <c r="CP105" s="69">
        <v>0</v>
      </c>
      <c r="CQ105" s="28">
        <f>CP105*CQ$6</f>
        <v>0</v>
      </c>
      <c r="CR105" s="28">
        <f>CP105*CR$6</f>
        <v>0</v>
      </c>
      <c r="CS105" s="28">
        <f>CP105/CS$6</f>
        <v>0</v>
      </c>
      <c r="CT105" s="72">
        <f>CS105/CT$6</f>
        <v>0</v>
      </c>
      <c r="CU105" s="72">
        <f>CP105/CU$6</f>
        <v>0</v>
      </c>
      <c r="CV105" s="70">
        <f>SUM(CP105:CU105)</f>
        <v>0</v>
      </c>
      <c r="CW105" s="71">
        <v>0</v>
      </c>
      <c r="CX105" s="71">
        <v>0</v>
      </c>
      <c r="CY105" s="72">
        <f t="shared" si="1982"/>
        <v>0</v>
      </c>
      <c r="CZ105" s="72">
        <f t="shared" si="1983"/>
        <v>0</v>
      </c>
      <c r="DA105" s="70">
        <f>SUM(CY105:CZ105)</f>
        <v>0</v>
      </c>
      <c r="DB105" s="73">
        <v>0</v>
      </c>
      <c r="DC105" s="74">
        <f t="shared" si="1984"/>
        <v>0</v>
      </c>
      <c r="DD105" s="303">
        <f t="shared" si="1985"/>
        <v>0</v>
      </c>
      <c r="DE105" s="58">
        <v>0</v>
      </c>
      <c r="DF105" s="68" t="s">
        <v>181</v>
      </c>
      <c r="DG105" s="28">
        <f t="shared" si="1986"/>
        <v>0</v>
      </c>
      <c r="DH105" s="69">
        <v>0</v>
      </c>
      <c r="DI105" s="28">
        <f>DH105*DI$6</f>
        <v>0</v>
      </c>
      <c r="DJ105" s="28">
        <f>DH105*DJ$6</f>
        <v>0</v>
      </c>
      <c r="DK105" s="28">
        <f>DH105/DK$6</f>
        <v>0</v>
      </c>
      <c r="DL105" s="72">
        <f>DK105/DL$6</f>
        <v>0</v>
      </c>
      <c r="DM105" s="72">
        <f>DH105/DM$6</f>
        <v>0</v>
      </c>
      <c r="DN105" s="70">
        <f>SUM(DH105:DM105)</f>
        <v>0</v>
      </c>
      <c r="DO105" s="71">
        <v>0</v>
      </c>
      <c r="DP105" s="71">
        <v>0</v>
      </c>
      <c r="DQ105" s="72">
        <f t="shared" si="1987"/>
        <v>0</v>
      </c>
      <c r="DR105" s="72">
        <f t="shared" si="1988"/>
        <v>0</v>
      </c>
      <c r="DS105" s="70">
        <f>SUM(DQ105:DR105)</f>
        <v>0</v>
      </c>
      <c r="DT105" s="73">
        <v>0</v>
      </c>
      <c r="DU105" s="74">
        <f t="shared" si="1989"/>
        <v>0</v>
      </c>
      <c r="DV105" s="303">
        <f t="shared" si="1990"/>
        <v>0</v>
      </c>
      <c r="DW105" s="58">
        <v>0</v>
      </c>
      <c r="DX105" s="68" t="s">
        <v>181</v>
      </c>
      <c r="DY105" s="28">
        <f t="shared" si="1991"/>
        <v>0</v>
      </c>
      <c r="DZ105" s="69">
        <v>0</v>
      </c>
      <c r="EA105" s="28">
        <f>DZ105*EA$6</f>
        <v>0</v>
      </c>
      <c r="EB105" s="28">
        <f>DZ105*EB$6</f>
        <v>0</v>
      </c>
      <c r="EC105" s="28">
        <f>DZ105/EC$6</f>
        <v>0</v>
      </c>
      <c r="ED105" s="72">
        <f>EC105/ED$6</f>
        <v>0</v>
      </c>
      <c r="EE105" s="72">
        <f>DZ105/EE$6</f>
        <v>0</v>
      </c>
      <c r="EF105" s="70">
        <f>SUM(DZ105:EE105)</f>
        <v>0</v>
      </c>
      <c r="EG105" s="71">
        <v>0</v>
      </c>
      <c r="EH105" s="71">
        <v>0</v>
      </c>
      <c r="EI105" s="72">
        <f t="shared" si="1992"/>
        <v>0</v>
      </c>
      <c r="EJ105" s="72">
        <f t="shared" si="1993"/>
        <v>0</v>
      </c>
      <c r="EK105" s="70">
        <f>SUM(EI105:EJ105)</f>
        <v>0</v>
      </c>
      <c r="EL105" s="73">
        <v>0</v>
      </c>
      <c r="EM105" s="74">
        <f t="shared" si="1994"/>
        <v>0</v>
      </c>
      <c r="EN105" s="303">
        <f t="shared" si="1995"/>
        <v>0</v>
      </c>
      <c r="EO105" s="58">
        <v>0</v>
      </c>
      <c r="EP105" s="68" t="s">
        <v>181</v>
      </c>
      <c r="EQ105" s="28">
        <f t="shared" si="1996"/>
        <v>0</v>
      </c>
      <c r="ER105" s="69">
        <v>0</v>
      </c>
      <c r="ES105" s="28">
        <f>ER105*ES$6</f>
        <v>0</v>
      </c>
      <c r="ET105" s="28">
        <f>ER105*ET$6</f>
        <v>0</v>
      </c>
      <c r="EU105" s="28">
        <f>ER105/EU$6</f>
        <v>0</v>
      </c>
      <c r="EV105" s="72">
        <f>EU105/EV$6</f>
        <v>0</v>
      </c>
      <c r="EW105" s="72">
        <f>ER105/EW$6</f>
        <v>0</v>
      </c>
      <c r="EX105" s="70">
        <f>SUM(ER105:EW105)</f>
        <v>0</v>
      </c>
      <c r="EY105" s="71">
        <v>0</v>
      </c>
      <c r="EZ105" s="71">
        <v>0</v>
      </c>
      <c r="FA105" s="72">
        <f t="shared" si="1997"/>
        <v>0</v>
      </c>
      <c r="FB105" s="72">
        <f t="shared" si="1998"/>
        <v>0</v>
      </c>
      <c r="FC105" s="70">
        <f>SUM(FA105:FB105)</f>
        <v>0</v>
      </c>
      <c r="FD105" s="73">
        <v>0</v>
      </c>
      <c r="FE105" s="74">
        <f t="shared" si="1999"/>
        <v>0</v>
      </c>
      <c r="FF105" s="303">
        <f t="shared" si="2000"/>
        <v>0</v>
      </c>
      <c r="FG105" s="58">
        <v>0</v>
      </c>
      <c r="FH105" s="68" t="s">
        <v>181</v>
      </c>
      <c r="FI105" s="28">
        <f t="shared" si="2001"/>
        <v>0</v>
      </c>
      <c r="FJ105" s="69">
        <v>0</v>
      </c>
      <c r="FK105" s="28">
        <f>FJ105*FK$6</f>
        <v>0</v>
      </c>
      <c r="FL105" s="28">
        <f>FJ105*FL$6</f>
        <v>0</v>
      </c>
      <c r="FM105" s="28">
        <f>FJ105/FM$6</f>
        <v>0</v>
      </c>
      <c r="FN105" s="72">
        <f>FM105/FN$6</f>
        <v>0</v>
      </c>
      <c r="FO105" s="72">
        <f>FJ105/FO$6</f>
        <v>0</v>
      </c>
      <c r="FP105" s="70">
        <f>SUM(FJ105:FO105)</f>
        <v>0</v>
      </c>
      <c r="FQ105" s="71">
        <v>0</v>
      </c>
      <c r="FR105" s="71">
        <v>0</v>
      </c>
      <c r="FS105" s="72">
        <f t="shared" si="2002"/>
        <v>0</v>
      </c>
      <c r="FT105" s="72">
        <f t="shared" si="2003"/>
        <v>0</v>
      </c>
      <c r="FU105" s="70">
        <f>SUM(FS105:FT105)</f>
        <v>0</v>
      </c>
      <c r="FV105" s="73">
        <v>0</v>
      </c>
      <c r="FW105" s="74">
        <f t="shared" si="2004"/>
        <v>0</v>
      </c>
      <c r="FX105" s="303">
        <f t="shared" si="2005"/>
        <v>0</v>
      </c>
      <c r="FY105" s="58">
        <v>0</v>
      </c>
      <c r="FZ105" s="68" t="s">
        <v>181</v>
      </c>
      <c r="GA105" s="28">
        <f t="shared" si="2006"/>
        <v>0</v>
      </c>
      <c r="GB105" s="69">
        <v>0</v>
      </c>
      <c r="GC105" s="28">
        <f>GB105*GC$6</f>
        <v>0</v>
      </c>
      <c r="GD105" s="28">
        <f>GB105*GD$6</f>
        <v>0</v>
      </c>
      <c r="GE105" s="28">
        <f>GB105/GE$6</f>
        <v>0</v>
      </c>
      <c r="GF105" s="72">
        <f>GE105/GF$6</f>
        <v>0</v>
      </c>
      <c r="GG105" s="72">
        <f>GB105/GG$6</f>
        <v>0</v>
      </c>
      <c r="GH105" s="70">
        <f>SUM(GB105:GG105)</f>
        <v>0</v>
      </c>
      <c r="GI105" s="71">
        <v>0</v>
      </c>
      <c r="GJ105" s="71">
        <v>0</v>
      </c>
      <c r="GK105" s="72">
        <f t="shared" si="2007"/>
        <v>0</v>
      </c>
      <c r="GL105" s="72">
        <f t="shared" si="2008"/>
        <v>0</v>
      </c>
      <c r="GM105" s="70">
        <f>SUM(GK105:GL105)</f>
        <v>0</v>
      </c>
      <c r="GN105" s="73">
        <v>0</v>
      </c>
      <c r="GO105" s="74">
        <f t="shared" si="2009"/>
        <v>0</v>
      </c>
      <c r="GP105" s="303">
        <f t="shared" si="2010"/>
        <v>0</v>
      </c>
      <c r="GQ105" s="58">
        <v>0</v>
      </c>
      <c r="GR105" s="68" t="s">
        <v>181</v>
      </c>
      <c r="GS105" s="28">
        <f t="shared" si="2011"/>
        <v>0</v>
      </c>
      <c r="GT105" s="69">
        <v>0</v>
      </c>
      <c r="GU105" s="28">
        <f>GT105*GU$6</f>
        <v>0</v>
      </c>
      <c r="GV105" s="28">
        <f>GT105*GV$6</f>
        <v>0</v>
      </c>
      <c r="GW105" s="28">
        <f>GT105/GW$6</f>
        <v>0</v>
      </c>
      <c r="GX105" s="72">
        <f>GW105/GX$6</f>
        <v>0</v>
      </c>
      <c r="GY105" s="72">
        <f>GT105/GY$6</f>
        <v>0</v>
      </c>
      <c r="GZ105" s="70">
        <f>SUM(GT105:GY105)</f>
        <v>0</v>
      </c>
      <c r="HA105" s="71">
        <v>0</v>
      </c>
      <c r="HB105" s="71">
        <v>0</v>
      </c>
      <c r="HC105" s="72">
        <f t="shared" si="2012"/>
        <v>0</v>
      </c>
      <c r="HD105" s="72">
        <f t="shared" si="2013"/>
        <v>0</v>
      </c>
      <c r="HE105" s="70">
        <f>SUM(HC105:HD105)</f>
        <v>0</v>
      </c>
      <c r="HF105" s="73">
        <v>0</v>
      </c>
      <c r="HG105" s="74">
        <f t="shared" si="2014"/>
        <v>0</v>
      </c>
      <c r="HH105" s="303">
        <f t="shared" si="2015"/>
        <v>0</v>
      </c>
      <c r="HJ105" s="37"/>
      <c r="HK105" s="37"/>
      <c r="HL105" s="37"/>
      <c r="HM105" s="37"/>
      <c r="HN105" s="37"/>
      <c r="HO105" s="37"/>
      <c r="HP105" s="37"/>
      <c r="HQ105" s="37"/>
      <c r="HR105" s="37"/>
      <c r="HS105" s="37"/>
      <c r="HT105" s="37"/>
      <c r="HU105" s="37"/>
      <c r="HV105" s="37"/>
      <c r="HW105" s="37"/>
      <c r="HX105" s="37"/>
      <c r="HY105" s="37"/>
      <c r="HZ105" s="37"/>
      <c r="IA105" s="37"/>
      <c r="IB105" s="37"/>
      <c r="IC105" s="37"/>
      <c r="ID105" s="37"/>
      <c r="IE105" s="37"/>
      <c r="IF105" s="37"/>
      <c r="IG105" s="37"/>
      <c r="IH105" s="37"/>
      <c r="II105" s="37"/>
      <c r="IJ105" s="37"/>
      <c r="IK105" s="37"/>
      <c r="IL105" s="37"/>
      <c r="IM105" s="37"/>
      <c r="IN105" s="37"/>
      <c r="IO105" s="37"/>
      <c r="IP105" s="37"/>
    </row>
    <row r="106" spans="1:250" ht="15" customHeight="1" x14ac:dyDescent="0.3">
      <c r="A106" s="58">
        <v>0</v>
      </c>
      <c r="B106" s="68"/>
      <c r="C106" s="28">
        <f t="shared" si="1956"/>
        <v>0</v>
      </c>
      <c r="D106" s="28">
        <v>0</v>
      </c>
      <c r="E106" s="28">
        <f>D106*E$6</f>
        <v>0</v>
      </c>
      <c r="F106" s="28">
        <f>D106*F$6</f>
        <v>0</v>
      </c>
      <c r="G106" s="28">
        <f>D106/G$6</f>
        <v>0</v>
      </c>
      <c r="H106" s="72">
        <f>G106/H$6</f>
        <v>0</v>
      </c>
      <c r="I106" s="72">
        <f>D106/I$6</f>
        <v>0</v>
      </c>
      <c r="J106" s="70">
        <f>SUM(D106:I106)</f>
        <v>0</v>
      </c>
      <c r="K106" s="71">
        <v>0</v>
      </c>
      <c r="L106" s="71">
        <v>0</v>
      </c>
      <c r="M106" s="72">
        <f t="shared" si="1957"/>
        <v>0</v>
      </c>
      <c r="N106" s="72">
        <f t="shared" si="1958"/>
        <v>0</v>
      </c>
      <c r="O106" s="70">
        <f>SUM(M106:N106)</f>
        <v>0</v>
      </c>
      <c r="P106" s="73">
        <v>0</v>
      </c>
      <c r="Q106" s="74">
        <f t="shared" si="1959"/>
        <v>0</v>
      </c>
      <c r="R106" s="303">
        <f t="shared" si="1960"/>
        <v>0</v>
      </c>
      <c r="S106" s="58">
        <v>0</v>
      </c>
      <c r="T106" s="68"/>
      <c r="U106" s="28">
        <f t="shared" si="1961"/>
        <v>0</v>
      </c>
      <c r="V106" s="28">
        <v>0</v>
      </c>
      <c r="W106" s="28">
        <f>V106*W$6</f>
        <v>0</v>
      </c>
      <c r="X106" s="28">
        <f>V106*X$6</f>
        <v>0</v>
      </c>
      <c r="Y106" s="28">
        <f>V106/Y$6</f>
        <v>0</v>
      </c>
      <c r="Z106" s="72">
        <f>Y106/Z$6</f>
        <v>0</v>
      </c>
      <c r="AA106" s="72">
        <f>V106/AA$6</f>
        <v>0</v>
      </c>
      <c r="AB106" s="70">
        <f>SUM(V106:AA106)</f>
        <v>0</v>
      </c>
      <c r="AC106" s="71">
        <v>0</v>
      </c>
      <c r="AD106" s="71">
        <v>0</v>
      </c>
      <c r="AE106" s="72">
        <f t="shared" si="1962"/>
        <v>0</v>
      </c>
      <c r="AF106" s="72">
        <f t="shared" si="1963"/>
        <v>0</v>
      </c>
      <c r="AG106" s="70">
        <f>SUM(AE106:AF106)</f>
        <v>0</v>
      </c>
      <c r="AH106" s="73">
        <v>0</v>
      </c>
      <c r="AI106" s="74">
        <f t="shared" si="1964"/>
        <v>0</v>
      </c>
      <c r="AJ106" s="303">
        <f t="shared" si="1965"/>
        <v>0</v>
      </c>
      <c r="AK106" s="58">
        <v>0</v>
      </c>
      <c r="AL106" s="68"/>
      <c r="AM106" s="28">
        <f t="shared" si="1966"/>
        <v>0</v>
      </c>
      <c r="AN106" s="28">
        <v>0</v>
      </c>
      <c r="AO106" s="28">
        <f>AN106*AO$6</f>
        <v>0</v>
      </c>
      <c r="AP106" s="28">
        <f>AN106*AP$6</f>
        <v>0</v>
      </c>
      <c r="AQ106" s="28">
        <f>AN106/AQ$6</f>
        <v>0</v>
      </c>
      <c r="AR106" s="72">
        <f>AQ106/AR$6</f>
        <v>0</v>
      </c>
      <c r="AS106" s="72">
        <f>AN106/AS$6</f>
        <v>0</v>
      </c>
      <c r="AT106" s="70">
        <f>SUM(AN106:AS106)</f>
        <v>0</v>
      </c>
      <c r="AU106" s="71">
        <v>0</v>
      </c>
      <c r="AV106" s="71">
        <v>0</v>
      </c>
      <c r="AW106" s="72">
        <f t="shared" si="1967"/>
        <v>0</v>
      </c>
      <c r="AX106" s="72">
        <f t="shared" si="1968"/>
        <v>0</v>
      </c>
      <c r="AY106" s="70">
        <f>SUM(AW106:AX106)</f>
        <v>0</v>
      </c>
      <c r="AZ106" s="73">
        <v>0</v>
      </c>
      <c r="BA106" s="74">
        <f t="shared" si="1969"/>
        <v>0</v>
      </c>
      <c r="BB106" s="303">
        <f t="shared" si="1970"/>
        <v>0</v>
      </c>
      <c r="BC106" s="58">
        <v>0</v>
      </c>
      <c r="BD106" s="68"/>
      <c r="BE106" s="28">
        <f t="shared" si="1971"/>
        <v>0</v>
      </c>
      <c r="BF106" s="28">
        <v>0</v>
      </c>
      <c r="BG106" s="28">
        <f>BF106*BG$6</f>
        <v>0</v>
      </c>
      <c r="BH106" s="28">
        <f>BF106*BH$6</f>
        <v>0</v>
      </c>
      <c r="BI106" s="28">
        <f>BF106/BI$6</f>
        <v>0</v>
      </c>
      <c r="BJ106" s="72">
        <f>BI106/BJ$6</f>
        <v>0</v>
      </c>
      <c r="BK106" s="72">
        <f>BF106/BK$6</f>
        <v>0</v>
      </c>
      <c r="BL106" s="70">
        <f>SUM(BF106:BK106)</f>
        <v>0</v>
      </c>
      <c r="BM106" s="71">
        <v>0</v>
      </c>
      <c r="BN106" s="71">
        <v>0</v>
      </c>
      <c r="BO106" s="72">
        <f t="shared" si="1972"/>
        <v>0</v>
      </c>
      <c r="BP106" s="72">
        <f t="shared" si="1973"/>
        <v>0</v>
      </c>
      <c r="BQ106" s="70">
        <f>SUM(BO106:BP106)</f>
        <v>0</v>
      </c>
      <c r="BR106" s="73">
        <v>0</v>
      </c>
      <c r="BS106" s="74">
        <f t="shared" si="1974"/>
        <v>0</v>
      </c>
      <c r="BT106" s="303">
        <f t="shared" si="1975"/>
        <v>0</v>
      </c>
      <c r="BU106" s="58">
        <v>0</v>
      </c>
      <c r="BV106" s="68"/>
      <c r="BW106" s="28">
        <f t="shared" si="1976"/>
        <v>0</v>
      </c>
      <c r="BX106" s="28">
        <v>0</v>
      </c>
      <c r="BY106" s="28">
        <f>BX106*BY$6</f>
        <v>0</v>
      </c>
      <c r="BZ106" s="28">
        <f>BX106*BZ$6</f>
        <v>0</v>
      </c>
      <c r="CA106" s="28">
        <f>BX106/CA$6</f>
        <v>0</v>
      </c>
      <c r="CB106" s="72">
        <f>CA106/CB$6</f>
        <v>0</v>
      </c>
      <c r="CC106" s="72">
        <f>BX106/CC$6</f>
        <v>0</v>
      </c>
      <c r="CD106" s="70">
        <f>SUM(BX106:CC106)</f>
        <v>0</v>
      </c>
      <c r="CE106" s="71">
        <v>0</v>
      </c>
      <c r="CF106" s="71">
        <v>0</v>
      </c>
      <c r="CG106" s="72">
        <f t="shared" si="1977"/>
        <v>0</v>
      </c>
      <c r="CH106" s="72">
        <f t="shared" si="1978"/>
        <v>0</v>
      </c>
      <c r="CI106" s="70">
        <f>SUM(CG106:CH106)</f>
        <v>0</v>
      </c>
      <c r="CJ106" s="73">
        <v>0</v>
      </c>
      <c r="CK106" s="74">
        <f t="shared" si="1979"/>
        <v>0</v>
      </c>
      <c r="CL106" s="303">
        <f t="shared" si="1980"/>
        <v>0</v>
      </c>
      <c r="CM106" s="58">
        <v>0</v>
      </c>
      <c r="CN106" s="68"/>
      <c r="CO106" s="28">
        <f t="shared" si="1981"/>
        <v>0</v>
      </c>
      <c r="CP106" s="28">
        <v>0</v>
      </c>
      <c r="CQ106" s="28">
        <f>CP106*CQ$6</f>
        <v>0</v>
      </c>
      <c r="CR106" s="28">
        <f>CP106*CR$6</f>
        <v>0</v>
      </c>
      <c r="CS106" s="28">
        <f>CP106/CS$6</f>
        <v>0</v>
      </c>
      <c r="CT106" s="72">
        <f>CS106/CT$6</f>
        <v>0</v>
      </c>
      <c r="CU106" s="72">
        <f>CP106/CU$6</f>
        <v>0</v>
      </c>
      <c r="CV106" s="70">
        <f>SUM(CP106:CU106)</f>
        <v>0</v>
      </c>
      <c r="CW106" s="71">
        <v>0</v>
      </c>
      <c r="CX106" s="71">
        <v>0</v>
      </c>
      <c r="CY106" s="72">
        <f t="shared" si="1982"/>
        <v>0</v>
      </c>
      <c r="CZ106" s="72">
        <f t="shared" si="1983"/>
        <v>0</v>
      </c>
      <c r="DA106" s="70">
        <f>SUM(CY106:CZ106)</f>
        <v>0</v>
      </c>
      <c r="DB106" s="73">
        <v>0</v>
      </c>
      <c r="DC106" s="74">
        <f t="shared" si="1984"/>
        <v>0</v>
      </c>
      <c r="DD106" s="303">
        <f t="shared" si="1985"/>
        <v>0</v>
      </c>
      <c r="DE106" s="58">
        <v>0</v>
      </c>
      <c r="DF106" s="68"/>
      <c r="DG106" s="28">
        <f t="shared" si="1986"/>
        <v>0</v>
      </c>
      <c r="DH106" s="28">
        <v>0</v>
      </c>
      <c r="DI106" s="28">
        <f>DH106*DI$6</f>
        <v>0</v>
      </c>
      <c r="DJ106" s="28">
        <f>DH106*DJ$6</f>
        <v>0</v>
      </c>
      <c r="DK106" s="28">
        <f>DH106/DK$6</f>
        <v>0</v>
      </c>
      <c r="DL106" s="72">
        <f>DK106/DL$6</f>
        <v>0</v>
      </c>
      <c r="DM106" s="72">
        <f>DH106/DM$6</f>
        <v>0</v>
      </c>
      <c r="DN106" s="70">
        <f>SUM(DH106:DM106)</f>
        <v>0</v>
      </c>
      <c r="DO106" s="71">
        <v>0</v>
      </c>
      <c r="DP106" s="71">
        <v>0</v>
      </c>
      <c r="DQ106" s="72">
        <f t="shared" si="1987"/>
        <v>0</v>
      </c>
      <c r="DR106" s="72">
        <f t="shared" si="1988"/>
        <v>0</v>
      </c>
      <c r="DS106" s="70">
        <f>SUM(DQ106:DR106)</f>
        <v>0</v>
      </c>
      <c r="DT106" s="73">
        <v>0</v>
      </c>
      <c r="DU106" s="74">
        <f t="shared" si="1989"/>
        <v>0</v>
      </c>
      <c r="DV106" s="303">
        <f t="shared" si="1990"/>
        <v>0</v>
      </c>
      <c r="DW106" s="58">
        <v>0</v>
      </c>
      <c r="DX106" s="68"/>
      <c r="DY106" s="28">
        <f t="shared" si="1991"/>
        <v>0</v>
      </c>
      <c r="DZ106" s="28">
        <v>0</v>
      </c>
      <c r="EA106" s="28">
        <f>DZ106*EA$6</f>
        <v>0</v>
      </c>
      <c r="EB106" s="28">
        <f>DZ106*EB$6</f>
        <v>0</v>
      </c>
      <c r="EC106" s="28">
        <f>DZ106/EC$6</f>
        <v>0</v>
      </c>
      <c r="ED106" s="72">
        <f>EC106/ED$6</f>
        <v>0</v>
      </c>
      <c r="EE106" s="72">
        <f>DZ106/EE$6</f>
        <v>0</v>
      </c>
      <c r="EF106" s="70">
        <f>SUM(DZ106:EE106)</f>
        <v>0</v>
      </c>
      <c r="EG106" s="71">
        <v>0</v>
      </c>
      <c r="EH106" s="71">
        <v>0</v>
      </c>
      <c r="EI106" s="72">
        <f t="shared" si="1992"/>
        <v>0</v>
      </c>
      <c r="EJ106" s="72">
        <f t="shared" si="1993"/>
        <v>0</v>
      </c>
      <c r="EK106" s="70">
        <f>SUM(EI106:EJ106)</f>
        <v>0</v>
      </c>
      <c r="EL106" s="73">
        <v>0</v>
      </c>
      <c r="EM106" s="74">
        <f t="shared" si="1994"/>
        <v>0</v>
      </c>
      <c r="EN106" s="303">
        <f t="shared" si="1995"/>
        <v>0</v>
      </c>
      <c r="EO106" s="58">
        <v>0</v>
      </c>
      <c r="EP106" s="68"/>
      <c r="EQ106" s="28">
        <f t="shared" si="1996"/>
        <v>0</v>
      </c>
      <c r="ER106" s="28">
        <v>0</v>
      </c>
      <c r="ES106" s="28">
        <f>ER106*ES$6</f>
        <v>0</v>
      </c>
      <c r="ET106" s="28">
        <f>ER106*ET$6</f>
        <v>0</v>
      </c>
      <c r="EU106" s="28">
        <f>ER106/EU$6</f>
        <v>0</v>
      </c>
      <c r="EV106" s="72">
        <f>EU106/EV$6</f>
        <v>0</v>
      </c>
      <c r="EW106" s="72">
        <f>ER106/EW$6</f>
        <v>0</v>
      </c>
      <c r="EX106" s="70">
        <f>SUM(ER106:EW106)</f>
        <v>0</v>
      </c>
      <c r="EY106" s="71">
        <v>0</v>
      </c>
      <c r="EZ106" s="71">
        <v>0</v>
      </c>
      <c r="FA106" s="72">
        <f t="shared" si="1997"/>
        <v>0</v>
      </c>
      <c r="FB106" s="72">
        <f t="shared" si="1998"/>
        <v>0</v>
      </c>
      <c r="FC106" s="70">
        <f>SUM(FA106:FB106)</f>
        <v>0</v>
      </c>
      <c r="FD106" s="73">
        <v>0</v>
      </c>
      <c r="FE106" s="74">
        <f t="shared" si="1999"/>
        <v>0</v>
      </c>
      <c r="FF106" s="303">
        <f t="shared" si="2000"/>
        <v>0</v>
      </c>
      <c r="FG106" s="58">
        <v>0</v>
      </c>
      <c r="FH106" s="68"/>
      <c r="FI106" s="28">
        <f t="shared" si="2001"/>
        <v>0</v>
      </c>
      <c r="FJ106" s="28">
        <v>0</v>
      </c>
      <c r="FK106" s="28">
        <f>FJ106*FK$6</f>
        <v>0</v>
      </c>
      <c r="FL106" s="28">
        <f>FJ106*FL$6</f>
        <v>0</v>
      </c>
      <c r="FM106" s="28">
        <f>FJ106/FM$6</f>
        <v>0</v>
      </c>
      <c r="FN106" s="72">
        <f>FM106/FN$6</f>
        <v>0</v>
      </c>
      <c r="FO106" s="72">
        <f>FJ106/FO$6</f>
        <v>0</v>
      </c>
      <c r="FP106" s="70">
        <f>SUM(FJ106:FO106)</f>
        <v>0</v>
      </c>
      <c r="FQ106" s="71">
        <v>0</v>
      </c>
      <c r="FR106" s="71">
        <v>0</v>
      </c>
      <c r="FS106" s="72">
        <f t="shared" si="2002"/>
        <v>0</v>
      </c>
      <c r="FT106" s="72">
        <f t="shared" si="2003"/>
        <v>0</v>
      </c>
      <c r="FU106" s="70">
        <f>SUM(FS106:FT106)</f>
        <v>0</v>
      </c>
      <c r="FV106" s="73">
        <v>0</v>
      </c>
      <c r="FW106" s="74">
        <f t="shared" si="2004"/>
        <v>0</v>
      </c>
      <c r="FX106" s="303">
        <f t="shared" si="2005"/>
        <v>0</v>
      </c>
      <c r="FY106" s="58">
        <v>0</v>
      </c>
      <c r="FZ106" s="68"/>
      <c r="GA106" s="28">
        <f t="shared" si="2006"/>
        <v>0</v>
      </c>
      <c r="GB106" s="28">
        <v>0</v>
      </c>
      <c r="GC106" s="28">
        <f>GB106*GC$6</f>
        <v>0</v>
      </c>
      <c r="GD106" s="28">
        <f>GB106*GD$6</f>
        <v>0</v>
      </c>
      <c r="GE106" s="28">
        <f>GB106/GE$6</f>
        <v>0</v>
      </c>
      <c r="GF106" s="72">
        <f>GE106/GF$6</f>
        <v>0</v>
      </c>
      <c r="GG106" s="72">
        <f>GB106/GG$6</f>
        <v>0</v>
      </c>
      <c r="GH106" s="70">
        <f>SUM(GB106:GG106)</f>
        <v>0</v>
      </c>
      <c r="GI106" s="71">
        <v>0</v>
      </c>
      <c r="GJ106" s="71">
        <v>0</v>
      </c>
      <c r="GK106" s="72">
        <f t="shared" si="2007"/>
        <v>0</v>
      </c>
      <c r="GL106" s="72">
        <f t="shared" si="2008"/>
        <v>0</v>
      </c>
      <c r="GM106" s="70">
        <f>SUM(GK106:GL106)</f>
        <v>0</v>
      </c>
      <c r="GN106" s="73">
        <v>0</v>
      </c>
      <c r="GO106" s="74">
        <f t="shared" si="2009"/>
        <v>0</v>
      </c>
      <c r="GP106" s="303">
        <f t="shared" si="2010"/>
        <v>0</v>
      </c>
      <c r="GQ106" s="58">
        <v>0</v>
      </c>
      <c r="GR106" s="68"/>
      <c r="GS106" s="28">
        <f t="shared" si="2011"/>
        <v>0</v>
      </c>
      <c r="GT106" s="28">
        <v>0</v>
      </c>
      <c r="GU106" s="28">
        <f>GT106*GU$6</f>
        <v>0</v>
      </c>
      <c r="GV106" s="28">
        <f>GT106*GV$6</f>
        <v>0</v>
      </c>
      <c r="GW106" s="28">
        <f>GT106/GW$6</f>
        <v>0</v>
      </c>
      <c r="GX106" s="72">
        <f>GW106/GX$6</f>
        <v>0</v>
      </c>
      <c r="GY106" s="72">
        <f>GT106/GY$6</f>
        <v>0</v>
      </c>
      <c r="GZ106" s="70">
        <f>SUM(GT106:GY106)</f>
        <v>0</v>
      </c>
      <c r="HA106" s="71">
        <v>0</v>
      </c>
      <c r="HB106" s="71">
        <v>0</v>
      </c>
      <c r="HC106" s="72">
        <f t="shared" si="2012"/>
        <v>0</v>
      </c>
      <c r="HD106" s="72">
        <f t="shared" si="2013"/>
        <v>0</v>
      </c>
      <c r="HE106" s="70">
        <f>SUM(HC106:HD106)</f>
        <v>0</v>
      </c>
      <c r="HF106" s="73">
        <v>0</v>
      </c>
      <c r="HG106" s="74">
        <f t="shared" si="2014"/>
        <v>0</v>
      </c>
      <c r="HH106" s="303">
        <f t="shared" si="2015"/>
        <v>0</v>
      </c>
      <c r="HJ106" s="37"/>
      <c r="HK106" s="37"/>
      <c r="HL106" s="37"/>
      <c r="HM106" s="37"/>
      <c r="HN106" s="37"/>
      <c r="HO106" s="37"/>
      <c r="HP106" s="37"/>
      <c r="HQ106" s="37"/>
      <c r="HR106" s="37"/>
      <c r="HS106" s="37"/>
      <c r="HT106" s="37"/>
      <c r="HU106" s="37"/>
      <c r="HV106" s="37"/>
      <c r="HW106" s="37"/>
      <c r="HX106" s="37"/>
      <c r="HY106" s="37"/>
      <c r="HZ106" s="37"/>
      <c r="IA106" s="37"/>
      <c r="IB106" s="37"/>
      <c r="IC106" s="37"/>
      <c r="ID106" s="37"/>
      <c r="IE106" s="37"/>
      <c r="IF106" s="37"/>
      <c r="IG106" s="37"/>
      <c r="IH106" s="37"/>
      <c r="II106" s="37"/>
      <c r="IJ106" s="37"/>
      <c r="IK106" s="37"/>
      <c r="IL106" s="37"/>
      <c r="IM106" s="37"/>
      <c r="IN106" s="37"/>
      <c r="IO106" s="37"/>
      <c r="IP106" s="37"/>
    </row>
    <row r="107" spans="1:250" ht="15" customHeight="1" x14ac:dyDescent="0.3">
      <c r="A107" s="541"/>
      <c r="B107" s="537"/>
      <c r="C107" s="537"/>
      <c r="D107" s="537"/>
      <c r="E107" s="537"/>
      <c r="F107" s="537"/>
      <c r="G107" s="537"/>
      <c r="H107" s="537"/>
      <c r="I107" s="537"/>
      <c r="J107" s="537"/>
      <c r="K107" s="537"/>
      <c r="L107" s="537"/>
      <c r="M107" s="537"/>
      <c r="N107" s="537"/>
      <c r="O107" s="537"/>
      <c r="P107" s="538"/>
      <c r="Q107" s="423" t="s">
        <v>8</v>
      </c>
      <c r="R107" s="304">
        <f>SUM(R104:R106)</f>
        <v>3426.125544444445</v>
      </c>
      <c r="S107" s="541"/>
      <c r="T107" s="537"/>
      <c r="U107" s="537"/>
      <c r="V107" s="537"/>
      <c r="W107" s="537"/>
      <c r="X107" s="537"/>
      <c r="Y107" s="537"/>
      <c r="Z107" s="537"/>
      <c r="AA107" s="537"/>
      <c r="AB107" s="537"/>
      <c r="AC107" s="537"/>
      <c r="AD107" s="537"/>
      <c r="AE107" s="537"/>
      <c r="AF107" s="537"/>
      <c r="AG107" s="537"/>
      <c r="AH107" s="538"/>
      <c r="AI107" s="423" t="s">
        <v>8</v>
      </c>
      <c r="AJ107" s="304">
        <f>SUM(AJ104:AJ106)</f>
        <v>3426.125544444445</v>
      </c>
      <c r="AK107" s="541"/>
      <c r="AL107" s="537"/>
      <c r="AM107" s="537"/>
      <c r="AN107" s="537"/>
      <c r="AO107" s="537"/>
      <c r="AP107" s="537"/>
      <c r="AQ107" s="537"/>
      <c r="AR107" s="537"/>
      <c r="AS107" s="537"/>
      <c r="AT107" s="537"/>
      <c r="AU107" s="537"/>
      <c r="AV107" s="537"/>
      <c r="AW107" s="537"/>
      <c r="AX107" s="537"/>
      <c r="AY107" s="537"/>
      <c r="AZ107" s="538"/>
      <c r="BA107" s="423" t="s">
        <v>8</v>
      </c>
      <c r="BB107" s="304">
        <f>SUM(BB104:BB106)</f>
        <v>3426.125544444445</v>
      </c>
      <c r="BC107" s="541"/>
      <c r="BD107" s="537"/>
      <c r="BE107" s="537"/>
      <c r="BF107" s="537"/>
      <c r="BG107" s="537"/>
      <c r="BH107" s="537"/>
      <c r="BI107" s="537"/>
      <c r="BJ107" s="537"/>
      <c r="BK107" s="537"/>
      <c r="BL107" s="537"/>
      <c r="BM107" s="537"/>
      <c r="BN107" s="537"/>
      <c r="BO107" s="537"/>
      <c r="BP107" s="537"/>
      <c r="BQ107" s="537"/>
      <c r="BR107" s="538"/>
      <c r="BS107" s="423" t="s">
        <v>8</v>
      </c>
      <c r="BT107" s="304">
        <f>SUM(BT104:BT106)</f>
        <v>3426.125544444445</v>
      </c>
      <c r="BU107" s="541"/>
      <c r="BV107" s="537"/>
      <c r="BW107" s="537"/>
      <c r="BX107" s="537"/>
      <c r="BY107" s="537"/>
      <c r="BZ107" s="537"/>
      <c r="CA107" s="537"/>
      <c r="CB107" s="537"/>
      <c r="CC107" s="537"/>
      <c r="CD107" s="537"/>
      <c r="CE107" s="537"/>
      <c r="CF107" s="537"/>
      <c r="CG107" s="537"/>
      <c r="CH107" s="537"/>
      <c r="CI107" s="537"/>
      <c r="CJ107" s="538"/>
      <c r="CK107" s="423" t="s">
        <v>8</v>
      </c>
      <c r="CL107" s="304">
        <f>SUM(CL104:CL106)</f>
        <v>3426.125544444445</v>
      </c>
      <c r="CM107" s="541"/>
      <c r="CN107" s="537"/>
      <c r="CO107" s="537"/>
      <c r="CP107" s="537"/>
      <c r="CQ107" s="537"/>
      <c r="CR107" s="537"/>
      <c r="CS107" s="537"/>
      <c r="CT107" s="537"/>
      <c r="CU107" s="537"/>
      <c r="CV107" s="537"/>
      <c r="CW107" s="537"/>
      <c r="CX107" s="537"/>
      <c r="CY107" s="537"/>
      <c r="CZ107" s="537"/>
      <c r="DA107" s="537"/>
      <c r="DB107" s="538"/>
      <c r="DC107" s="423" t="s">
        <v>8</v>
      </c>
      <c r="DD107" s="304">
        <f>SUM(DD104:DD106)</f>
        <v>3426.125544444445</v>
      </c>
      <c r="DE107" s="541"/>
      <c r="DF107" s="537"/>
      <c r="DG107" s="537"/>
      <c r="DH107" s="537"/>
      <c r="DI107" s="537"/>
      <c r="DJ107" s="537"/>
      <c r="DK107" s="537"/>
      <c r="DL107" s="537"/>
      <c r="DM107" s="537"/>
      <c r="DN107" s="537"/>
      <c r="DO107" s="537"/>
      <c r="DP107" s="537"/>
      <c r="DQ107" s="537"/>
      <c r="DR107" s="537"/>
      <c r="DS107" s="537"/>
      <c r="DT107" s="538"/>
      <c r="DU107" s="423" t="s">
        <v>8</v>
      </c>
      <c r="DV107" s="304">
        <f>SUM(DV104:DV106)</f>
        <v>3426.125544444445</v>
      </c>
      <c r="DW107" s="541"/>
      <c r="DX107" s="537"/>
      <c r="DY107" s="537"/>
      <c r="DZ107" s="537"/>
      <c r="EA107" s="537"/>
      <c r="EB107" s="537"/>
      <c r="EC107" s="537"/>
      <c r="ED107" s="537"/>
      <c r="EE107" s="537"/>
      <c r="EF107" s="537"/>
      <c r="EG107" s="537"/>
      <c r="EH107" s="537"/>
      <c r="EI107" s="537"/>
      <c r="EJ107" s="537"/>
      <c r="EK107" s="537"/>
      <c r="EL107" s="538"/>
      <c r="EM107" s="423" t="s">
        <v>8</v>
      </c>
      <c r="EN107" s="304">
        <f>SUM(EN104:EN106)</f>
        <v>3426.125544444445</v>
      </c>
      <c r="EO107" s="541"/>
      <c r="EP107" s="537"/>
      <c r="EQ107" s="537"/>
      <c r="ER107" s="537"/>
      <c r="ES107" s="537"/>
      <c r="ET107" s="537"/>
      <c r="EU107" s="537"/>
      <c r="EV107" s="537"/>
      <c r="EW107" s="537"/>
      <c r="EX107" s="537"/>
      <c r="EY107" s="537"/>
      <c r="EZ107" s="537"/>
      <c r="FA107" s="537"/>
      <c r="FB107" s="537"/>
      <c r="FC107" s="537"/>
      <c r="FD107" s="538"/>
      <c r="FE107" s="423" t="s">
        <v>8</v>
      </c>
      <c r="FF107" s="304">
        <f>SUM(FF104:FF106)</f>
        <v>3426.125544444445</v>
      </c>
      <c r="FG107" s="541"/>
      <c r="FH107" s="537"/>
      <c r="FI107" s="537"/>
      <c r="FJ107" s="537"/>
      <c r="FK107" s="537"/>
      <c r="FL107" s="537"/>
      <c r="FM107" s="537"/>
      <c r="FN107" s="537"/>
      <c r="FO107" s="537"/>
      <c r="FP107" s="537"/>
      <c r="FQ107" s="537"/>
      <c r="FR107" s="537"/>
      <c r="FS107" s="537"/>
      <c r="FT107" s="537"/>
      <c r="FU107" s="537"/>
      <c r="FV107" s="538"/>
      <c r="FW107" s="423" t="s">
        <v>8</v>
      </c>
      <c r="FX107" s="304">
        <f>SUM(FX104:FX106)</f>
        <v>3426.125544444445</v>
      </c>
      <c r="FY107" s="541"/>
      <c r="FZ107" s="537"/>
      <c r="GA107" s="537"/>
      <c r="GB107" s="537"/>
      <c r="GC107" s="537"/>
      <c r="GD107" s="537"/>
      <c r="GE107" s="537"/>
      <c r="GF107" s="537"/>
      <c r="GG107" s="537"/>
      <c r="GH107" s="537"/>
      <c r="GI107" s="537"/>
      <c r="GJ107" s="537"/>
      <c r="GK107" s="537"/>
      <c r="GL107" s="537"/>
      <c r="GM107" s="537"/>
      <c r="GN107" s="538"/>
      <c r="GO107" s="423" t="s">
        <v>8</v>
      </c>
      <c r="GP107" s="304">
        <f>SUM(GP104:GP106)</f>
        <v>3426.125544444445</v>
      </c>
      <c r="GQ107" s="541"/>
      <c r="GR107" s="537"/>
      <c r="GS107" s="537"/>
      <c r="GT107" s="537"/>
      <c r="GU107" s="537"/>
      <c r="GV107" s="537"/>
      <c r="GW107" s="537"/>
      <c r="GX107" s="537"/>
      <c r="GY107" s="537"/>
      <c r="GZ107" s="537"/>
      <c r="HA107" s="537"/>
      <c r="HB107" s="537"/>
      <c r="HC107" s="537"/>
      <c r="HD107" s="537"/>
      <c r="HE107" s="537"/>
      <c r="HF107" s="538"/>
      <c r="HG107" s="423" t="s">
        <v>8</v>
      </c>
      <c r="HH107" s="304">
        <f>SUM(HH104:HH106)</f>
        <v>3426.125544444445</v>
      </c>
      <c r="HJ107" s="37"/>
      <c r="HK107" s="37"/>
      <c r="HL107" s="37"/>
      <c r="HM107" s="37"/>
      <c r="HN107" s="37"/>
      <c r="HO107" s="37"/>
      <c r="HP107" s="37"/>
      <c r="HQ107" s="37"/>
      <c r="HR107" s="37"/>
      <c r="HS107" s="37"/>
      <c r="HT107" s="37"/>
      <c r="HU107" s="37"/>
      <c r="HV107" s="37"/>
      <c r="HW107" s="37"/>
      <c r="HX107" s="37"/>
      <c r="HY107" s="37"/>
      <c r="HZ107" s="37"/>
      <c r="IA107" s="37"/>
      <c r="IB107" s="37"/>
      <c r="IC107" s="37"/>
      <c r="ID107" s="37"/>
      <c r="IE107" s="37"/>
      <c r="IF107" s="37"/>
      <c r="IG107" s="37"/>
      <c r="IH107" s="37"/>
      <c r="II107" s="37"/>
      <c r="IJ107" s="37"/>
      <c r="IK107" s="37"/>
      <c r="IL107" s="37"/>
      <c r="IM107" s="37"/>
      <c r="IN107" s="37"/>
      <c r="IO107" s="37"/>
      <c r="IP107" s="37"/>
    </row>
    <row r="108" spans="1:250" ht="15.75" customHeight="1" x14ac:dyDescent="0.3">
      <c r="A108" s="543"/>
      <c r="B108" s="544"/>
      <c r="C108" s="544"/>
      <c r="D108" s="544"/>
      <c r="E108" s="742" t="s">
        <v>124</v>
      </c>
      <c r="F108" s="742"/>
      <c r="G108" s="742"/>
      <c r="H108" s="742"/>
      <c r="I108" s="742"/>
      <c r="J108" s="742"/>
      <c r="K108" s="742"/>
      <c r="L108" s="742"/>
      <c r="M108" s="742"/>
      <c r="N108" s="544"/>
      <c r="O108" s="544"/>
      <c r="P108" s="544"/>
      <c r="Q108" s="544"/>
      <c r="R108" s="545"/>
      <c r="S108" s="543"/>
      <c r="T108" s="544"/>
      <c r="U108" s="544"/>
      <c r="V108" s="544"/>
      <c r="W108" s="742" t="s">
        <v>124</v>
      </c>
      <c r="X108" s="742"/>
      <c r="Y108" s="742"/>
      <c r="Z108" s="742"/>
      <c r="AA108" s="742"/>
      <c r="AB108" s="742"/>
      <c r="AC108" s="742"/>
      <c r="AD108" s="742"/>
      <c r="AE108" s="742"/>
      <c r="AF108" s="544"/>
      <c r="AG108" s="544"/>
      <c r="AH108" s="544"/>
      <c r="AI108" s="544"/>
      <c r="AJ108" s="545"/>
      <c r="AK108" s="543"/>
      <c r="AL108" s="544"/>
      <c r="AM108" s="544"/>
      <c r="AN108" s="544"/>
      <c r="AO108" s="742" t="s">
        <v>124</v>
      </c>
      <c r="AP108" s="742"/>
      <c r="AQ108" s="742"/>
      <c r="AR108" s="742"/>
      <c r="AS108" s="742"/>
      <c r="AT108" s="742"/>
      <c r="AU108" s="742"/>
      <c r="AV108" s="742"/>
      <c r="AW108" s="742"/>
      <c r="AX108" s="544"/>
      <c r="AY108" s="544"/>
      <c r="AZ108" s="544"/>
      <c r="BA108" s="544"/>
      <c r="BB108" s="545"/>
      <c r="BC108" s="543"/>
      <c r="BD108" s="544"/>
      <c r="BE108" s="544"/>
      <c r="BF108" s="544"/>
      <c r="BG108" s="742" t="s">
        <v>124</v>
      </c>
      <c r="BH108" s="742"/>
      <c r="BI108" s="742"/>
      <c r="BJ108" s="742"/>
      <c r="BK108" s="742"/>
      <c r="BL108" s="742"/>
      <c r="BM108" s="742"/>
      <c r="BN108" s="742"/>
      <c r="BO108" s="742"/>
      <c r="BP108" s="544"/>
      <c r="BQ108" s="544"/>
      <c r="BR108" s="544"/>
      <c r="BS108" s="544"/>
      <c r="BT108" s="545"/>
      <c r="BU108" s="543"/>
      <c r="BV108" s="544"/>
      <c r="BW108" s="544"/>
      <c r="BX108" s="544"/>
      <c r="BY108" s="742" t="s">
        <v>124</v>
      </c>
      <c r="BZ108" s="742"/>
      <c r="CA108" s="742"/>
      <c r="CB108" s="742"/>
      <c r="CC108" s="742"/>
      <c r="CD108" s="742"/>
      <c r="CE108" s="742"/>
      <c r="CF108" s="742"/>
      <c r="CG108" s="742"/>
      <c r="CH108" s="544"/>
      <c r="CI108" s="544"/>
      <c r="CJ108" s="544"/>
      <c r="CK108" s="544"/>
      <c r="CL108" s="545"/>
      <c r="CM108" s="543"/>
      <c r="CN108" s="544"/>
      <c r="CO108" s="544"/>
      <c r="CP108" s="544"/>
      <c r="CQ108" s="742" t="s">
        <v>124</v>
      </c>
      <c r="CR108" s="742"/>
      <c r="CS108" s="742"/>
      <c r="CT108" s="742"/>
      <c r="CU108" s="742"/>
      <c r="CV108" s="742"/>
      <c r="CW108" s="742"/>
      <c r="CX108" s="742"/>
      <c r="CY108" s="742"/>
      <c r="CZ108" s="544"/>
      <c r="DA108" s="544"/>
      <c r="DB108" s="544"/>
      <c r="DC108" s="544"/>
      <c r="DD108" s="545"/>
      <c r="DE108" s="543"/>
      <c r="DF108" s="544"/>
      <c r="DG108" s="544"/>
      <c r="DH108" s="544"/>
      <c r="DI108" s="742" t="s">
        <v>124</v>
      </c>
      <c r="DJ108" s="742"/>
      <c r="DK108" s="742"/>
      <c r="DL108" s="742"/>
      <c r="DM108" s="742"/>
      <c r="DN108" s="742"/>
      <c r="DO108" s="742"/>
      <c r="DP108" s="742"/>
      <c r="DQ108" s="742"/>
      <c r="DR108" s="544"/>
      <c r="DS108" s="544"/>
      <c r="DT108" s="544"/>
      <c r="DU108" s="544"/>
      <c r="DV108" s="545"/>
      <c r="DW108" s="543"/>
      <c r="DX108" s="544"/>
      <c r="DY108" s="544"/>
      <c r="DZ108" s="544"/>
      <c r="EA108" s="742" t="s">
        <v>124</v>
      </c>
      <c r="EB108" s="742"/>
      <c r="EC108" s="742"/>
      <c r="ED108" s="742"/>
      <c r="EE108" s="742"/>
      <c r="EF108" s="742"/>
      <c r="EG108" s="742"/>
      <c r="EH108" s="742"/>
      <c r="EI108" s="742"/>
      <c r="EJ108" s="544"/>
      <c r="EK108" s="544"/>
      <c r="EL108" s="544"/>
      <c r="EM108" s="544"/>
      <c r="EN108" s="545"/>
      <c r="EO108" s="543"/>
      <c r="EP108" s="544"/>
      <c r="EQ108" s="544"/>
      <c r="ER108" s="544"/>
      <c r="ES108" s="742" t="s">
        <v>124</v>
      </c>
      <c r="ET108" s="742"/>
      <c r="EU108" s="742"/>
      <c r="EV108" s="742"/>
      <c r="EW108" s="742"/>
      <c r="EX108" s="742"/>
      <c r="EY108" s="742"/>
      <c r="EZ108" s="742"/>
      <c r="FA108" s="742"/>
      <c r="FB108" s="544"/>
      <c r="FC108" s="544"/>
      <c r="FD108" s="544"/>
      <c r="FE108" s="544"/>
      <c r="FF108" s="545"/>
      <c r="FG108" s="543"/>
      <c r="FH108" s="544"/>
      <c r="FI108" s="544"/>
      <c r="FJ108" s="544"/>
      <c r="FK108" s="742" t="s">
        <v>124</v>
      </c>
      <c r="FL108" s="742"/>
      <c r="FM108" s="742"/>
      <c r="FN108" s="742"/>
      <c r="FO108" s="742"/>
      <c r="FP108" s="742"/>
      <c r="FQ108" s="742"/>
      <c r="FR108" s="742"/>
      <c r="FS108" s="742"/>
      <c r="FT108" s="544"/>
      <c r="FU108" s="544"/>
      <c r="FV108" s="544"/>
      <c r="FW108" s="544"/>
      <c r="FX108" s="545"/>
      <c r="FY108" s="543"/>
      <c r="FZ108" s="544"/>
      <c r="GA108" s="544"/>
      <c r="GB108" s="544"/>
      <c r="GC108" s="742" t="s">
        <v>124</v>
      </c>
      <c r="GD108" s="742"/>
      <c r="GE108" s="742"/>
      <c r="GF108" s="742"/>
      <c r="GG108" s="742"/>
      <c r="GH108" s="742"/>
      <c r="GI108" s="742"/>
      <c r="GJ108" s="742"/>
      <c r="GK108" s="742"/>
      <c r="GL108" s="544"/>
      <c r="GM108" s="544"/>
      <c r="GN108" s="544"/>
      <c r="GO108" s="544"/>
      <c r="GP108" s="545"/>
      <c r="GQ108" s="543"/>
      <c r="GR108" s="544"/>
      <c r="GS108" s="544"/>
      <c r="GT108" s="544"/>
      <c r="GU108" s="742" t="s">
        <v>124</v>
      </c>
      <c r="GV108" s="742"/>
      <c r="GW108" s="742"/>
      <c r="GX108" s="742"/>
      <c r="GY108" s="742"/>
      <c r="GZ108" s="742"/>
      <c r="HA108" s="742"/>
      <c r="HB108" s="742"/>
      <c r="HC108" s="742"/>
      <c r="HD108" s="544"/>
      <c r="HE108" s="544"/>
      <c r="HF108" s="544"/>
      <c r="HG108" s="544"/>
      <c r="HH108" s="545"/>
      <c r="HJ108" s="37"/>
      <c r="HK108" s="37"/>
      <c r="HL108" s="37"/>
      <c r="HM108" s="37"/>
      <c r="HN108" s="37"/>
      <c r="HO108" s="37"/>
      <c r="HP108" s="37"/>
      <c r="HQ108" s="37"/>
      <c r="HR108" s="37"/>
      <c r="HS108" s="37"/>
      <c r="HT108" s="37"/>
      <c r="HU108" s="37"/>
      <c r="HV108" s="37"/>
      <c r="HW108" s="37"/>
      <c r="HX108" s="37"/>
      <c r="HY108" s="37"/>
      <c r="HZ108" s="37"/>
      <c r="IA108" s="37"/>
      <c r="IB108" s="37"/>
      <c r="IC108" s="37"/>
      <c r="ID108" s="37"/>
      <c r="IE108" s="37"/>
      <c r="IF108" s="37"/>
      <c r="IG108" s="37"/>
      <c r="IH108" s="37"/>
      <c r="II108" s="37"/>
      <c r="IJ108" s="37"/>
      <c r="IK108" s="37"/>
      <c r="IL108" s="37"/>
      <c r="IM108" s="37"/>
      <c r="IN108" s="37"/>
      <c r="IO108" s="37"/>
      <c r="IP108" s="37"/>
    </row>
    <row r="109" spans="1:250" x14ac:dyDescent="0.3">
      <c r="A109" s="58">
        <v>1</v>
      </c>
      <c r="B109" s="68" t="s">
        <v>299</v>
      </c>
      <c r="C109" s="28">
        <f t="shared" ref="C109:C111" si="2016">D109/$AM$4</f>
        <v>10.396681818181818</v>
      </c>
      <c r="D109" s="69">
        <v>2287.27</v>
      </c>
      <c r="E109" s="28">
        <f>D109*E$6</f>
        <v>228.727</v>
      </c>
      <c r="F109" s="28">
        <f>D109*F$6</f>
        <v>182.98160000000001</v>
      </c>
      <c r="G109" s="28">
        <f>D109/G$6</f>
        <v>190.60583333333332</v>
      </c>
      <c r="H109" s="72">
        <f>G109/H$6</f>
        <v>63.535277777777772</v>
      </c>
      <c r="I109" s="70">
        <f>D109/I$6</f>
        <v>190.60583333333332</v>
      </c>
      <c r="J109" s="70">
        <f>SUM(D109:I109)</f>
        <v>3143.7255444444449</v>
      </c>
      <c r="K109" s="71">
        <v>0</v>
      </c>
      <c r="L109" s="71">
        <v>0</v>
      </c>
      <c r="M109" s="72">
        <f t="shared" ref="M109:M111" si="2017">((C109*M$6)+(C109*$AO$6)+(C109*$AP$6))*K109</f>
        <v>0</v>
      </c>
      <c r="N109" s="72">
        <f t="shared" ref="N109:N111" si="2018">((C109*N$6)+(C109*$AO$6)+(C109*$AP$6))*L109</f>
        <v>0</v>
      </c>
      <c r="O109" s="70">
        <f>SUM(M109:N109)</f>
        <v>0</v>
      </c>
      <c r="P109" s="73">
        <v>0</v>
      </c>
      <c r="Q109" s="74">
        <f t="shared" ref="Q109:Q111" si="2019">IF(A109=1,($C$1*$Q$6),0)</f>
        <v>282.40000000000003</v>
      </c>
      <c r="R109" s="303">
        <f t="shared" ref="R109:R111" si="2020">J109+O109+P109+Q109</f>
        <v>3426.125544444445</v>
      </c>
      <c r="S109" s="58">
        <v>1</v>
      </c>
      <c r="T109" s="68" t="s">
        <v>299</v>
      </c>
      <c r="U109" s="28">
        <f t="shared" ref="U109:U111" si="2021">V109/$AM$4</f>
        <v>10.396681818181818</v>
      </c>
      <c r="V109" s="69">
        <v>2287.27</v>
      </c>
      <c r="W109" s="28">
        <f>V109*W$6</f>
        <v>228.727</v>
      </c>
      <c r="X109" s="28">
        <f>V109*X$6</f>
        <v>182.98160000000001</v>
      </c>
      <c r="Y109" s="28">
        <f>V109/Y$6</f>
        <v>190.60583333333332</v>
      </c>
      <c r="Z109" s="72">
        <f>Y109/Z$6</f>
        <v>63.535277777777772</v>
      </c>
      <c r="AA109" s="70">
        <f>V109/AA$6</f>
        <v>190.60583333333332</v>
      </c>
      <c r="AB109" s="70">
        <f>SUM(V109:AA109)</f>
        <v>3143.7255444444449</v>
      </c>
      <c r="AC109" s="71">
        <v>0</v>
      </c>
      <c r="AD109" s="71">
        <v>0</v>
      </c>
      <c r="AE109" s="72">
        <f t="shared" ref="AE109:AE111" si="2022">((U109*AE$6)+(U109*$AO$6)+(U109*$AP$6))*AC109</f>
        <v>0</v>
      </c>
      <c r="AF109" s="72">
        <f t="shared" ref="AF109:AF111" si="2023">((U109*AF$6)+(U109*$AO$6)+(U109*$AP$6))*AD109</f>
        <v>0</v>
      </c>
      <c r="AG109" s="70">
        <f>SUM(AE109:AF109)</f>
        <v>0</v>
      </c>
      <c r="AH109" s="73">
        <v>0</v>
      </c>
      <c r="AI109" s="74">
        <f t="shared" ref="AI109:AI111" si="2024">IF(S109=1,($C$1*$Q$6),0)</f>
        <v>282.40000000000003</v>
      </c>
      <c r="AJ109" s="303">
        <f t="shared" ref="AJ109:AJ111" si="2025">AB109+AG109+AH109+AI109</f>
        <v>3426.125544444445</v>
      </c>
      <c r="AK109" s="58">
        <v>1</v>
      </c>
      <c r="AL109" s="68" t="s">
        <v>299</v>
      </c>
      <c r="AM109" s="28">
        <f t="shared" ref="AM109:AM111" si="2026">AN109/$AM$4</f>
        <v>10.396681818181818</v>
      </c>
      <c r="AN109" s="69">
        <v>2287.27</v>
      </c>
      <c r="AO109" s="28">
        <f>AN109*AO$6</f>
        <v>228.727</v>
      </c>
      <c r="AP109" s="28">
        <f>AN109*AP$6</f>
        <v>182.98160000000001</v>
      </c>
      <c r="AQ109" s="28">
        <f>AN109/AQ$6</f>
        <v>190.60583333333332</v>
      </c>
      <c r="AR109" s="72">
        <f>AQ109/AR$6</f>
        <v>63.535277777777772</v>
      </c>
      <c r="AS109" s="70">
        <f>AN109/AS$6</f>
        <v>190.60583333333332</v>
      </c>
      <c r="AT109" s="70">
        <f>SUM(AN109:AS109)</f>
        <v>3143.7255444444449</v>
      </c>
      <c r="AU109" s="71">
        <v>0</v>
      </c>
      <c r="AV109" s="71">
        <v>0</v>
      </c>
      <c r="AW109" s="72">
        <f t="shared" ref="AW109:AW111" si="2027">((AM109*AW$6)+(AM109*$AO$6)+(AM109*$AP$6))*AU109</f>
        <v>0</v>
      </c>
      <c r="AX109" s="72">
        <f t="shared" ref="AX109:AX111" si="2028">((AM109*AX$6)+(AM109*$AO$6)+(AM109*$AP$6))*AV109</f>
        <v>0</v>
      </c>
      <c r="AY109" s="70">
        <f>SUM(AW109:AX109)</f>
        <v>0</v>
      </c>
      <c r="AZ109" s="73">
        <v>0</v>
      </c>
      <c r="BA109" s="74">
        <f t="shared" ref="BA109:BA111" si="2029">IF(AK109=1,($C$1*$Q$6),0)</f>
        <v>282.40000000000003</v>
      </c>
      <c r="BB109" s="303">
        <f t="shared" ref="BB109:BB111" si="2030">AT109+AY109+AZ109+BA109</f>
        <v>3426.125544444445</v>
      </c>
      <c r="BC109" s="58">
        <v>1</v>
      </c>
      <c r="BD109" s="68" t="s">
        <v>299</v>
      </c>
      <c r="BE109" s="28">
        <f t="shared" ref="BE109:BE111" si="2031">BF109/$AM$4</f>
        <v>10.396681818181818</v>
      </c>
      <c r="BF109" s="69">
        <v>2287.27</v>
      </c>
      <c r="BG109" s="28">
        <f>BF109*BG$6</f>
        <v>228.727</v>
      </c>
      <c r="BH109" s="28">
        <f>BF109*BH$6</f>
        <v>182.98160000000001</v>
      </c>
      <c r="BI109" s="28">
        <f>BF109/BI$6</f>
        <v>190.60583333333332</v>
      </c>
      <c r="BJ109" s="72">
        <f>BI109/BJ$6</f>
        <v>63.535277777777772</v>
      </c>
      <c r="BK109" s="70">
        <f>BF109/BK$6</f>
        <v>190.60583333333332</v>
      </c>
      <c r="BL109" s="70">
        <f>SUM(BF109:BK109)</f>
        <v>3143.7255444444449</v>
      </c>
      <c r="BM109" s="71">
        <v>0</v>
      </c>
      <c r="BN109" s="71">
        <v>0</v>
      </c>
      <c r="BO109" s="72">
        <f t="shared" ref="BO109:BO111" si="2032">((BE109*BO$6)+(BE109*$AO$6)+(BE109*$AP$6))*BM109</f>
        <v>0</v>
      </c>
      <c r="BP109" s="72">
        <f t="shared" ref="BP109:BP111" si="2033">((BE109*BP$6)+(BE109*$AO$6)+(BE109*$AP$6))*BN109</f>
        <v>0</v>
      </c>
      <c r="BQ109" s="70">
        <f>SUM(BO109:BP109)</f>
        <v>0</v>
      </c>
      <c r="BR109" s="73">
        <v>0</v>
      </c>
      <c r="BS109" s="74">
        <f t="shared" ref="BS109:BS111" si="2034">IF(BC109=1,($C$1*$Q$6),0)</f>
        <v>282.40000000000003</v>
      </c>
      <c r="BT109" s="303">
        <f t="shared" ref="BT109:BT111" si="2035">BL109+BQ109+BR109+BS109</f>
        <v>3426.125544444445</v>
      </c>
      <c r="BU109" s="58">
        <v>1</v>
      </c>
      <c r="BV109" s="68" t="s">
        <v>299</v>
      </c>
      <c r="BW109" s="28">
        <f t="shared" ref="BW109:BW111" si="2036">BX109/$AM$4</f>
        <v>10.396681818181818</v>
      </c>
      <c r="BX109" s="69">
        <v>2287.27</v>
      </c>
      <c r="BY109" s="28">
        <f>BX109*BY$6</f>
        <v>228.727</v>
      </c>
      <c r="BZ109" s="28">
        <f>BX109*BZ$6</f>
        <v>182.98160000000001</v>
      </c>
      <c r="CA109" s="28">
        <f>BX109/CA$6</f>
        <v>190.60583333333332</v>
      </c>
      <c r="CB109" s="72">
        <f>CA109/CB$6</f>
        <v>63.535277777777772</v>
      </c>
      <c r="CC109" s="70">
        <f>BX109/CC$6</f>
        <v>190.60583333333332</v>
      </c>
      <c r="CD109" s="70">
        <f>SUM(BX109:CC109)</f>
        <v>3143.7255444444449</v>
      </c>
      <c r="CE109" s="71">
        <v>0</v>
      </c>
      <c r="CF109" s="71">
        <v>0</v>
      </c>
      <c r="CG109" s="72">
        <f t="shared" ref="CG109:CG111" si="2037">((BW109*CG$6)+(BW109*$AO$6)+(BW109*$AP$6))*CE109</f>
        <v>0</v>
      </c>
      <c r="CH109" s="72">
        <f t="shared" ref="CH109:CH111" si="2038">((BW109*CH$6)+(BW109*$AO$6)+(BW109*$AP$6))*CF109</f>
        <v>0</v>
      </c>
      <c r="CI109" s="70">
        <f>SUM(CG109:CH109)</f>
        <v>0</v>
      </c>
      <c r="CJ109" s="73">
        <v>0</v>
      </c>
      <c r="CK109" s="74">
        <f t="shared" ref="CK109:CK111" si="2039">IF(BU109=1,($C$1*$Q$6),0)</f>
        <v>282.40000000000003</v>
      </c>
      <c r="CL109" s="303">
        <f t="shared" ref="CL109:CL111" si="2040">CD109+CI109+CJ109+CK109</f>
        <v>3426.125544444445</v>
      </c>
      <c r="CM109" s="58">
        <v>1</v>
      </c>
      <c r="CN109" s="68" t="s">
        <v>299</v>
      </c>
      <c r="CO109" s="28">
        <f t="shared" ref="CO109:CO111" si="2041">CP109/$AM$4</f>
        <v>10.396681818181818</v>
      </c>
      <c r="CP109" s="69">
        <v>2287.27</v>
      </c>
      <c r="CQ109" s="28">
        <f>CP109*CQ$6</f>
        <v>228.727</v>
      </c>
      <c r="CR109" s="28">
        <f>CP109*CR$6</f>
        <v>182.98160000000001</v>
      </c>
      <c r="CS109" s="28">
        <f>CP109/CS$6</f>
        <v>190.60583333333332</v>
      </c>
      <c r="CT109" s="72">
        <f>CS109/CT$6</f>
        <v>63.535277777777772</v>
      </c>
      <c r="CU109" s="70">
        <f>CP109/CU$6</f>
        <v>190.60583333333332</v>
      </c>
      <c r="CV109" s="70">
        <f>SUM(CP109:CU109)</f>
        <v>3143.7255444444449</v>
      </c>
      <c r="CW109" s="71">
        <v>0</v>
      </c>
      <c r="CX109" s="71">
        <v>0</v>
      </c>
      <c r="CY109" s="72">
        <f t="shared" ref="CY109:CY111" si="2042">((CO109*CY$6)+(CO109*$AO$6)+(CO109*$AP$6))*CW109</f>
        <v>0</v>
      </c>
      <c r="CZ109" s="72">
        <f t="shared" ref="CZ109:CZ111" si="2043">((CO109*CZ$6)+(CO109*$AO$6)+(CO109*$AP$6))*CX109</f>
        <v>0</v>
      </c>
      <c r="DA109" s="70">
        <f>SUM(CY109:CZ109)</f>
        <v>0</v>
      </c>
      <c r="DB109" s="73">
        <v>0</v>
      </c>
      <c r="DC109" s="74">
        <f t="shared" ref="DC109:DC111" si="2044">IF(CM109=1,($C$1*$Q$6),0)</f>
        <v>282.40000000000003</v>
      </c>
      <c r="DD109" s="303">
        <f t="shared" ref="DD109:DD111" si="2045">CV109+DA109+DB109+DC109</f>
        <v>3426.125544444445</v>
      </c>
      <c r="DE109" s="58">
        <v>1</v>
      </c>
      <c r="DF109" s="68" t="s">
        <v>299</v>
      </c>
      <c r="DG109" s="28">
        <f t="shared" ref="DG109:DG111" si="2046">DH109/$AM$4</f>
        <v>10.396681818181818</v>
      </c>
      <c r="DH109" s="69">
        <v>2287.27</v>
      </c>
      <c r="DI109" s="28">
        <f>DH109*DI$6</f>
        <v>228.727</v>
      </c>
      <c r="DJ109" s="28">
        <f>DH109*DJ$6</f>
        <v>182.98160000000001</v>
      </c>
      <c r="DK109" s="28">
        <f>DH109/DK$6</f>
        <v>190.60583333333332</v>
      </c>
      <c r="DL109" s="72">
        <f>DK109/DL$6</f>
        <v>63.535277777777772</v>
      </c>
      <c r="DM109" s="70">
        <f>DH109/DM$6</f>
        <v>190.60583333333332</v>
      </c>
      <c r="DN109" s="70">
        <f>SUM(DH109:DM109)</f>
        <v>3143.7255444444449</v>
      </c>
      <c r="DO109" s="71">
        <v>0</v>
      </c>
      <c r="DP109" s="71">
        <v>0</v>
      </c>
      <c r="DQ109" s="72">
        <f t="shared" ref="DQ109:DQ111" si="2047">((DG109*DQ$6)+(DG109*$AO$6)+(DG109*$AP$6))*DO109</f>
        <v>0</v>
      </c>
      <c r="DR109" s="72">
        <f t="shared" ref="DR109:DR111" si="2048">((DG109*DR$6)+(DG109*$AO$6)+(DG109*$AP$6))*DP109</f>
        <v>0</v>
      </c>
      <c r="DS109" s="70">
        <f>SUM(DQ109:DR109)</f>
        <v>0</v>
      </c>
      <c r="DT109" s="73">
        <v>0</v>
      </c>
      <c r="DU109" s="74">
        <f t="shared" ref="DU109:DU111" si="2049">IF(DE109=1,($C$1*$Q$6),0)</f>
        <v>282.40000000000003</v>
      </c>
      <c r="DV109" s="303">
        <f t="shared" ref="DV109:DV111" si="2050">DN109+DS109+DT109+DU109</f>
        <v>3426.125544444445</v>
      </c>
      <c r="DW109" s="58">
        <v>1</v>
      </c>
      <c r="DX109" s="68" t="s">
        <v>299</v>
      </c>
      <c r="DY109" s="28">
        <f t="shared" ref="DY109:DY111" si="2051">DZ109/$AM$4</f>
        <v>10.396681818181818</v>
      </c>
      <c r="DZ109" s="69">
        <v>2287.27</v>
      </c>
      <c r="EA109" s="28">
        <f>DZ109*EA$6</f>
        <v>228.727</v>
      </c>
      <c r="EB109" s="28">
        <f>DZ109*EB$6</f>
        <v>182.98160000000001</v>
      </c>
      <c r="EC109" s="28">
        <f>DZ109/EC$6</f>
        <v>190.60583333333332</v>
      </c>
      <c r="ED109" s="72">
        <f>EC109/ED$6</f>
        <v>63.535277777777772</v>
      </c>
      <c r="EE109" s="70">
        <f>DZ109/EE$6</f>
        <v>190.60583333333332</v>
      </c>
      <c r="EF109" s="70">
        <f>SUM(DZ109:EE109)</f>
        <v>3143.7255444444449</v>
      </c>
      <c r="EG109" s="71">
        <v>0</v>
      </c>
      <c r="EH109" s="71">
        <v>0</v>
      </c>
      <c r="EI109" s="72">
        <f t="shared" ref="EI109:EI111" si="2052">((DY109*EI$6)+(DY109*$AO$6)+(DY109*$AP$6))*EG109</f>
        <v>0</v>
      </c>
      <c r="EJ109" s="72">
        <f t="shared" ref="EJ109:EJ111" si="2053">((DY109*EJ$6)+(DY109*$AO$6)+(DY109*$AP$6))*EH109</f>
        <v>0</v>
      </c>
      <c r="EK109" s="70">
        <f>SUM(EI109:EJ109)</f>
        <v>0</v>
      </c>
      <c r="EL109" s="73">
        <v>0</v>
      </c>
      <c r="EM109" s="74">
        <f t="shared" ref="EM109:EM111" si="2054">IF(DW109=1,($C$1*$Q$6),0)</f>
        <v>282.40000000000003</v>
      </c>
      <c r="EN109" s="303">
        <f t="shared" ref="EN109:EN111" si="2055">EF109+EK109+EL109+EM109</f>
        <v>3426.125544444445</v>
      </c>
      <c r="EO109" s="58">
        <v>1</v>
      </c>
      <c r="EP109" s="68" t="s">
        <v>299</v>
      </c>
      <c r="EQ109" s="28">
        <f t="shared" ref="EQ109:EQ111" si="2056">ER109/$AM$4</f>
        <v>10.396681818181818</v>
      </c>
      <c r="ER109" s="69">
        <v>2287.27</v>
      </c>
      <c r="ES109" s="28">
        <f>ER109*ES$6</f>
        <v>228.727</v>
      </c>
      <c r="ET109" s="28">
        <f>ER109*ET$6</f>
        <v>182.98160000000001</v>
      </c>
      <c r="EU109" s="28">
        <f>ER109/EU$6</f>
        <v>190.60583333333332</v>
      </c>
      <c r="EV109" s="72">
        <f>EU109/EV$6</f>
        <v>63.535277777777772</v>
      </c>
      <c r="EW109" s="70">
        <f>ER109/EW$6</f>
        <v>190.60583333333332</v>
      </c>
      <c r="EX109" s="70">
        <f>SUM(ER109:EW109)</f>
        <v>3143.7255444444449</v>
      </c>
      <c r="EY109" s="71">
        <v>0</v>
      </c>
      <c r="EZ109" s="71">
        <v>0</v>
      </c>
      <c r="FA109" s="72">
        <f t="shared" ref="FA109:FA111" si="2057">((EQ109*FA$6)+(EQ109*$AO$6)+(EQ109*$AP$6))*EY109</f>
        <v>0</v>
      </c>
      <c r="FB109" s="72">
        <f t="shared" ref="FB109:FB111" si="2058">((EQ109*FB$6)+(EQ109*$AO$6)+(EQ109*$AP$6))*EZ109</f>
        <v>0</v>
      </c>
      <c r="FC109" s="70">
        <f>SUM(FA109:FB109)</f>
        <v>0</v>
      </c>
      <c r="FD109" s="73">
        <v>0</v>
      </c>
      <c r="FE109" s="74">
        <f t="shared" ref="FE109:FE111" si="2059">IF(EO109=1,($C$1*$Q$6),0)</f>
        <v>282.40000000000003</v>
      </c>
      <c r="FF109" s="303">
        <f t="shared" ref="FF109:FF111" si="2060">EX109+FC109+FD109+FE109</f>
        <v>3426.125544444445</v>
      </c>
      <c r="FG109" s="58">
        <v>1</v>
      </c>
      <c r="FH109" s="68" t="s">
        <v>299</v>
      </c>
      <c r="FI109" s="28">
        <f t="shared" ref="FI109:FI111" si="2061">FJ109/$AM$4</f>
        <v>10.396681818181818</v>
      </c>
      <c r="FJ109" s="69">
        <v>2287.27</v>
      </c>
      <c r="FK109" s="28">
        <f>FJ109*FK$6</f>
        <v>228.727</v>
      </c>
      <c r="FL109" s="28">
        <f>FJ109*FL$6</f>
        <v>182.98160000000001</v>
      </c>
      <c r="FM109" s="28">
        <f>FJ109/FM$6</f>
        <v>190.60583333333332</v>
      </c>
      <c r="FN109" s="72">
        <f>FM109/FN$6</f>
        <v>63.535277777777772</v>
      </c>
      <c r="FO109" s="70">
        <f>FJ109/FO$6</f>
        <v>190.60583333333332</v>
      </c>
      <c r="FP109" s="70">
        <f>SUM(FJ109:FO109)</f>
        <v>3143.7255444444449</v>
      </c>
      <c r="FQ109" s="71">
        <v>0</v>
      </c>
      <c r="FR109" s="71">
        <v>0</v>
      </c>
      <c r="FS109" s="72">
        <f t="shared" ref="FS109:FS111" si="2062">((FI109*FS$6)+(FI109*$AO$6)+(FI109*$AP$6))*FQ109</f>
        <v>0</v>
      </c>
      <c r="FT109" s="72">
        <f t="shared" ref="FT109:FT111" si="2063">((FI109*FT$6)+(FI109*$AO$6)+(FI109*$AP$6))*FR109</f>
        <v>0</v>
      </c>
      <c r="FU109" s="70">
        <f>SUM(FS109:FT109)</f>
        <v>0</v>
      </c>
      <c r="FV109" s="73">
        <v>0</v>
      </c>
      <c r="FW109" s="74">
        <f t="shared" ref="FW109:FW111" si="2064">IF(FG109=1,($C$1*$Q$6),0)</f>
        <v>282.40000000000003</v>
      </c>
      <c r="FX109" s="303">
        <f t="shared" ref="FX109:FX111" si="2065">FP109+FU109+FV109+FW109</f>
        <v>3426.125544444445</v>
      </c>
      <c r="FY109" s="58">
        <v>1</v>
      </c>
      <c r="FZ109" s="68" t="s">
        <v>299</v>
      </c>
      <c r="GA109" s="28">
        <f t="shared" ref="GA109:GA111" si="2066">GB109/$AM$4</f>
        <v>10.396681818181818</v>
      </c>
      <c r="GB109" s="69">
        <v>2287.27</v>
      </c>
      <c r="GC109" s="28">
        <f>GB109*GC$6</f>
        <v>228.727</v>
      </c>
      <c r="GD109" s="28">
        <f>GB109*GD$6</f>
        <v>182.98160000000001</v>
      </c>
      <c r="GE109" s="28">
        <f>GB109/GE$6</f>
        <v>190.60583333333332</v>
      </c>
      <c r="GF109" s="72">
        <f>GE109/GF$6</f>
        <v>63.535277777777772</v>
      </c>
      <c r="GG109" s="70">
        <f>GB109/GG$6</f>
        <v>190.60583333333332</v>
      </c>
      <c r="GH109" s="70">
        <f>SUM(GB109:GG109)</f>
        <v>3143.7255444444449</v>
      </c>
      <c r="GI109" s="71">
        <v>0</v>
      </c>
      <c r="GJ109" s="71">
        <v>0</v>
      </c>
      <c r="GK109" s="72">
        <f t="shared" ref="GK109:GK111" si="2067">((GA109*GK$6)+(GA109*$AO$6)+(GA109*$AP$6))*GI109</f>
        <v>0</v>
      </c>
      <c r="GL109" s="72">
        <f t="shared" ref="GL109:GL111" si="2068">((GA109*GL$6)+(GA109*$AO$6)+(GA109*$AP$6))*GJ109</f>
        <v>0</v>
      </c>
      <c r="GM109" s="70">
        <f>SUM(GK109:GL109)</f>
        <v>0</v>
      </c>
      <c r="GN109" s="73">
        <v>0</v>
      </c>
      <c r="GO109" s="74">
        <f t="shared" ref="GO109:GO111" si="2069">IF(FY109=1,($C$1*$Q$6),0)</f>
        <v>282.40000000000003</v>
      </c>
      <c r="GP109" s="303">
        <f t="shared" ref="GP109:GP111" si="2070">GH109+GM109+GN109+GO109</f>
        <v>3426.125544444445</v>
      </c>
      <c r="GQ109" s="58">
        <v>1</v>
      </c>
      <c r="GR109" s="68" t="s">
        <v>299</v>
      </c>
      <c r="GS109" s="28">
        <f t="shared" ref="GS109:GS111" si="2071">GT109/$AM$4</f>
        <v>10.396681818181818</v>
      </c>
      <c r="GT109" s="69">
        <v>2287.27</v>
      </c>
      <c r="GU109" s="28">
        <f>GT109*GU$6</f>
        <v>228.727</v>
      </c>
      <c r="GV109" s="28">
        <f>GT109*GV$6</f>
        <v>182.98160000000001</v>
      </c>
      <c r="GW109" s="28">
        <f>GT109/GW$6</f>
        <v>190.60583333333332</v>
      </c>
      <c r="GX109" s="72">
        <f>GW109/GX$6</f>
        <v>63.535277777777772</v>
      </c>
      <c r="GY109" s="70">
        <f>GT109/GY$6</f>
        <v>190.60583333333332</v>
      </c>
      <c r="GZ109" s="70">
        <f>SUM(GT109:GY109)</f>
        <v>3143.7255444444449</v>
      </c>
      <c r="HA109" s="71">
        <v>0</v>
      </c>
      <c r="HB109" s="71">
        <v>0</v>
      </c>
      <c r="HC109" s="72">
        <f t="shared" ref="HC109:HC111" si="2072">((GS109*HC$6)+(GS109*$AO$6)+(GS109*$AP$6))*HA109</f>
        <v>0</v>
      </c>
      <c r="HD109" s="72">
        <f t="shared" ref="HD109:HD111" si="2073">((GS109*HD$6)+(GS109*$AO$6)+(GS109*$AP$6))*HB109</f>
        <v>0</v>
      </c>
      <c r="HE109" s="70">
        <f>SUM(HC109:HD109)</f>
        <v>0</v>
      </c>
      <c r="HF109" s="73">
        <v>0</v>
      </c>
      <c r="HG109" s="74">
        <f t="shared" ref="HG109:HG111" si="2074">IF(GQ109=1,($C$1*$Q$6),0)</f>
        <v>282.40000000000003</v>
      </c>
      <c r="HH109" s="303">
        <f t="shared" ref="HH109:HH111" si="2075">GZ109+HE109+HF109+HG109</f>
        <v>3426.125544444445</v>
      </c>
      <c r="HJ109" s="37"/>
      <c r="HK109" s="37"/>
      <c r="HL109" s="37"/>
      <c r="HM109" s="37"/>
      <c r="HN109" s="37"/>
      <c r="HO109" s="37"/>
      <c r="HP109" s="37"/>
      <c r="HQ109" s="37"/>
      <c r="HR109" s="37"/>
      <c r="HS109" s="37"/>
      <c r="HT109" s="37"/>
      <c r="HU109" s="37"/>
      <c r="HV109" s="37"/>
      <c r="HW109" s="37"/>
      <c r="HX109" s="37"/>
      <c r="HY109" s="37"/>
      <c r="HZ109" s="37"/>
      <c r="IA109" s="37"/>
      <c r="IB109" s="37"/>
      <c r="IC109" s="37"/>
      <c r="ID109" s="37"/>
      <c r="IE109" s="37"/>
      <c r="IF109" s="37"/>
      <c r="IG109" s="37"/>
      <c r="IH109" s="37"/>
      <c r="II109" s="37"/>
      <c r="IJ109" s="37"/>
      <c r="IK109" s="37"/>
      <c r="IL109" s="37"/>
      <c r="IM109" s="37"/>
      <c r="IN109" s="37"/>
      <c r="IO109" s="37"/>
      <c r="IP109" s="37"/>
    </row>
    <row r="110" spans="1:250" x14ac:dyDescent="0.3">
      <c r="A110" s="58">
        <v>0</v>
      </c>
      <c r="B110" s="68"/>
      <c r="C110" s="28">
        <f t="shared" si="2016"/>
        <v>0</v>
      </c>
      <c r="D110" s="28">
        <v>0</v>
      </c>
      <c r="E110" s="28">
        <f t="shared" ref="E110:E111" si="2076">D110*E$6</f>
        <v>0</v>
      </c>
      <c r="F110" s="28">
        <f t="shared" ref="F110:F111" si="2077">D110*F$6</f>
        <v>0</v>
      </c>
      <c r="G110" s="28">
        <f t="shared" ref="G110:G111" si="2078">D110/G$6</f>
        <v>0</v>
      </c>
      <c r="H110" s="72">
        <f t="shared" ref="H110:H111" si="2079">G110/H$6</f>
        <v>0</v>
      </c>
      <c r="I110" s="70">
        <f t="shared" ref="I110:I111" si="2080">D110/I$6</f>
        <v>0</v>
      </c>
      <c r="J110" s="70">
        <f t="shared" ref="J110:J111" si="2081">SUM(D110:I110)</f>
        <v>0</v>
      </c>
      <c r="K110" s="71">
        <v>0</v>
      </c>
      <c r="L110" s="71">
        <v>0</v>
      </c>
      <c r="M110" s="72">
        <f t="shared" si="2017"/>
        <v>0</v>
      </c>
      <c r="N110" s="72">
        <f t="shared" si="2018"/>
        <v>0</v>
      </c>
      <c r="O110" s="70">
        <f t="shared" ref="O110:O111" si="2082">SUM(M110:N110)</f>
        <v>0</v>
      </c>
      <c r="P110" s="73">
        <v>0</v>
      </c>
      <c r="Q110" s="74">
        <f t="shared" si="2019"/>
        <v>0</v>
      </c>
      <c r="R110" s="303">
        <f t="shared" si="2020"/>
        <v>0</v>
      </c>
      <c r="S110" s="58">
        <v>0</v>
      </c>
      <c r="T110" s="68"/>
      <c r="U110" s="28">
        <f t="shared" si="2021"/>
        <v>0</v>
      </c>
      <c r="V110" s="28">
        <v>0</v>
      </c>
      <c r="W110" s="28">
        <f t="shared" ref="W110:W111" si="2083">V110*W$6</f>
        <v>0</v>
      </c>
      <c r="X110" s="28">
        <f t="shared" ref="X110:X111" si="2084">V110*X$6</f>
        <v>0</v>
      </c>
      <c r="Y110" s="28">
        <f t="shared" ref="Y110:Y111" si="2085">V110/Y$6</f>
        <v>0</v>
      </c>
      <c r="Z110" s="72">
        <f t="shared" ref="Z110:Z111" si="2086">Y110/Z$6</f>
        <v>0</v>
      </c>
      <c r="AA110" s="70">
        <f t="shared" ref="AA110:AA111" si="2087">V110/AA$6</f>
        <v>0</v>
      </c>
      <c r="AB110" s="70">
        <f t="shared" ref="AB110:AB111" si="2088">SUM(V110:AA110)</f>
        <v>0</v>
      </c>
      <c r="AC110" s="71">
        <v>0</v>
      </c>
      <c r="AD110" s="71">
        <v>0</v>
      </c>
      <c r="AE110" s="72">
        <f t="shared" si="2022"/>
        <v>0</v>
      </c>
      <c r="AF110" s="72">
        <f t="shared" si="2023"/>
        <v>0</v>
      </c>
      <c r="AG110" s="70">
        <f t="shared" ref="AG110:AG111" si="2089">SUM(AE110:AF110)</f>
        <v>0</v>
      </c>
      <c r="AH110" s="73">
        <v>0</v>
      </c>
      <c r="AI110" s="74">
        <f t="shared" si="2024"/>
        <v>0</v>
      </c>
      <c r="AJ110" s="303">
        <f t="shared" si="2025"/>
        <v>0</v>
      </c>
      <c r="AK110" s="58">
        <v>0</v>
      </c>
      <c r="AL110" s="68"/>
      <c r="AM110" s="28">
        <f t="shared" si="2026"/>
        <v>0</v>
      </c>
      <c r="AN110" s="28">
        <v>0</v>
      </c>
      <c r="AO110" s="28">
        <f t="shared" ref="AO110:AO111" si="2090">AN110*AO$6</f>
        <v>0</v>
      </c>
      <c r="AP110" s="28">
        <f t="shared" ref="AP110:AP111" si="2091">AN110*AP$6</f>
        <v>0</v>
      </c>
      <c r="AQ110" s="28">
        <f t="shared" ref="AQ110:AQ111" si="2092">AN110/AQ$6</f>
        <v>0</v>
      </c>
      <c r="AR110" s="72">
        <f t="shared" ref="AR110:AR111" si="2093">AQ110/AR$6</f>
        <v>0</v>
      </c>
      <c r="AS110" s="70">
        <f t="shared" ref="AS110:AS111" si="2094">AN110/AS$6</f>
        <v>0</v>
      </c>
      <c r="AT110" s="70">
        <f t="shared" ref="AT110:AT111" si="2095">SUM(AN110:AS110)</f>
        <v>0</v>
      </c>
      <c r="AU110" s="71">
        <v>0</v>
      </c>
      <c r="AV110" s="71">
        <v>0</v>
      </c>
      <c r="AW110" s="72">
        <f t="shared" si="2027"/>
        <v>0</v>
      </c>
      <c r="AX110" s="72">
        <f t="shared" si="2028"/>
        <v>0</v>
      </c>
      <c r="AY110" s="70">
        <f t="shared" ref="AY110:AY111" si="2096">SUM(AW110:AX110)</f>
        <v>0</v>
      </c>
      <c r="AZ110" s="73">
        <v>0</v>
      </c>
      <c r="BA110" s="74">
        <f t="shared" si="2029"/>
        <v>0</v>
      </c>
      <c r="BB110" s="303">
        <f t="shared" si="2030"/>
        <v>0</v>
      </c>
      <c r="BC110" s="58">
        <v>0</v>
      </c>
      <c r="BD110" s="68"/>
      <c r="BE110" s="28">
        <f t="shared" si="2031"/>
        <v>0</v>
      </c>
      <c r="BF110" s="28">
        <v>0</v>
      </c>
      <c r="BG110" s="28">
        <f t="shared" ref="BG110:BG111" si="2097">BF110*BG$6</f>
        <v>0</v>
      </c>
      <c r="BH110" s="28">
        <f t="shared" ref="BH110:BH111" si="2098">BF110*BH$6</f>
        <v>0</v>
      </c>
      <c r="BI110" s="28">
        <f t="shared" ref="BI110:BI111" si="2099">BF110/BI$6</f>
        <v>0</v>
      </c>
      <c r="BJ110" s="72">
        <f t="shared" ref="BJ110:BJ111" si="2100">BI110/BJ$6</f>
        <v>0</v>
      </c>
      <c r="BK110" s="70">
        <f t="shared" ref="BK110:BK111" si="2101">BF110/BK$6</f>
        <v>0</v>
      </c>
      <c r="BL110" s="70">
        <f t="shared" ref="BL110:BL111" si="2102">SUM(BF110:BK110)</f>
        <v>0</v>
      </c>
      <c r="BM110" s="71">
        <v>0</v>
      </c>
      <c r="BN110" s="71">
        <v>0</v>
      </c>
      <c r="BO110" s="72">
        <f t="shared" si="2032"/>
        <v>0</v>
      </c>
      <c r="BP110" s="72">
        <f t="shared" si="2033"/>
        <v>0</v>
      </c>
      <c r="BQ110" s="70">
        <f t="shared" ref="BQ110:BQ111" si="2103">SUM(BO110:BP110)</f>
        <v>0</v>
      </c>
      <c r="BR110" s="73">
        <v>0</v>
      </c>
      <c r="BS110" s="74">
        <f t="shared" si="2034"/>
        <v>0</v>
      </c>
      <c r="BT110" s="303">
        <f t="shared" si="2035"/>
        <v>0</v>
      </c>
      <c r="BU110" s="58">
        <v>0</v>
      </c>
      <c r="BV110" s="68"/>
      <c r="BW110" s="28">
        <f t="shared" si="2036"/>
        <v>0</v>
      </c>
      <c r="BX110" s="28">
        <v>0</v>
      </c>
      <c r="BY110" s="28">
        <f t="shared" ref="BY110:BY111" si="2104">BX110*BY$6</f>
        <v>0</v>
      </c>
      <c r="BZ110" s="28">
        <f t="shared" ref="BZ110:BZ111" si="2105">BX110*BZ$6</f>
        <v>0</v>
      </c>
      <c r="CA110" s="28">
        <f t="shared" ref="CA110:CA111" si="2106">BX110/CA$6</f>
        <v>0</v>
      </c>
      <c r="CB110" s="72">
        <f t="shared" ref="CB110:CB111" si="2107">CA110/CB$6</f>
        <v>0</v>
      </c>
      <c r="CC110" s="70">
        <f t="shared" ref="CC110:CC111" si="2108">BX110/CC$6</f>
        <v>0</v>
      </c>
      <c r="CD110" s="70">
        <f t="shared" ref="CD110:CD111" si="2109">SUM(BX110:CC110)</f>
        <v>0</v>
      </c>
      <c r="CE110" s="71">
        <v>0</v>
      </c>
      <c r="CF110" s="71">
        <v>0</v>
      </c>
      <c r="CG110" s="72">
        <f t="shared" si="2037"/>
        <v>0</v>
      </c>
      <c r="CH110" s="72">
        <f t="shared" si="2038"/>
        <v>0</v>
      </c>
      <c r="CI110" s="70">
        <f t="shared" ref="CI110:CI111" si="2110">SUM(CG110:CH110)</f>
        <v>0</v>
      </c>
      <c r="CJ110" s="73">
        <v>0</v>
      </c>
      <c r="CK110" s="74">
        <f t="shared" si="2039"/>
        <v>0</v>
      </c>
      <c r="CL110" s="303">
        <f t="shared" si="2040"/>
        <v>0</v>
      </c>
      <c r="CM110" s="58">
        <v>0</v>
      </c>
      <c r="CN110" s="68"/>
      <c r="CO110" s="28">
        <f t="shared" si="2041"/>
        <v>0</v>
      </c>
      <c r="CP110" s="28">
        <v>0</v>
      </c>
      <c r="CQ110" s="28">
        <f t="shared" ref="CQ110:CQ111" si="2111">CP110*CQ$6</f>
        <v>0</v>
      </c>
      <c r="CR110" s="28">
        <f t="shared" ref="CR110:CR111" si="2112">CP110*CR$6</f>
        <v>0</v>
      </c>
      <c r="CS110" s="28">
        <f t="shared" ref="CS110:CS111" si="2113">CP110/CS$6</f>
        <v>0</v>
      </c>
      <c r="CT110" s="72">
        <f t="shared" ref="CT110:CT111" si="2114">CS110/CT$6</f>
        <v>0</v>
      </c>
      <c r="CU110" s="70">
        <f t="shared" ref="CU110:CU111" si="2115">CP110/CU$6</f>
        <v>0</v>
      </c>
      <c r="CV110" s="70">
        <f t="shared" ref="CV110:CV111" si="2116">SUM(CP110:CU110)</f>
        <v>0</v>
      </c>
      <c r="CW110" s="71">
        <v>0</v>
      </c>
      <c r="CX110" s="71">
        <v>0</v>
      </c>
      <c r="CY110" s="72">
        <f t="shared" si="2042"/>
        <v>0</v>
      </c>
      <c r="CZ110" s="72">
        <f t="shared" si="2043"/>
        <v>0</v>
      </c>
      <c r="DA110" s="70">
        <f t="shared" ref="DA110:DA111" si="2117">SUM(CY110:CZ110)</f>
        <v>0</v>
      </c>
      <c r="DB110" s="73">
        <v>0</v>
      </c>
      <c r="DC110" s="74">
        <f t="shared" si="2044"/>
        <v>0</v>
      </c>
      <c r="DD110" s="303">
        <f t="shared" si="2045"/>
        <v>0</v>
      </c>
      <c r="DE110" s="58">
        <v>0</v>
      </c>
      <c r="DF110" s="68"/>
      <c r="DG110" s="28">
        <f t="shared" si="2046"/>
        <v>0</v>
      </c>
      <c r="DH110" s="28">
        <v>0</v>
      </c>
      <c r="DI110" s="28">
        <f t="shared" ref="DI110:DI111" si="2118">DH110*DI$6</f>
        <v>0</v>
      </c>
      <c r="DJ110" s="28">
        <f t="shared" ref="DJ110:DJ111" si="2119">DH110*DJ$6</f>
        <v>0</v>
      </c>
      <c r="DK110" s="28">
        <f t="shared" ref="DK110:DK111" si="2120">DH110/DK$6</f>
        <v>0</v>
      </c>
      <c r="DL110" s="72">
        <f t="shared" ref="DL110:DL111" si="2121">DK110/DL$6</f>
        <v>0</v>
      </c>
      <c r="DM110" s="70">
        <f t="shared" ref="DM110:DM111" si="2122">DH110/DM$6</f>
        <v>0</v>
      </c>
      <c r="DN110" s="70">
        <f t="shared" ref="DN110:DN111" si="2123">SUM(DH110:DM110)</f>
        <v>0</v>
      </c>
      <c r="DO110" s="71">
        <v>0</v>
      </c>
      <c r="DP110" s="71">
        <v>0</v>
      </c>
      <c r="DQ110" s="72">
        <f t="shared" si="2047"/>
        <v>0</v>
      </c>
      <c r="DR110" s="72">
        <f t="shared" si="2048"/>
        <v>0</v>
      </c>
      <c r="DS110" s="70">
        <f t="shared" ref="DS110:DS111" si="2124">SUM(DQ110:DR110)</f>
        <v>0</v>
      </c>
      <c r="DT110" s="73">
        <v>0</v>
      </c>
      <c r="DU110" s="74">
        <f t="shared" si="2049"/>
        <v>0</v>
      </c>
      <c r="DV110" s="303">
        <f t="shared" si="2050"/>
        <v>0</v>
      </c>
      <c r="DW110" s="58">
        <v>0</v>
      </c>
      <c r="DX110" s="68"/>
      <c r="DY110" s="28">
        <f t="shared" si="2051"/>
        <v>0</v>
      </c>
      <c r="DZ110" s="28">
        <v>0</v>
      </c>
      <c r="EA110" s="28">
        <f t="shared" ref="EA110:EA111" si="2125">DZ110*EA$6</f>
        <v>0</v>
      </c>
      <c r="EB110" s="28">
        <f t="shared" ref="EB110:EB111" si="2126">DZ110*EB$6</f>
        <v>0</v>
      </c>
      <c r="EC110" s="28">
        <f t="shared" ref="EC110:EC111" si="2127">DZ110/EC$6</f>
        <v>0</v>
      </c>
      <c r="ED110" s="72">
        <f t="shared" ref="ED110:ED111" si="2128">EC110/ED$6</f>
        <v>0</v>
      </c>
      <c r="EE110" s="70">
        <f t="shared" ref="EE110:EE111" si="2129">DZ110/EE$6</f>
        <v>0</v>
      </c>
      <c r="EF110" s="70">
        <f t="shared" ref="EF110:EF111" si="2130">SUM(DZ110:EE110)</f>
        <v>0</v>
      </c>
      <c r="EG110" s="71">
        <v>0</v>
      </c>
      <c r="EH110" s="71">
        <v>0</v>
      </c>
      <c r="EI110" s="72">
        <f t="shared" si="2052"/>
        <v>0</v>
      </c>
      <c r="EJ110" s="72">
        <f t="shared" si="2053"/>
        <v>0</v>
      </c>
      <c r="EK110" s="70">
        <f t="shared" ref="EK110:EK111" si="2131">SUM(EI110:EJ110)</f>
        <v>0</v>
      </c>
      <c r="EL110" s="73">
        <v>0</v>
      </c>
      <c r="EM110" s="74">
        <f t="shared" si="2054"/>
        <v>0</v>
      </c>
      <c r="EN110" s="303">
        <f t="shared" si="2055"/>
        <v>0</v>
      </c>
      <c r="EO110" s="58">
        <v>0</v>
      </c>
      <c r="EP110" s="68"/>
      <c r="EQ110" s="28">
        <f t="shared" si="2056"/>
        <v>0</v>
      </c>
      <c r="ER110" s="28">
        <v>0</v>
      </c>
      <c r="ES110" s="28">
        <f t="shared" ref="ES110:ES111" si="2132">ER110*ES$6</f>
        <v>0</v>
      </c>
      <c r="ET110" s="28">
        <f t="shared" ref="ET110:ET111" si="2133">ER110*ET$6</f>
        <v>0</v>
      </c>
      <c r="EU110" s="28">
        <f t="shared" ref="EU110:EU111" si="2134">ER110/EU$6</f>
        <v>0</v>
      </c>
      <c r="EV110" s="72">
        <f t="shared" ref="EV110:EV111" si="2135">EU110/EV$6</f>
        <v>0</v>
      </c>
      <c r="EW110" s="70">
        <f t="shared" ref="EW110:EW111" si="2136">ER110/EW$6</f>
        <v>0</v>
      </c>
      <c r="EX110" s="70">
        <f t="shared" ref="EX110:EX111" si="2137">SUM(ER110:EW110)</f>
        <v>0</v>
      </c>
      <c r="EY110" s="71">
        <v>0</v>
      </c>
      <c r="EZ110" s="71">
        <v>0</v>
      </c>
      <c r="FA110" s="72">
        <f t="shared" si="2057"/>
        <v>0</v>
      </c>
      <c r="FB110" s="72">
        <f t="shared" si="2058"/>
        <v>0</v>
      </c>
      <c r="FC110" s="70">
        <f t="shared" ref="FC110:FC111" si="2138">SUM(FA110:FB110)</f>
        <v>0</v>
      </c>
      <c r="FD110" s="73">
        <v>0</v>
      </c>
      <c r="FE110" s="74">
        <f t="shared" si="2059"/>
        <v>0</v>
      </c>
      <c r="FF110" s="303">
        <f t="shared" si="2060"/>
        <v>0</v>
      </c>
      <c r="FG110" s="58">
        <v>0</v>
      </c>
      <c r="FH110" s="68"/>
      <c r="FI110" s="28">
        <f t="shared" si="2061"/>
        <v>0</v>
      </c>
      <c r="FJ110" s="28">
        <v>0</v>
      </c>
      <c r="FK110" s="28">
        <f t="shared" ref="FK110:FK111" si="2139">FJ110*FK$6</f>
        <v>0</v>
      </c>
      <c r="FL110" s="28">
        <f t="shared" ref="FL110:FL111" si="2140">FJ110*FL$6</f>
        <v>0</v>
      </c>
      <c r="FM110" s="28">
        <f t="shared" ref="FM110:FM111" si="2141">FJ110/FM$6</f>
        <v>0</v>
      </c>
      <c r="FN110" s="72">
        <f t="shared" ref="FN110:FN111" si="2142">FM110/FN$6</f>
        <v>0</v>
      </c>
      <c r="FO110" s="70">
        <f t="shared" ref="FO110:FO111" si="2143">FJ110/FO$6</f>
        <v>0</v>
      </c>
      <c r="FP110" s="70">
        <f t="shared" ref="FP110:FP111" si="2144">SUM(FJ110:FO110)</f>
        <v>0</v>
      </c>
      <c r="FQ110" s="71">
        <v>0</v>
      </c>
      <c r="FR110" s="71">
        <v>0</v>
      </c>
      <c r="FS110" s="72">
        <f t="shared" si="2062"/>
        <v>0</v>
      </c>
      <c r="FT110" s="72">
        <f t="shared" si="2063"/>
        <v>0</v>
      </c>
      <c r="FU110" s="70">
        <f t="shared" ref="FU110:FU111" si="2145">SUM(FS110:FT110)</f>
        <v>0</v>
      </c>
      <c r="FV110" s="73">
        <v>0</v>
      </c>
      <c r="FW110" s="74">
        <f t="shared" si="2064"/>
        <v>0</v>
      </c>
      <c r="FX110" s="303">
        <f t="shared" si="2065"/>
        <v>0</v>
      </c>
      <c r="FY110" s="58">
        <v>0</v>
      </c>
      <c r="FZ110" s="68"/>
      <c r="GA110" s="28">
        <f t="shared" si="2066"/>
        <v>0</v>
      </c>
      <c r="GB110" s="28">
        <v>0</v>
      </c>
      <c r="GC110" s="28">
        <f t="shared" ref="GC110:GC111" si="2146">GB110*GC$6</f>
        <v>0</v>
      </c>
      <c r="GD110" s="28">
        <f t="shared" ref="GD110:GD111" si="2147">GB110*GD$6</f>
        <v>0</v>
      </c>
      <c r="GE110" s="28">
        <f t="shared" ref="GE110:GE111" si="2148">GB110/GE$6</f>
        <v>0</v>
      </c>
      <c r="GF110" s="72">
        <f t="shared" ref="GF110:GF111" si="2149">GE110/GF$6</f>
        <v>0</v>
      </c>
      <c r="GG110" s="70">
        <f t="shared" ref="GG110:GG111" si="2150">GB110/GG$6</f>
        <v>0</v>
      </c>
      <c r="GH110" s="70">
        <f t="shared" ref="GH110:GH111" si="2151">SUM(GB110:GG110)</f>
        <v>0</v>
      </c>
      <c r="GI110" s="71">
        <v>0</v>
      </c>
      <c r="GJ110" s="71">
        <v>0</v>
      </c>
      <c r="GK110" s="72">
        <f t="shared" si="2067"/>
        <v>0</v>
      </c>
      <c r="GL110" s="72">
        <f t="shared" si="2068"/>
        <v>0</v>
      </c>
      <c r="GM110" s="70">
        <f t="shared" ref="GM110:GM111" si="2152">SUM(GK110:GL110)</f>
        <v>0</v>
      </c>
      <c r="GN110" s="73">
        <v>0</v>
      </c>
      <c r="GO110" s="74">
        <f t="shared" si="2069"/>
        <v>0</v>
      </c>
      <c r="GP110" s="303">
        <f t="shared" si="2070"/>
        <v>0</v>
      </c>
      <c r="GQ110" s="58">
        <v>0</v>
      </c>
      <c r="GR110" s="68"/>
      <c r="GS110" s="28">
        <f t="shared" si="2071"/>
        <v>0</v>
      </c>
      <c r="GT110" s="28">
        <v>0</v>
      </c>
      <c r="GU110" s="28">
        <f t="shared" ref="GU110:GU111" si="2153">GT110*GU$6</f>
        <v>0</v>
      </c>
      <c r="GV110" s="28">
        <f t="shared" ref="GV110:GV111" si="2154">GT110*GV$6</f>
        <v>0</v>
      </c>
      <c r="GW110" s="28">
        <f t="shared" ref="GW110:GW111" si="2155">GT110/GW$6</f>
        <v>0</v>
      </c>
      <c r="GX110" s="72">
        <f t="shared" ref="GX110:GX111" si="2156">GW110/GX$6</f>
        <v>0</v>
      </c>
      <c r="GY110" s="70">
        <f t="shared" ref="GY110:GY111" si="2157">GT110/GY$6</f>
        <v>0</v>
      </c>
      <c r="GZ110" s="70">
        <f t="shared" ref="GZ110:GZ111" si="2158">SUM(GT110:GY110)</f>
        <v>0</v>
      </c>
      <c r="HA110" s="71">
        <v>0</v>
      </c>
      <c r="HB110" s="71">
        <v>0</v>
      </c>
      <c r="HC110" s="72">
        <f t="shared" si="2072"/>
        <v>0</v>
      </c>
      <c r="HD110" s="72">
        <f t="shared" si="2073"/>
        <v>0</v>
      </c>
      <c r="HE110" s="70">
        <f t="shared" ref="HE110:HE111" si="2159">SUM(HC110:HD110)</f>
        <v>0</v>
      </c>
      <c r="HF110" s="73">
        <v>0</v>
      </c>
      <c r="HG110" s="74">
        <f t="shared" si="2074"/>
        <v>0</v>
      </c>
      <c r="HH110" s="303">
        <f t="shared" si="2075"/>
        <v>0</v>
      </c>
      <c r="HJ110" s="37"/>
      <c r="HK110" s="37"/>
      <c r="HL110" s="37"/>
      <c r="HM110" s="37"/>
      <c r="HN110" s="37"/>
      <c r="HO110" s="37"/>
      <c r="HP110" s="37"/>
      <c r="HQ110" s="37"/>
      <c r="HR110" s="37"/>
      <c r="HS110" s="37"/>
      <c r="HT110" s="37"/>
      <c r="HU110" s="37"/>
      <c r="HV110" s="37"/>
      <c r="HW110" s="37"/>
      <c r="HX110" s="37"/>
      <c r="HY110" s="37"/>
      <c r="HZ110" s="37"/>
      <c r="IA110" s="37"/>
      <c r="IB110" s="37"/>
      <c r="IC110" s="37"/>
      <c r="ID110" s="37"/>
      <c r="IE110" s="37"/>
      <c r="IF110" s="37"/>
      <c r="IG110" s="37"/>
      <c r="IH110" s="37"/>
      <c r="II110" s="37"/>
      <c r="IJ110" s="37"/>
      <c r="IK110" s="37"/>
      <c r="IL110" s="37"/>
      <c r="IM110" s="37"/>
      <c r="IN110" s="37"/>
      <c r="IO110" s="37"/>
      <c r="IP110" s="37"/>
    </row>
    <row r="111" spans="1:250" x14ac:dyDescent="0.3">
      <c r="A111" s="58">
        <v>0</v>
      </c>
      <c r="B111" s="68"/>
      <c r="C111" s="28">
        <f t="shared" si="2016"/>
        <v>0</v>
      </c>
      <c r="D111" s="28">
        <v>0</v>
      </c>
      <c r="E111" s="28">
        <f t="shared" si="2076"/>
        <v>0</v>
      </c>
      <c r="F111" s="28">
        <f t="shared" si="2077"/>
        <v>0</v>
      </c>
      <c r="G111" s="28">
        <f t="shared" si="2078"/>
        <v>0</v>
      </c>
      <c r="H111" s="72">
        <f t="shared" si="2079"/>
        <v>0</v>
      </c>
      <c r="I111" s="70">
        <f t="shared" si="2080"/>
        <v>0</v>
      </c>
      <c r="J111" s="70">
        <f t="shared" si="2081"/>
        <v>0</v>
      </c>
      <c r="K111" s="71">
        <v>0</v>
      </c>
      <c r="L111" s="71">
        <v>0</v>
      </c>
      <c r="M111" s="72">
        <f t="shared" si="2017"/>
        <v>0</v>
      </c>
      <c r="N111" s="72">
        <f t="shared" si="2018"/>
        <v>0</v>
      </c>
      <c r="O111" s="70">
        <f t="shared" si="2082"/>
        <v>0</v>
      </c>
      <c r="P111" s="73">
        <v>0</v>
      </c>
      <c r="Q111" s="74">
        <f t="shared" si="2019"/>
        <v>0</v>
      </c>
      <c r="R111" s="303">
        <f t="shared" si="2020"/>
        <v>0</v>
      </c>
      <c r="S111" s="58">
        <v>0</v>
      </c>
      <c r="T111" s="68"/>
      <c r="U111" s="28">
        <f t="shared" si="2021"/>
        <v>0</v>
      </c>
      <c r="V111" s="28">
        <v>0</v>
      </c>
      <c r="W111" s="28">
        <f t="shared" si="2083"/>
        <v>0</v>
      </c>
      <c r="X111" s="28">
        <f t="shared" si="2084"/>
        <v>0</v>
      </c>
      <c r="Y111" s="28">
        <f t="shared" si="2085"/>
        <v>0</v>
      </c>
      <c r="Z111" s="72">
        <f t="shared" si="2086"/>
        <v>0</v>
      </c>
      <c r="AA111" s="70">
        <f t="shared" si="2087"/>
        <v>0</v>
      </c>
      <c r="AB111" s="70">
        <f t="shared" si="2088"/>
        <v>0</v>
      </c>
      <c r="AC111" s="71">
        <v>0</v>
      </c>
      <c r="AD111" s="71">
        <v>0</v>
      </c>
      <c r="AE111" s="72">
        <f t="shared" si="2022"/>
        <v>0</v>
      </c>
      <c r="AF111" s="72">
        <f t="shared" si="2023"/>
        <v>0</v>
      </c>
      <c r="AG111" s="70">
        <f t="shared" si="2089"/>
        <v>0</v>
      </c>
      <c r="AH111" s="73">
        <v>0</v>
      </c>
      <c r="AI111" s="74">
        <f t="shared" si="2024"/>
        <v>0</v>
      </c>
      <c r="AJ111" s="303">
        <f t="shared" si="2025"/>
        <v>0</v>
      </c>
      <c r="AK111" s="58">
        <v>0</v>
      </c>
      <c r="AL111" s="68"/>
      <c r="AM111" s="28">
        <f t="shared" si="2026"/>
        <v>0</v>
      </c>
      <c r="AN111" s="28">
        <v>0</v>
      </c>
      <c r="AO111" s="28">
        <f t="shared" si="2090"/>
        <v>0</v>
      </c>
      <c r="AP111" s="28">
        <f t="shared" si="2091"/>
        <v>0</v>
      </c>
      <c r="AQ111" s="28">
        <f t="shared" si="2092"/>
        <v>0</v>
      </c>
      <c r="AR111" s="72">
        <f t="shared" si="2093"/>
        <v>0</v>
      </c>
      <c r="AS111" s="70">
        <f t="shared" si="2094"/>
        <v>0</v>
      </c>
      <c r="AT111" s="70">
        <f t="shared" si="2095"/>
        <v>0</v>
      </c>
      <c r="AU111" s="71">
        <v>0</v>
      </c>
      <c r="AV111" s="71">
        <v>0</v>
      </c>
      <c r="AW111" s="72">
        <f t="shared" si="2027"/>
        <v>0</v>
      </c>
      <c r="AX111" s="72">
        <f t="shared" si="2028"/>
        <v>0</v>
      </c>
      <c r="AY111" s="70">
        <f t="shared" si="2096"/>
        <v>0</v>
      </c>
      <c r="AZ111" s="73">
        <v>0</v>
      </c>
      <c r="BA111" s="74">
        <f t="shared" si="2029"/>
        <v>0</v>
      </c>
      <c r="BB111" s="303">
        <f t="shared" si="2030"/>
        <v>0</v>
      </c>
      <c r="BC111" s="58">
        <v>0</v>
      </c>
      <c r="BD111" s="68"/>
      <c r="BE111" s="28">
        <f t="shared" si="2031"/>
        <v>0</v>
      </c>
      <c r="BF111" s="28">
        <v>0</v>
      </c>
      <c r="BG111" s="28">
        <f t="shared" si="2097"/>
        <v>0</v>
      </c>
      <c r="BH111" s="28">
        <f t="shared" si="2098"/>
        <v>0</v>
      </c>
      <c r="BI111" s="28">
        <f t="shared" si="2099"/>
        <v>0</v>
      </c>
      <c r="BJ111" s="72">
        <f t="shared" si="2100"/>
        <v>0</v>
      </c>
      <c r="BK111" s="70">
        <f t="shared" si="2101"/>
        <v>0</v>
      </c>
      <c r="BL111" s="70">
        <f t="shared" si="2102"/>
        <v>0</v>
      </c>
      <c r="BM111" s="71">
        <v>0</v>
      </c>
      <c r="BN111" s="71">
        <v>0</v>
      </c>
      <c r="BO111" s="72">
        <f t="shared" si="2032"/>
        <v>0</v>
      </c>
      <c r="BP111" s="72">
        <f t="shared" si="2033"/>
        <v>0</v>
      </c>
      <c r="BQ111" s="70">
        <f t="shared" si="2103"/>
        <v>0</v>
      </c>
      <c r="BR111" s="73">
        <v>0</v>
      </c>
      <c r="BS111" s="74">
        <f t="shared" si="2034"/>
        <v>0</v>
      </c>
      <c r="BT111" s="303">
        <f t="shared" si="2035"/>
        <v>0</v>
      </c>
      <c r="BU111" s="58">
        <v>0</v>
      </c>
      <c r="BV111" s="68"/>
      <c r="BW111" s="28">
        <f t="shared" si="2036"/>
        <v>0</v>
      </c>
      <c r="BX111" s="28">
        <v>0</v>
      </c>
      <c r="BY111" s="28">
        <f t="shared" si="2104"/>
        <v>0</v>
      </c>
      <c r="BZ111" s="28">
        <f t="shared" si="2105"/>
        <v>0</v>
      </c>
      <c r="CA111" s="28">
        <f t="shared" si="2106"/>
        <v>0</v>
      </c>
      <c r="CB111" s="72">
        <f t="shared" si="2107"/>
        <v>0</v>
      </c>
      <c r="CC111" s="70">
        <f t="shared" si="2108"/>
        <v>0</v>
      </c>
      <c r="CD111" s="70">
        <f t="shared" si="2109"/>
        <v>0</v>
      </c>
      <c r="CE111" s="71">
        <v>0</v>
      </c>
      <c r="CF111" s="71">
        <v>0</v>
      </c>
      <c r="CG111" s="72">
        <f t="shared" si="2037"/>
        <v>0</v>
      </c>
      <c r="CH111" s="72">
        <f t="shared" si="2038"/>
        <v>0</v>
      </c>
      <c r="CI111" s="70">
        <f t="shared" si="2110"/>
        <v>0</v>
      </c>
      <c r="CJ111" s="73">
        <v>0</v>
      </c>
      <c r="CK111" s="74">
        <f t="shared" si="2039"/>
        <v>0</v>
      </c>
      <c r="CL111" s="303">
        <f t="shared" si="2040"/>
        <v>0</v>
      </c>
      <c r="CM111" s="58">
        <v>0</v>
      </c>
      <c r="CN111" s="68"/>
      <c r="CO111" s="28">
        <f t="shared" si="2041"/>
        <v>0</v>
      </c>
      <c r="CP111" s="28">
        <v>0</v>
      </c>
      <c r="CQ111" s="28">
        <f t="shared" si="2111"/>
        <v>0</v>
      </c>
      <c r="CR111" s="28">
        <f t="shared" si="2112"/>
        <v>0</v>
      </c>
      <c r="CS111" s="28">
        <f t="shared" si="2113"/>
        <v>0</v>
      </c>
      <c r="CT111" s="72">
        <f t="shared" si="2114"/>
        <v>0</v>
      </c>
      <c r="CU111" s="70">
        <f t="shared" si="2115"/>
        <v>0</v>
      </c>
      <c r="CV111" s="70">
        <f t="shared" si="2116"/>
        <v>0</v>
      </c>
      <c r="CW111" s="71">
        <v>0</v>
      </c>
      <c r="CX111" s="71">
        <v>0</v>
      </c>
      <c r="CY111" s="72">
        <f t="shared" si="2042"/>
        <v>0</v>
      </c>
      <c r="CZ111" s="72">
        <f t="shared" si="2043"/>
        <v>0</v>
      </c>
      <c r="DA111" s="70">
        <f t="shared" si="2117"/>
        <v>0</v>
      </c>
      <c r="DB111" s="73">
        <v>0</v>
      </c>
      <c r="DC111" s="74">
        <f t="shared" si="2044"/>
        <v>0</v>
      </c>
      <c r="DD111" s="303">
        <f t="shared" si="2045"/>
        <v>0</v>
      </c>
      <c r="DE111" s="58">
        <v>0</v>
      </c>
      <c r="DF111" s="68"/>
      <c r="DG111" s="28">
        <f t="shared" si="2046"/>
        <v>0</v>
      </c>
      <c r="DH111" s="28">
        <v>0</v>
      </c>
      <c r="DI111" s="28">
        <f t="shared" si="2118"/>
        <v>0</v>
      </c>
      <c r="DJ111" s="28">
        <f t="shared" si="2119"/>
        <v>0</v>
      </c>
      <c r="DK111" s="28">
        <f t="shared" si="2120"/>
        <v>0</v>
      </c>
      <c r="DL111" s="72">
        <f t="shared" si="2121"/>
        <v>0</v>
      </c>
      <c r="DM111" s="70">
        <f t="shared" si="2122"/>
        <v>0</v>
      </c>
      <c r="DN111" s="70">
        <f t="shared" si="2123"/>
        <v>0</v>
      </c>
      <c r="DO111" s="71">
        <v>0</v>
      </c>
      <c r="DP111" s="71">
        <v>0</v>
      </c>
      <c r="DQ111" s="72">
        <f t="shared" si="2047"/>
        <v>0</v>
      </c>
      <c r="DR111" s="72">
        <f t="shared" si="2048"/>
        <v>0</v>
      </c>
      <c r="DS111" s="70">
        <f t="shared" si="2124"/>
        <v>0</v>
      </c>
      <c r="DT111" s="73">
        <v>0</v>
      </c>
      <c r="DU111" s="74">
        <f t="shared" si="2049"/>
        <v>0</v>
      </c>
      <c r="DV111" s="303">
        <f t="shared" si="2050"/>
        <v>0</v>
      </c>
      <c r="DW111" s="58">
        <v>0</v>
      </c>
      <c r="DX111" s="68"/>
      <c r="DY111" s="28">
        <f t="shared" si="2051"/>
        <v>0</v>
      </c>
      <c r="DZ111" s="28">
        <v>0</v>
      </c>
      <c r="EA111" s="28">
        <f t="shared" si="2125"/>
        <v>0</v>
      </c>
      <c r="EB111" s="28">
        <f t="shared" si="2126"/>
        <v>0</v>
      </c>
      <c r="EC111" s="28">
        <f t="shared" si="2127"/>
        <v>0</v>
      </c>
      <c r="ED111" s="72">
        <f t="shared" si="2128"/>
        <v>0</v>
      </c>
      <c r="EE111" s="70">
        <f t="shared" si="2129"/>
        <v>0</v>
      </c>
      <c r="EF111" s="70">
        <f t="shared" si="2130"/>
        <v>0</v>
      </c>
      <c r="EG111" s="71">
        <v>0</v>
      </c>
      <c r="EH111" s="71">
        <v>0</v>
      </c>
      <c r="EI111" s="72">
        <f t="shared" si="2052"/>
        <v>0</v>
      </c>
      <c r="EJ111" s="72">
        <f t="shared" si="2053"/>
        <v>0</v>
      </c>
      <c r="EK111" s="70">
        <f t="shared" si="2131"/>
        <v>0</v>
      </c>
      <c r="EL111" s="73">
        <v>0</v>
      </c>
      <c r="EM111" s="74">
        <f t="shared" si="2054"/>
        <v>0</v>
      </c>
      <c r="EN111" s="303">
        <f t="shared" si="2055"/>
        <v>0</v>
      </c>
      <c r="EO111" s="58">
        <v>0</v>
      </c>
      <c r="EP111" s="68"/>
      <c r="EQ111" s="28">
        <f t="shared" si="2056"/>
        <v>0</v>
      </c>
      <c r="ER111" s="28">
        <v>0</v>
      </c>
      <c r="ES111" s="28">
        <f t="shared" si="2132"/>
        <v>0</v>
      </c>
      <c r="ET111" s="28">
        <f t="shared" si="2133"/>
        <v>0</v>
      </c>
      <c r="EU111" s="28">
        <f t="shared" si="2134"/>
        <v>0</v>
      </c>
      <c r="EV111" s="72">
        <f t="shared" si="2135"/>
        <v>0</v>
      </c>
      <c r="EW111" s="70">
        <f t="shared" si="2136"/>
        <v>0</v>
      </c>
      <c r="EX111" s="70">
        <f t="shared" si="2137"/>
        <v>0</v>
      </c>
      <c r="EY111" s="71">
        <v>0</v>
      </c>
      <c r="EZ111" s="71">
        <v>0</v>
      </c>
      <c r="FA111" s="72">
        <f t="shared" si="2057"/>
        <v>0</v>
      </c>
      <c r="FB111" s="72">
        <f t="shared" si="2058"/>
        <v>0</v>
      </c>
      <c r="FC111" s="70">
        <f t="shared" si="2138"/>
        <v>0</v>
      </c>
      <c r="FD111" s="73">
        <v>0</v>
      </c>
      <c r="FE111" s="74">
        <f t="shared" si="2059"/>
        <v>0</v>
      </c>
      <c r="FF111" s="303">
        <f t="shared" si="2060"/>
        <v>0</v>
      </c>
      <c r="FG111" s="58">
        <v>0</v>
      </c>
      <c r="FH111" s="68"/>
      <c r="FI111" s="28">
        <f t="shared" si="2061"/>
        <v>0</v>
      </c>
      <c r="FJ111" s="28">
        <v>0</v>
      </c>
      <c r="FK111" s="28">
        <f t="shared" si="2139"/>
        <v>0</v>
      </c>
      <c r="FL111" s="28">
        <f t="shared" si="2140"/>
        <v>0</v>
      </c>
      <c r="FM111" s="28">
        <f t="shared" si="2141"/>
        <v>0</v>
      </c>
      <c r="FN111" s="72">
        <f t="shared" si="2142"/>
        <v>0</v>
      </c>
      <c r="FO111" s="70">
        <f t="shared" si="2143"/>
        <v>0</v>
      </c>
      <c r="FP111" s="70">
        <f t="shared" si="2144"/>
        <v>0</v>
      </c>
      <c r="FQ111" s="71">
        <v>0</v>
      </c>
      <c r="FR111" s="71">
        <v>0</v>
      </c>
      <c r="FS111" s="72">
        <f t="shared" si="2062"/>
        <v>0</v>
      </c>
      <c r="FT111" s="72">
        <f t="shared" si="2063"/>
        <v>0</v>
      </c>
      <c r="FU111" s="70">
        <f t="shared" si="2145"/>
        <v>0</v>
      </c>
      <c r="FV111" s="73">
        <v>0</v>
      </c>
      <c r="FW111" s="74">
        <f t="shared" si="2064"/>
        <v>0</v>
      </c>
      <c r="FX111" s="303">
        <f t="shared" si="2065"/>
        <v>0</v>
      </c>
      <c r="FY111" s="58">
        <v>0</v>
      </c>
      <c r="FZ111" s="68"/>
      <c r="GA111" s="28">
        <f t="shared" si="2066"/>
        <v>0</v>
      </c>
      <c r="GB111" s="28">
        <v>0</v>
      </c>
      <c r="GC111" s="28">
        <f t="shared" si="2146"/>
        <v>0</v>
      </c>
      <c r="GD111" s="28">
        <f t="shared" si="2147"/>
        <v>0</v>
      </c>
      <c r="GE111" s="28">
        <f t="shared" si="2148"/>
        <v>0</v>
      </c>
      <c r="GF111" s="72">
        <f t="shared" si="2149"/>
        <v>0</v>
      </c>
      <c r="GG111" s="70">
        <f t="shared" si="2150"/>
        <v>0</v>
      </c>
      <c r="GH111" s="70">
        <f t="shared" si="2151"/>
        <v>0</v>
      </c>
      <c r="GI111" s="71">
        <v>0</v>
      </c>
      <c r="GJ111" s="71">
        <v>0</v>
      </c>
      <c r="GK111" s="72">
        <f t="shared" si="2067"/>
        <v>0</v>
      </c>
      <c r="GL111" s="72">
        <f t="shared" si="2068"/>
        <v>0</v>
      </c>
      <c r="GM111" s="70">
        <f t="shared" si="2152"/>
        <v>0</v>
      </c>
      <c r="GN111" s="73">
        <v>0</v>
      </c>
      <c r="GO111" s="74">
        <f t="shared" si="2069"/>
        <v>0</v>
      </c>
      <c r="GP111" s="303">
        <f t="shared" si="2070"/>
        <v>0</v>
      </c>
      <c r="GQ111" s="58">
        <v>0</v>
      </c>
      <c r="GR111" s="68"/>
      <c r="GS111" s="28">
        <f t="shared" si="2071"/>
        <v>0</v>
      </c>
      <c r="GT111" s="28">
        <v>0</v>
      </c>
      <c r="GU111" s="28">
        <f t="shared" si="2153"/>
        <v>0</v>
      </c>
      <c r="GV111" s="28">
        <f t="shared" si="2154"/>
        <v>0</v>
      </c>
      <c r="GW111" s="28">
        <f t="shared" si="2155"/>
        <v>0</v>
      </c>
      <c r="GX111" s="72">
        <f t="shared" si="2156"/>
        <v>0</v>
      </c>
      <c r="GY111" s="70">
        <f t="shared" si="2157"/>
        <v>0</v>
      </c>
      <c r="GZ111" s="70">
        <f t="shared" si="2158"/>
        <v>0</v>
      </c>
      <c r="HA111" s="71">
        <v>0</v>
      </c>
      <c r="HB111" s="71">
        <v>0</v>
      </c>
      <c r="HC111" s="72">
        <f t="shared" si="2072"/>
        <v>0</v>
      </c>
      <c r="HD111" s="72">
        <f t="shared" si="2073"/>
        <v>0</v>
      </c>
      <c r="HE111" s="70">
        <f t="shared" si="2159"/>
        <v>0</v>
      </c>
      <c r="HF111" s="73">
        <v>0</v>
      </c>
      <c r="HG111" s="74">
        <f t="shared" si="2074"/>
        <v>0</v>
      </c>
      <c r="HH111" s="303">
        <f t="shared" si="2075"/>
        <v>0</v>
      </c>
      <c r="HJ111" s="37"/>
      <c r="HK111" s="37"/>
      <c r="HL111" s="37"/>
      <c r="HM111" s="37"/>
      <c r="HN111" s="37"/>
      <c r="HO111" s="37"/>
      <c r="HP111" s="37"/>
      <c r="HQ111" s="37"/>
      <c r="HR111" s="37"/>
      <c r="HS111" s="37"/>
      <c r="HT111" s="37"/>
      <c r="HU111" s="37"/>
      <c r="HV111" s="37"/>
      <c r="HW111" s="37"/>
      <c r="HX111" s="37"/>
      <c r="HY111" s="37"/>
      <c r="HZ111" s="37"/>
      <c r="IA111" s="37"/>
      <c r="IB111" s="37"/>
      <c r="IC111" s="37"/>
      <c r="ID111" s="37"/>
      <c r="IE111" s="37"/>
      <c r="IF111" s="37"/>
      <c r="IG111" s="37"/>
      <c r="IH111" s="37"/>
      <c r="II111" s="37"/>
      <c r="IJ111" s="37"/>
      <c r="IK111" s="37"/>
      <c r="IL111" s="37"/>
      <c r="IM111" s="37"/>
      <c r="IN111" s="37"/>
      <c r="IO111" s="37"/>
      <c r="IP111" s="37"/>
    </row>
    <row r="112" spans="1:250" ht="15.6" x14ac:dyDescent="0.3">
      <c r="A112" s="541"/>
      <c r="B112" s="537"/>
      <c r="C112" s="537"/>
      <c r="D112" s="537"/>
      <c r="E112" s="537"/>
      <c r="F112" s="537"/>
      <c r="G112" s="537"/>
      <c r="H112" s="537"/>
      <c r="I112" s="537"/>
      <c r="J112" s="537"/>
      <c r="K112" s="537"/>
      <c r="L112" s="537"/>
      <c r="M112" s="537"/>
      <c r="N112" s="537"/>
      <c r="O112" s="537"/>
      <c r="P112" s="538"/>
      <c r="Q112" s="423" t="s">
        <v>8</v>
      </c>
      <c r="R112" s="304">
        <f>SUM(R109:R111)</f>
        <v>3426.125544444445</v>
      </c>
      <c r="S112" s="541"/>
      <c r="T112" s="537"/>
      <c r="U112" s="537"/>
      <c r="V112" s="537"/>
      <c r="W112" s="537"/>
      <c r="X112" s="537"/>
      <c r="Y112" s="537"/>
      <c r="Z112" s="537"/>
      <c r="AA112" s="537"/>
      <c r="AB112" s="537"/>
      <c r="AC112" s="537"/>
      <c r="AD112" s="537"/>
      <c r="AE112" s="537"/>
      <c r="AF112" s="537"/>
      <c r="AG112" s="537"/>
      <c r="AH112" s="538"/>
      <c r="AI112" s="423" t="s">
        <v>8</v>
      </c>
      <c r="AJ112" s="304">
        <f>SUM(AJ109:AJ111)</f>
        <v>3426.125544444445</v>
      </c>
      <c r="AK112" s="541"/>
      <c r="AL112" s="537"/>
      <c r="AM112" s="537"/>
      <c r="AN112" s="537"/>
      <c r="AO112" s="537"/>
      <c r="AP112" s="537"/>
      <c r="AQ112" s="537"/>
      <c r="AR112" s="537"/>
      <c r="AS112" s="537"/>
      <c r="AT112" s="537"/>
      <c r="AU112" s="537"/>
      <c r="AV112" s="537"/>
      <c r="AW112" s="537"/>
      <c r="AX112" s="537"/>
      <c r="AY112" s="537"/>
      <c r="AZ112" s="538"/>
      <c r="BA112" s="423" t="s">
        <v>8</v>
      </c>
      <c r="BB112" s="304">
        <f>SUM(BB109:BB111)</f>
        <v>3426.125544444445</v>
      </c>
      <c r="BC112" s="541"/>
      <c r="BD112" s="537"/>
      <c r="BE112" s="537"/>
      <c r="BF112" s="537"/>
      <c r="BG112" s="537"/>
      <c r="BH112" s="537"/>
      <c r="BI112" s="537"/>
      <c r="BJ112" s="537"/>
      <c r="BK112" s="537"/>
      <c r="BL112" s="537"/>
      <c r="BM112" s="537"/>
      <c r="BN112" s="537"/>
      <c r="BO112" s="537"/>
      <c r="BP112" s="537"/>
      <c r="BQ112" s="537"/>
      <c r="BR112" s="538"/>
      <c r="BS112" s="423" t="s">
        <v>8</v>
      </c>
      <c r="BT112" s="304">
        <f>SUM(BT109:BT111)</f>
        <v>3426.125544444445</v>
      </c>
      <c r="BU112" s="541"/>
      <c r="BV112" s="537"/>
      <c r="BW112" s="537"/>
      <c r="BX112" s="537"/>
      <c r="BY112" s="537"/>
      <c r="BZ112" s="537"/>
      <c r="CA112" s="537"/>
      <c r="CB112" s="537"/>
      <c r="CC112" s="537"/>
      <c r="CD112" s="537"/>
      <c r="CE112" s="537"/>
      <c r="CF112" s="537"/>
      <c r="CG112" s="537"/>
      <c r="CH112" s="537"/>
      <c r="CI112" s="537"/>
      <c r="CJ112" s="538"/>
      <c r="CK112" s="423" t="s">
        <v>8</v>
      </c>
      <c r="CL112" s="304">
        <f>SUM(CL109:CL111)</f>
        <v>3426.125544444445</v>
      </c>
      <c r="CM112" s="541"/>
      <c r="CN112" s="537"/>
      <c r="CO112" s="537"/>
      <c r="CP112" s="537"/>
      <c r="CQ112" s="537"/>
      <c r="CR112" s="537"/>
      <c r="CS112" s="537"/>
      <c r="CT112" s="537"/>
      <c r="CU112" s="537"/>
      <c r="CV112" s="537"/>
      <c r="CW112" s="537"/>
      <c r="CX112" s="537"/>
      <c r="CY112" s="537"/>
      <c r="CZ112" s="537"/>
      <c r="DA112" s="537"/>
      <c r="DB112" s="538"/>
      <c r="DC112" s="423" t="s">
        <v>8</v>
      </c>
      <c r="DD112" s="304">
        <f>SUM(DD109:DD111)</f>
        <v>3426.125544444445</v>
      </c>
      <c r="DE112" s="541"/>
      <c r="DF112" s="537"/>
      <c r="DG112" s="537"/>
      <c r="DH112" s="537"/>
      <c r="DI112" s="537"/>
      <c r="DJ112" s="537"/>
      <c r="DK112" s="537"/>
      <c r="DL112" s="537"/>
      <c r="DM112" s="537"/>
      <c r="DN112" s="537"/>
      <c r="DO112" s="537"/>
      <c r="DP112" s="537"/>
      <c r="DQ112" s="537"/>
      <c r="DR112" s="537"/>
      <c r="DS112" s="537"/>
      <c r="DT112" s="538"/>
      <c r="DU112" s="423" t="s">
        <v>8</v>
      </c>
      <c r="DV112" s="304">
        <f>SUM(DV109:DV111)</f>
        <v>3426.125544444445</v>
      </c>
      <c r="DW112" s="541"/>
      <c r="DX112" s="537"/>
      <c r="DY112" s="537"/>
      <c r="DZ112" s="537"/>
      <c r="EA112" s="537"/>
      <c r="EB112" s="537"/>
      <c r="EC112" s="537"/>
      <c r="ED112" s="537"/>
      <c r="EE112" s="537"/>
      <c r="EF112" s="537"/>
      <c r="EG112" s="537"/>
      <c r="EH112" s="537"/>
      <c r="EI112" s="537"/>
      <c r="EJ112" s="537"/>
      <c r="EK112" s="537"/>
      <c r="EL112" s="538"/>
      <c r="EM112" s="423" t="s">
        <v>8</v>
      </c>
      <c r="EN112" s="304">
        <f>SUM(EN109:EN111)</f>
        <v>3426.125544444445</v>
      </c>
      <c r="EO112" s="541"/>
      <c r="EP112" s="537"/>
      <c r="EQ112" s="537"/>
      <c r="ER112" s="537"/>
      <c r="ES112" s="537"/>
      <c r="ET112" s="537"/>
      <c r="EU112" s="537"/>
      <c r="EV112" s="537"/>
      <c r="EW112" s="537"/>
      <c r="EX112" s="537"/>
      <c r="EY112" s="537"/>
      <c r="EZ112" s="537"/>
      <c r="FA112" s="537"/>
      <c r="FB112" s="537"/>
      <c r="FC112" s="537"/>
      <c r="FD112" s="538"/>
      <c r="FE112" s="423" t="s">
        <v>8</v>
      </c>
      <c r="FF112" s="304">
        <f>SUM(FF109:FF111)</f>
        <v>3426.125544444445</v>
      </c>
      <c r="FG112" s="541"/>
      <c r="FH112" s="537"/>
      <c r="FI112" s="537"/>
      <c r="FJ112" s="537"/>
      <c r="FK112" s="537"/>
      <c r="FL112" s="537"/>
      <c r="FM112" s="537"/>
      <c r="FN112" s="537"/>
      <c r="FO112" s="537"/>
      <c r="FP112" s="537"/>
      <c r="FQ112" s="537"/>
      <c r="FR112" s="537"/>
      <c r="FS112" s="537"/>
      <c r="FT112" s="537"/>
      <c r="FU112" s="537"/>
      <c r="FV112" s="538"/>
      <c r="FW112" s="423" t="s">
        <v>8</v>
      </c>
      <c r="FX112" s="304">
        <f>SUM(FX109:FX111)</f>
        <v>3426.125544444445</v>
      </c>
      <c r="FY112" s="541"/>
      <c r="FZ112" s="537"/>
      <c r="GA112" s="537"/>
      <c r="GB112" s="537"/>
      <c r="GC112" s="537"/>
      <c r="GD112" s="537"/>
      <c r="GE112" s="537"/>
      <c r="GF112" s="537"/>
      <c r="GG112" s="537"/>
      <c r="GH112" s="537"/>
      <c r="GI112" s="537"/>
      <c r="GJ112" s="537"/>
      <c r="GK112" s="537"/>
      <c r="GL112" s="537"/>
      <c r="GM112" s="537"/>
      <c r="GN112" s="538"/>
      <c r="GO112" s="423" t="s">
        <v>8</v>
      </c>
      <c r="GP112" s="304">
        <f>SUM(GP109:GP111)</f>
        <v>3426.125544444445</v>
      </c>
      <c r="GQ112" s="541"/>
      <c r="GR112" s="537"/>
      <c r="GS112" s="537"/>
      <c r="GT112" s="537"/>
      <c r="GU112" s="537"/>
      <c r="GV112" s="537"/>
      <c r="GW112" s="537"/>
      <c r="GX112" s="537"/>
      <c r="GY112" s="537"/>
      <c r="GZ112" s="537"/>
      <c r="HA112" s="537"/>
      <c r="HB112" s="537"/>
      <c r="HC112" s="537"/>
      <c r="HD112" s="537"/>
      <c r="HE112" s="537"/>
      <c r="HF112" s="538"/>
      <c r="HG112" s="423" t="s">
        <v>8</v>
      </c>
      <c r="HH112" s="304">
        <f>SUM(HH109:HH111)</f>
        <v>3426.125544444445</v>
      </c>
      <c r="HJ112" s="37"/>
      <c r="HK112" s="37"/>
      <c r="HL112" s="37"/>
      <c r="HM112" s="37"/>
      <c r="HN112" s="37"/>
      <c r="HO112" s="37"/>
      <c r="HP112" s="37"/>
      <c r="HQ112" s="37"/>
      <c r="HR112" s="37"/>
      <c r="HS112" s="37"/>
      <c r="HT112" s="37"/>
      <c r="HU112" s="37"/>
      <c r="HV112" s="37"/>
      <c r="HW112" s="37"/>
      <c r="HX112" s="37"/>
      <c r="HY112" s="37"/>
      <c r="HZ112" s="37"/>
      <c r="IA112" s="37"/>
      <c r="IB112" s="37"/>
      <c r="IC112" s="37"/>
      <c r="ID112" s="37"/>
      <c r="IE112" s="37"/>
      <c r="IF112" s="37"/>
      <c r="IG112" s="37"/>
      <c r="IH112" s="37"/>
      <c r="II112" s="37"/>
      <c r="IJ112" s="37"/>
      <c r="IK112" s="37"/>
      <c r="IL112" s="37"/>
      <c r="IM112" s="37"/>
      <c r="IN112" s="37"/>
      <c r="IO112" s="37"/>
      <c r="IP112" s="37"/>
    </row>
    <row r="113" spans="1:250" ht="15.6" x14ac:dyDescent="0.3">
      <c r="A113" s="543"/>
      <c r="B113" s="544"/>
      <c r="C113" s="544"/>
      <c r="D113" s="544"/>
      <c r="E113" s="742" t="s">
        <v>184</v>
      </c>
      <c r="F113" s="742"/>
      <c r="G113" s="742"/>
      <c r="H113" s="742"/>
      <c r="I113" s="742"/>
      <c r="J113" s="742"/>
      <c r="K113" s="742"/>
      <c r="L113" s="742"/>
      <c r="M113" s="742"/>
      <c r="N113" s="544"/>
      <c r="O113" s="544"/>
      <c r="P113" s="544"/>
      <c r="Q113" s="544"/>
      <c r="R113" s="545"/>
      <c r="S113" s="543"/>
      <c r="T113" s="544"/>
      <c r="U113" s="544"/>
      <c r="V113" s="544"/>
      <c r="W113" s="742" t="s">
        <v>184</v>
      </c>
      <c r="X113" s="742"/>
      <c r="Y113" s="742"/>
      <c r="Z113" s="742"/>
      <c r="AA113" s="742"/>
      <c r="AB113" s="742"/>
      <c r="AC113" s="742"/>
      <c r="AD113" s="742"/>
      <c r="AE113" s="742"/>
      <c r="AF113" s="544"/>
      <c r="AG113" s="544"/>
      <c r="AH113" s="544"/>
      <c r="AI113" s="544"/>
      <c r="AJ113" s="545"/>
      <c r="AK113" s="543"/>
      <c r="AL113" s="544"/>
      <c r="AM113" s="544"/>
      <c r="AN113" s="544"/>
      <c r="AO113" s="742" t="s">
        <v>184</v>
      </c>
      <c r="AP113" s="742"/>
      <c r="AQ113" s="742"/>
      <c r="AR113" s="742"/>
      <c r="AS113" s="742"/>
      <c r="AT113" s="742"/>
      <c r="AU113" s="742"/>
      <c r="AV113" s="742"/>
      <c r="AW113" s="742"/>
      <c r="AX113" s="544"/>
      <c r="AY113" s="544"/>
      <c r="AZ113" s="544"/>
      <c r="BA113" s="544"/>
      <c r="BB113" s="545"/>
      <c r="BC113" s="543"/>
      <c r="BD113" s="544"/>
      <c r="BE113" s="544"/>
      <c r="BF113" s="544"/>
      <c r="BG113" s="742" t="s">
        <v>184</v>
      </c>
      <c r="BH113" s="742"/>
      <c r="BI113" s="742"/>
      <c r="BJ113" s="742"/>
      <c r="BK113" s="742"/>
      <c r="BL113" s="742"/>
      <c r="BM113" s="742"/>
      <c r="BN113" s="742"/>
      <c r="BO113" s="742"/>
      <c r="BP113" s="544"/>
      <c r="BQ113" s="544"/>
      <c r="BR113" s="544"/>
      <c r="BS113" s="544"/>
      <c r="BT113" s="545"/>
      <c r="BU113" s="543"/>
      <c r="BV113" s="544"/>
      <c r="BW113" s="544"/>
      <c r="BX113" s="544"/>
      <c r="BY113" s="742" t="s">
        <v>184</v>
      </c>
      <c r="BZ113" s="742"/>
      <c r="CA113" s="742"/>
      <c r="CB113" s="742"/>
      <c r="CC113" s="742"/>
      <c r="CD113" s="742"/>
      <c r="CE113" s="742"/>
      <c r="CF113" s="742"/>
      <c r="CG113" s="742"/>
      <c r="CH113" s="544"/>
      <c r="CI113" s="544"/>
      <c r="CJ113" s="544"/>
      <c r="CK113" s="544"/>
      <c r="CL113" s="545"/>
      <c r="CM113" s="543"/>
      <c r="CN113" s="544"/>
      <c r="CO113" s="544"/>
      <c r="CP113" s="544"/>
      <c r="CQ113" s="742" t="s">
        <v>184</v>
      </c>
      <c r="CR113" s="742"/>
      <c r="CS113" s="742"/>
      <c r="CT113" s="742"/>
      <c r="CU113" s="742"/>
      <c r="CV113" s="742"/>
      <c r="CW113" s="742"/>
      <c r="CX113" s="742"/>
      <c r="CY113" s="742"/>
      <c r="CZ113" s="544"/>
      <c r="DA113" s="544"/>
      <c r="DB113" s="544"/>
      <c r="DC113" s="544"/>
      <c r="DD113" s="545"/>
      <c r="DE113" s="543"/>
      <c r="DF113" s="544"/>
      <c r="DG113" s="544"/>
      <c r="DH113" s="544"/>
      <c r="DI113" s="742" t="s">
        <v>184</v>
      </c>
      <c r="DJ113" s="742"/>
      <c r="DK113" s="742"/>
      <c r="DL113" s="742"/>
      <c r="DM113" s="742"/>
      <c r="DN113" s="742"/>
      <c r="DO113" s="742"/>
      <c r="DP113" s="742"/>
      <c r="DQ113" s="742"/>
      <c r="DR113" s="544"/>
      <c r="DS113" s="544"/>
      <c r="DT113" s="544"/>
      <c r="DU113" s="544"/>
      <c r="DV113" s="545"/>
      <c r="DW113" s="543"/>
      <c r="DX113" s="544"/>
      <c r="DY113" s="544"/>
      <c r="DZ113" s="544"/>
      <c r="EA113" s="742" t="s">
        <v>184</v>
      </c>
      <c r="EB113" s="742"/>
      <c r="EC113" s="742"/>
      <c r="ED113" s="742"/>
      <c r="EE113" s="742"/>
      <c r="EF113" s="742"/>
      <c r="EG113" s="742"/>
      <c r="EH113" s="742"/>
      <c r="EI113" s="742"/>
      <c r="EJ113" s="544"/>
      <c r="EK113" s="544"/>
      <c r="EL113" s="544"/>
      <c r="EM113" s="544"/>
      <c r="EN113" s="545"/>
      <c r="EO113" s="543"/>
      <c r="EP113" s="544"/>
      <c r="EQ113" s="544"/>
      <c r="ER113" s="544"/>
      <c r="ES113" s="742" t="s">
        <v>184</v>
      </c>
      <c r="ET113" s="742"/>
      <c r="EU113" s="742"/>
      <c r="EV113" s="742"/>
      <c r="EW113" s="742"/>
      <c r="EX113" s="742"/>
      <c r="EY113" s="742"/>
      <c r="EZ113" s="742"/>
      <c r="FA113" s="742"/>
      <c r="FB113" s="544"/>
      <c r="FC113" s="544"/>
      <c r="FD113" s="544"/>
      <c r="FE113" s="544"/>
      <c r="FF113" s="545"/>
      <c r="FG113" s="543"/>
      <c r="FH113" s="544"/>
      <c r="FI113" s="544"/>
      <c r="FJ113" s="544"/>
      <c r="FK113" s="742" t="s">
        <v>184</v>
      </c>
      <c r="FL113" s="742"/>
      <c r="FM113" s="742"/>
      <c r="FN113" s="742"/>
      <c r="FO113" s="742"/>
      <c r="FP113" s="742"/>
      <c r="FQ113" s="742"/>
      <c r="FR113" s="742"/>
      <c r="FS113" s="742"/>
      <c r="FT113" s="544"/>
      <c r="FU113" s="544"/>
      <c r="FV113" s="544"/>
      <c r="FW113" s="544"/>
      <c r="FX113" s="545"/>
      <c r="FY113" s="543"/>
      <c r="FZ113" s="544"/>
      <c r="GA113" s="544"/>
      <c r="GB113" s="544"/>
      <c r="GC113" s="742" t="s">
        <v>184</v>
      </c>
      <c r="GD113" s="742"/>
      <c r="GE113" s="742"/>
      <c r="GF113" s="742"/>
      <c r="GG113" s="742"/>
      <c r="GH113" s="742"/>
      <c r="GI113" s="742"/>
      <c r="GJ113" s="742"/>
      <c r="GK113" s="742"/>
      <c r="GL113" s="544"/>
      <c r="GM113" s="544"/>
      <c r="GN113" s="544"/>
      <c r="GO113" s="544"/>
      <c r="GP113" s="545"/>
      <c r="GQ113" s="543"/>
      <c r="GR113" s="544"/>
      <c r="GS113" s="544"/>
      <c r="GT113" s="544"/>
      <c r="GU113" s="742" t="s">
        <v>184</v>
      </c>
      <c r="GV113" s="742"/>
      <c r="GW113" s="742"/>
      <c r="GX113" s="742"/>
      <c r="GY113" s="742"/>
      <c r="GZ113" s="742"/>
      <c r="HA113" s="742"/>
      <c r="HB113" s="742"/>
      <c r="HC113" s="742"/>
      <c r="HD113" s="544"/>
      <c r="HE113" s="544"/>
      <c r="HF113" s="544"/>
      <c r="HG113" s="544"/>
      <c r="HH113" s="545"/>
      <c r="HJ113" s="37"/>
      <c r="HK113" s="37"/>
      <c r="HL113" s="37"/>
      <c r="HM113" s="37"/>
      <c r="HN113" s="37"/>
      <c r="HO113" s="37"/>
      <c r="HP113" s="37"/>
      <c r="HQ113" s="37"/>
      <c r="HR113" s="37"/>
      <c r="HS113" s="37"/>
      <c r="HT113" s="37"/>
      <c r="HU113" s="37"/>
      <c r="HV113" s="37"/>
      <c r="HW113" s="37"/>
      <c r="HX113" s="37"/>
      <c r="HY113" s="37"/>
      <c r="HZ113" s="37"/>
      <c r="IA113" s="37"/>
      <c r="IB113" s="37"/>
      <c r="IC113" s="37"/>
      <c r="ID113" s="37"/>
      <c r="IE113" s="37"/>
      <c r="IF113" s="37"/>
      <c r="IG113" s="37"/>
      <c r="IH113" s="37"/>
      <c r="II113" s="37"/>
      <c r="IJ113" s="37"/>
      <c r="IK113" s="37"/>
      <c r="IL113" s="37"/>
      <c r="IM113" s="37"/>
      <c r="IN113" s="37"/>
      <c r="IO113" s="37"/>
      <c r="IP113" s="37"/>
    </row>
    <row r="114" spans="1:250" x14ac:dyDescent="0.3">
      <c r="A114" s="58">
        <v>1</v>
      </c>
      <c r="B114" s="68" t="s">
        <v>300</v>
      </c>
      <c r="C114" s="28">
        <f t="shared" ref="C114:C116" si="2160">D114/$AM$4</f>
        <v>10.396681818181818</v>
      </c>
      <c r="D114" s="28">
        <v>2287.27</v>
      </c>
      <c r="E114" s="28">
        <f>D114*E$6</f>
        <v>228.727</v>
      </c>
      <c r="F114" s="28">
        <f>D114*F$6</f>
        <v>182.98160000000001</v>
      </c>
      <c r="G114" s="28">
        <f>D114/G$6</f>
        <v>190.60583333333332</v>
      </c>
      <c r="H114" s="72">
        <f>G114/H$6</f>
        <v>63.535277777777772</v>
      </c>
      <c r="I114" s="72">
        <f>D114/I$6</f>
        <v>190.60583333333332</v>
      </c>
      <c r="J114" s="70">
        <f>SUM(D114:I114)</f>
        <v>3143.7255444444449</v>
      </c>
      <c r="K114" s="71">
        <v>0</v>
      </c>
      <c r="L114" s="71">
        <v>0</v>
      </c>
      <c r="M114" s="72">
        <f t="shared" ref="M114:M116" si="2161">((C114*M$6)+(C114*$AO$6)+(C114*$AP$6))*K114</f>
        <v>0</v>
      </c>
      <c r="N114" s="72">
        <f t="shared" ref="N114:N116" si="2162">((C114*N$6)+(C114*$AO$6)+(C114*$AP$6))*L114</f>
        <v>0</v>
      </c>
      <c r="O114" s="70">
        <f>SUM(M114:N114)</f>
        <v>0</v>
      </c>
      <c r="P114" s="73">
        <v>0</v>
      </c>
      <c r="Q114" s="74">
        <f t="shared" ref="Q114:Q116" si="2163">IF(A114=1,($C$1*$Q$6),0)</f>
        <v>282.40000000000003</v>
      </c>
      <c r="R114" s="303">
        <f>J114+O114+P114+Q114</f>
        <v>3426.125544444445</v>
      </c>
      <c r="S114" s="58">
        <v>1</v>
      </c>
      <c r="T114" s="68" t="s">
        <v>300</v>
      </c>
      <c r="U114" s="28">
        <f t="shared" ref="U114:U116" si="2164">V114/$AM$4</f>
        <v>10.396681818181818</v>
      </c>
      <c r="V114" s="28">
        <v>2287.27</v>
      </c>
      <c r="W114" s="28">
        <f>V114*W$6</f>
        <v>228.727</v>
      </c>
      <c r="X114" s="28">
        <f>V114*X$6</f>
        <v>182.98160000000001</v>
      </c>
      <c r="Y114" s="28">
        <f>V114/Y$6</f>
        <v>190.60583333333332</v>
      </c>
      <c r="Z114" s="72">
        <f>Y114/Z$6</f>
        <v>63.535277777777772</v>
      </c>
      <c r="AA114" s="72">
        <f>V114/AA$6</f>
        <v>190.60583333333332</v>
      </c>
      <c r="AB114" s="70">
        <f>SUM(V114:AA114)</f>
        <v>3143.7255444444449</v>
      </c>
      <c r="AC114" s="71">
        <v>0</v>
      </c>
      <c r="AD114" s="71">
        <v>0</v>
      </c>
      <c r="AE114" s="72">
        <f t="shared" ref="AE114:AE116" si="2165">((U114*AE$6)+(U114*$AO$6)+(U114*$AP$6))*AC114</f>
        <v>0</v>
      </c>
      <c r="AF114" s="72">
        <f t="shared" ref="AF114:AF116" si="2166">((U114*AF$6)+(U114*$AO$6)+(U114*$AP$6))*AD114</f>
        <v>0</v>
      </c>
      <c r="AG114" s="70">
        <f>SUM(AE114:AF114)</f>
        <v>0</v>
      </c>
      <c r="AH114" s="73">
        <v>0</v>
      </c>
      <c r="AI114" s="74">
        <f t="shared" ref="AI114:AI116" si="2167">IF(S114=1,($C$1*$Q$6),0)</f>
        <v>282.40000000000003</v>
      </c>
      <c r="AJ114" s="303">
        <f>AB114+AG114+AH114+AI114</f>
        <v>3426.125544444445</v>
      </c>
      <c r="AK114" s="58">
        <v>1</v>
      </c>
      <c r="AL114" s="68" t="s">
        <v>300</v>
      </c>
      <c r="AM114" s="28">
        <f t="shared" ref="AM114:AM116" si="2168">AN114/$AM$4</f>
        <v>10.396681818181818</v>
      </c>
      <c r="AN114" s="28">
        <v>2287.27</v>
      </c>
      <c r="AO114" s="28">
        <f>AN114*AO$6</f>
        <v>228.727</v>
      </c>
      <c r="AP114" s="28">
        <f>AN114*AP$6</f>
        <v>182.98160000000001</v>
      </c>
      <c r="AQ114" s="28">
        <f>AN114/AQ$6</f>
        <v>190.60583333333332</v>
      </c>
      <c r="AR114" s="72">
        <f>AQ114/AR$6</f>
        <v>63.535277777777772</v>
      </c>
      <c r="AS114" s="72">
        <f>AN114/AS$6</f>
        <v>190.60583333333332</v>
      </c>
      <c r="AT114" s="70">
        <f>SUM(AN114:AS114)</f>
        <v>3143.7255444444449</v>
      </c>
      <c r="AU114" s="71">
        <v>0</v>
      </c>
      <c r="AV114" s="71">
        <v>0</v>
      </c>
      <c r="AW114" s="72">
        <f t="shared" ref="AW114:AW116" si="2169">((AM114*AW$6)+(AM114*$AO$6)+(AM114*$AP$6))*AU114</f>
        <v>0</v>
      </c>
      <c r="AX114" s="72">
        <f t="shared" ref="AX114:AX116" si="2170">((AM114*AX$6)+(AM114*$AO$6)+(AM114*$AP$6))*AV114</f>
        <v>0</v>
      </c>
      <c r="AY114" s="70">
        <f>SUM(AW114:AX114)</f>
        <v>0</v>
      </c>
      <c r="AZ114" s="73">
        <v>0</v>
      </c>
      <c r="BA114" s="74">
        <f t="shared" ref="BA114:BA116" si="2171">IF(AK114=1,($C$1*$Q$6),0)</f>
        <v>282.40000000000003</v>
      </c>
      <c r="BB114" s="303">
        <f>AT114+AY114+AZ114+BA114</f>
        <v>3426.125544444445</v>
      </c>
      <c r="BC114" s="58">
        <v>1</v>
      </c>
      <c r="BD114" s="68" t="s">
        <v>300</v>
      </c>
      <c r="BE114" s="28">
        <f t="shared" ref="BE114:BE116" si="2172">BF114/$AM$4</f>
        <v>10.396681818181818</v>
      </c>
      <c r="BF114" s="28">
        <v>2287.27</v>
      </c>
      <c r="BG114" s="28">
        <f>BF114*BG$6</f>
        <v>228.727</v>
      </c>
      <c r="BH114" s="28">
        <f>BF114*BH$6</f>
        <v>182.98160000000001</v>
      </c>
      <c r="BI114" s="28">
        <f>BF114/BI$6</f>
        <v>190.60583333333332</v>
      </c>
      <c r="BJ114" s="72">
        <f>BI114/BJ$6</f>
        <v>63.535277777777772</v>
      </c>
      <c r="BK114" s="72">
        <f>BF114/BK$6</f>
        <v>190.60583333333332</v>
      </c>
      <c r="BL114" s="70">
        <f>SUM(BF114:BK114)</f>
        <v>3143.7255444444449</v>
      </c>
      <c r="BM114" s="71">
        <v>0</v>
      </c>
      <c r="BN114" s="71">
        <v>0</v>
      </c>
      <c r="BO114" s="72">
        <f t="shared" ref="BO114:BO116" si="2173">((BE114*BO$6)+(BE114*$AO$6)+(BE114*$AP$6))*BM114</f>
        <v>0</v>
      </c>
      <c r="BP114" s="72">
        <f t="shared" ref="BP114:BP116" si="2174">((BE114*BP$6)+(BE114*$AO$6)+(BE114*$AP$6))*BN114</f>
        <v>0</v>
      </c>
      <c r="BQ114" s="70">
        <f>SUM(BO114:BP114)</f>
        <v>0</v>
      </c>
      <c r="BR114" s="73">
        <v>0</v>
      </c>
      <c r="BS114" s="74">
        <f t="shared" ref="BS114:BS116" si="2175">IF(BC114=1,($C$1*$Q$6),0)</f>
        <v>282.40000000000003</v>
      </c>
      <c r="BT114" s="303">
        <f>BL114+BQ114+BR114+BS114</f>
        <v>3426.125544444445</v>
      </c>
      <c r="BU114" s="58">
        <v>1</v>
      </c>
      <c r="BV114" s="68" t="s">
        <v>300</v>
      </c>
      <c r="BW114" s="28">
        <f t="shared" ref="BW114:BW116" si="2176">BX114/$AM$4</f>
        <v>10.396681818181818</v>
      </c>
      <c r="BX114" s="28">
        <v>2287.27</v>
      </c>
      <c r="BY114" s="28">
        <f>BX114*BY$6</f>
        <v>228.727</v>
      </c>
      <c r="BZ114" s="28">
        <f>BX114*BZ$6</f>
        <v>182.98160000000001</v>
      </c>
      <c r="CA114" s="28">
        <f>BX114/CA$6</f>
        <v>190.60583333333332</v>
      </c>
      <c r="CB114" s="72">
        <f>CA114/CB$6</f>
        <v>63.535277777777772</v>
      </c>
      <c r="CC114" s="72">
        <f>BX114/CC$6</f>
        <v>190.60583333333332</v>
      </c>
      <c r="CD114" s="70">
        <f>SUM(BX114:CC114)</f>
        <v>3143.7255444444449</v>
      </c>
      <c r="CE114" s="71">
        <v>0</v>
      </c>
      <c r="CF114" s="71">
        <v>0</v>
      </c>
      <c r="CG114" s="72">
        <f t="shared" ref="CG114:CG116" si="2177">((BW114*CG$6)+(BW114*$AO$6)+(BW114*$AP$6))*CE114</f>
        <v>0</v>
      </c>
      <c r="CH114" s="72">
        <f t="shared" ref="CH114:CH116" si="2178">((BW114*CH$6)+(BW114*$AO$6)+(BW114*$AP$6))*CF114</f>
        <v>0</v>
      </c>
      <c r="CI114" s="70">
        <f>SUM(CG114:CH114)</f>
        <v>0</v>
      </c>
      <c r="CJ114" s="73">
        <v>0</v>
      </c>
      <c r="CK114" s="74">
        <f t="shared" ref="CK114:CK116" si="2179">IF(BU114=1,($C$1*$Q$6),0)</f>
        <v>282.40000000000003</v>
      </c>
      <c r="CL114" s="303">
        <f>CD114+CI114+CJ114+CK114</f>
        <v>3426.125544444445</v>
      </c>
      <c r="CM114" s="58">
        <v>1</v>
      </c>
      <c r="CN114" s="68" t="s">
        <v>300</v>
      </c>
      <c r="CO114" s="28">
        <f t="shared" ref="CO114:CO116" si="2180">CP114/$AM$4</f>
        <v>10.396681818181818</v>
      </c>
      <c r="CP114" s="28">
        <v>2287.27</v>
      </c>
      <c r="CQ114" s="28">
        <f>CP114*CQ$6</f>
        <v>228.727</v>
      </c>
      <c r="CR114" s="28">
        <f>CP114*CR$6</f>
        <v>182.98160000000001</v>
      </c>
      <c r="CS114" s="28">
        <f>CP114/CS$6</f>
        <v>190.60583333333332</v>
      </c>
      <c r="CT114" s="72">
        <f>CS114/CT$6</f>
        <v>63.535277777777772</v>
      </c>
      <c r="CU114" s="72">
        <f>CP114/CU$6</f>
        <v>190.60583333333332</v>
      </c>
      <c r="CV114" s="70">
        <f>SUM(CP114:CU114)</f>
        <v>3143.7255444444449</v>
      </c>
      <c r="CW114" s="71">
        <v>0</v>
      </c>
      <c r="CX114" s="71">
        <v>0</v>
      </c>
      <c r="CY114" s="72">
        <f t="shared" ref="CY114:CY116" si="2181">((CO114*CY$6)+(CO114*$AO$6)+(CO114*$AP$6))*CW114</f>
        <v>0</v>
      </c>
      <c r="CZ114" s="72">
        <f t="shared" ref="CZ114:CZ116" si="2182">((CO114*CZ$6)+(CO114*$AO$6)+(CO114*$AP$6))*CX114</f>
        <v>0</v>
      </c>
      <c r="DA114" s="70">
        <f>SUM(CY114:CZ114)</f>
        <v>0</v>
      </c>
      <c r="DB114" s="73">
        <v>0</v>
      </c>
      <c r="DC114" s="74">
        <f t="shared" ref="DC114:DC116" si="2183">IF(CM114=1,($C$1*$Q$6),0)</f>
        <v>282.40000000000003</v>
      </c>
      <c r="DD114" s="303">
        <f>CV114+DA114+DB114+DC114</f>
        <v>3426.125544444445</v>
      </c>
      <c r="DE114" s="58">
        <v>1</v>
      </c>
      <c r="DF114" s="68" t="s">
        <v>300</v>
      </c>
      <c r="DG114" s="28">
        <f t="shared" ref="DG114:DG116" si="2184">DH114/$AM$4</f>
        <v>10.396681818181818</v>
      </c>
      <c r="DH114" s="28">
        <v>2287.27</v>
      </c>
      <c r="DI114" s="28">
        <f>DH114*DI$6</f>
        <v>228.727</v>
      </c>
      <c r="DJ114" s="28">
        <f>DH114*DJ$6</f>
        <v>182.98160000000001</v>
      </c>
      <c r="DK114" s="28">
        <f>DH114/DK$6</f>
        <v>190.60583333333332</v>
      </c>
      <c r="DL114" s="72">
        <f>DK114/DL$6</f>
        <v>63.535277777777772</v>
      </c>
      <c r="DM114" s="72">
        <f>DH114/DM$6</f>
        <v>190.60583333333332</v>
      </c>
      <c r="DN114" s="70">
        <f>SUM(DH114:DM114)</f>
        <v>3143.7255444444449</v>
      </c>
      <c r="DO114" s="71">
        <v>0</v>
      </c>
      <c r="DP114" s="71">
        <v>0</v>
      </c>
      <c r="DQ114" s="72">
        <f t="shared" ref="DQ114:DQ116" si="2185">((DG114*DQ$6)+(DG114*$AO$6)+(DG114*$AP$6))*DO114</f>
        <v>0</v>
      </c>
      <c r="DR114" s="72">
        <f t="shared" ref="DR114:DR116" si="2186">((DG114*DR$6)+(DG114*$AO$6)+(DG114*$AP$6))*DP114</f>
        <v>0</v>
      </c>
      <c r="DS114" s="70">
        <f>SUM(DQ114:DR114)</f>
        <v>0</v>
      </c>
      <c r="DT114" s="73">
        <v>0</v>
      </c>
      <c r="DU114" s="74">
        <f t="shared" ref="DU114:DU116" si="2187">IF(DE114=1,($C$1*$Q$6),0)</f>
        <v>282.40000000000003</v>
      </c>
      <c r="DV114" s="303">
        <f>DN114+DS114+DT114+DU114</f>
        <v>3426.125544444445</v>
      </c>
      <c r="DW114" s="58">
        <v>1</v>
      </c>
      <c r="DX114" s="68" t="s">
        <v>300</v>
      </c>
      <c r="DY114" s="28">
        <f t="shared" ref="DY114:DY116" si="2188">DZ114/$AM$4</f>
        <v>10.396681818181818</v>
      </c>
      <c r="DZ114" s="28">
        <v>2287.27</v>
      </c>
      <c r="EA114" s="28">
        <f>DZ114*EA$6</f>
        <v>228.727</v>
      </c>
      <c r="EB114" s="28">
        <f>DZ114*EB$6</f>
        <v>182.98160000000001</v>
      </c>
      <c r="EC114" s="28">
        <f>DZ114/EC$6</f>
        <v>190.60583333333332</v>
      </c>
      <c r="ED114" s="72">
        <f>EC114/ED$6</f>
        <v>63.535277777777772</v>
      </c>
      <c r="EE114" s="72">
        <f>DZ114/EE$6</f>
        <v>190.60583333333332</v>
      </c>
      <c r="EF114" s="70">
        <f>SUM(DZ114:EE114)</f>
        <v>3143.7255444444449</v>
      </c>
      <c r="EG114" s="71">
        <v>0</v>
      </c>
      <c r="EH114" s="71">
        <v>0</v>
      </c>
      <c r="EI114" s="72">
        <f t="shared" ref="EI114:EI116" si="2189">((DY114*EI$6)+(DY114*$AO$6)+(DY114*$AP$6))*EG114</f>
        <v>0</v>
      </c>
      <c r="EJ114" s="72">
        <f t="shared" ref="EJ114:EJ116" si="2190">((DY114*EJ$6)+(DY114*$AO$6)+(DY114*$AP$6))*EH114</f>
        <v>0</v>
      </c>
      <c r="EK114" s="70">
        <f>SUM(EI114:EJ114)</f>
        <v>0</v>
      </c>
      <c r="EL114" s="73">
        <v>0</v>
      </c>
      <c r="EM114" s="74">
        <f t="shared" ref="EM114:EM116" si="2191">IF(DW114=1,($C$1*$Q$6),0)</f>
        <v>282.40000000000003</v>
      </c>
      <c r="EN114" s="303">
        <f>EF114+EK114+EL114+EM114</f>
        <v>3426.125544444445</v>
      </c>
      <c r="EO114" s="58">
        <v>1</v>
      </c>
      <c r="EP114" s="68" t="s">
        <v>300</v>
      </c>
      <c r="EQ114" s="28">
        <f t="shared" ref="EQ114:EQ116" si="2192">ER114/$AM$4</f>
        <v>10.396681818181818</v>
      </c>
      <c r="ER114" s="28">
        <v>2287.27</v>
      </c>
      <c r="ES114" s="28">
        <f>ER114*ES$6</f>
        <v>228.727</v>
      </c>
      <c r="ET114" s="28">
        <f>ER114*ET$6</f>
        <v>182.98160000000001</v>
      </c>
      <c r="EU114" s="28">
        <f>ER114/EU$6</f>
        <v>190.60583333333332</v>
      </c>
      <c r="EV114" s="72">
        <f>EU114/EV$6</f>
        <v>63.535277777777772</v>
      </c>
      <c r="EW114" s="72">
        <f>ER114/EW$6</f>
        <v>190.60583333333332</v>
      </c>
      <c r="EX114" s="70">
        <f>SUM(ER114:EW114)</f>
        <v>3143.7255444444449</v>
      </c>
      <c r="EY114" s="71">
        <v>0</v>
      </c>
      <c r="EZ114" s="71">
        <v>0</v>
      </c>
      <c r="FA114" s="72">
        <f t="shared" ref="FA114:FA116" si="2193">((EQ114*FA$6)+(EQ114*$AO$6)+(EQ114*$AP$6))*EY114</f>
        <v>0</v>
      </c>
      <c r="FB114" s="72">
        <f t="shared" ref="FB114:FB116" si="2194">((EQ114*FB$6)+(EQ114*$AO$6)+(EQ114*$AP$6))*EZ114</f>
        <v>0</v>
      </c>
      <c r="FC114" s="70">
        <f>SUM(FA114:FB114)</f>
        <v>0</v>
      </c>
      <c r="FD114" s="73">
        <v>0</v>
      </c>
      <c r="FE114" s="74">
        <f t="shared" ref="FE114:FE116" si="2195">IF(EO114=1,($C$1*$Q$6),0)</f>
        <v>282.40000000000003</v>
      </c>
      <c r="FF114" s="303">
        <f>EX114+FC114+FD114+FE114</f>
        <v>3426.125544444445</v>
      </c>
      <c r="FG114" s="58">
        <v>1</v>
      </c>
      <c r="FH114" s="68" t="s">
        <v>300</v>
      </c>
      <c r="FI114" s="28">
        <f t="shared" ref="FI114:FI116" si="2196">FJ114/$AM$4</f>
        <v>10.396681818181818</v>
      </c>
      <c r="FJ114" s="28">
        <v>2287.27</v>
      </c>
      <c r="FK114" s="28">
        <f>FJ114*FK$6</f>
        <v>228.727</v>
      </c>
      <c r="FL114" s="28">
        <f>FJ114*FL$6</f>
        <v>182.98160000000001</v>
      </c>
      <c r="FM114" s="28">
        <f>FJ114/FM$6</f>
        <v>190.60583333333332</v>
      </c>
      <c r="FN114" s="72">
        <f>FM114/FN$6</f>
        <v>63.535277777777772</v>
      </c>
      <c r="FO114" s="72">
        <f>FJ114/FO$6</f>
        <v>190.60583333333332</v>
      </c>
      <c r="FP114" s="70">
        <f>SUM(FJ114:FO114)</f>
        <v>3143.7255444444449</v>
      </c>
      <c r="FQ114" s="71">
        <v>0</v>
      </c>
      <c r="FR114" s="71">
        <v>0</v>
      </c>
      <c r="FS114" s="72">
        <f t="shared" ref="FS114:FS116" si="2197">((FI114*FS$6)+(FI114*$AO$6)+(FI114*$AP$6))*FQ114</f>
        <v>0</v>
      </c>
      <c r="FT114" s="72">
        <f t="shared" ref="FT114:FT116" si="2198">((FI114*FT$6)+(FI114*$AO$6)+(FI114*$AP$6))*FR114</f>
        <v>0</v>
      </c>
      <c r="FU114" s="70">
        <f>SUM(FS114:FT114)</f>
        <v>0</v>
      </c>
      <c r="FV114" s="73">
        <v>0</v>
      </c>
      <c r="FW114" s="74">
        <f t="shared" ref="FW114:FW116" si="2199">IF(FG114=1,($C$1*$Q$6),0)</f>
        <v>282.40000000000003</v>
      </c>
      <c r="FX114" s="303">
        <f>FP114+FU114+FV114+FW114</f>
        <v>3426.125544444445</v>
      </c>
      <c r="FY114" s="58">
        <v>1</v>
      </c>
      <c r="FZ114" s="68" t="s">
        <v>300</v>
      </c>
      <c r="GA114" s="28">
        <f t="shared" ref="GA114:GA116" si="2200">GB114/$AM$4</f>
        <v>10.396681818181818</v>
      </c>
      <c r="GB114" s="28">
        <v>2287.27</v>
      </c>
      <c r="GC114" s="28">
        <f>GB114*GC$6</f>
        <v>228.727</v>
      </c>
      <c r="GD114" s="28">
        <f>GB114*GD$6</f>
        <v>182.98160000000001</v>
      </c>
      <c r="GE114" s="28">
        <f>GB114/GE$6</f>
        <v>190.60583333333332</v>
      </c>
      <c r="GF114" s="72">
        <f>GE114/GF$6</f>
        <v>63.535277777777772</v>
      </c>
      <c r="GG114" s="72">
        <f>GB114/GG$6</f>
        <v>190.60583333333332</v>
      </c>
      <c r="GH114" s="70">
        <f>SUM(GB114:GG114)</f>
        <v>3143.7255444444449</v>
      </c>
      <c r="GI114" s="71">
        <v>0</v>
      </c>
      <c r="GJ114" s="71">
        <v>0</v>
      </c>
      <c r="GK114" s="72">
        <f t="shared" ref="GK114:GK116" si="2201">((GA114*GK$6)+(GA114*$AO$6)+(GA114*$AP$6))*GI114</f>
        <v>0</v>
      </c>
      <c r="GL114" s="72">
        <f t="shared" ref="GL114:GL116" si="2202">((GA114*GL$6)+(GA114*$AO$6)+(GA114*$AP$6))*GJ114</f>
        <v>0</v>
      </c>
      <c r="GM114" s="70">
        <f>SUM(GK114:GL114)</f>
        <v>0</v>
      </c>
      <c r="GN114" s="73">
        <v>0</v>
      </c>
      <c r="GO114" s="74">
        <f t="shared" ref="GO114:GO116" si="2203">IF(FY114=1,($C$1*$Q$6),0)</f>
        <v>282.40000000000003</v>
      </c>
      <c r="GP114" s="303">
        <f>GH114+GM114+GN114+GO114</f>
        <v>3426.125544444445</v>
      </c>
      <c r="GQ114" s="58">
        <v>1</v>
      </c>
      <c r="GR114" s="68" t="s">
        <v>300</v>
      </c>
      <c r="GS114" s="28">
        <f t="shared" ref="GS114:GS116" si="2204">GT114/$AM$4</f>
        <v>10.396681818181818</v>
      </c>
      <c r="GT114" s="28">
        <v>2287.27</v>
      </c>
      <c r="GU114" s="28">
        <f>GT114*GU$6</f>
        <v>228.727</v>
      </c>
      <c r="GV114" s="28">
        <f>GT114*GV$6</f>
        <v>182.98160000000001</v>
      </c>
      <c r="GW114" s="28">
        <f>GT114/GW$6</f>
        <v>190.60583333333332</v>
      </c>
      <c r="GX114" s="72">
        <f>GW114/GX$6</f>
        <v>63.535277777777772</v>
      </c>
      <c r="GY114" s="72">
        <f>GT114/GY$6</f>
        <v>190.60583333333332</v>
      </c>
      <c r="GZ114" s="70">
        <f>SUM(GT114:GY114)</f>
        <v>3143.7255444444449</v>
      </c>
      <c r="HA114" s="71">
        <v>0</v>
      </c>
      <c r="HB114" s="71">
        <v>0</v>
      </c>
      <c r="HC114" s="72">
        <f t="shared" ref="HC114:HC116" si="2205">((GS114*HC$6)+(GS114*$AO$6)+(GS114*$AP$6))*HA114</f>
        <v>0</v>
      </c>
      <c r="HD114" s="72">
        <f t="shared" ref="HD114:HD116" si="2206">((GS114*HD$6)+(GS114*$AO$6)+(GS114*$AP$6))*HB114</f>
        <v>0</v>
      </c>
      <c r="HE114" s="70">
        <f>SUM(HC114:HD114)</f>
        <v>0</v>
      </c>
      <c r="HF114" s="73">
        <v>0</v>
      </c>
      <c r="HG114" s="74">
        <f t="shared" ref="HG114:HG116" si="2207">IF(GQ114=1,($C$1*$Q$6),0)</f>
        <v>282.40000000000003</v>
      </c>
      <c r="HH114" s="303">
        <f>GZ114+HE114+HF114+HG114</f>
        <v>3426.125544444445</v>
      </c>
      <c r="HJ114" s="37"/>
      <c r="HK114" s="37"/>
      <c r="HL114" s="37"/>
      <c r="HM114" s="37"/>
      <c r="HN114" s="37"/>
      <c r="HO114" s="37"/>
      <c r="HP114" s="37"/>
      <c r="HQ114" s="37"/>
      <c r="HR114" s="37"/>
      <c r="HS114" s="37"/>
      <c r="HT114" s="37"/>
      <c r="HU114" s="37"/>
      <c r="HV114" s="37"/>
      <c r="HW114" s="37"/>
      <c r="HX114" s="37"/>
      <c r="HY114" s="37"/>
      <c r="HZ114" s="37"/>
      <c r="IA114" s="37"/>
      <c r="IB114" s="37"/>
      <c r="IC114" s="37"/>
      <c r="ID114" s="37"/>
      <c r="IE114" s="37"/>
      <c r="IF114" s="37"/>
      <c r="IG114" s="37"/>
      <c r="IH114" s="37"/>
      <c r="II114" s="37"/>
      <c r="IJ114" s="37"/>
      <c r="IK114" s="37"/>
      <c r="IL114" s="37"/>
      <c r="IM114" s="37"/>
      <c r="IN114" s="37"/>
      <c r="IO114" s="37"/>
      <c r="IP114" s="37"/>
    </row>
    <row r="115" spans="1:250" x14ac:dyDescent="0.3">
      <c r="A115" s="58">
        <v>0</v>
      </c>
      <c r="B115" s="68" t="s">
        <v>182</v>
      </c>
      <c r="C115" s="28">
        <f t="shared" si="2160"/>
        <v>0</v>
      </c>
      <c r="D115" s="28">
        <v>0</v>
      </c>
      <c r="E115" s="28">
        <f>D115*E$6</f>
        <v>0</v>
      </c>
      <c r="F115" s="28">
        <f>D115*F$6</f>
        <v>0</v>
      </c>
      <c r="G115" s="28">
        <f>D115/G$6</f>
        <v>0</v>
      </c>
      <c r="H115" s="72">
        <f>G115/H$6</f>
        <v>0</v>
      </c>
      <c r="I115" s="72">
        <f>D115/I$6</f>
        <v>0</v>
      </c>
      <c r="J115" s="70">
        <f>SUM(D115:I115)</f>
        <v>0</v>
      </c>
      <c r="K115" s="71">
        <v>0</v>
      </c>
      <c r="L115" s="71">
        <v>0</v>
      </c>
      <c r="M115" s="72">
        <f t="shared" si="2161"/>
        <v>0</v>
      </c>
      <c r="N115" s="72">
        <f t="shared" si="2162"/>
        <v>0</v>
      </c>
      <c r="O115" s="70">
        <f>SUM(M115:N115)</f>
        <v>0</v>
      </c>
      <c r="P115" s="73">
        <v>0</v>
      </c>
      <c r="Q115" s="74">
        <f t="shared" si="2163"/>
        <v>0</v>
      </c>
      <c r="R115" s="303">
        <f>J115+O115+P115+Q115</f>
        <v>0</v>
      </c>
      <c r="S115" s="58">
        <v>0</v>
      </c>
      <c r="T115" s="68" t="s">
        <v>182</v>
      </c>
      <c r="U115" s="28">
        <f t="shared" si="2164"/>
        <v>0</v>
      </c>
      <c r="V115" s="28">
        <v>0</v>
      </c>
      <c r="W115" s="28">
        <f>V115*W$6</f>
        <v>0</v>
      </c>
      <c r="X115" s="28">
        <f>V115*X$6</f>
        <v>0</v>
      </c>
      <c r="Y115" s="28">
        <f>V115/Y$6</f>
        <v>0</v>
      </c>
      <c r="Z115" s="72">
        <f>Y115/Z$6</f>
        <v>0</v>
      </c>
      <c r="AA115" s="72">
        <f>V115/AA$6</f>
        <v>0</v>
      </c>
      <c r="AB115" s="70">
        <f>SUM(V115:AA115)</f>
        <v>0</v>
      </c>
      <c r="AC115" s="71">
        <v>0</v>
      </c>
      <c r="AD115" s="71">
        <v>0</v>
      </c>
      <c r="AE115" s="72">
        <f t="shared" si="2165"/>
        <v>0</v>
      </c>
      <c r="AF115" s="72">
        <f t="shared" si="2166"/>
        <v>0</v>
      </c>
      <c r="AG115" s="70">
        <f>SUM(AE115:AF115)</f>
        <v>0</v>
      </c>
      <c r="AH115" s="73">
        <v>0</v>
      </c>
      <c r="AI115" s="74">
        <f t="shared" si="2167"/>
        <v>0</v>
      </c>
      <c r="AJ115" s="303">
        <f>AB115+AG115+AH115+AI115</f>
        <v>0</v>
      </c>
      <c r="AK115" s="58">
        <v>0</v>
      </c>
      <c r="AL115" s="68" t="s">
        <v>182</v>
      </c>
      <c r="AM115" s="28">
        <f t="shared" si="2168"/>
        <v>0</v>
      </c>
      <c r="AN115" s="28">
        <v>0</v>
      </c>
      <c r="AO115" s="28">
        <f>AN115*AO$6</f>
        <v>0</v>
      </c>
      <c r="AP115" s="28">
        <f>AN115*AP$6</f>
        <v>0</v>
      </c>
      <c r="AQ115" s="28">
        <f>AN115/AQ$6</f>
        <v>0</v>
      </c>
      <c r="AR115" s="72">
        <f>AQ115/AR$6</f>
        <v>0</v>
      </c>
      <c r="AS115" s="72">
        <f>AN115/AS$6</f>
        <v>0</v>
      </c>
      <c r="AT115" s="70">
        <f>SUM(AN115:AS115)</f>
        <v>0</v>
      </c>
      <c r="AU115" s="71">
        <v>0</v>
      </c>
      <c r="AV115" s="71">
        <v>0</v>
      </c>
      <c r="AW115" s="72">
        <f t="shared" si="2169"/>
        <v>0</v>
      </c>
      <c r="AX115" s="72">
        <f t="shared" si="2170"/>
        <v>0</v>
      </c>
      <c r="AY115" s="70">
        <f>SUM(AW115:AX115)</f>
        <v>0</v>
      </c>
      <c r="AZ115" s="73">
        <v>0</v>
      </c>
      <c r="BA115" s="74">
        <f t="shared" si="2171"/>
        <v>0</v>
      </c>
      <c r="BB115" s="303">
        <f>AT115+AY115+AZ115+BA115</f>
        <v>0</v>
      </c>
      <c r="BC115" s="58">
        <v>0</v>
      </c>
      <c r="BD115" s="68" t="s">
        <v>182</v>
      </c>
      <c r="BE115" s="28">
        <f t="shared" si="2172"/>
        <v>0</v>
      </c>
      <c r="BF115" s="28">
        <v>0</v>
      </c>
      <c r="BG115" s="28">
        <f>BF115*BG$6</f>
        <v>0</v>
      </c>
      <c r="BH115" s="28">
        <f>BF115*BH$6</f>
        <v>0</v>
      </c>
      <c r="BI115" s="28">
        <f>BF115/BI$6</f>
        <v>0</v>
      </c>
      <c r="BJ115" s="72">
        <f>BI115/BJ$6</f>
        <v>0</v>
      </c>
      <c r="BK115" s="72">
        <f>BF115/BK$6</f>
        <v>0</v>
      </c>
      <c r="BL115" s="70">
        <f>SUM(BF115:BK115)</f>
        <v>0</v>
      </c>
      <c r="BM115" s="71">
        <v>0</v>
      </c>
      <c r="BN115" s="71">
        <v>0</v>
      </c>
      <c r="BO115" s="72">
        <f t="shared" si="2173"/>
        <v>0</v>
      </c>
      <c r="BP115" s="72">
        <f t="shared" si="2174"/>
        <v>0</v>
      </c>
      <c r="BQ115" s="70">
        <f>SUM(BO115:BP115)</f>
        <v>0</v>
      </c>
      <c r="BR115" s="73">
        <v>0</v>
      </c>
      <c r="BS115" s="74">
        <f t="shared" si="2175"/>
        <v>0</v>
      </c>
      <c r="BT115" s="303">
        <f>BL115+BQ115+BR115+BS115</f>
        <v>0</v>
      </c>
      <c r="BU115" s="58">
        <v>0</v>
      </c>
      <c r="BV115" s="68" t="s">
        <v>182</v>
      </c>
      <c r="BW115" s="28">
        <f t="shared" si="2176"/>
        <v>0</v>
      </c>
      <c r="BX115" s="28">
        <v>0</v>
      </c>
      <c r="BY115" s="28">
        <f>BX115*BY$6</f>
        <v>0</v>
      </c>
      <c r="BZ115" s="28">
        <f>BX115*BZ$6</f>
        <v>0</v>
      </c>
      <c r="CA115" s="28">
        <f>BX115/CA$6</f>
        <v>0</v>
      </c>
      <c r="CB115" s="72">
        <f>CA115/CB$6</f>
        <v>0</v>
      </c>
      <c r="CC115" s="72">
        <f>BX115/CC$6</f>
        <v>0</v>
      </c>
      <c r="CD115" s="70">
        <f>SUM(BX115:CC115)</f>
        <v>0</v>
      </c>
      <c r="CE115" s="71">
        <v>0</v>
      </c>
      <c r="CF115" s="71">
        <v>0</v>
      </c>
      <c r="CG115" s="72">
        <f t="shared" si="2177"/>
        <v>0</v>
      </c>
      <c r="CH115" s="72">
        <f t="shared" si="2178"/>
        <v>0</v>
      </c>
      <c r="CI115" s="70">
        <f>SUM(CG115:CH115)</f>
        <v>0</v>
      </c>
      <c r="CJ115" s="73">
        <v>0</v>
      </c>
      <c r="CK115" s="74">
        <f t="shared" si="2179"/>
        <v>0</v>
      </c>
      <c r="CL115" s="303">
        <f>CD115+CI115+CJ115+CK115</f>
        <v>0</v>
      </c>
      <c r="CM115" s="58">
        <v>0</v>
      </c>
      <c r="CN115" s="68" t="s">
        <v>182</v>
      </c>
      <c r="CO115" s="28">
        <f t="shared" si="2180"/>
        <v>0</v>
      </c>
      <c r="CP115" s="28">
        <v>0</v>
      </c>
      <c r="CQ115" s="28">
        <f>CP115*CQ$6</f>
        <v>0</v>
      </c>
      <c r="CR115" s="28">
        <f>CP115*CR$6</f>
        <v>0</v>
      </c>
      <c r="CS115" s="28">
        <f>CP115/CS$6</f>
        <v>0</v>
      </c>
      <c r="CT115" s="72">
        <f>CS115/CT$6</f>
        <v>0</v>
      </c>
      <c r="CU115" s="72">
        <f>CP115/CU$6</f>
        <v>0</v>
      </c>
      <c r="CV115" s="70">
        <f>SUM(CP115:CU115)</f>
        <v>0</v>
      </c>
      <c r="CW115" s="71">
        <v>0</v>
      </c>
      <c r="CX115" s="71">
        <v>0</v>
      </c>
      <c r="CY115" s="72">
        <f t="shared" si="2181"/>
        <v>0</v>
      </c>
      <c r="CZ115" s="72">
        <f t="shared" si="2182"/>
        <v>0</v>
      </c>
      <c r="DA115" s="70">
        <f>SUM(CY115:CZ115)</f>
        <v>0</v>
      </c>
      <c r="DB115" s="73">
        <v>0</v>
      </c>
      <c r="DC115" s="74">
        <f t="shared" si="2183"/>
        <v>0</v>
      </c>
      <c r="DD115" s="303">
        <f>CV115+DA115+DB115+DC115</f>
        <v>0</v>
      </c>
      <c r="DE115" s="58">
        <v>0</v>
      </c>
      <c r="DF115" s="68" t="s">
        <v>182</v>
      </c>
      <c r="DG115" s="28">
        <f t="shared" si="2184"/>
        <v>0</v>
      </c>
      <c r="DH115" s="28">
        <v>0</v>
      </c>
      <c r="DI115" s="28">
        <f>DH115*DI$6</f>
        <v>0</v>
      </c>
      <c r="DJ115" s="28">
        <f>DH115*DJ$6</f>
        <v>0</v>
      </c>
      <c r="DK115" s="28">
        <f>DH115/DK$6</f>
        <v>0</v>
      </c>
      <c r="DL115" s="72">
        <f>DK115/DL$6</f>
        <v>0</v>
      </c>
      <c r="DM115" s="72">
        <f>DH115/DM$6</f>
        <v>0</v>
      </c>
      <c r="DN115" s="70">
        <f>SUM(DH115:DM115)</f>
        <v>0</v>
      </c>
      <c r="DO115" s="71">
        <v>0</v>
      </c>
      <c r="DP115" s="71">
        <v>0</v>
      </c>
      <c r="DQ115" s="72">
        <f t="shared" si="2185"/>
        <v>0</v>
      </c>
      <c r="DR115" s="72">
        <f t="shared" si="2186"/>
        <v>0</v>
      </c>
      <c r="DS115" s="70">
        <f>SUM(DQ115:DR115)</f>
        <v>0</v>
      </c>
      <c r="DT115" s="73">
        <v>0</v>
      </c>
      <c r="DU115" s="74">
        <f t="shared" si="2187"/>
        <v>0</v>
      </c>
      <c r="DV115" s="303">
        <f>DN115+DS115+DT115+DU115</f>
        <v>0</v>
      </c>
      <c r="DW115" s="58">
        <v>0</v>
      </c>
      <c r="DX115" s="68" t="s">
        <v>182</v>
      </c>
      <c r="DY115" s="28">
        <f t="shared" si="2188"/>
        <v>0</v>
      </c>
      <c r="DZ115" s="28">
        <v>0</v>
      </c>
      <c r="EA115" s="28">
        <f>DZ115*EA$6</f>
        <v>0</v>
      </c>
      <c r="EB115" s="28">
        <f>DZ115*EB$6</f>
        <v>0</v>
      </c>
      <c r="EC115" s="28">
        <f>DZ115/EC$6</f>
        <v>0</v>
      </c>
      <c r="ED115" s="72">
        <f>EC115/ED$6</f>
        <v>0</v>
      </c>
      <c r="EE115" s="72">
        <f>DZ115/EE$6</f>
        <v>0</v>
      </c>
      <c r="EF115" s="70">
        <f>SUM(DZ115:EE115)</f>
        <v>0</v>
      </c>
      <c r="EG115" s="71">
        <v>0</v>
      </c>
      <c r="EH115" s="71">
        <v>0</v>
      </c>
      <c r="EI115" s="72">
        <f t="shared" si="2189"/>
        <v>0</v>
      </c>
      <c r="EJ115" s="72">
        <f t="shared" si="2190"/>
        <v>0</v>
      </c>
      <c r="EK115" s="70">
        <f>SUM(EI115:EJ115)</f>
        <v>0</v>
      </c>
      <c r="EL115" s="73">
        <v>0</v>
      </c>
      <c r="EM115" s="74">
        <f t="shared" si="2191"/>
        <v>0</v>
      </c>
      <c r="EN115" s="303">
        <f>EF115+EK115+EL115+EM115</f>
        <v>0</v>
      </c>
      <c r="EO115" s="58">
        <v>0</v>
      </c>
      <c r="EP115" s="68" t="s">
        <v>182</v>
      </c>
      <c r="EQ115" s="28">
        <f t="shared" si="2192"/>
        <v>0</v>
      </c>
      <c r="ER115" s="28">
        <v>0</v>
      </c>
      <c r="ES115" s="28">
        <f>ER115*ES$6</f>
        <v>0</v>
      </c>
      <c r="ET115" s="28">
        <f>ER115*ET$6</f>
        <v>0</v>
      </c>
      <c r="EU115" s="28">
        <f>ER115/EU$6</f>
        <v>0</v>
      </c>
      <c r="EV115" s="72">
        <f>EU115/EV$6</f>
        <v>0</v>
      </c>
      <c r="EW115" s="72">
        <f>ER115/EW$6</f>
        <v>0</v>
      </c>
      <c r="EX115" s="70">
        <f>SUM(ER115:EW115)</f>
        <v>0</v>
      </c>
      <c r="EY115" s="71">
        <v>0</v>
      </c>
      <c r="EZ115" s="71">
        <v>0</v>
      </c>
      <c r="FA115" s="72">
        <f t="shared" si="2193"/>
        <v>0</v>
      </c>
      <c r="FB115" s="72">
        <f t="shared" si="2194"/>
        <v>0</v>
      </c>
      <c r="FC115" s="70">
        <f>SUM(FA115:FB115)</f>
        <v>0</v>
      </c>
      <c r="FD115" s="73">
        <v>0</v>
      </c>
      <c r="FE115" s="74">
        <f t="shared" si="2195"/>
        <v>0</v>
      </c>
      <c r="FF115" s="303">
        <f>EX115+FC115+FD115+FE115</f>
        <v>0</v>
      </c>
      <c r="FG115" s="58">
        <v>0</v>
      </c>
      <c r="FH115" s="68" t="s">
        <v>182</v>
      </c>
      <c r="FI115" s="28">
        <f t="shared" si="2196"/>
        <v>0</v>
      </c>
      <c r="FJ115" s="28">
        <v>0</v>
      </c>
      <c r="FK115" s="28">
        <f>FJ115*FK$6</f>
        <v>0</v>
      </c>
      <c r="FL115" s="28">
        <f>FJ115*FL$6</f>
        <v>0</v>
      </c>
      <c r="FM115" s="28">
        <f>FJ115/FM$6</f>
        <v>0</v>
      </c>
      <c r="FN115" s="72">
        <f>FM115/FN$6</f>
        <v>0</v>
      </c>
      <c r="FO115" s="72">
        <f>FJ115/FO$6</f>
        <v>0</v>
      </c>
      <c r="FP115" s="70">
        <f>SUM(FJ115:FO115)</f>
        <v>0</v>
      </c>
      <c r="FQ115" s="71">
        <v>0</v>
      </c>
      <c r="FR115" s="71">
        <v>0</v>
      </c>
      <c r="FS115" s="72">
        <f t="shared" si="2197"/>
        <v>0</v>
      </c>
      <c r="FT115" s="72">
        <f t="shared" si="2198"/>
        <v>0</v>
      </c>
      <c r="FU115" s="70">
        <f>SUM(FS115:FT115)</f>
        <v>0</v>
      </c>
      <c r="FV115" s="73">
        <v>0</v>
      </c>
      <c r="FW115" s="74">
        <f t="shared" si="2199"/>
        <v>0</v>
      </c>
      <c r="FX115" s="303">
        <f>FP115+FU115+FV115+FW115</f>
        <v>0</v>
      </c>
      <c r="FY115" s="58">
        <v>0</v>
      </c>
      <c r="FZ115" s="68" t="s">
        <v>182</v>
      </c>
      <c r="GA115" s="28">
        <f t="shared" si="2200"/>
        <v>0</v>
      </c>
      <c r="GB115" s="28">
        <v>0</v>
      </c>
      <c r="GC115" s="28">
        <f>GB115*GC$6</f>
        <v>0</v>
      </c>
      <c r="GD115" s="28">
        <f>GB115*GD$6</f>
        <v>0</v>
      </c>
      <c r="GE115" s="28">
        <f>GB115/GE$6</f>
        <v>0</v>
      </c>
      <c r="GF115" s="72">
        <f>GE115/GF$6</f>
        <v>0</v>
      </c>
      <c r="GG115" s="72">
        <f>GB115/GG$6</f>
        <v>0</v>
      </c>
      <c r="GH115" s="70">
        <f>SUM(GB115:GG115)</f>
        <v>0</v>
      </c>
      <c r="GI115" s="71">
        <v>0</v>
      </c>
      <c r="GJ115" s="71">
        <v>0</v>
      </c>
      <c r="GK115" s="72">
        <f t="shared" si="2201"/>
        <v>0</v>
      </c>
      <c r="GL115" s="72">
        <f t="shared" si="2202"/>
        <v>0</v>
      </c>
      <c r="GM115" s="70">
        <f>SUM(GK115:GL115)</f>
        <v>0</v>
      </c>
      <c r="GN115" s="73">
        <v>0</v>
      </c>
      <c r="GO115" s="74">
        <f t="shared" si="2203"/>
        <v>0</v>
      </c>
      <c r="GP115" s="303">
        <f>GH115+GM115+GN115+GO115</f>
        <v>0</v>
      </c>
      <c r="GQ115" s="58">
        <v>0</v>
      </c>
      <c r="GR115" s="68" t="s">
        <v>182</v>
      </c>
      <c r="GS115" s="28">
        <f t="shared" si="2204"/>
        <v>0</v>
      </c>
      <c r="GT115" s="28">
        <v>0</v>
      </c>
      <c r="GU115" s="28">
        <f>GT115*GU$6</f>
        <v>0</v>
      </c>
      <c r="GV115" s="28">
        <f>GT115*GV$6</f>
        <v>0</v>
      </c>
      <c r="GW115" s="28">
        <f>GT115/GW$6</f>
        <v>0</v>
      </c>
      <c r="GX115" s="72">
        <f>GW115/GX$6</f>
        <v>0</v>
      </c>
      <c r="GY115" s="72">
        <f>GT115/GY$6</f>
        <v>0</v>
      </c>
      <c r="GZ115" s="70">
        <f>SUM(GT115:GY115)</f>
        <v>0</v>
      </c>
      <c r="HA115" s="71">
        <v>0</v>
      </c>
      <c r="HB115" s="71">
        <v>0</v>
      </c>
      <c r="HC115" s="72">
        <f t="shared" si="2205"/>
        <v>0</v>
      </c>
      <c r="HD115" s="72">
        <f t="shared" si="2206"/>
        <v>0</v>
      </c>
      <c r="HE115" s="70">
        <f>SUM(HC115:HD115)</f>
        <v>0</v>
      </c>
      <c r="HF115" s="73">
        <v>0</v>
      </c>
      <c r="HG115" s="74">
        <f t="shared" si="2207"/>
        <v>0</v>
      </c>
      <c r="HH115" s="303">
        <f>GZ115+HE115+HF115+HG115</f>
        <v>0</v>
      </c>
      <c r="HJ115" s="37"/>
      <c r="HK115" s="37"/>
      <c r="HL115" s="37"/>
      <c r="HM115" s="37"/>
      <c r="HN115" s="37"/>
      <c r="HO115" s="37"/>
      <c r="HP115" s="37"/>
      <c r="HQ115" s="37"/>
      <c r="HR115" s="37"/>
      <c r="HS115" s="37"/>
      <c r="HT115" s="37"/>
      <c r="HU115" s="37"/>
      <c r="HV115" s="37"/>
      <c r="HW115" s="37"/>
      <c r="HX115" s="37"/>
      <c r="HY115" s="37"/>
      <c r="HZ115" s="37"/>
      <c r="IA115" s="37"/>
      <c r="IB115" s="37"/>
      <c r="IC115" s="37"/>
      <c r="ID115" s="37"/>
      <c r="IE115" s="37"/>
      <c r="IF115" s="37"/>
      <c r="IG115" s="37"/>
      <c r="IH115" s="37"/>
      <c r="II115" s="37"/>
      <c r="IJ115" s="37"/>
      <c r="IK115" s="37"/>
      <c r="IL115" s="37"/>
      <c r="IM115" s="37"/>
      <c r="IN115" s="37"/>
      <c r="IO115" s="37"/>
      <c r="IP115" s="37"/>
    </row>
    <row r="116" spans="1:250" x14ac:dyDescent="0.3">
      <c r="A116" s="58">
        <v>0</v>
      </c>
      <c r="B116" s="68"/>
      <c r="C116" s="28">
        <f t="shared" si="2160"/>
        <v>0</v>
      </c>
      <c r="D116" s="28">
        <v>0</v>
      </c>
      <c r="E116" s="28">
        <f>D116*E$6</f>
        <v>0</v>
      </c>
      <c r="F116" s="28">
        <f>D116*F$6</f>
        <v>0</v>
      </c>
      <c r="G116" s="28">
        <f>D116/G$6</f>
        <v>0</v>
      </c>
      <c r="H116" s="72">
        <f>G116/H$6</f>
        <v>0</v>
      </c>
      <c r="I116" s="72">
        <f>D116/I$6</f>
        <v>0</v>
      </c>
      <c r="J116" s="70">
        <f>SUM(D116:I116)</f>
        <v>0</v>
      </c>
      <c r="K116" s="71">
        <v>0</v>
      </c>
      <c r="L116" s="71">
        <v>0</v>
      </c>
      <c r="M116" s="72">
        <f t="shared" si="2161"/>
        <v>0</v>
      </c>
      <c r="N116" s="72">
        <f t="shared" si="2162"/>
        <v>0</v>
      </c>
      <c r="O116" s="70">
        <f>SUM(M116:N116)</f>
        <v>0</v>
      </c>
      <c r="P116" s="73">
        <v>0</v>
      </c>
      <c r="Q116" s="74">
        <f t="shared" si="2163"/>
        <v>0</v>
      </c>
      <c r="R116" s="303">
        <f>J116+O116+P116+Q116</f>
        <v>0</v>
      </c>
      <c r="S116" s="58">
        <v>0</v>
      </c>
      <c r="T116" s="68"/>
      <c r="U116" s="28">
        <f t="shared" si="2164"/>
        <v>0</v>
      </c>
      <c r="V116" s="28">
        <v>0</v>
      </c>
      <c r="W116" s="28">
        <f>V116*W$6</f>
        <v>0</v>
      </c>
      <c r="X116" s="28">
        <f>V116*X$6</f>
        <v>0</v>
      </c>
      <c r="Y116" s="28">
        <f>V116/Y$6</f>
        <v>0</v>
      </c>
      <c r="Z116" s="72">
        <f>Y116/Z$6</f>
        <v>0</v>
      </c>
      <c r="AA116" s="72">
        <f>V116/AA$6</f>
        <v>0</v>
      </c>
      <c r="AB116" s="70">
        <f>SUM(V116:AA116)</f>
        <v>0</v>
      </c>
      <c r="AC116" s="71">
        <v>0</v>
      </c>
      <c r="AD116" s="71">
        <v>0</v>
      </c>
      <c r="AE116" s="72">
        <f t="shared" si="2165"/>
        <v>0</v>
      </c>
      <c r="AF116" s="72">
        <f t="shared" si="2166"/>
        <v>0</v>
      </c>
      <c r="AG116" s="70">
        <f>SUM(AE116:AF116)</f>
        <v>0</v>
      </c>
      <c r="AH116" s="73">
        <v>0</v>
      </c>
      <c r="AI116" s="74">
        <f t="shared" si="2167"/>
        <v>0</v>
      </c>
      <c r="AJ116" s="303">
        <f>AB116+AG116+AH116+AI116</f>
        <v>0</v>
      </c>
      <c r="AK116" s="58">
        <v>0</v>
      </c>
      <c r="AL116" s="68"/>
      <c r="AM116" s="28">
        <f t="shared" si="2168"/>
        <v>0</v>
      </c>
      <c r="AN116" s="28">
        <v>0</v>
      </c>
      <c r="AO116" s="28">
        <f>AN116*AO$6</f>
        <v>0</v>
      </c>
      <c r="AP116" s="28">
        <f>AN116*AP$6</f>
        <v>0</v>
      </c>
      <c r="AQ116" s="28">
        <f>AN116/AQ$6</f>
        <v>0</v>
      </c>
      <c r="AR116" s="72">
        <f>AQ116/AR$6</f>
        <v>0</v>
      </c>
      <c r="AS116" s="72">
        <f>AN116/AS$6</f>
        <v>0</v>
      </c>
      <c r="AT116" s="70">
        <f>SUM(AN116:AS116)</f>
        <v>0</v>
      </c>
      <c r="AU116" s="71">
        <v>0</v>
      </c>
      <c r="AV116" s="71">
        <v>0</v>
      </c>
      <c r="AW116" s="72">
        <f t="shared" si="2169"/>
        <v>0</v>
      </c>
      <c r="AX116" s="72">
        <f t="shared" si="2170"/>
        <v>0</v>
      </c>
      <c r="AY116" s="70">
        <f>SUM(AW116:AX116)</f>
        <v>0</v>
      </c>
      <c r="AZ116" s="73">
        <v>0</v>
      </c>
      <c r="BA116" s="74">
        <f t="shared" si="2171"/>
        <v>0</v>
      </c>
      <c r="BB116" s="303">
        <f>AT116+AY116+AZ116+BA116</f>
        <v>0</v>
      </c>
      <c r="BC116" s="58">
        <v>0</v>
      </c>
      <c r="BD116" s="68"/>
      <c r="BE116" s="28">
        <f t="shared" si="2172"/>
        <v>0</v>
      </c>
      <c r="BF116" s="28">
        <v>0</v>
      </c>
      <c r="BG116" s="28">
        <f>BF116*BG$6</f>
        <v>0</v>
      </c>
      <c r="BH116" s="28">
        <f>BF116*BH$6</f>
        <v>0</v>
      </c>
      <c r="BI116" s="28">
        <f>BF116/BI$6</f>
        <v>0</v>
      </c>
      <c r="BJ116" s="72">
        <f>BI116/BJ$6</f>
        <v>0</v>
      </c>
      <c r="BK116" s="72">
        <f>BF116/BK$6</f>
        <v>0</v>
      </c>
      <c r="BL116" s="70">
        <f>SUM(BF116:BK116)</f>
        <v>0</v>
      </c>
      <c r="BM116" s="71">
        <v>0</v>
      </c>
      <c r="BN116" s="71">
        <v>0</v>
      </c>
      <c r="BO116" s="72">
        <f t="shared" si="2173"/>
        <v>0</v>
      </c>
      <c r="BP116" s="72">
        <f t="shared" si="2174"/>
        <v>0</v>
      </c>
      <c r="BQ116" s="70">
        <f>SUM(BO116:BP116)</f>
        <v>0</v>
      </c>
      <c r="BR116" s="73">
        <v>0</v>
      </c>
      <c r="BS116" s="74">
        <f t="shared" si="2175"/>
        <v>0</v>
      </c>
      <c r="BT116" s="303">
        <f>BL116+BQ116+BR116+BS116</f>
        <v>0</v>
      </c>
      <c r="BU116" s="58">
        <v>0</v>
      </c>
      <c r="BV116" s="68"/>
      <c r="BW116" s="28">
        <f t="shared" si="2176"/>
        <v>0</v>
      </c>
      <c r="BX116" s="28">
        <v>0</v>
      </c>
      <c r="BY116" s="28">
        <f>BX116*BY$6</f>
        <v>0</v>
      </c>
      <c r="BZ116" s="28">
        <f>BX116*BZ$6</f>
        <v>0</v>
      </c>
      <c r="CA116" s="28">
        <f>BX116/CA$6</f>
        <v>0</v>
      </c>
      <c r="CB116" s="72">
        <f>CA116/CB$6</f>
        <v>0</v>
      </c>
      <c r="CC116" s="72">
        <f>BX116/CC$6</f>
        <v>0</v>
      </c>
      <c r="CD116" s="70">
        <f>SUM(BX116:CC116)</f>
        <v>0</v>
      </c>
      <c r="CE116" s="71">
        <v>0</v>
      </c>
      <c r="CF116" s="71">
        <v>0</v>
      </c>
      <c r="CG116" s="72">
        <f t="shared" si="2177"/>
        <v>0</v>
      </c>
      <c r="CH116" s="72">
        <f t="shared" si="2178"/>
        <v>0</v>
      </c>
      <c r="CI116" s="70">
        <f>SUM(CG116:CH116)</f>
        <v>0</v>
      </c>
      <c r="CJ116" s="73">
        <v>0</v>
      </c>
      <c r="CK116" s="74">
        <f t="shared" si="2179"/>
        <v>0</v>
      </c>
      <c r="CL116" s="303">
        <f>CD116+CI116+CJ116+CK116</f>
        <v>0</v>
      </c>
      <c r="CM116" s="58">
        <v>0</v>
      </c>
      <c r="CN116" s="68"/>
      <c r="CO116" s="28">
        <f t="shared" si="2180"/>
        <v>0</v>
      </c>
      <c r="CP116" s="28">
        <v>0</v>
      </c>
      <c r="CQ116" s="28">
        <f>CP116*CQ$6</f>
        <v>0</v>
      </c>
      <c r="CR116" s="28">
        <f>CP116*CR$6</f>
        <v>0</v>
      </c>
      <c r="CS116" s="28">
        <f>CP116/CS$6</f>
        <v>0</v>
      </c>
      <c r="CT116" s="72">
        <f>CS116/CT$6</f>
        <v>0</v>
      </c>
      <c r="CU116" s="72">
        <f>CP116/CU$6</f>
        <v>0</v>
      </c>
      <c r="CV116" s="70">
        <f>SUM(CP116:CU116)</f>
        <v>0</v>
      </c>
      <c r="CW116" s="71">
        <v>0</v>
      </c>
      <c r="CX116" s="71">
        <v>0</v>
      </c>
      <c r="CY116" s="72">
        <f t="shared" si="2181"/>
        <v>0</v>
      </c>
      <c r="CZ116" s="72">
        <f t="shared" si="2182"/>
        <v>0</v>
      </c>
      <c r="DA116" s="70">
        <f>SUM(CY116:CZ116)</f>
        <v>0</v>
      </c>
      <c r="DB116" s="73">
        <v>0</v>
      </c>
      <c r="DC116" s="74">
        <f t="shared" si="2183"/>
        <v>0</v>
      </c>
      <c r="DD116" s="303">
        <f>CV116+DA116+DB116+DC116</f>
        <v>0</v>
      </c>
      <c r="DE116" s="58">
        <v>0</v>
      </c>
      <c r="DF116" s="68"/>
      <c r="DG116" s="28">
        <f t="shared" si="2184"/>
        <v>0</v>
      </c>
      <c r="DH116" s="28">
        <v>0</v>
      </c>
      <c r="DI116" s="28">
        <f>DH116*DI$6</f>
        <v>0</v>
      </c>
      <c r="DJ116" s="28">
        <f>DH116*DJ$6</f>
        <v>0</v>
      </c>
      <c r="DK116" s="28">
        <f>DH116/DK$6</f>
        <v>0</v>
      </c>
      <c r="DL116" s="72">
        <f>DK116/DL$6</f>
        <v>0</v>
      </c>
      <c r="DM116" s="72">
        <f>DH116/DM$6</f>
        <v>0</v>
      </c>
      <c r="DN116" s="70">
        <f>SUM(DH116:DM116)</f>
        <v>0</v>
      </c>
      <c r="DO116" s="71">
        <v>0</v>
      </c>
      <c r="DP116" s="71">
        <v>0</v>
      </c>
      <c r="DQ116" s="72">
        <f t="shared" si="2185"/>
        <v>0</v>
      </c>
      <c r="DR116" s="72">
        <f t="shared" si="2186"/>
        <v>0</v>
      </c>
      <c r="DS116" s="70">
        <f>SUM(DQ116:DR116)</f>
        <v>0</v>
      </c>
      <c r="DT116" s="73">
        <v>0</v>
      </c>
      <c r="DU116" s="74">
        <f t="shared" si="2187"/>
        <v>0</v>
      </c>
      <c r="DV116" s="303">
        <f>DN116+DS116+DT116+DU116</f>
        <v>0</v>
      </c>
      <c r="DW116" s="58">
        <v>0</v>
      </c>
      <c r="DX116" s="68"/>
      <c r="DY116" s="28">
        <f t="shared" si="2188"/>
        <v>0</v>
      </c>
      <c r="DZ116" s="28">
        <v>0</v>
      </c>
      <c r="EA116" s="28">
        <f>DZ116*EA$6</f>
        <v>0</v>
      </c>
      <c r="EB116" s="28">
        <f>DZ116*EB$6</f>
        <v>0</v>
      </c>
      <c r="EC116" s="28">
        <f>DZ116/EC$6</f>
        <v>0</v>
      </c>
      <c r="ED116" s="72">
        <f>EC116/ED$6</f>
        <v>0</v>
      </c>
      <c r="EE116" s="72">
        <f>DZ116/EE$6</f>
        <v>0</v>
      </c>
      <c r="EF116" s="70">
        <f>SUM(DZ116:EE116)</f>
        <v>0</v>
      </c>
      <c r="EG116" s="71">
        <v>0</v>
      </c>
      <c r="EH116" s="71">
        <v>0</v>
      </c>
      <c r="EI116" s="72">
        <f t="shared" si="2189"/>
        <v>0</v>
      </c>
      <c r="EJ116" s="72">
        <f t="shared" si="2190"/>
        <v>0</v>
      </c>
      <c r="EK116" s="70">
        <f>SUM(EI116:EJ116)</f>
        <v>0</v>
      </c>
      <c r="EL116" s="73">
        <v>0</v>
      </c>
      <c r="EM116" s="74">
        <f t="shared" si="2191"/>
        <v>0</v>
      </c>
      <c r="EN116" s="303">
        <f>EF116+EK116+EL116+EM116</f>
        <v>0</v>
      </c>
      <c r="EO116" s="58">
        <v>0</v>
      </c>
      <c r="EP116" s="68"/>
      <c r="EQ116" s="28">
        <f t="shared" si="2192"/>
        <v>0</v>
      </c>
      <c r="ER116" s="28">
        <v>0</v>
      </c>
      <c r="ES116" s="28">
        <f>ER116*ES$6</f>
        <v>0</v>
      </c>
      <c r="ET116" s="28">
        <f>ER116*ET$6</f>
        <v>0</v>
      </c>
      <c r="EU116" s="28">
        <f>ER116/EU$6</f>
        <v>0</v>
      </c>
      <c r="EV116" s="72">
        <f>EU116/EV$6</f>
        <v>0</v>
      </c>
      <c r="EW116" s="72">
        <f>ER116/EW$6</f>
        <v>0</v>
      </c>
      <c r="EX116" s="70">
        <f>SUM(ER116:EW116)</f>
        <v>0</v>
      </c>
      <c r="EY116" s="71">
        <v>0</v>
      </c>
      <c r="EZ116" s="71">
        <v>0</v>
      </c>
      <c r="FA116" s="72">
        <f t="shared" si="2193"/>
        <v>0</v>
      </c>
      <c r="FB116" s="72">
        <f t="shared" si="2194"/>
        <v>0</v>
      </c>
      <c r="FC116" s="70">
        <f>SUM(FA116:FB116)</f>
        <v>0</v>
      </c>
      <c r="FD116" s="73">
        <v>0</v>
      </c>
      <c r="FE116" s="74">
        <f t="shared" si="2195"/>
        <v>0</v>
      </c>
      <c r="FF116" s="303">
        <f>EX116+FC116+FD116+FE116</f>
        <v>0</v>
      </c>
      <c r="FG116" s="58">
        <v>0</v>
      </c>
      <c r="FH116" s="68"/>
      <c r="FI116" s="28">
        <f t="shared" si="2196"/>
        <v>0</v>
      </c>
      <c r="FJ116" s="28">
        <v>0</v>
      </c>
      <c r="FK116" s="28">
        <f>FJ116*FK$6</f>
        <v>0</v>
      </c>
      <c r="FL116" s="28">
        <f>FJ116*FL$6</f>
        <v>0</v>
      </c>
      <c r="FM116" s="28">
        <f>FJ116/FM$6</f>
        <v>0</v>
      </c>
      <c r="FN116" s="72">
        <f>FM116/FN$6</f>
        <v>0</v>
      </c>
      <c r="FO116" s="72">
        <f>FJ116/FO$6</f>
        <v>0</v>
      </c>
      <c r="FP116" s="70">
        <f>SUM(FJ116:FO116)</f>
        <v>0</v>
      </c>
      <c r="FQ116" s="71">
        <v>0</v>
      </c>
      <c r="FR116" s="71">
        <v>0</v>
      </c>
      <c r="FS116" s="72">
        <f t="shared" si="2197"/>
        <v>0</v>
      </c>
      <c r="FT116" s="72">
        <f t="shared" si="2198"/>
        <v>0</v>
      </c>
      <c r="FU116" s="70">
        <f>SUM(FS116:FT116)</f>
        <v>0</v>
      </c>
      <c r="FV116" s="73">
        <v>0</v>
      </c>
      <c r="FW116" s="74">
        <f t="shared" si="2199"/>
        <v>0</v>
      </c>
      <c r="FX116" s="303">
        <f>FP116+FU116+FV116+FW116</f>
        <v>0</v>
      </c>
      <c r="FY116" s="58">
        <v>0</v>
      </c>
      <c r="FZ116" s="68"/>
      <c r="GA116" s="28">
        <f t="shared" si="2200"/>
        <v>0</v>
      </c>
      <c r="GB116" s="28">
        <v>0</v>
      </c>
      <c r="GC116" s="28">
        <f>GB116*GC$6</f>
        <v>0</v>
      </c>
      <c r="GD116" s="28">
        <f>GB116*GD$6</f>
        <v>0</v>
      </c>
      <c r="GE116" s="28">
        <f>GB116/GE$6</f>
        <v>0</v>
      </c>
      <c r="GF116" s="72">
        <f>GE116/GF$6</f>
        <v>0</v>
      </c>
      <c r="GG116" s="72">
        <f>GB116/GG$6</f>
        <v>0</v>
      </c>
      <c r="GH116" s="70">
        <f>SUM(GB116:GG116)</f>
        <v>0</v>
      </c>
      <c r="GI116" s="71">
        <v>0</v>
      </c>
      <c r="GJ116" s="71">
        <v>0</v>
      </c>
      <c r="GK116" s="72">
        <f t="shared" si="2201"/>
        <v>0</v>
      </c>
      <c r="GL116" s="72">
        <f t="shared" si="2202"/>
        <v>0</v>
      </c>
      <c r="GM116" s="70">
        <f>SUM(GK116:GL116)</f>
        <v>0</v>
      </c>
      <c r="GN116" s="73">
        <v>0</v>
      </c>
      <c r="GO116" s="74">
        <f t="shared" si="2203"/>
        <v>0</v>
      </c>
      <c r="GP116" s="303">
        <f>GH116+GM116+GN116+GO116</f>
        <v>0</v>
      </c>
      <c r="GQ116" s="58">
        <v>0</v>
      </c>
      <c r="GR116" s="68"/>
      <c r="GS116" s="28">
        <f t="shared" si="2204"/>
        <v>0</v>
      </c>
      <c r="GT116" s="28">
        <v>0</v>
      </c>
      <c r="GU116" s="28">
        <f>GT116*GU$6</f>
        <v>0</v>
      </c>
      <c r="GV116" s="28">
        <f>GT116*GV$6</f>
        <v>0</v>
      </c>
      <c r="GW116" s="28">
        <f>GT116/GW$6</f>
        <v>0</v>
      </c>
      <c r="GX116" s="72">
        <f>GW116/GX$6</f>
        <v>0</v>
      </c>
      <c r="GY116" s="72">
        <f>GT116/GY$6</f>
        <v>0</v>
      </c>
      <c r="GZ116" s="70">
        <f>SUM(GT116:GY116)</f>
        <v>0</v>
      </c>
      <c r="HA116" s="71">
        <v>0</v>
      </c>
      <c r="HB116" s="71">
        <v>0</v>
      </c>
      <c r="HC116" s="72">
        <f t="shared" si="2205"/>
        <v>0</v>
      </c>
      <c r="HD116" s="72">
        <f t="shared" si="2206"/>
        <v>0</v>
      </c>
      <c r="HE116" s="70">
        <f>SUM(HC116:HD116)</f>
        <v>0</v>
      </c>
      <c r="HF116" s="73">
        <v>0</v>
      </c>
      <c r="HG116" s="74">
        <f t="shared" si="2207"/>
        <v>0</v>
      </c>
      <c r="HH116" s="303">
        <f>GZ116+HE116+HF116+HG116</f>
        <v>0</v>
      </c>
      <c r="HJ116" s="37"/>
      <c r="HK116" s="37"/>
      <c r="HL116" s="37"/>
      <c r="HM116" s="37"/>
      <c r="HN116" s="37"/>
      <c r="HO116" s="37"/>
      <c r="HP116" s="37"/>
      <c r="HQ116" s="37"/>
      <c r="HR116" s="37"/>
      <c r="HS116" s="37"/>
      <c r="HT116" s="37"/>
      <c r="HU116" s="37"/>
      <c r="HV116" s="37"/>
      <c r="HW116" s="37"/>
      <c r="HX116" s="37"/>
      <c r="HY116" s="37"/>
      <c r="HZ116" s="37"/>
      <c r="IA116" s="37"/>
      <c r="IB116" s="37"/>
      <c r="IC116" s="37"/>
      <c r="ID116" s="37"/>
      <c r="IE116" s="37"/>
      <c r="IF116" s="37"/>
      <c r="IG116" s="37"/>
      <c r="IH116" s="37"/>
      <c r="II116" s="37"/>
      <c r="IJ116" s="37"/>
      <c r="IK116" s="37"/>
      <c r="IL116" s="37"/>
      <c r="IM116" s="37"/>
      <c r="IN116" s="37"/>
      <c r="IO116" s="37"/>
      <c r="IP116" s="37"/>
    </row>
    <row r="117" spans="1:250" ht="15.6" x14ac:dyDescent="0.3">
      <c r="A117" s="541"/>
      <c r="B117" s="537"/>
      <c r="C117" s="537"/>
      <c r="D117" s="537"/>
      <c r="E117" s="537"/>
      <c r="F117" s="537"/>
      <c r="G117" s="537"/>
      <c r="H117" s="537"/>
      <c r="I117" s="537"/>
      <c r="J117" s="537"/>
      <c r="K117" s="537"/>
      <c r="L117" s="537"/>
      <c r="M117" s="537"/>
      <c r="N117" s="537"/>
      <c r="O117" s="537"/>
      <c r="P117" s="538"/>
      <c r="Q117" s="423" t="s">
        <v>8</v>
      </c>
      <c r="R117" s="304">
        <f>SUM(R114:R116)</f>
        <v>3426.125544444445</v>
      </c>
      <c r="S117" s="541"/>
      <c r="T117" s="537"/>
      <c r="U117" s="537"/>
      <c r="V117" s="537"/>
      <c r="W117" s="537"/>
      <c r="X117" s="537"/>
      <c r="Y117" s="537"/>
      <c r="Z117" s="537"/>
      <c r="AA117" s="537"/>
      <c r="AB117" s="537"/>
      <c r="AC117" s="537"/>
      <c r="AD117" s="537"/>
      <c r="AE117" s="537"/>
      <c r="AF117" s="537"/>
      <c r="AG117" s="537"/>
      <c r="AH117" s="538"/>
      <c r="AI117" s="423" t="s">
        <v>8</v>
      </c>
      <c r="AJ117" s="304">
        <f>SUM(AJ114:AJ116)</f>
        <v>3426.125544444445</v>
      </c>
      <c r="AK117" s="541"/>
      <c r="AL117" s="537"/>
      <c r="AM117" s="537"/>
      <c r="AN117" s="537"/>
      <c r="AO117" s="537"/>
      <c r="AP117" s="537"/>
      <c r="AQ117" s="537"/>
      <c r="AR117" s="537"/>
      <c r="AS117" s="537"/>
      <c r="AT117" s="537"/>
      <c r="AU117" s="537"/>
      <c r="AV117" s="537"/>
      <c r="AW117" s="537"/>
      <c r="AX117" s="537"/>
      <c r="AY117" s="537"/>
      <c r="AZ117" s="538"/>
      <c r="BA117" s="423" t="s">
        <v>8</v>
      </c>
      <c r="BB117" s="304">
        <f>SUM(BB114:BB116)</f>
        <v>3426.125544444445</v>
      </c>
      <c r="BC117" s="541"/>
      <c r="BD117" s="537"/>
      <c r="BE117" s="537"/>
      <c r="BF117" s="537"/>
      <c r="BG117" s="537"/>
      <c r="BH117" s="537"/>
      <c r="BI117" s="537"/>
      <c r="BJ117" s="537"/>
      <c r="BK117" s="537"/>
      <c r="BL117" s="537"/>
      <c r="BM117" s="537"/>
      <c r="BN117" s="537"/>
      <c r="BO117" s="537"/>
      <c r="BP117" s="537"/>
      <c r="BQ117" s="537"/>
      <c r="BR117" s="538"/>
      <c r="BS117" s="423" t="s">
        <v>8</v>
      </c>
      <c r="BT117" s="304">
        <f>SUM(BT114:BT116)</f>
        <v>3426.125544444445</v>
      </c>
      <c r="BU117" s="541"/>
      <c r="BV117" s="537"/>
      <c r="BW117" s="537"/>
      <c r="BX117" s="537"/>
      <c r="BY117" s="537"/>
      <c r="BZ117" s="537"/>
      <c r="CA117" s="537"/>
      <c r="CB117" s="537"/>
      <c r="CC117" s="537"/>
      <c r="CD117" s="537"/>
      <c r="CE117" s="537"/>
      <c r="CF117" s="537"/>
      <c r="CG117" s="537"/>
      <c r="CH117" s="537"/>
      <c r="CI117" s="537"/>
      <c r="CJ117" s="538"/>
      <c r="CK117" s="423" t="s">
        <v>8</v>
      </c>
      <c r="CL117" s="304">
        <f>SUM(CL114:CL116)</f>
        <v>3426.125544444445</v>
      </c>
      <c r="CM117" s="541"/>
      <c r="CN117" s="537"/>
      <c r="CO117" s="537"/>
      <c r="CP117" s="537"/>
      <c r="CQ117" s="537"/>
      <c r="CR117" s="537"/>
      <c r="CS117" s="537"/>
      <c r="CT117" s="537"/>
      <c r="CU117" s="537"/>
      <c r="CV117" s="537"/>
      <c r="CW117" s="537"/>
      <c r="CX117" s="537"/>
      <c r="CY117" s="537"/>
      <c r="CZ117" s="537"/>
      <c r="DA117" s="537"/>
      <c r="DB117" s="538"/>
      <c r="DC117" s="423" t="s">
        <v>8</v>
      </c>
      <c r="DD117" s="304">
        <f>SUM(DD114:DD116)</f>
        <v>3426.125544444445</v>
      </c>
      <c r="DE117" s="541"/>
      <c r="DF117" s="537"/>
      <c r="DG117" s="537"/>
      <c r="DH117" s="537"/>
      <c r="DI117" s="537"/>
      <c r="DJ117" s="537"/>
      <c r="DK117" s="537"/>
      <c r="DL117" s="537"/>
      <c r="DM117" s="537"/>
      <c r="DN117" s="537"/>
      <c r="DO117" s="537"/>
      <c r="DP117" s="537"/>
      <c r="DQ117" s="537"/>
      <c r="DR117" s="537"/>
      <c r="DS117" s="537"/>
      <c r="DT117" s="538"/>
      <c r="DU117" s="423" t="s">
        <v>8</v>
      </c>
      <c r="DV117" s="304">
        <f>SUM(DV114:DV116)</f>
        <v>3426.125544444445</v>
      </c>
      <c r="DW117" s="541"/>
      <c r="DX117" s="537"/>
      <c r="DY117" s="537"/>
      <c r="DZ117" s="537"/>
      <c r="EA117" s="537"/>
      <c r="EB117" s="537"/>
      <c r="EC117" s="537"/>
      <c r="ED117" s="537"/>
      <c r="EE117" s="537"/>
      <c r="EF117" s="537"/>
      <c r="EG117" s="537"/>
      <c r="EH117" s="537"/>
      <c r="EI117" s="537"/>
      <c r="EJ117" s="537"/>
      <c r="EK117" s="537"/>
      <c r="EL117" s="538"/>
      <c r="EM117" s="423" t="s">
        <v>8</v>
      </c>
      <c r="EN117" s="304">
        <f>SUM(EN114:EN116)</f>
        <v>3426.125544444445</v>
      </c>
      <c r="EO117" s="541"/>
      <c r="EP117" s="537"/>
      <c r="EQ117" s="537"/>
      <c r="ER117" s="537"/>
      <c r="ES117" s="537"/>
      <c r="ET117" s="537"/>
      <c r="EU117" s="537"/>
      <c r="EV117" s="537"/>
      <c r="EW117" s="537"/>
      <c r="EX117" s="537"/>
      <c r="EY117" s="537"/>
      <c r="EZ117" s="537"/>
      <c r="FA117" s="537"/>
      <c r="FB117" s="537"/>
      <c r="FC117" s="537"/>
      <c r="FD117" s="538"/>
      <c r="FE117" s="423" t="s">
        <v>8</v>
      </c>
      <c r="FF117" s="304">
        <f>SUM(FF114:FF116)</f>
        <v>3426.125544444445</v>
      </c>
      <c r="FG117" s="541"/>
      <c r="FH117" s="537"/>
      <c r="FI117" s="537"/>
      <c r="FJ117" s="537"/>
      <c r="FK117" s="537"/>
      <c r="FL117" s="537"/>
      <c r="FM117" s="537"/>
      <c r="FN117" s="537"/>
      <c r="FO117" s="537"/>
      <c r="FP117" s="537"/>
      <c r="FQ117" s="537"/>
      <c r="FR117" s="537"/>
      <c r="FS117" s="537"/>
      <c r="FT117" s="537"/>
      <c r="FU117" s="537"/>
      <c r="FV117" s="538"/>
      <c r="FW117" s="423" t="s">
        <v>8</v>
      </c>
      <c r="FX117" s="304">
        <f>SUM(FX114:FX116)</f>
        <v>3426.125544444445</v>
      </c>
      <c r="FY117" s="541"/>
      <c r="FZ117" s="537"/>
      <c r="GA117" s="537"/>
      <c r="GB117" s="537"/>
      <c r="GC117" s="537"/>
      <c r="GD117" s="537"/>
      <c r="GE117" s="537"/>
      <c r="GF117" s="537"/>
      <c r="GG117" s="537"/>
      <c r="GH117" s="537"/>
      <c r="GI117" s="537"/>
      <c r="GJ117" s="537"/>
      <c r="GK117" s="537"/>
      <c r="GL117" s="537"/>
      <c r="GM117" s="537"/>
      <c r="GN117" s="538"/>
      <c r="GO117" s="423" t="s">
        <v>8</v>
      </c>
      <c r="GP117" s="304">
        <f>SUM(GP114:GP116)</f>
        <v>3426.125544444445</v>
      </c>
      <c r="GQ117" s="541"/>
      <c r="GR117" s="537"/>
      <c r="GS117" s="537"/>
      <c r="GT117" s="537"/>
      <c r="GU117" s="537"/>
      <c r="GV117" s="537"/>
      <c r="GW117" s="537"/>
      <c r="GX117" s="537"/>
      <c r="GY117" s="537"/>
      <c r="GZ117" s="537"/>
      <c r="HA117" s="537"/>
      <c r="HB117" s="537"/>
      <c r="HC117" s="537"/>
      <c r="HD117" s="537"/>
      <c r="HE117" s="537"/>
      <c r="HF117" s="538"/>
      <c r="HG117" s="423" t="s">
        <v>8</v>
      </c>
      <c r="HH117" s="304">
        <f>SUM(HH114:HH116)</f>
        <v>3426.125544444445</v>
      </c>
      <c r="HJ117" s="37"/>
      <c r="HK117" s="37"/>
      <c r="HL117" s="37"/>
      <c r="HM117" s="37"/>
      <c r="HN117" s="37"/>
      <c r="HO117" s="37"/>
      <c r="HP117" s="37"/>
      <c r="HQ117" s="37"/>
      <c r="HR117" s="37"/>
      <c r="HS117" s="37"/>
      <c r="HT117" s="37"/>
      <c r="HU117" s="37"/>
      <c r="HV117" s="37"/>
      <c r="HW117" s="37"/>
      <c r="HX117" s="37"/>
      <c r="HY117" s="37"/>
      <c r="HZ117" s="37"/>
      <c r="IA117" s="37"/>
      <c r="IB117" s="37"/>
      <c r="IC117" s="37"/>
      <c r="ID117" s="37"/>
      <c r="IE117" s="37"/>
      <c r="IF117" s="37"/>
      <c r="IG117" s="37"/>
      <c r="IH117" s="37"/>
      <c r="II117" s="37"/>
      <c r="IJ117" s="37"/>
      <c r="IK117" s="37"/>
      <c r="IL117" s="37"/>
      <c r="IM117" s="37"/>
      <c r="IN117" s="37"/>
      <c r="IO117" s="37"/>
      <c r="IP117" s="37"/>
    </row>
    <row r="118" spans="1:250" ht="15.6" x14ac:dyDescent="0.3">
      <c r="A118" s="543"/>
      <c r="B118" s="544"/>
      <c r="C118" s="544"/>
      <c r="D118" s="544"/>
      <c r="E118" s="742" t="s">
        <v>15</v>
      </c>
      <c r="F118" s="742"/>
      <c r="G118" s="742"/>
      <c r="H118" s="742"/>
      <c r="I118" s="742"/>
      <c r="J118" s="742"/>
      <c r="K118" s="742"/>
      <c r="L118" s="742"/>
      <c r="M118" s="742"/>
      <c r="N118" s="544"/>
      <c r="O118" s="544"/>
      <c r="P118" s="544"/>
      <c r="Q118" s="544"/>
      <c r="R118" s="545"/>
      <c r="S118" s="543"/>
      <c r="T118" s="544"/>
      <c r="U118" s="544"/>
      <c r="V118" s="544"/>
      <c r="W118" s="742" t="s">
        <v>15</v>
      </c>
      <c r="X118" s="742"/>
      <c r="Y118" s="742"/>
      <c r="Z118" s="742"/>
      <c r="AA118" s="742"/>
      <c r="AB118" s="742"/>
      <c r="AC118" s="742"/>
      <c r="AD118" s="742"/>
      <c r="AE118" s="742"/>
      <c r="AF118" s="544"/>
      <c r="AG118" s="544"/>
      <c r="AH118" s="544"/>
      <c r="AI118" s="544"/>
      <c r="AJ118" s="545"/>
      <c r="AK118" s="543"/>
      <c r="AL118" s="544"/>
      <c r="AM118" s="544"/>
      <c r="AN118" s="544"/>
      <c r="AO118" s="742" t="s">
        <v>15</v>
      </c>
      <c r="AP118" s="742"/>
      <c r="AQ118" s="742"/>
      <c r="AR118" s="742"/>
      <c r="AS118" s="742"/>
      <c r="AT118" s="742"/>
      <c r="AU118" s="742"/>
      <c r="AV118" s="742"/>
      <c r="AW118" s="742"/>
      <c r="AX118" s="544"/>
      <c r="AY118" s="544"/>
      <c r="AZ118" s="544"/>
      <c r="BA118" s="544"/>
      <c r="BB118" s="545"/>
      <c r="BC118" s="543"/>
      <c r="BD118" s="544"/>
      <c r="BE118" s="544"/>
      <c r="BF118" s="544"/>
      <c r="BG118" s="742" t="s">
        <v>15</v>
      </c>
      <c r="BH118" s="742"/>
      <c r="BI118" s="742"/>
      <c r="BJ118" s="742"/>
      <c r="BK118" s="742"/>
      <c r="BL118" s="742"/>
      <c r="BM118" s="742"/>
      <c r="BN118" s="742"/>
      <c r="BO118" s="742"/>
      <c r="BP118" s="544"/>
      <c r="BQ118" s="544"/>
      <c r="BR118" s="544"/>
      <c r="BS118" s="544"/>
      <c r="BT118" s="545"/>
      <c r="BU118" s="543"/>
      <c r="BV118" s="544"/>
      <c r="BW118" s="544"/>
      <c r="BX118" s="544"/>
      <c r="BY118" s="742" t="s">
        <v>15</v>
      </c>
      <c r="BZ118" s="742"/>
      <c r="CA118" s="742"/>
      <c r="CB118" s="742"/>
      <c r="CC118" s="742"/>
      <c r="CD118" s="742"/>
      <c r="CE118" s="742"/>
      <c r="CF118" s="742"/>
      <c r="CG118" s="742"/>
      <c r="CH118" s="544"/>
      <c r="CI118" s="544"/>
      <c r="CJ118" s="544"/>
      <c r="CK118" s="544"/>
      <c r="CL118" s="545"/>
      <c r="CM118" s="543"/>
      <c r="CN118" s="544"/>
      <c r="CO118" s="544"/>
      <c r="CP118" s="544"/>
      <c r="CQ118" s="742" t="s">
        <v>15</v>
      </c>
      <c r="CR118" s="742"/>
      <c r="CS118" s="742"/>
      <c r="CT118" s="742"/>
      <c r="CU118" s="742"/>
      <c r="CV118" s="742"/>
      <c r="CW118" s="742"/>
      <c r="CX118" s="742"/>
      <c r="CY118" s="742"/>
      <c r="CZ118" s="544"/>
      <c r="DA118" s="544"/>
      <c r="DB118" s="544"/>
      <c r="DC118" s="544"/>
      <c r="DD118" s="545"/>
      <c r="DE118" s="543"/>
      <c r="DF118" s="544"/>
      <c r="DG118" s="544"/>
      <c r="DH118" s="544"/>
      <c r="DI118" s="742" t="s">
        <v>15</v>
      </c>
      <c r="DJ118" s="742"/>
      <c r="DK118" s="742"/>
      <c r="DL118" s="742"/>
      <c r="DM118" s="742"/>
      <c r="DN118" s="742"/>
      <c r="DO118" s="742"/>
      <c r="DP118" s="742"/>
      <c r="DQ118" s="742"/>
      <c r="DR118" s="544"/>
      <c r="DS118" s="544"/>
      <c r="DT118" s="544"/>
      <c r="DU118" s="544"/>
      <c r="DV118" s="545"/>
      <c r="DW118" s="543"/>
      <c r="DX118" s="544"/>
      <c r="DY118" s="544"/>
      <c r="DZ118" s="544"/>
      <c r="EA118" s="742" t="s">
        <v>15</v>
      </c>
      <c r="EB118" s="742"/>
      <c r="EC118" s="742"/>
      <c r="ED118" s="742"/>
      <c r="EE118" s="742"/>
      <c r="EF118" s="742"/>
      <c r="EG118" s="742"/>
      <c r="EH118" s="742"/>
      <c r="EI118" s="742"/>
      <c r="EJ118" s="544"/>
      <c r="EK118" s="544"/>
      <c r="EL118" s="544"/>
      <c r="EM118" s="544"/>
      <c r="EN118" s="545"/>
      <c r="EO118" s="543"/>
      <c r="EP118" s="544"/>
      <c r="EQ118" s="544"/>
      <c r="ER118" s="544"/>
      <c r="ES118" s="742" t="s">
        <v>15</v>
      </c>
      <c r="ET118" s="742"/>
      <c r="EU118" s="742"/>
      <c r="EV118" s="742"/>
      <c r="EW118" s="742"/>
      <c r="EX118" s="742"/>
      <c r="EY118" s="742"/>
      <c r="EZ118" s="742"/>
      <c r="FA118" s="742"/>
      <c r="FB118" s="544"/>
      <c r="FC118" s="544"/>
      <c r="FD118" s="544"/>
      <c r="FE118" s="544"/>
      <c r="FF118" s="545"/>
      <c r="FG118" s="543"/>
      <c r="FH118" s="544"/>
      <c r="FI118" s="544"/>
      <c r="FJ118" s="544"/>
      <c r="FK118" s="742" t="s">
        <v>15</v>
      </c>
      <c r="FL118" s="742"/>
      <c r="FM118" s="742"/>
      <c r="FN118" s="742"/>
      <c r="FO118" s="742"/>
      <c r="FP118" s="742"/>
      <c r="FQ118" s="742"/>
      <c r="FR118" s="742"/>
      <c r="FS118" s="742"/>
      <c r="FT118" s="544"/>
      <c r="FU118" s="544"/>
      <c r="FV118" s="544"/>
      <c r="FW118" s="544"/>
      <c r="FX118" s="545"/>
      <c r="FY118" s="543"/>
      <c r="FZ118" s="544"/>
      <c r="GA118" s="544"/>
      <c r="GB118" s="544"/>
      <c r="GC118" s="742" t="s">
        <v>15</v>
      </c>
      <c r="GD118" s="742"/>
      <c r="GE118" s="742"/>
      <c r="GF118" s="742"/>
      <c r="GG118" s="742"/>
      <c r="GH118" s="742"/>
      <c r="GI118" s="742"/>
      <c r="GJ118" s="742"/>
      <c r="GK118" s="742"/>
      <c r="GL118" s="544"/>
      <c r="GM118" s="544"/>
      <c r="GN118" s="544"/>
      <c r="GO118" s="544"/>
      <c r="GP118" s="545"/>
      <c r="GQ118" s="543"/>
      <c r="GR118" s="544"/>
      <c r="GS118" s="544"/>
      <c r="GT118" s="544"/>
      <c r="GU118" s="742" t="s">
        <v>15</v>
      </c>
      <c r="GV118" s="742"/>
      <c r="GW118" s="742"/>
      <c r="GX118" s="742"/>
      <c r="GY118" s="742"/>
      <c r="GZ118" s="742"/>
      <c r="HA118" s="742"/>
      <c r="HB118" s="742"/>
      <c r="HC118" s="742"/>
      <c r="HD118" s="544"/>
      <c r="HE118" s="544"/>
      <c r="HF118" s="544"/>
      <c r="HG118" s="544"/>
      <c r="HH118" s="545"/>
      <c r="HJ118" s="37"/>
      <c r="HK118" s="37"/>
      <c r="HL118" s="37"/>
      <c r="HM118" s="37"/>
      <c r="HN118" s="37"/>
      <c r="HO118" s="37"/>
      <c r="HP118" s="37"/>
      <c r="HQ118" s="37"/>
      <c r="HR118" s="37"/>
      <c r="HS118" s="37"/>
      <c r="HT118" s="37"/>
      <c r="HU118" s="37"/>
      <c r="HV118" s="37"/>
      <c r="HW118" s="37"/>
      <c r="HX118" s="37"/>
      <c r="HY118" s="37"/>
      <c r="HZ118" s="37"/>
      <c r="IA118" s="37"/>
      <c r="IB118" s="37"/>
      <c r="IC118" s="37"/>
      <c r="ID118" s="37"/>
      <c r="IE118" s="37"/>
      <c r="IF118" s="37"/>
      <c r="IG118" s="37"/>
      <c r="IH118" s="37"/>
      <c r="II118" s="37"/>
      <c r="IJ118" s="37"/>
      <c r="IK118" s="37"/>
      <c r="IL118" s="37"/>
      <c r="IM118" s="37"/>
      <c r="IN118" s="37"/>
      <c r="IO118" s="37"/>
      <c r="IP118" s="37"/>
    </row>
    <row r="119" spans="1:250" x14ac:dyDescent="0.3">
      <c r="A119" s="58">
        <v>0</v>
      </c>
      <c r="B119" s="68" t="s">
        <v>268</v>
      </c>
      <c r="C119" s="28">
        <f t="shared" ref="C119:C122" si="2208">D119/$AM$4</f>
        <v>0</v>
      </c>
      <c r="D119" s="28">
        <v>0</v>
      </c>
      <c r="E119" s="28">
        <f>D119*E$6</f>
        <v>0</v>
      </c>
      <c r="F119" s="28">
        <f>D119*F$6</f>
        <v>0</v>
      </c>
      <c r="G119" s="28">
        <f>D119/G$6</f>
        <v>0</v>
      </c>
      <c r="H119" s="72">
        <f>G119/H$6</f>
        <v>0</v>
      </c>
      <c r="I119" s="72">
        <f>D119/I$6</f>
        <v>0</v>
      </c>
      <c r="J119" s="70">
        <f>SUM(D119:I119)</f>
        <v>0</v>
      </c>
      <c r="K119" s="71">
        <v>0</v>
      </c>
      <c r="L119" s="71">
        <v>0</v>
      </c>
      <c r="M119" s="72">
        <f t="shared" ref="M119:M122" si="2209">((C119*M$6)+(C119*$AO$6)+(C119*$AP$6))*K119</f>
        <v>0</v>
      </c>
      <c r="N119" s="72">
        <f t="shared" ref="N119:N122" si="2210">((C119*N$6)+(C119*$AO$6)+(C119*$AP$6))*L119</f>
        <v>0</v>
      </c>
      <c r="O119" s="70">
        <f>SUM(M119:N119)</f>
        <v>0</v>
      </c>
      <c r="P119" s="75">
        <v>0</v>
      </c>
      <c r="Q119" s="74">
        <f t="shared" ref="Q119:Q122" si="2211">IF(A119=1,($C$1*$Q$6),0)</f>
        <v>0</v>
      </c>
      <c r="R119" s="303">
        <f>J119+O119+P119+Q119</f>
        <v>0</v>
      </c>
      <c r="S119" s="58">
        <v>0</v>
      </c>
      <c r="T119" s="68" t="s">
        <v>268</v>
      </c>
      <c r="U119" s="28">
        <f t="shared" ref="U119:U122" si="2212">V119/$AM$4</f>
        <v>0</v>
      </c>
      <c r="V119" s="28">
        <v>0</v>
      </c>
      <c r="W119" s="28">
        <f>V119*W$6</f>
        <v>0</v>
      </c>
      <c r="X119" s="28">
        <f>V119*X$6</f>
        <v>0</v>
      </c>
      <c r="Y119" s="28">
        <f>V119/Y$6</f>
        <v>0</v>
      </c>
      <c r="Z119" s="72">
        <f>Y119/Z$6</f>
        <v>0</v>
      </c>
      <c r="AA119" s="72">
        <f>V119/AA$6</f>
        <v>0</v>
      </c>
      <c r="AB119" s="70">
        <f>SUM(V119:AA119)</f>
        <v>0</v>
      </c>
      <c r="AC119" s="71">
        <v>0</v>
      </c>
      <c r="AD119" s="71">
        <v>0</v>
      </c>
      <c r="AE119" s="72">
        <f t="shared" ref="AE119:AE122" si="2213">((U119*AE$6)+(U119*$AO$6)+(U119*$AP$6))*AC119</f>
        <v>0</v>
      </c>
      <c r="AF119" s="72">
        <f t="shared" ref="AF119:AF122" si="2214">((U119*AF$6)+(U119*$AO$6)+(U119*$AP$6))*AD119</f>
        <v>0</v>
      </c>
      <c r="AG119" s="70">
        <f>SUM(AE119:AF119)</f>
        <v>0</v>
      </c>
      <c r="AH119" s="75">
        <v>0</v>
      </c>
      <c r="AI119" s="74">
        <f t="shared" ref="AI119:AI122" si="2215">IF(S119=1,($C$1*$Q$6),0)</f>
        <v>0</v>
      </c>
      <c r="AJ119" s="303">
        <f>AB119+AG119+AH119+AI119</f>
        <v>0</v>
      </c>
      <c r="AK119" s="58">
        <v>0</v>
      </c>
      <c r="AL119" s="68" t="s">
        <v>268</v>
      </c>
      <c r="AM119" s="28">
        <f t="shared" ref="AM119:AM122" si="2216">AN119/$AM$4</f>
        <v>0</v>
      </c>
      <c r="AN119" s="28">
        <v>0</v>
      </c>
      <c r="AO119" s="28">
        <f>AN119*AO$6</f>
        <v>0</v>
      </c>
      <c r="AP119" s="28">
        <f>AN119*AP$6</f>
        <v>0</v>
      </c>
      <c r="AQ119" s="28">
        <f>AN119/AQ$6</f>
        <v>0</v>
      </c>
      <c r="AR119" s="72">
        <f>AQ119/AR$6</f>
        <v>0</v>
      </c>
      <c r="AS119" s="72">
        <f>AN119/AS$6</f>
        <v>0</v>
      </c>
      <c r="AT119" s="70">
        <f>SUM(AN119:AS119)</f>
        <v>0</v>
      </c>
      <c r="AU119" s="71">
        <v>0</v>
      </c>
      <c r="AV119" s="71">
        <v>0</v>
      </c>
      <c r="AW119" s="72">
        <f t="shared" ref="AW119:AW122" si="2217">((AM119*AW$6)+(AM119*$AO$6)+(AM119*$AP$6))*AU119</f>
        <v>0</v>
      </c>
      <c r="AX119" s="72">
        <f t="shared" ref="AX119:AX122" si="2218">((AM119*AX$6)+(AM119*$AO$6)+(AM119*$AP$6))*AV119</f>
        <v>0</v>
      </c>
      <c r="AY119" s="70">
        <f>SUM(AW119:AX119)</f>
        <v>0</v>
      </c>
      <c r="AZ119" s="75">
        <v>0</v>
      </c>
      <c r="BA119" s="74">
        <f t="shared" ref="BA119:BA122" si="2219">IF(AK119=1,($C$1*$Q$6),0)</f>
        <v>0</v>
      </c>
      <c r="BB119" s="303">
        <f>AT119+AY119+AZ119+BA119</f>
        <v>0</v>
      </c>
      <c r="BC119" s="58">
        <v>0</v>
      </c>
      <c r="BD119" s="68" t="s">
        <v>268</v>
      </c>
      <c r="BE119" s="28">
        <f t="shared" ref="BE119:BE122" si="2220">BF119/$AM$4</f>
        <v>0</v>
      </c>
      <c r="BF119" s="28">
        <v>0</v>
      </c>
      <c r="BG119" s="28">
        <f>BF119*BG$6</f>
        <v>0</v>
      </c>
      <c r="BH119" s="28">
        <f>BF119*BH$6</f>
        <v>0</v>
      </c>
      <c r="BI119" s="28">
        <f>BF119/BI$6</f>
        <v>0</v>
      </c>
      <c r="BJ119" s="72">
        <f>BI119/BJ$6</f>
        <v>0</v>
      </c>
      <c r="BK119" s="72">
        <f>BF119/BK$6</f>
        <v>0</v>
      </c>
      <c r="BL119" s="70">
        <f>SUM(BF119:BK119)</f>
        <v>0</v>
      </c>
      <c r="BM119" s="71">
        <v>0</v>
      </c>
      <c r="BN119" s="71">
        <v>0</v>
      </c>
      <c r="BO119" s="72">
        <f t="shared" ref="BO119:BO122" si="2221">((BE119*BO$6)+(BE119*$AO$6)+(BE119*$AP$6))*BM119</f>
        <v>0</v>
      </c>
      <c r="BP119" s="72">
        <f t="shared" ref="BP119:BP122" si="2222">((BE119*BP$6)+(BE119*$AO$6)+(BE119*$AP$6))*BN119</f>
        <v>0</v>
      </c>
      <c r="BQ119" s="70">
        <f>SUM(BO119:BP119)</f>
        <v>0</v>
      </c>
      <c r="BR119" s="75">
        <v>0</v>
      </c>
      <c r="BS119" s="74">
        <f t="shared" ref="BS119:BS122" si="2223">IF(BC119=1,($C$1*$Q$6),0)</f>
        <v>0</v>
      </c>
      <c r="BT119" s="303">
        <f>BL119+BQ119+BR119+BS119</f>
        <v>0</v>
      </c>
      <c r="BU119" s="58">
        <v>0</v>
      </c>
      <c r="BV119" s="68" t="s">
        <v>268</v>
      </c>
      <c r="BW119" s="28">
        <f t="shared" ref="BW119:BW122" si="2224">BX119/$AM$4</f>
        <v>0</v>
      </c>
      <c r="BX119" s="28">
        <v>0</v>
      </c>
      <c r="BY119" s="28">
        <f>BX119*BY$6</f>
        <v>0</v>
      </c>
      <c r="BZ119" s="28">
        <f>BX119*BZ$6</f>
        <v>0</v>
      </c>
      <c r="CA119" s="28">
        <f>BX119/CA$6</f>
        <v>0</v>
      </c>
      <c r="CB119" s="72">
        <f>CA119/CB$6</f>
        <v>0</v>
      </c>
      <c r="CC119" s="72">
        <f>BX119/CC$6</f>
        <v>0</v>
      </c>
      <c r="CD119" s="70">
        <f>SUM(BX119:CC119)</f>
        <v>0</v>
      </c>
      <c r="CE119" s="71">
        <v>0</v>
      </c>
      <c r="CF119" s="71">
        <v>0</v>
      </c>
      <c r="CG119" s="72">
        <f t="shared" ref="CG119:CG122" si="2225">((BW119*CG$6)+(BW119*$AO$6)+(BW119*$AP$6))*CE119</f>
        <v>0</v>
      </c>
      <c r="CH119" s="72">
        <f t="shared" ref="CH119:CH122" si="2226">((BW119*CH$6)+(BW119*$AO$6)+(BW119*$AP$6))*CF119</f>
        <v>0</v>
      </c>
      <c r="CI119" s="70">
        <f>SUM(CG119:CH119)</f>
        <v>0</v>
      </c>
      <c r="CJ119" s="75">
        <v>0</v>
      </c>
      <c r="CK119" s="74">
        <f t="shared" ref="CK119:CK122" si="2227">IF(BU119=1,($C$1*$Q$6),0)</f>
        <v>0</v>
      </c>
      <c r="CL119" s="303">
        <f>CD119+CI119+CJ119+CK119</f>
        <v>0</v>
      </c>
      <c r="CM119" s="58">
        <v>0</v>
      </c>
      <c r="CN119" s="68" t="s">
        <v>268</v>
      </c>
      <c r="CO119" s="28">
        <f t="shared" ref="CO119:CO122" si="2228">CP119/$AM$4</f>
        <v>0</v>
      </c>
      <c r="CP119" s="28">
        <v>0</v>
      </c>
      <c r="CQ119" s="28">
        <f>CP119*CQ$6</f>
        <v>0</v>
      </c>
      <c r="CR119" s="28">
        <f>CP119*CR$6</f>
        <v>0</v>
      </c>
      <c r="CS119" s="28">
        <f>CP119/CS$6</f>
        <v>0</v>
      </c>
      <c r="CT119" s="72">
        <f>CS119/CT$6</f>
        <v>0</v>
      </c>
      <c r="CU119" s="72">
        <f>CP119/CU$6</f>
        <v>0</v>
      </c>
      <c r="CV119" s="70">
        <f>SUM(CP119:CU119)</f>
        <v>0</v>
      </c>
      <c r="CW119" s="71">
        <v>0</v>
      </c>
      <c r="CX119" s="71">
        <v>0</v>
      </c>
      <c r="CY119" s="72">
        <f t="shared" ref="CY119:CY122" si="2229">((CO119*CY$6)+(CO119*$AO$6)+(CO119*$AP$6))*CW119</f>
        <v>0</v>
      </c>
      <c r="CZ119" s="72">
        <f t="shared" ref="CZ119:CZ122" si="2230">((CO119*CZ$6)+(CO119*$AO$6)+(CO119*$AP$6))*CX119</f>
        <v>0</v>
      </c>
      <c r="DA119" s="70">
        <f>SUM(CY119:CZ119)</f>
        <v>0</v>
      </c>
      <c r="DB119" s="75">
        <v>0</v>
      </c>
      <c r="DC119" s="74">
        <f t="shared" ref="DC119:DC122" si="2231">IF(CM119=1,($C$1*$Q$6),0)</f>
        <v>0</v>
      </c>
      <c r="DD119" s="303">
        <f>CV119+DA119+DB119+DC119</f>
        <v>0</v>
      </c>
      <c r="DE119" s="58">
        <v>0</v>
      </c>
      <c r="DF119" s="68" t="s">
        <v>268</v>
      </c>
      <c r="DG119" s="28">
        <f t="shared" ref="DG119:DG122" si="2232">DH119/$AM$4</f>
        <v>0</v>
      </c>
      <c r="DH119" s="28">
        <v>0</v>
      </c>
      <c r="DI119" s="28">
        <f>DH119*DI$6</f>
        <v>0</v>
      </c>
      <c r="DJ119" s="28">
        <f>DH119*DJ$6</f>
        <v>0</v>
      </c>
      <c r="DK119" s="28">
        <f>DH119/DK$6</f>
        <v>0</v>
      </c>
      <c r="DL119" s="72">
        <f>DK119/DL$6</f>
        <v>0</v>
      </c>
      <c r="DM119" s="72">
        <f>DH119/DM$6</f>
        <v>0</v>
      </c>
      <c r="DN119" s="70">
        <f>SUM(DH119:DM119)</f>
        <v>0</v>
      </c>
      <c r="DO119" s="71">
        <v>0</v>
      </c>
      <c r="DP119" s="71">
        <v>0</v>
      </c>
      <c r="DQ119" s="72">
        <f t="shared" ref="DQ119:DQ122" si="2233">((DG119*DQ$6)+(DG119*$AO$6)+(DG119*$AP$6))*DO119</f>
        <v>0</v>
      </c>
      <c r="DR119" s="72">
        <f t="shared" ref="DR119:DR122" si="2234">((DG119*DR$6)+(DG119*$AO$6)+(DG119*$AP$6))*DP119</f>
        <v>0</v>
      </c>
      <c r="DS119" s="70">
        <f>SUM(DQ119:DR119)</f>
        <v>0</v>
      </c>
      <c r="DT119" s="75">
        <v>0</v>
      </c>
      <c r="DU119" s="74">
        <f t="shared" ref="DU119:DU122" si="2235">IF(DE119=1,($C$1*$Q$6),0)</f>
        <v>0</v>
      </c>
      <c r="DV119" s="303">
        <f>DN119+DS119+DT119+DU119</f>
        <v>0</v>
      </c>
      <c r="DW119" s="58">
        <v>0</v>
      </c>
      <c r="DX119" s="68" t="s">
        <v>268</v>
      </c>
      <c r="DY119" s="28">
        <f t="shared" ref="DY119:DY122" si="2236">DZ119/$AM$4</f>
        <v>0</v>
      </c>
      <c r="DZ119" s="28">
        <v>0</v>
      </c>
      <c r="EA119" s="28">
        <f>DZ119*EA$6</f>
        <v>0</v>
      </c>
      <c r="EB119" s="28">
        <f>DZ119*EB$6</f>
        <v>0</v>
      </c>
      <c r="EC119" s="28">
        <f>DZ119/EC$6</f>
        <v>0</v>
      </c>
      <c r="ED119" s="72">
        <f>EC119/ED$6</f>
        <v>0</v>
      </c>
      <c r="EE119" s="72">
        <f>DZ119/EE$6</f>
        <v>0</v>
      </c>
      <c r="EF119" s="70">
        <f>SUM(DZ119:EE119)</f>
        <v>0</v>
      </c>
      <c r="EG119" s="71">
        <v>0</v>
      </c>
      <c r="EH119" s="71">
        <v>0</v>
      </c>
      <c r="EI119" s="72">
        <f t="shared" ref="EI119:EI122" si="2237">((DY119*EI$6)+(DY119*$AO$6)+(DY119*$AP$6))*EG119</f>
        <v>0</v>
      </c>
      <c r="EJ119" s="72">
        <f t="shared" ref="EJ119:EJ122" si="2238">((DY119*EJ$6)+(DY119*$AO$6)+(DY119*$AP$6))*EH119</f>
        <v>0</v>
      </c>
      <c r="EK119" s="70">
        <f>SUM(EI119:EJ119)</f>
        <v>0</v>
      </c>
      <c r="EL119" s="75">
        <v>0</v>
      </c>
      <c r="EM119" s="74">
        <f t="shared" ref="EM119:EM122" si="2239">IF(DW119=1,($C$1*$Q$6),0)</f>
        <v>0</v>
      </c>
      <c r="EN119" s="303">
        <f>EF119+EK119+EL119+EM119</f>
        <v>0</v>
      </c>
      <c r="EO119" s="58">
        <v>0</v>
      </c>
      <c r="EP119" s="68" t="s">
        <v>268</v>
      </c>
      <c r="EQ119" s="28">
        <f t="shared" ref="EQ119:EQ122" si="2240">ER119/$AM$4</f>
        <v>0</v>
      </c>
      <c r="ER119" s="28">
        <v>0</v>
      </c>
      <c r="ES119" s="28">
        <f>ER119*ES$6</f>
        <v>0</v>
      </c>
      <c r="ET119" s="28">
        <f>ER119*ET$6</f>
        <v>0</v>
      </c>
      <c r="EU119" s="28">
        <f>ER119/EU$6</f>
        <v>0</v>
      </c>
      <c r="EV119" s="72">
        <f>EU119/EV$6</f>
        <v>0</v>
      </c>
      <c r="EW119" s="72">
        <f>ER119/EW$6</f>
        <v>0</v>
      </c>
      <c r="EX119" s="70">
        <f>SUM(ER119:EW119)</f>
        <v>0</v>
      </c>
      <c r="EY119" s="71">
        <v>0</v>
      </c>
      <c r="EZ119" s="71">
        <v>0</v>
      </c>
      <c r="FA119" s="72">
        <f t="shared" ref="FA119:FA122" si="2241">((EQ119*FA$6)+(EQ119*$AO$6)+(EQ119*$AP$6))*EY119</f>
        <v>0</v>
      </c>
      <c r="FB119" s="72">
        <f t="shared" ref="FB119:FB122" si="2242">((EQ119*FB$6)+(EQ119*$AO$6)+(EQ119*$AP$6))*EZ119</f>
        <v>0</v>
      </c>
      <c r="FC119" s="70">
        <f>SUM(FA119:FB119)</f>
        <v>0</v>
      </c>
      <c r="FD119" s="75">
        <v>0</v>
      </c>
      <c r="FE119" s="74">
        <f t="shared" ref="FE119:FE122" si="2243">IF(EO119=1,($C$1*$Q$6),0)</f>
        <v>0</v>
      </c>
      <c r="FF119" s="303">
        <f>EX119+FC119+FD119+FE119</f>
        <v>0</v>
      </c>
      <c r="FG119" s="58">
        <v>0</v>
      </c>
      <c r="FH119" s="68" t="s">
        <v>268</v>
      </c>
      <c r="FI119" s="28">
        <f t="shared" ref="FI119:FI122" si="2244">FJ119/$AM$4</f>
        <v>0</v>
      </c>
      <c r="FJ119" s="28">
        <v>0</v>
      </c>
      <c r="FK119" s="28">
        <f>FJ119*FK$6</f>
        <v>0</v>
      </c>
      <c r="FL119" s="28">
        <f>FJ119*FL$6</f>
        <v>0</v>
      </c>
      <c r="FM119" s="28">
        <f>FJ119/FM$6</f>
        <v>0</v>
      </c>
      <c r="FN119" s="72">
        <f>FM119/FN$6</f>
        <v>0</v>
      </c>
      <c r="FO119" s="72">
        <f>FJ119/FO$6</f>
        <v>0</v>
      </c>
      <c r="FP119" s="70">
        <f>SUM(FJ119:FO119)</f>
        <v>0</v>
      </c>
      <c r="FQ119" s="71">
        <v>0</v>
      </c>
      <c r="FR119" s="71">
        <v>0</v>
      </c>
      <c r="FS119" s="72">
        <f t="shared" ref="FS119:FS122" si="2245">((FI119*FS$6)+(FI119*$AO$6)+(FI119*$AP$6))*FQ119</f>
        <v>0</v>
      </c>
      <c r="FT119" s="72">
        <f t="shared" ref="FT119:FT122" si="2246">((FI119*FT$6)+(FI119*$AO$6)+(FI119*$AP$6))*FR119</f>
        <v>0</v>
      </c>
      <c r="FU119" s="70">
        <f>SUM(FS119:FT119)</f>
        <v>0</v>
      </c>
      <c r="FV119" s="75">
        <v>0</v>
      </c>
      <c r="FW119" s="74">
        <f t="shared" ref="FW119:FW122" si="2247">IF(FG119=1,($C$1*$Q$6),0)</f>
        <v>0</v>
      </c>
      <c r="FX119" s="303">
        <f>FP119+FU119+FV119+FW119</f>
        <v>0</v>
      </c>
      <c r="FY119" s="58">
        <v>0</v>
      </c>
      <c r="FZ119" s="68" t="s">
        <v>268</v>
      </c>
      <c r="GA119" s="28">
        <f t="shared" ref="GA119:GA122" si="2248">GB119/$AM$4</f>
        <v>0</v>
      </c>
      <c r="GB119" s="28">
        <v>0</v>
      </c>
      <c r="GC119" s="28">
        <f>GB119*GC$6</f>
        <v>0</v>
      </c>
      <c r="GD119" s="28">
        <f>GB119*GD$6</f>
        <v>0</v>
      </c>
      <c r="GE119" s="28">
        <f>GB119/GE$6</f>
        <v>0</v>
      </c>
      <c r="GF119" s="72">
        <f>GE119/GF$6</f>
        <v>0</v>
      </c>
      <c r="GG119" s="72">
        <f>GB119/GG$6</f>
        <v>0</v>
      </c>
      <c r="GH119" s="70">
        <f>SUM(GB119:GG119)</f>
        <v>0</v>
      </c>
      <c r="GI119" s="71">
        <v>0</v>
      </c>
      <c r="GJ119" s="71">
        <v>0</v>
      </c>
      <c r="GK119" s="72">
        <f t="shared" ref="GK119:GK122" si="2249">((GA119*GK$6)+(GA119*$AO$6)+(GA119*$AP$6))*GI119</f>
        <v>0</v>
      </c>
      <c r="GL119" s="72">
        <f t="shared" ref="GL119:GL122" si="2250">((GA119*GL$6)+(GA119*$AO$6)+(GA119*$AP$6))*GJ119</f>
        <v>0</v>
      </c>
      <c r="GM119" s="70">
        <f>SUM(GK119:GL119)</f>
        <v>0</v>
      </c>
      <c r="GN119" s="75">
        <v>0</v>
      </c>
      <c r="GO119" s="74">
        <f t="shared" ref="GO119:GO122" si="2251">IF(FY119=1,($C$1*$Q$6),0)</f>
        <v>0</v>
      </c>
      <c r="GP119" s="303">
        <f>GH119+GM119+GN119+GO119</f>
        <v>0</v>
      </c>
      <c r="GQ119" s="58">
        <v>0</v>
      </c>
      <c r="GR119" s="68" t="s">
        <v>268</v>
      </c>
      <c r="GS119" s="28">
        <f t="shared" ref="GS119:GS122" si="2252">GT119/$AM$4</f>
        <v>0</v>
      </c>
      <c r="GT119" s="28">
        <v>0</v>
      </c>
      <c r="GU119" s="28">
        <f>GT119*GU$6</f>
        <v>0</v>
      </c>
      <c r="GV119" s="28">
        <f>GT119*GV$6</f>
        <v>0</v>
      </c>
      <c r="GW119" s="28">
        <f>GT119/GW$6</f>
        <v>0</v>
      </c>
      <c r="GX119" s="72">
        <f>GW119/GX$6</f>
        <v>0</v>
      </c>
      <c r="GY119" s="72">
        <f>GT119/GY$6</f>
        <v>0</v>
      </c>
      <c r="GZ119" s="70">
        <f>SUM(GT119:GY119)</f>
        <v>0</v>
      </c>
      <c r="HA119" s="71">
        <v>0</v>
      </c>
      <c r="HB119" s="71">
        <v>0</v>
      </c>
      <c r="HC119" s="72">
        <f t="shared" ref="HC119:HC122" si="2253">((GS119*HC$6)+(GS119*$AO$6)+(GS119*$AP$6))*HA119</f>
        <v>0</v>
      </c>
      <c r="HD119" s="72">
        <f t="shared" ref="HD119:HD122" si="2254">((GS119*HD$6)+(GS119*$AO$6)+(GS119*$AP$6))*HB119</f>
        <v>0</v>
      </c>
      <c r="HE119" s="70">
        <f>SUM(HC119:HD119)</f>
        <v>0</v>
      </c>
      <c r="HF119" s="75">
        <v>0</v>
      </c>
      <c r="HG119" s="74">
        <f t="shared" ref="HG119:HG122" si="2255">IF(GQ119=1,($C$1*$Q$6),0)</f>
        <v>0</v>
      </c>
      <c r="HH119" s="303">
        <f>GZ119+HE119+HF119+HG119</f>
        <v>0</v>
      </c>
      <c r="HJ119" s="37"/>
      <c r="HK119" s="37"/>
      <c r="HL119" s="37"/>
      <c r="HM119" s="37"/>
      <c r="HN119" s="37"/>
      <c r="HO119" s="37"/>
      <c r="HP119" s="37"/>
      <c r="HQ119" s="37"/>
      <c r="HR119" s="37"/>
      <c r="HS119" s="37"/>
      <c r="HT119" s="37"/>
      <c r="HU119" s="37"/>
      <c r="HV119" s="37"/>
      <c r="HW119" s="37"/>
      <c r="HX119" s="37"/>
      <c r="HY119" s="37"/>
      <c r="HZ119" s="37"/>
      <c r="IA119" s="37"/>
      <c r="IB119" s="37"/>
      <c r="IC119" s="37"/>
      <c r="ID119" s="37"/>
      <c r="IE119" s="37"/>
      <c r="IF119" s="37"/>
      <c r="IG119" s="37"/>
      <c r="IH119" s="37"/>
      <c r="II119" s="37"/>
      <c r="IJ119" s="37"/>
      <c r="IK119" s="37"/>
      <c r="IL119" s="37"/>
      <c r="IM119" s="37"/>
      <c r="IN119" s="37"/>
      <c r="IO119" s="37"/>
      <c r="IP119" s="37"/>
    </row>
    <row r="120" spans="1:250" x14ac:dyDescent="0.3">
      <c r="A120" s="58">
        <v>0</v>
      </c>
      <c r="B120" s="68" t="s">
        <v>117</v>
      </c>
      <c r="C120" s="28">
        <f t="shared" si="2208"/>
        <v>0</v>
      </c>
      <c r="D120" s="28">
        <v>0</v>
      </c>
      <c r="E120" s="28">
        <f>D120*E$6</f>
        <v>0</v>
      </c>
      <c r="F120" s="28">
        <f>D120*F$6</f>
        <v>0</v>
      </c>
      <c r="G120" s="28">
        <f>D120/G$6</f>
        <v>0</v>
      </c>
      <c r="H120" s="72">
        <f>G120/H$6</f>
        <v>0</v>
      </c>
      <c r="I120" s="72">
        <f>D120/I$6</f>
        <v>0</v>
      </c>
      <c r="J120" s="70">
        <f>SUM(D120:I120)</f>
        <v>0</v>
      </c>
      <c r="K120" s="71">
        <v>0</v>
      </c>
      <c r="L120" s="71">
        <v>0</v>
      </c>
      <c r="M120" s="72">
        <f t="shared" si="2209"/>
        <v>0</v>
      </c>
      <c r="N120" s="72">
        <f t="shared" si="2210"/>
        <v>0</v>
      </c>
      <c r="O120" s="70">
        <f>SUM(M120:N120)</f>
        <v>0</v>
      </c>
      <c r="P120" s="75">
        <v>0</v>
      </c>
      <c r="Q120" s="74">
        <f t="shared" si="2211"/>
        <v>0</v>
      </c>
      <c r="R120" s="303">
        <f>J120+O120+P120+Q120</f>
        <v>0</v>
      </c>
      <c r="S120" s="58">
        <v>0</v>
      </c>
      <c r="T120" s="68" t="s">
        <v>117</v>
      </c>
      <c r="U120" s="28">
        <f t="shared" si="2212"/>
        <v>0</v>
      </c>
      <c r="V120" s="28">
        <v>0</v>
      </c>
      <c r="W120" s="28">
        <f>V120*W$6</f>
        <v>0</v>
      </c>
      <c r="X120" s="28">
        <f>V120*X$6</f>
        <v>0</v>
      </c>
      <c r="Y120" s="28">
        <f>V120/Y$6</f>
        <v>0</v>
      </c>
      <c r="Z120" s="72">
        <f>Y120/Z$6</f>
        <v>0</v>
      </c>
      <c r="AA120" s="72">
        <f>V120/AA$6</f>
        <v>0</v>
      </c>
      <c r="AB120" s="70">
        <f>SUM(V120:AA120)</f>
        <v>0</v>
      </c>
      <c r="AC120" s="71">
        <v>0</v>
      </c>
      <c r="AD120" s="71">
        <v>0</v>
      </c>
      <c r="AE120" s="72">
        <f t="shared" si="2213"/>
        <v>0</v>
      </c>
      <c r="AF120" s="72">
        <f t="shared" si="2214"/>
        <v>0</v>
      </c>
      <c r="AG120" s="70">
        <f>SUM(AE120:AF120)</f>
        <v>0</v>
      </c>
      <c r="AH120" s="75">
        <v>0</v>
      </c>
      <c r="AI120" s="74">
        <f t="shared" si="2215"/>
        <v>0</v>
      </c>
      <c r="AJ120" s="303">
        <f>AB120+AG120+AH120+AI120</f>
        <v>0</v>
      </c>
      <c r="AK120" s="58">
        <v>0</v>
      </c>
      <c r="AL120" s="68" t="s">
        <v>117</v>
      </c>
      <c r="AM120" s="28">
        <f t="shared" si="2216"/>
        <v>0</v>
      </c>
      <c r="AN120" s="28">
        <v>0</v>
      </c>
      <c r="AO120" s="28">
        <f>AN120*AO$6</f>
        <v>0</v>
      </c>
      <c r="AP120" s="28">
        <f>AN120*AP$6</f>
        <v>0</v>
      </c>
      <c r="AQ120" s="28">
        <f>AN120/AQ$6</f>
        <v>0</v>
      </c>
      <c r="AR120" s="72">
        <f>AQ120/AR$6</f>
        <v>0</v>
      </c>
      <c r="AS120" s="72">
        <f>AN120/AS$6</f>
        <v>0</v>
      </c>
      <c r="AT120" s="70">
        <f>SUM(AN120:AS120)</f>
        <v>0</v>
      </c>
      <c r="AU120" s="71">
        <v>0</v>
      </c>
      <c r="AV120" s="71">
        <v>0</v>
      </c>
      <c r="AW120" s="72">
        <f t="shared" si="2217"/>
        <v>0</v>
      </c>
      <c r="AX120" s="72">
        <f t="shared" si="2218"/>
        <v>0</v>
      </c>
      <c r="AY120" s="70">
        <f>SUM(AW120:AX120)</f>
        <v>0</v>
      </c>
      <c r="AZ120" s="75">
        <v>0</v>
      </c>
      <c r="BA120" s="74">
        <f t="shared" si="2219"/>
        <v>0</v>
      </c>
      <c r="BB120" s="303">
        <f>AT120+AY120+AZ120+BA120</f>
        <v>0</v>
      </c>
      <c r="BC120" s="58">
        <v>0</v>
      </c>
      <c r="BD120" s="68" t="s">
        <v>117</v>
      </c>
      <c r="BE120" s="28">
        <f t="shared" si="2220"/>
        <v>0</v>
      </c>
      <c r="BF120" s="28">
        <v>0</v>
      </c>
      <c r="BG120" s="28">
        <f>BF120*BG$6</f>
        <v>0</v>
      </c>
      <c r="BH120" s="28">
        <f>BF120*BH$6</f>
        <v>0</v>
      </c>
      <c r="BI120" s="28">
        <f>BF120/BI$6</f>
        <v>0</v>
      </c>
      <c r="BJ120" s="72">
        <f>BI120/BJ$6</f>
        <v>0</v>
      </c>
      <c r="BK120" s="72">
        <f>BF120/BK$6</f>
        <v>0</v>
      </c>
      <c r="BL120" s="70">
        <f>SUM(BF120:BK120)</f>
        <v>0</v>
      </c>
      <c r="BM120" s="71">
        <v>0</v>
      </c>
      <c r="BN120" s="71">
        <v>0</v>
      </c>
      <c r="BO120" s="72">
        <f t="shared" si="2221"/>
        <v>0</v>
      </c>
      <c r="BP120" s="72">
        <f t="shared" si="2222"/>
        <v>0</v>
      </c>
      <c r="BQ120" s="70">
        <f>SUM(BO120:BP120)</f>
        <v>0</v>
      </c>
      <c r="BR120" s="75">
        <v>0</v>
      </c>
      <c r="BS120" s="74">
        <f t="shared" si="2223"/>
        <v>0</v>
      </c>
      <c r="BT120" s="303">
        <f>BL120+BQ120+BR120+BS120</f>
        <v>0</v>
      </c>
      <c r="BU120" s="58">
        <v>0</v>
      </c>
      <c r="BV120" s="68" t="s">
        <v>117</v>
      </c>
      <c r="BW120" s="28">
        <f t="shared" si="2224"/>
        <v>0</v>
      </c>
      <c r="BX120" s="28">
        <v>0</v>
      </c>
      <c r="BY120" s="28">
        <f>BX120*BY$6</f>
        <v>0</v>
      </c>
      <c r="BZ120" s="28">
        <f>BX120*BZ$6</f>
        <v>0</v>
      </c>
      <c r="CA120" s="28">
        <f>BX120/CA$6</f>
        <v>0</v>
      </c>
      <c r="CB120" s="72">
        <f>CA120/CB$6</f>
        <v>0</v>
      </c>
      <c r="CC120" s="72">
        <f>BX120/CC$6</f>
        <v>0</v>
      </c>
      <c r="CD120" s="70">
        <f>SUM(BX120:CC120)</f>
        <v>0</v>
      </c>
      <c r="CE120" s="71">
        <v>0</v>
      </c>
      <c r="CF120" s="71">
        <v>0</v>
      </c>
      <c r="CG120" s="72">
        <f t="shared" si="2225"/>
        <v>0</v>
      </c>
      <c r="CH120" s="72">
        <f t="shared" si="2226"/>
        <v>0</v>
      </c>
      <c r="CI120" s="70">
        <f>SUM(CG120:CH120)</f>
        <v>0</v>
      </c>
      <c r="CJ120" s="75">
        <v>0</v>
      </c>
      <c r="CK120" s="74">
        <f t="shared" si="2227"/>
        <v>0</v>
      </c>
      <c r="CL120" s="303">
        <f>CD120+CI120+CJ120+CK120</f>
        <v>0</v>
      </c>
      <c r="CM120" s="58">
        <v>0</v>
      </c>
      <c r="CN120" s="68" t="s">
        <v>117</v>
      </c>
      <c r="CO120" s="28">
        <f t="shared" si="2228"/>
        <v>0</v>
      </c>
      <c r="CP120" s="28">
        <v>0</v>
      </c>
      <c r="CQ120" s="28">
        <f>CP120*CQ$6</f>
        <v>0</v>
      </c>
      <c r="CR120" s="28">
        <f>CP120*CR$6</f>
        <v>0</v>
      </c>
      <c r="CS120" s="28">
        <f>CP120/CS$6</f>
        <v>0</v>
      </c>
      <c r="CT120" s="72">
        <f>CS120/CT$6</f>
        <v>0</v>
      </c>
      <c r="CU120" s="72">
        <f>CP120/CU$6</f>
        <v>0</v>
      </c>
      <c r="CV120" s="70">
        <f>SUM(CP120:CU120)</f>
        <v>0</v>
      </c>
      <c r="CW120" s="71">
        <v>0</v>
      </c>
      <c r="CX120" s="71">
        <v>0</v>
      </c>
      <c r="CY120" s="72">
        <f t="shared" si="2229"/>
        <v>0</v>
      </c>
      <c r="CZ120" s="72">
        <f t="shared" si="2230"/>
        <v>0</v>
      </c>
      <c r="DA120" s="70">
        <f>SUM(CY120:CZ120)</f>
        <v>0</v>
      </c>
      <c r="DB120" s="75">
        <v>0</v>
      </c>
      <c r="DC120" s="74">
        <f t="shared" si="2231"/>
        <v>0</v>
      </c>
      <c r="DD120" s="303">
        <f>CV120+DA120+DB120+DC120</f>
        <v>0</v>
      </c>
      <c r="DE120" s="58">
        <v>0</v>
      </c>
      <c r="DF120" s="68" t="s">
        <v>117</v>
      </c>
      <c r="DG120" s="28">
        <f t="shared" si="2232"/>
        <v>0</v>
      </c>
      <c r="DH120" s="28">
        <v>0</v>
      </c>
      <c r="DI120" s="28">
        <f>DH120*DI$6</f>
        <v>0</v>
      </c>
      <c r="DJ120" s="28">
        <f>DH120*DJ$6</f>
        <v>0</v>
      </c>
      <c r="DK120" s="28">
        <f>DH120/DK$6</f>
        <v>0</v>
      </c>
      <c r="DL120" s="72">
        <f>DK120/DL$6</f>
        <v>0</v>
      </c>
      <c r="DM120" s="72">
        <f>DH120/DM$6</f>
        <v>0</v>
      </c>
      <c r="DN120" s="70">
        <f>SUM(DH120:DM120)</f>
        <v>0</v>
      </c>
      <c r="DO120" s="71">
        <v>0</v>
      </c>
      <c r="DP120" s="71">
        <v>0</v>
      </c>
      <c r="DQ120" s="72">
        <f t="shared" si="2233"/>
        <v>0</v>
      </c>
      <c r="DR120" s="72">
        <f t="shared" si="2234"/>
        <v>0</v>
      </c>
      <c r="DS120" s="70">
        <f>SUM(DQ120:DR120)</f>
        <v>0</v>
      </c>
      <c r="DT120" s="75">
        <v>0</v>
      </c>
      <c r="DU120" s="74">
        <f t="shared" si="2235"/>
        <v>0</v>
      </c>
      <c r="DV120" s="303">
        <f>DN120+DS120+DT120+DU120</f>
        <v>0</v>
      </c>
      <c r="DW120" s="58">
        <v>0</v>
      </c>
      <c r="DX120" s="68" t="s">
        <v>117</v>
      </c>
      <c r="DY120" s="28">
        <f t="shared" si="2236"/>
        <v>0</v>
      </c>
      <c r="DZ120" s="28">
        <v>0</v>
      </c>
      <c r="EA120" s="28">
        <f>DZ120*EA$6</f>
        <v>0</v>
      </c>
      <c r="EB120" s="28">
        <f>DZ120*EB$6</f>
        <v>0</v>
      </c>
      <c r="EC120" s="28">
        <f>DZ120/EC$6</f>
        <v>0</v>
      </c>
      <c r="ED120" s="72">
        <f>EC120/ED$6</f>
        <v>0</v>
      </c>
      <c r="EE120" s="72">
        <f>DZ120/EE$6</f>
        <v>0</v>
      </c>
      <c r="EF120" s="70">
        <f>SUM(DZ120:EE120)</f>
        <v>0</v>
      </c>
      <c r="EG120" s="71">
        <v>0</v>
      </c>
      <c r="EH120" s="71">
        <v>0</v>
      </c>
      <c r="EI120" s="72">
        <f t="shared" si="2237"/>
        <v>0</v>
      </c>
      <c r="EJ120" s="72">
        <f t="shared" si="2238"/>
        <v>0</v>
      </c>
      <c r="EK120" s="70">
        <f>SUM(EI120:EJ120)</f>
        <v>0</v>
      </c>
      <c r="EL120" s="75">
        <v>0</v>
      </c>
      <c r="EM120" s="74">
        <f t="shared" si="2239"/>
        <v>0</v>
      </c>
      <c r="EN120" s="303">
        <f>EF120+EK120+EL120+EM120</f>
        <v>0</v>
      </c>
      <c r="EO120" s="58">
        <v>0</v>
      </c>
      <c r="EP120" s="68" t="s">
        <v>117</v>
      </c>
      <c r="EQ120" s="28">
        <f t="shared" si="2240"/>
        <v>0</v>
      </c>
      <c r="ER120" s="28">
        <v>0</v>
      </c>
      <c r="ES120" s="28">
        <f>ER120*ES$6</f>
        <v>0</v>
      </c>
      <c r="ET120" s="28">
        <f>ER120*ET$6</f>
        <v>0</v>
      </c>
      <c r="EU120" s="28">
        <f>ER120/EU$6</f>
        <v>0</v>
      </c>
      <c r="EV120" s="72">
        <f>EU120/EV$6</f>
        <v>0</v>
      </c>
      <c r="EW120" s="72">
        <f>ER120/EW$6</f>
        <v>0</v>
      </c>
      <c r="EX120" s="70">
        <f>SUM(ER120:EW120)</f>
        <v>0</v>
      </c>
      <c r="EY120" s="71">
        <v>0</v>
      </c>
      <c r="EZ120" s="71">
        <v>0</v>
      </c>
      <c r="FA120" s="72">
        <f t="shared" si="2241"/>
        <v>0</v>
      </c>
      <c r="FB120" s="72">
        <f t="shared" si="2242"/>
        <v>0</v>
      </c>
      <c r="FC120" s="70">
        <f>SUM(FA120:FB120)</f>
        <v>0</v>
      </c>
      <c r="FD120" s="75">
        <v>0</v>
      </c>
      <c r="FE120" s="74">
        <f t="shared" si="2243"/>
        <v>0</v>
      </c>
      <c r="FF120" s="303">
        <f>EX120+FC120+FD120+FE120</f>
        <v>0</v>
      </c>
      <c r="FG120" s="58">
        <v>0</v>
      </c>
      <c r="FH120" s="68" t="s">
        <v>117</v>
      </c>
      <c r="FI120" s="28">
        <f t="shared" si="2244"/>
        <v>0</v>
      </c>
      <c r="FJ120" s="28">
        <v>0</v>
      </c>
      <c r="FK120" s="28">
        <f>FJ120*FK$6</f>
        <v>0</v>
      </c>
      <c r="FL120" s="28">
        <f>FJ120*FL$6</f>
        <v>0</v>
      </c>
      <c r="FM120" s="28">
        <f>FJ120/FM$6</f>
        <v>0</v>
      </c>
      <c r="FN120" s="72">
        <f>FM120/FN$6</f>
        <v>0</v>
      </c>
      <c r="FO120" s="72">
        <f>FJ120/FO$6</f>
        <v>0</v>
      </c>
      <c r="FP120" s="70">
        <f>SUM(FJ120:FO120)</f>
        <v>0</v>
      </c>
      <c r="FQ120" s="71">
        <v>0</v>
      </c>
      <c r="FR120" s="71">
        <v>0</v>
      </c>
      <c r="FS120" s="72">
        <f t="shared" si="2245"/>
        <v>0</v>
      </c>
      <c r="FT120" s="72">
        <f t="shared" si="2246"/>
        <v>0</v>
      </c>
      <c r="FU120" s="70">
        <f>SUM(FS120:FT120)</f>
        <v>0</v>
      </c>
      <c r="FV120" s="75">
        <v>0</v>
      </c>
      <c r="FW120" s="74">
        <f t="shared" si="2247"/>
        <v>0</v>
      </c>
      <c r="FX120" s="303">
        <f>FP120+FU120+FV120+FW120</f>
        <v>0</v>
      </c>
      <c r="FY120" s="58">
        <v>0</v>
      </c>
      <c r="FZ120" s="68" t="s">
        <v>117</v>
      </c>
      <c r="GA120" s="28">
        <f t="shared" si="2248"/>
        <v>0</v>
      </c>
      <c r="GB120" s="28">
        <v>0</v>
      </c>
      <c r="GC120" s="28">
        <f>GB120*GC$6</f>
        <v>0</v>
      </c>
      <c r="GD120" s="28">
        <f>GB120*GD$6</f>
        <v>0</v>
      </c>
      <c r="GE120" s="28">
        <f>GB120/GE$6</f>
        <v>0</v>
      </c>
      <c r="GF120" s="72">
        <f>GE120/GF$6</f>
        <v>0</v>
      </c>
      <c r="GG120" s="72">
        <f>GB120/GG$6</f>
        <v>0</v>
      </c>
      <c r="GH120" s="70">
        <f>SUM(GB120:GG120)</f>
        <v>0</v>
      </c>
      <c r="GI120" s="71">
        <v>0</v>
      </c>
      <c r="GJ120" s="71">
        <v>0</v>
      </c>
      <c r="GK120" s="72">
        <f t="shared" si="2249"/>
        <v>0</v>
      </c>
      <c r="GL120" s="72">
        <f t="shared" si="2250"/>
        <v>0</v>
      </c>
      <c r="GM120" s="70">
        <f>SUM(GK120:GL120)</f>
        <v>0</v>
      </c>
      <c r="GN120" s="75">
        <v>0</v>
      </c>
      <c r="GO120" s="74">
        <f t="shared" si="2251"/>
        <v>0</v>
      </c>
      <c r="GP120" s="303">
        <f>GH120+GM120+GN120+GO120</f>
        <v>0</v>
      </c>
      <c r="GQ120" s="58">
        <v>0</v>
      </c>
      <c r="GR120" s="68" t="s">
        <v>117</v>
      </c>
      <c r="GS120" s="28">
        <f t="shared" si="2252"/>
        <v>0</v>
      </c>
      <c r="GT120" s="28">
        <v>0</v>
      </c>
      <c r="GU120" s="28">
        <f>GT120*GU$6</f>
        <v>0</v>
      </c>
      <c r="GV120" s="28">
        <f>GT120*GV$6</f>
        <v>0</v>
      </c>
      <c r="GW120" s="28">
        <f>GT120/GW$6</f>
        <v>0</v>
      </c>
      <c r="GX120" s="72">
        <f>GW120/GX$6</f>
        <v>0</v>
      </c>
      <c r="GY120" s="72">
        <f>GT120/GY$6</f>
        <v>0</v>
      </c>
      <c r="GZ120" s="70">
        <f>SUM(GT120:GY120)</f>
        <v>0</v>
      </c>
      <c r="HA120" s="71">
        <v>0</v>
      </c>
      <c r="HB120" s="71">
        <v>0</v>
      </c>
      <c r="HC120" s="72">
        <f t="shared" si="2253"/>
        <v>0</v>
      </c>
      <c r="HD120" s="72">
        <f t="shared" si="2254"/>
        <v>0</v>
      </c>
      <c r="HE120" s="70">
        <f>SUM(HC120:HD120)</f>
        <v>0</v>
      </c>
      <c r="HF120" s="75">
        <v>0</v>
      </c>
      <c r="HG120" s="74">
        <f t="shared" si="2255"/>
        <v>0</v>
      </c>
      <c r="HH120" s="303">
        <f>GZ120+HE120+HF120+HG120</f>
        <v>0</v>
      </c>
      <c r="HJ120" s="37"/>
      <c r="HK120" s="37"/>
      <c r="HL120" s="37"/>
      <c r="HM120" s="37"/>
      <c r="HN120" s="37"/>
      <c r="HO120" s="37"/>
      <c r="HP120" s="37"/>
      <c r="HQ120" s="37"/>
      <c r="HR120" s="37"/>
      <c r="HS120" s="37"/>
      <c r="HT120" s="37"/>
      <c r="HU120" s="37"/>
      <c r="HV120" s="37"/>
      <c r="HW120" s="37"/>
      <c r="HX120" s="37"/>
      <c r="HY120" s="37"/>
      <c r="HZ120" s="37"/>
      <c r="IA120" s="37"/>
      <c r="IB120" s="37"/>
      <c r="IC120" s="37"/>
      <c r="ID120" s="37"/>
      <c r="IE120" s="37"/>
      <c r="IF120" s="37"/>
      <c r="IG120" s="37"/>
      <c r="IH120" s="37"/>
      <c r="II120" s="37"/>
      <c r="IJ120" s="37"/>
      <c r="IK120" s="37"/>
      <c r="IL120" s="37"/>
      <c r="IM120" s="37"/>
      <c r="IN120" s="37"/>
      <c r="IO120" s="37"/>
      <c r="IP120" s="37"/>
    </row>
    <row r="121" spans="1:250" x14ac:dyDescent="0.3">
      <c r="A121" s="58">
        <v>0</v>
      </c>
      <c r="B121" s="68"/>
      <c r="C121" s="28">
        <f t="shared" si="2208"/>
        <v>0</v>
      </c>
      <c r="D121" s="28">
        <v>0</v>
      </c>
      <c r="E121" s="28">
        <f>D121*E$6</f>
        <v>0</v>
      </c>
      <c r="F121" s="28">
        <f>D121*F$6</f>
        <v>0</v>
      </c>
      <c r="G121" s="28">
        <f>D121/G$6</f>
        <v>0</v>
      </c>
      <c r="H121" s="72">
        <f>G121/H$6</f>
        <v>0</v>
      </c>
      <c r="I121" s="72">
        <f>D121/I$6</f>
        <v>0</v>
      </c>
      <c r="J121" s="70">
        <f>SUM(D121:I121)</f>
        <v>0</v>
      </c>
      <c r="K121" s="71">
        <v>0</v>
      </c>
      <c r="L121" s="71">
        <v>0</v>
      </c>
      <c r="M121" s="72">
        <f t="shared" si="2209"/>
        <v>0</v>
      </c>
      <c r="N121" s="72">
        <f t="shared" si="2210"/>
        <v>0</v>
      </c>
      <c r="O121" s="70">
        <f>SUM(M121:N121)</f>
        <v>0</v>
      </c>
      <c r="P121" s="75">
        <v>0</v>
      </c>
      <c r="Q121" s="74">
        <f t="shared" si="2211"/>
        <v>0</v>
      </c>
      <c r="R121" s="303">
        <f>J121+O121+P121+Q121</f>
        <v>0</v>
      </c>
      <c r="S121" s="58">
        <v>0</v>
      </c>
      <c r="T121" s="68"/>
      <c r="U121" s="28">
        <f t="shared" si="2212"/>
        <v>0</v>
      </c>
      <c r="V121" s="28">
        <v>0</v>
      </c>
      <c r="W121" s="28">
        <f>V121*W$6</f>
        <v>0</v>
      </c>
      <c r="X121" s="28">
        <f>V121*X$6</f>
        <v>0</v>
      </c>
      <c r="Y121" s="28">
        <f>V121/Y$6</f>
        <v>0</v>
      </c>
      <c r="Z121" s="72">
        <f>Y121/Z$6</f>
        <v>0</v>
      </c>
      <c r="AA121" s="72">
        <f>V121/AA$6</f>
        <v>0</v>
      </c>
      <c r="AB121" s="70">
        <f>SUM(V121:AA121)</f>
        <v>0</v>
      </c>
      <c r="AC121" s="71">
        <v>0</v>
      </c>
      <c r="AD121" s="71">
        <v>0</v>
      </c>
      <c r="AE121" s="72">
        <f t="shared" si="2213"/>
        <v>0</v>
      </c>
      <c r="AF121" s="72">
        <f t="shared" si="2214"/>
        <v>0</v>
      </c>
      <c r="AG121" s="70">
        <f>SUM(AE121:AF121)</f>
        <v>0</v>
      </c>
      <c r="AH121" s="75">
        <v>0</v>
      </c>
      <c r="AI121" s="74">
        <f t="shared" si="2215"/>
        <v>0</v>
      </c>
      <c r="AJ121" s="303">
        <f>AB121+AG121+AH121+AI121</f>
        <v>0</v>
      </c>
      <c r="AK121" s="58">
        <v>0</v>
      </c>
      <c r="AL121" s="68"/>
      <c r="AM121" s="28">
        <f t="shared" si="2216"/>
        <v>0</v>
      </c>
      <c r="AN121" s="28">
        <v>0</v>
      </c>
      <c r="AO121" s="28">
        <f>AN121*AO$6</f>
        <v>0</v>
      </c>
      <c r="AP121" s="28">
        <f>AN121*AP$6</f>
        <v>0</v>
      </c>
      <c r="AQ121" s="28">
        <f>AN121/AQ$6</f>
        <v>0</v>
      </c>
      <c r="AR121" s="72">
        <f>AQ121/AR$6</f>
        <v>0</v>
      </c>
      <c r="AS121" s="72">
        <f>AN121/AS$6</f>
        <v>0</v>
      </c>
      <c r="AT121" s="70">
        <f>SUM(AN121:AS121)</f>
        <v>0</v>
      </c>
      <c r="AU121" s="71">
        <v>0</v>
      </c>
      <c r="AV121" s="71">
        <v>0</v>
      </c>
      <c r="AW121" s="72">
        <f t="shared" si="2217"/>
        <v>0</v>
      </c>
      <c r="AX121" s="72">
        <f t="shared" si="2218"/>
        <v>0</v>
      </c>
      <c r="AY121" s="70">
        <f>SUM(AW121:AX121)</f>
        <v>0</v>
      </c>
      <c r="AZ121" s="75">
        <v>0</v>
      </c>
      <c r="BA121" s="74">
        <f t="shared" si="2219"/>
        <v>0</v>
      </c>
      <c r="BB121" s="303">
        <f>AT121+AY121+AZ121+BA121</f>
        <v>0</v>
      </c>
      <c r="BC121" s="58">
        <v>0</v>
      </c>
      <c r="BD121" s="68"/>
      <c r="BE121" s="28">
        <f t="shared" si="2220"/>
        <v>0</v>
      </c>
      <c r="BF121" s="28">
        <v>0</v>
      </c>
      <c r="BG121" s="28">
        <f>BF121*BG$6</f>
        <v>0</v>
      </c>
      <c r="BH121" s="28">
        <f>BF121*BH$6</f>
        <v>0</v>
      </c>
      <c r="BI121" s="28">
        <f>BF121/BI$6</f>
        <v>0</v>
      </c>
      <c r="BJ121" s="72">
        <f>BI121/BJ$6</f>
        <v>0</v>
      </c>
      <c r="BK121" s="72">
        <f>BF121/BK$6</f>
        <v>0</v>
      </c>
      <c r="BL121" s="70">
        <f>SUM(BF121:BK121)</f>
        <v>0</v>
      </c>
      <c r="BM121" s="71">
        <v>0</v>
      </c>
      <c r="BN121" s="71">
        <v>0</v>
      </c>
      <c r="BO121" s="72">
        <f t="shared" si="2221"/>
        <v>0</v>
      </c>
      <c r="BP121" s="72">
        <f t="shared" si="2222"/>
        <v>0</v>
      </c>
      <c r="BQ121" s="70">
        <f>SUM(BO121:BP121)</f>
        <v>0</v>
      </c>
      <c r="BR121" s="75">
        <v>0</v>
      </c>
      <c r="BS121" s="74">
        <f t="shared" si="2223"/>
        <v>0</v>
      </c>
      <c r="BT121" s="303">
        <f>BL121+BQ121+BR121+BS121</f>
        <v>0</v>
      </c>
      <c r="BU121" s="58">
        <v>0</v>
      </c>
      <c r="BV121" s="68"/>
      <c r="BW121" s="28">
        <f t="shared" si="2224"/>
        <v>0</v>
      </c>
      <c r="BX121" s="28">
        <v>0</v>
      </c>
      <c r="BY121" s="28">
        <f>BX121*BY$6</f>
        <v>0</v>
      </c>
      <c r="BZ121" s="28">
        <f>BX121*BZ$6</f>
        <v>0</v>
      </c>
      <c r="CA121" s="28">
        <f>BX121/CA$6</f>
        <v>0</v>
      </c>
      <c r="CB121" s="72">
        <f>CA121/CB$6</f>
        <v>0</v>
      </c>
      <c r="CC121" s="72">
        <f>BX121/CC$6</f>
        <v>0</v>
      </c>
      <c r="CD121" s="70">
        <f>SUM(BX121:CC121)</f>
        <v>0</v>
      </c>
      <c r="CE121" s="71">
        <v>0</v>
      </c>
      <c r="CF121" s="71">
        <v>0</v>
      </c>
      <c r="CG121" s="72">
        <f t="shared" si="2225"/>
        <v>0</v>
      </c>
      <c r="CH121" s="72">
        <f t="shared" si="2226"/>
        <v>0</v>
      </c>
      <c r="CI121" s="70">
        <f>SUM(CG121:CH121)</f>
        <v>0</v>
      </c>
      <c r="CJ121" s="75">
        <v>0</v>
      </c>
      <c r="CK121" s="74">
        <f t="shared" si="2227"/>
        <v>0</v>
      </c>
      <c r="CL121" s="303">
        <f>CD121+CI121+CJ121+CK121</f>
        <v>0</v>
      </c>
      <c r="CM121" s="58">
        <v>0</v>
      </c>
      <c r="CN121" s="68"/>
      <c r="CO121" s="28">
        <f t="shared" si="2228"/>
        <v>0</v>
      </c>
      <c r="CP121" s="28">
        <v>0</v>
      </c>
      <c r="CQ121" s="28">
        <f>CP121*CQ$6</f>
        <v>0</v>
      </c>
      <c r="CR121" s="28">
        <f>CP121*CR$6</f>
        <v>0</v>
      </c>
      <c r="CS121" s="28">
        <f>CP121/CS$6</f>
        <v>0</v>
      </c>
      <c r="CT121" s="72">
        <f>CS121/CT$6</f>
        <v>0</v>
      </c>
      <c r="CU121" s="72">
        <f>CP121/CU$6</f>
        <v>0</v>
      </c>
      <c r="CV121" s="70">
        <f>SUM(CP121:CU121)</f>
        <v>0</v>
      </c>
      <c r="CW121" s="71">
        <v>0</v>
      </c>
      <c r="CX121" s="71">
        <v>0</v>
      </c>
      <c r="CY121" s="72">
        <f t="shared" si="2229"/>
        <v>0</v>
      </c>
      <c r="CZ121" s="72">
        <f t="shared" si="2230"/>
        <v>0</v>
      </c>
      <c r="DA121" s="70">
        <f>SUM(CY121:CZ121)</f>
        <v>0</v>
      </c>
      <c r="DB121" s="75">
        <v>0</v>
      </c>
      <c r="DC121" s="74">
        <f t="shared" si="2231"/>
        <v>0</v>
      </c>
      <c r="DD121" s="303">
        <f>CV121+DA121+DB121+DC121</f>
        <v>0</v>
      </c>
      <c r="DE121" s="58">
        <v>0</v>
      </c>
      <c r="DF121" s="68"/>
      <c r="DG121" s="28">
        <f t="shared" si="2232"/>
        <v>0</v>
      </c>
      <c r="DH121" s="28">
        <v>0</v>
      </c>
      <c r="DI121" s="28">
        <f>DH121*DI$6</f>
        <v>0</v>
      </c>
      <c r="DJ121" s="28">
        <f>DH121*DJ$6</f>
        <v>0</v>
      </c>
      <c r="DK121" s="28">
        <f>DH121/DK$6</f>
        <v>0</v>
      </c>
      <c r="DL121" s="72">
        <f>DK121/DL$6</f>
        <v>0</v>
      </c>
      <c r="DM121" s="72">
        <f>DH121/DM$6</f>
        <v>0</v>
      </c>
      <c r="DN121" s="70">
        <f>SUM(DH121:DM121)</f>
        <v>0</v>
      </c>
      <c r="DO121" s="71">
        <v>0</v>
      </c>
      <c r="DP121" s="71">
        <v>0</v>
      </c>
      <c r="DQ121" s="72">
        <f t="shared" si="2233"/>
        <v>0</v>
      </c>
      <c r="DR121" s="72">
        <f t="shared" si="2234"/>
        <v>0</v>
      </c>
      <c r="DS121" s="70">
        <f>SUM(DQ121:DR121)</f>
        <v>0</v>
      </c>
      <c r="DT121" s="75">
        <v>0</v>
      </c>
      <c r="DU121" s="74">
        <f t="shared" si="2235"/>
        <v>0</v>
      </c>
      <c r="DV121" s="303">
        <f>DN121+DS121+DT121+DU121</f>
        <v>0</v>
      </c>
      <c r="DW121" s="58">
        <v>0</v>
      </c>
      <c r="DX121" s="68"/>
      <c r="DY121" s="28">
        <f t="shared" si="2236"/>
        <v>0</v>
      </c>
      <c r="DZ121" s="28">
        <v>0</v>
      </c>
      <c r="EA121" s="28">
        <f>DZ121*EA$6</f>
        <v>0</v>
      </c>
      <c r="EB121" s="28">
        <f>DZ121*EB$6</f>
        <v>0</v>
      </c>
      <c r="EC121" s="28">
        <f>DZ121/EC$6</f>
        <v>0</v>
      </c>
      <c r="ED121" s="72">
        <f>EC121/ED$6</f>
        <v>0</v>
      </c>
      <c r="EE121" s="72">
        <f>DZ121/EE$6</f>
        <v>0</v>
      </c>
      <c r="EF121" s="70">
        <f>SUM(DZ121:EE121)</f>
        <v>0</v>
      </c>
      <c r="EG121" s="71">
        <v>0</v>
      </c>
      <c r="EH121" s="71">
        <v>0</v>
      </c>
      <c r="EI121" s="72">
        <f t="shared" si="2237"/>
        <v>0</v>
      </c>
      <c r="EJ121" s="72">
        <f t="shared" si="2238"/>
        <v>0</v>
      </c>
      <c r="EK121" s="70">
        <f>SUM(EI121:EJ121)</f>
        <v>0</v>
      </c>
      <c r="EL121" s="75">
        <v>0</v>
      </c>
      <c r="EM121" s="74">
        <f t="shared" si="2239"/>
        <v>0</v>
      </c>
      <c r="EN121" s="303">
        <f>EF121+EK121+EL121+EM121</f>
        <v>0</v>
      </c>
      <c r="EO121" s="58">
        <v>0</v>
      </c>
      <c r="EP121" s="68"/>
      <c r="EQ121" s="28">
        <f t="shared" si="2240"/>
        <v>0</v>
      </c>
      <c r="ER121" s="28">
        <v>0</v>
      </c>
      <c r="ES121" s="28">
        <f>ER121*ES$6</f>
        <v>0</v>
      </c>
      <c r="ET121" s="28">
        <f>ER121*ET$6</f>
        <v>0</v>
      </c>
      <c r="EU121" s="28">
        <f>ER121/EU$6</f>
        <v>0</v>
      </c>
      <c r="EV121" s="72">
        <f>EU121/EV$6</f>
        <v>0</v>
      </c>
      <c r="EW121" s="72">
        <f>ER121/EW$6</f>
        <v>0</v>
      </c>
      <c r="EX121" s="70">
        <f>SUM(ER121:EW121)</f>
        <v>0</v>
      </c>
      <c r="EY121" s="71">
        <v>0</v>
      </c>
      <c r="EZ121" s="71">
        <v>0</v>
      </c>
      <c r="FA121" s="72">
        <f t="shared" si="2241"/>
        <v>0</v>
      </c>
      <c r="FB121" s="72">
        <f t="shared" si="2242"/>
        <v>0</v>
      </c>
      <c r="FC121" s="70">
        <f>SUM(FA121:FB121)</f>
        <v>0</v>
      </c>
      <c r="FD121" s="75">
        <v>0</v>
      </c>
      <c r="FE121" s="74">
        <f t="shared" si="2243"/>
        <v>0</v>
      </c>
      <c r="FF121" s="303">
        <f>EX121+FC121+FD121+FE121</f>
        <v>0</v>
      </c>
      <c r="FG121" s="58">
        <v>0</v>
      </c>
      <c r="FH121" s="68"/>
      <c r="FI121" s="28">
        <f t="shared" si="2244"/>
        <v>0</v>
      </c>
      <c r="FJ121" s="28">
        <v>0</v>
      </c>
      <c r="FK121" s="28">
        <f>FJ121*FK$6</f>
        <v>0</v>
      </c>
      <c r="FL121" s="28">
        <f>FJ121*FL$6</f>
        <v>0</v>
      </c>
      <c r="FM121" s="28">
        <f>FJ121/FM$6</f>
        <v>0</v>
      </c>
      <c r="FN121" s="72">
        <f>FM121/FN$6</f>
        <v>0</v>
      </c>
      <c r="FO121" s="72">
        <f>FJ121/FO$6</f>
        <v>0</v>
      </c>
      <c r="FP121" s="70">
        <f>SUM(FJ121:FO121)</f>
        <v>0</v>
      </c>
      <c r="FQ121" s="71">
        <v>0</v>
      </c>
      <c r="FR121" s="71">
        <v>0</v>
      </c>
      <c r="FS121" s="72">
        <f t="shared" si="2245"/>
        <v>0</v>
      </c>
      <c r="FT121" s="72">
        <f t="shared" si="2246"/>
        <v>0</v>
      </c>
      <c r="FU121" s="70">
        <f>SUM(FS121:FT121)</f>
        <v>0</v>
      </c>
      <c r="FV121" s="75">
        <v>0</v>
      </c>
      <c r="FW121" s="74">
        <f t="shared" si="2247"/>
        <v>0</v>
      </c>
      <c r="FX121" s="303">
        <f>FP121+FU121+FV121+FW121</f>
        <v>0</v>
      </c>
      <c r="FY121" s="58">
        <v>0</v>
      </c>
      <c r="FZ121" s="68"/>
      <c r="GA121" s="28">
        <f t="shared" si="2248"/>
        <v>0</v>
      </c>
      <c r="GB121" s="28">
        <v>0</v>
      </c>
      <c r="GC121" s="28">
        <f>GB121*GC$6</f>
        <v>0</v>
      </c>
      <c r="GD121" s="28">
        <f>GB121*GD$6</f>
        <v>0</v>
      </c>
      <c r="GE121" s="28">
        <f>GB121/GE$6</f>
        <v>0</v>
      </c>
      <c r="GF121" s="72">
        <f>GE121/GF$6</f>
        <v>0</v>
      </c>
      <c r="GG121" s="72">
        <f>GB121/GG$6</f>
        <v>0</v>
      </c>
      <c r="GH121" s="70">
        <f>SUM(GB121:GG121)</f>
        <v>0</v>
      </c>
      <c r="GI121" s="71">
        <v>0</v>
      </c>
      <c r="GJ121" s="71">
        <v>0</v>
      </c>
      <c r="GK121" s="72">
        <f t="shared" si="2249"/>
        <v>0</v>
      </c>
      <c r="GL121" s="72">
        <f t="shared" si="2250"/>
        <v>0</v>
      </c>
      <c r="GM121" s="70">
        <f>SUM(GK121:GL121)</f>
        <v>0</v>
      </c>
      <c r="GN121" s="75">
        <v>0</v>
      </c>
      <c r="GO121" s="74">
        <f t="shared" si="2251"/>
        <v>0</v>
      </c>
      <c r="GP121" s="303">
        <f>GH121+GM121+GN121+GO121</f>
        <v>0</v>
      </c>
      <c r="GQ121" s="58">
        <v>0</v>
      </c>
      <c r="GR121" s="68"/>
      <c r="GS121" s="28">
        <f t="shared" si="2252"/>
        <v>0</v>
      </c>
      <c r="GT121" s="28">
        <v>0</v>
      </c>
      <c r="GU121" s="28">
        <f>GT121*GU$6</f>
        <v>0</v>
      </c>
      <c r="GV121" s="28">
        <f>GT121*GV$6</f>
        <v>0</v>
      </c>
      <c r="GW121" s="28">
        <f>GT121/GW$6</f>
        <v>0</v>
      </c>
      <c r="GX121" s="72">
        <f>GW121/GX$6</f>
        <v>0</v>
      </c>
      <c r="GY121" s="72">
        <f>GT121/GY$6</f>
        <v>0</v>
      </c>
      <c r="GZ121" s="70">
        <f>SUM(GT121:GY121)</f>
        <v>0</v>
      </c>
      <c r="HA121" s="71">
        <v>0</v>
      </c>
      <c r="HB121" s="71">
        <v>0</v>
      </c>
      <c r="HC121" s="72">
        <f t="shared" si="2253"/>
        <v>0</v>
      </c>
      <c r="HD121" s="72">
        <f t="shared" si="2254"/>
        <v>0</v>
      </c>
      <c r="HE121" s="70">
        <f>SUM(HC121:HD121)</f>
        <v>0</v>
      </c>
      <c r="HF121" s="75">
        <v>0</v>
      </c>
      <c r="HG121" s="74">
        <f t="shared" si="2255"/>
        <v>0</v>
      </c>
      <c r="HH121" s="303">
        <f>GZ121+HE121+HF121+HG121</f>
        <v>0</v>
      </c>
      <c r="HJ121" s="37"/>
      <c r="HK121" s="37"/>
      <c r="HL121" s="37"/>
      <c r="HM121" s="37"/>
      <c r="HN121" s="37"/>
      <c r="HO121" s="37"/>
      <c r="HP121" s="37"/>
      <c r="HQ121" s="37"/>
      <c r="HR121" s="37"/>
      <c r="HS121" s="37"/>
      <c r="HT121" s="37"/>
      <c r="HU121" s="37"/>
      <c r="HV121" s="37"/>
      <c r="HW121" s="37"/>
      <c r="HX121" s="37"/>
      <c r="HY121" s="37"/>
      <c r="HZ121" s="37"/>
      <c r="IA121" s="37"/>
      <c r="IB121" s="37"/>
      <c r="IC121" s="37"/>
      <c r="ID121" s="37"/>
      <c r="IE121" s="37"/>
      <c r="IF121" s="37"/>
      <c r="IG121" s="37"/>
      <c r="IH121" s="37"/>
      <c r="II121" s="37"/>
      <c r="IJ121" s="37"/>
      <c r="IK121" s="37"/>
      <c r="IL121" s="37"/>
      <c r="IM121" s="37"/>
      <c r="IN121" s="37"/>
      <c r="IO121" s="37"/>
      <c r="IP121" s="37"/>
    </row>
    <row r="122" spans="1:250" x14ac:dyDescent="0.3">
      <c r="A122" s="58">
        <v>0</v>
      </c>
      <c r="B122" s="68"/>
      <c r="C122" s="28">
        <f t="shared" si="2208"/>
        <v>0</v>
      </c>
      <c r="D122" s="28">
        <v>0</v>
      </c>
      <c r="E122" s="28">
        <f>D122*E$6</f>
        <v>0</v>
      </c>
      <c r="F122" s="28">
        <f>D122*F$6</f>
        <v>0</v>
      </c>
      <c r="G122" s="28">
        <f>D122/G$6</f>
        <v>0</v>
      </c>
      <c r="H122" s="72">
        <f>G122/H$6</f>
        <v>0</v>
      </c>
      <c r="I122" s="72">
        <f>D122/I$6</f>
        <v>0</v>
      </c>
      <c r="J122" s="70">
        <f>SUM(D122:I122)</f>
        <v>0</v>
      </c>
      <c r="K122" s="71">
        <v>0</v>
      </c>
      <c r="L122" s="71">
        <v>0</v>
      </c>
      <c r="M122" s="72">
        <f t="shared" si="2209"/>
        <v>0</v>
      </c>
      <c r="N122" s="72">
        <f t="shared" si="2210"/>
        <v>0</v>
      </c>
      <c r="O122" s="70">
        <f>SUM(M122:N122)</f>
        <v>0</v>
      </c>
      <c r="P122" s="75">
        <v>0</v>
      </c>
      <c r="Q122" s="74">
        <f t="shared" si="2211"/>
        <v>0</v>
      </c>
      <c r="R122" s="303">
        <f>J122+O122+P122+Q122</f>
        <v>0</v>
      </c>
      <c r="S122" s="58">
        <v>0</v>
      </c>
      <c r="T122" s="68"/>
      <c r="U122" s="28">
        <f t="shared" si="2212"/>
        <v>0</v>
      </c>
      <c r="V122" s="28">
        <v>0</v>
      </c>
      <c r="W122" s="28">
        <f>V122*W$6</f>
        <v>0</v>
      </c>
      <c r="X122" s="28">
        <f>V122*X$6</f>
        <v>0</v>
      </c>
      <c r="Y122" s="28">
        <f>V122/Y$6</f>
        <v>0</v>
      </c>
      <c r="Z122" s="72">
        <f>Y122/Z$6</f>
        <v>0</v>
      </c>
      <c r="AA122" s="72">
        <f>V122/AA$6</f>
        <v>0</v>
      </c>
      <c r="AB122" s="70">
        <f>SUM(V122:AA122)</f>
        <v>0</v>
      </c>
      <c r="AC122" s="71">
        <v>0</v>
      </c>
      <c r="AD122" s="71">
        <v>0</v>
      </c>
      <c r="AE122" s="72">
        <f t="shared" si="2213"/>
        <v>0</v>
      </c>
      <c r="AF122" s="72">
        <f t="shared" si="2214"/>
        <v>0</v>
      </c>
      <c r="AG122" s="70">
        <f>SUM(AE122:AF122)</f>
        <v>0</v>
      </c>
      <c r="AH122" s="75">
        <v>0</v>
      </c>
      <c r="AI122" s="74">
        <f t="shared" si="2215"/>
        <v>0</v>
      </c>
      <c r="AJ122" s="303">
        <f>AB122+AG122+AH122+AI122</f>
        <v>0</v>
      </c>
      <c r="AK122" s="58">
        <v>0</v>
      </c>
      <c r="AL122" s="68"/>
      <c r="AM122" s="28">
        <f t="shared" si="2216"/>
        <v>0</v>
      </c>
      <c r="AN122" s="28">
        <v>0</v>
      </c>
      <c r="AO122" s="28">
        <f>AN122*AO$6</f>
        <v>0</v>
      </c>
      <c r="AP122" s="28">
        <f>AN122*AP$6</f>
        <v>0</v>
      </c>
      <c r="AQ122" s="28">
        <f>AN122/AQ$6</f>
        <v>0</v>
      </c>
      <c r="AR122" s="72">
        <f>AQ122/AR$6</f>
        <v>0</v>
      </c>
      <c r="AS122" s="72">
        <f>AN122/AS$6</f>
        <v>0</v>
      </c>
      <c r="AT122" s="70">
        <f>SUM(AN122:AS122)</f>
        <v>0</v>
      </c>
      <c r="AU122" s="71">
        <v>0</v>
      </c>
      <c r="AV122" s="71">
        <v>0</v>
      </c>
      <c r="AW122" s="72">
        <f t="shared" si="2217"/>
        <v>0</v>
      </c>
      <c r="AX122" s="72">
        <f t="shared" si="2218"/>
        <v>0</v>
      </c>
      <c r="AY122" s="70">
        <f>SUM(AW122:AX122)</f>
        <v>0</v>
      </c>
      <c r="AZ122" s="75">
        <v>0</v>
      </c>
      <c r="BA122" s="74">
        <f t="shared" si="2219"/>
        <v>0</v>
      </c>
      <c r="BB122" s="303">
        <f>AT122+AY122+AZ122+BA122</f>
        <v>0</v>
      </c>
      <c r="BC122" s="58">
        <v>0</v>
      </c>
      <c r="BD122" s="68"/>
      <c r="BE122" s="28">
        <f t="shared" si="2220"/>
        <v>0</v>
      </c>
      <c r="BF122" s="28">
        <v>0</v>
      </c>
      <c r="BG122" s="28">
        <f>BF122*BG$6</f>
        <v>0</v>
      </c>
      <c r="BH122" s="28">
        <f>BF122*BH$6</f>
        <v>0</v>
      </c>
      <c r="BI122" s="28">
        <f>BF122/BI$6</f>
        <v>0</v>
      </c>
      <c r="BJ122" s="72">
        <f>BI122/BJ$6</f>
        <v>0</v>
      </c>
      <c r="BK122" s="72">
        <f>BF122/BK$6</f>
        <v>0</v>
      </c>
      <c r="BL122" s="70">
        <f>SUM(BF122:BK122)</f>
        <v>0</v>
      </c>
      <c r="BM122" s="71">
        <v>0</v>
      </c>
      <c r="BN122" s="71">
        <v>0</v>
      </c>
      <c r="BO122" s="72">
        <f t="shared" si="2221"/>
        <v>0</v>
      </c>
      <c r="BP122" s="72">
        <f t="shared" si="2222"/>
        <v>0</v>
      </c>
      <c r="BQ122" s="70">
        <f>SUM(BO122:BP122)</f>
        <v>0</v>
      </c>
      <c r="BR122" s="75">
        <v>0</v>
      </c>
      <c r="BS122" s="74">
        <f t="shared" si="2223"/>
        <v>0</v>
      </c>
      <c r="BT122" s="303">
        <f>BL122+BQ122+BR122+BS122</f>
        <v>0</v>
      </c>
      <c r="BU122" s="58">
        <v>0</v>
      </c>
      <c r="BV122" s="68"/>
      <c r="BW122" s="28">
        <f t="shared" si="2224"/>
        <v>0</v>
      </c>
      <c r="BX122" s="28">
        <v>0</v>
      </c>
      <c r="BY122" s="28">
        <f>BX122*BY$6</f>
        <v>0</v>
      </c>
      <c r="BZ122" s="28">
        <f>BX122*BZ$6</f>
        <v>0</v>
      </c>
      <c r="CA122" s="28">
        <f>BX122/CA$6</f>
        <v>0</v>
      </c>
      <c r="CB122" s="72">
        <f>CA122/CB$6</f>
        <v>0</v>
      </c>
      <c r="CC122" s="72">
        <f>BX122/CC$6</f>
        <v>0</v>
      </c>
      <c r="CD122" s="70">
        <f>SUM(BX122:CC122)</f>
        <v>0</v>
      </c>
      <c r="CE122" s="71">
        <v>0</v>
      </c>
      <c r="CF122" s="71">
        <v>0</v>
      </c>
      <c r="CG122" s="72">
        <f t="shared" si="2225"/>
        <v>0</v>
      </c>
      <c r="CH122" s="72">
        <f t="shared" si="2226"/>
        <v>0</v>
      </c>
      <c r="CI122" s="70">
        <f>SUM(CG122:CH122)</f>
        <v>0</v>
      </c>
      <c r="CJ122" s="75">
        <v>0</v>
      </c>
      <c r="CK122" s="74">
        <f t="shared" si="2227"/>
        <v>0</v>
      </c>
      <c r="CL122" s="303">
        <f>CD122+CI122+CJ122+CK122</f>
        <v>0</v>
      </c>
      <c r="CM122" s="58">
        <v>0</v>
      </c>
      <c r="CN122" s="68"/>
      <c r="CO122" s="28">
        <f t="shared" si="2228"/>
        <v>0</v>
      </c>
      <c r="CP122" s="28">
        <v>0</v>
      </c>
      <c r="CQ122" s="28">
        <f>CP122*CQ$6</f>
        <v>0</v>
      </c>
      <c r="CR122" s="28">
        <f>CP122*CR$6</f>
        <v>0</v>
      </c>
      <c r="CS122" s="28">
        <f>CP122/CS$6</f>
        <v>0</v>
      </c>
      <c r="CT122" s="72">
        <f>CS122/CT$6</f>
        <v>0</v>
      </c>
      <c r="CU122" s="72">
        <f>CP122/CU$6</f>
        <v>0</v>
      </c>
      <c r="CV122" s="70">
        <f>SUM(CP122:CU122)</f>
        <v>0</v>
      </c>
      <c r="CW122" s="71">
        <v>0</v>
      </c>
      <c r="CX122" s="71">
        <v>0</v>
      </c>
      <c r="CY122" s="72">
        <f t="shared" si="2229"/>
        <v>0</v>
      </c>
      <c r="CZ122" s="72">
        <f t="shared" si="2230"/>
        <v>0</v>
      </c>
      <c r="DA122" s="70">
        <f>SUM(CY122:CZ122)</f>
        <v>0</v>
      </c>
      <c r="DB122" s="75">
        <v>0</v>
      </c>
      <c r="DC122" s="74">
        <f t="shared" si="2231"/>
        <v>0</v>
      </c>
      <c r="DD122" s="303">
        <f>CV122+DA122+DB122+DC122</f>
        <v>0</v>
      </c>
      <c r="DE122" s="58">
        <v>0</v>
      </c>
      <c r="DF122" s="68"/>
      <c r="DG122" s="28">
        <f t="shared" si="2232"/>
        <v>0</v>
      </c>
      <c r="DH122" s="28">
        <v>0</v>
      </c>
      <c r="DI122" s="28">
        <f>DH122*DI$6</f>
        <v>0</v>
      </c>
      <c r="DJ122" s="28">
        <f>DH122*DJ$6</f>
        <v>0</v>
      </c>
      <c r="DK122" s="28">
        <f>DH122/DK$6</f>
        <v>0</v>
      </c>
      <c r="DL122" s="72">
        <f>DK122/DL$6</f>
        <v>0</v>
      </c>
      <c r="DM122" s="72">
        <f>DH122/DM$6</f>
        <v>0</v>
      </c>
      <c r="DN122" s="70">
        <f>SUM(DH122:DM122)</f>
        <v>0</v>
      </c>
      <c r="DO122" s="71">
        <v>0</v>
      </c>
      <c r="DP122" s="71">
        <v>0</v>
      </c>
      <c r="DQ122" s="72">
        <f t="shared" si="2233"/>
        <v>0</v>
      </c>
      <c r="DR122" s="72">
        <f t="shared" si="2234"/>
        <v>0</v>
      </c>
      <c r="DS122" s="70">
        <f>SUM(DQ122:DR122)</f>
        <v>0</v>
      </c>
      <c r="DT122" s="75">
        <v>0</v>
      </c>
      <c r="DU122" s="74">
        <f t="shared" si="2235"/>
        <v>0</v>
      </c>
      <c r="DV122" s="303">
        <f>DN122+DS122+DT122+DU122</f>
        <v>0</v>
      </c>
      <c r="DW122" s="58">
        <v>0</v>
      </c>
      <c r="DX122" s="68"/>
      <c r="DY122" s="28">
        <f t="shared" si="2236"/>
        <v>0</v>
      </c>
      <c r="DZ122" s="28">
        <v>0</v>
      </c>
      <c r="EA122" s="28">
        <f>DZ122*EA$6</f>
        <v>0</v>
      </c>
      <c r="EB122" s="28">
        <f>DZ122*EB$6</f>
        <v>0</v>
      </c>
      <c r="EC122" s="28">
        <f>DZ122/EC$6</f>
        <v>0</v>
      </c>
      <c r="ED122" s="72">
        <f>EC122/ED$6</f>
        <v>0</v>
      </c>
      <c r="EE122" s="72">
        <f>DZ122/EE$6</f>
        <v>0</v>
      </c>
      <c r="EF122" s="70">
        <f>SUM(DZ122:EE122)</f>
        <v>0</v>
      </c>
      <c r="EG122" s="71">
        <v>0</v>
      </c>
      <c r="EH122" s="71">
        <v>0</v>
      </c>
      <c r="EI122" s="72">
        <f t="shared" si="2237"/>
        <v>0</v>
      </c>
      <c r="EJ122" s="72">
        <f t="shared" si="2238"/>
        <v>0</v>
      </c>
      <c r="EK122" s="70">
        <f>SUM(EI122:EJ122)</f>
        <v>0</v>
      </c>
      <c r="EL122" s="75">
        <v>0</v>
      </c>
      <c r="EM122" s="74">
        <f t="shared" si="2239"/>
        <v>0</v>
      </c>
      <c r="EN122" s="303">
        <f>EF122+EK122+EL122+EM122</f>
        <v>0</v>
      </c>
      <c r="EO122" s="58">
        <v>0</v>
      </c>
      <c r="EP122" s="68"/>
      <c r="EQ122" s="28">
        <f t="shared" si="2240"/>
        <v>0</v>
      </c>
      <c r="ER122" s="28">
        <v>0</v>
      </c>
      <c r="ES122" s="28">
        <f>ER122*ES$6</f>
        <v>0</v>
      </c>
      <c r="ET122" s="28">
        <f>ER122*ET$6</f>
        <v>0</v>
      </c>
      <c r="EU122" s="28">
        <f>ER122/EU$6</f>
        <v>0</v>
      </c>
      <c r="EV122" s="72">
        <f>EU122/EV$6</f>
        <v>0</v>
      </c>
      <c r="EW122" s="72">
        <f>ER122/EW$6</f>
        <v>0</v>
      </c>
      <c r="EX122" s="70">
        <f>SUM(ER122:EW122)</f>
        <v>0</v>
      </c>
      <c r="EY122" s="71">
        <v>0</v>
      </c>
      <c r="EZ122" s="71">
        <v>0</v>
      </c>
      <c r="FA122" s="72">
        <f t="shared" si="2241"/>
        <v>0</v>
      </c>
      <c r="FB122" s="72">
        <f t="shared" si="2242"/>
        <v>0</v>
      </c>
      <c r="FC122" s="70">
        <f>SUM(FA122:FB122)</f>
        <v>0</v>
      </c>
      <c r="FD122" s="75">
        <v>0</v>
      </c>
      <c r="FE122" s="74">
        <f t="shared" si="2243"/>
        <v>0</v>
      </c>
      <c r="FF122" s="303">
        <f>EX122+FC122+FD122+FE122</f>
        <v>0</v>
      </c>
      <c r="FG122" s="58">
        <v>0</v>
      </c>
      <c r="FH122" s="68"/>
      <c r="FI122" s="28">
        <f t="shared" si="2244"/>
        <v>0</v>
      </c>
      <c r="FJ122" s="28">
        <v>0</v>
      </c>
      <c r="FK122" s="28">
        <f>FJ122*FK$6</f>
        <v>0</v>
      </c>
      <c r="FL122" s="28">
        <f>FJ122*FL$6</f>
        <v>0</v>
      </c>
      <c r="FM122" s="28">
        <f>FJ122/FM$6</f>
        <v>0</v>
      </c>
      <c r="FN122" s="72">
        <f>FM122/FN$6</f>
        <v>0</v>
      </c>
      <c r="FO122" s="72">
        <f>FJ122/FO$6</f>
        <v>0</v>
      </c>
      <c r="FP122" s="70">
        <f>SUM(FJ122:FO122)</f>
        <v>0</v>
      </c>
      <c r="FQ122" s="71">
        <v>0</v>
      </c>
      <c r="FR122" s="71">
        <v>0</v>
      </c>
      <c r="FS122" s="72">
        <f t="shared" si="2245"/>
        <v>0</v>
      </c>
      <c r="FT122" s="72">
        <f t="shared" si="2246"/>
        <v>0</v>
      </c>
      <c r="FU122" s="70">
        <f>SUM(FS122:FT122)</f>
        <v>0</v>
      </c>
      <c r="FV122" s="75">
        <v>0</v>
      </c>
      <c r="FW122" s="74">
        <f t="shared" si="2247"/>
        <v>0</v>
      </c>
      <c r="FX122" s="303">
        <f>FP122+FU122+FV122+FW122</f>
        <v>0</v>
      </c>
      <c r="FY122" s="58">
        <v>0</v>
      </c>
      <c r="FZ122" s="68"/>
      <c r="GA122" s="28">
        <f t="shared" si="2248"/>
        <v>0</v>
      </c>
      <c r="GB122" s="28">
        <v>0</v>
      </c>
      <c r="GC122" s="28">
        <f>GB122*GC$6</f>
        <v>0</v>
      </c>
      <c r="GD122" s="28">
        <f>GB122*GD$6</f>
        <v>0</v>
      </c>
      <c r="GE122" s="28">
        <f>GB122/GE$6</f>
        <v>0</v>
      </c>
      <c r="GF122" s="72">
        <f>GE122/GF$6</f>
        <v>0</v>
      </c>
      <c r="GG122" s="72">
        <f>GB122/GG$6</f>
        <v>0</v>
      </c>
      <c r="GH122" s="70">
        <f>SUM(GB122:GG122)</f>
        <v>0</v>
      </c>
      <c r="GI122" s="71">
        <v>0</v>
      </c>
      <c r="GJ122" s="71">
        <v>0</v>
      </c>
      <c r="GK122" s="72">
        <f t="shared" si="2249"/>
        <v>0</v>
      </c>
      <c r="GL122" s="72">
        <f t="shared" si="2250"/>
        <v>0</v>
      </c>
      <c r="GM122" s="70">
        <f>SUM(GK122:GL122)</f>
        <v>0</v>
      </c>
      <c r="GN122" s="75">
        <v>0</v>
      </c>
      <c r="GO122" s="74">
        <f t="shared" si="2251"/>
        <v>0</v>
      </c>
      <c r="GP122" s="303">
        <f>GH122+GM122+GN122+GO122</f>
        <v>0</v>
      </c>
      <c r="GQ122" s="58">
        <v>0</v>
      </c>
      <c r="GR122" s="68"/>
      <c r="GS122" s="28">
        <f t="shared" si="2252"/>
        <v>0</v>
      </c>
      <c r="GT122" s="28">
        <v>0</v>
      </c>
      <c r="GU122" s="28">
        <f>GT122*GU$6</f>
        <v>0</v>
      </c>
      <c r="GV122" s="28">
        <f>GT122*GV$6</f>
        <v>0</v>
      </c>
      <c r="GW122" s="28">
        <f>GT122/GW$6</f>
        <v>0</v>
      </c>
      <c r="GX122" s="72">
        <f>GW122/GX$6</f>
        <v>0</v>
      </c>
      <c r="GY122" s="72">
        <f>GT122/GY$6</f>
        <v>0</v>
      </c>
      <c r="GZ122" s="70">
        <f>SUM(GT122:GY122)</f>
        <v>0</v>
      </c>
      <c r="HA122" s="71">
        <v>0</v>
      </c>
      <c r="HB122" s="71">
        <v>0</v>
      </c>
      <c r="HC122" s="72">
        <f t="shared" si="2253"/>
        <v>0</v>
      </c>
      <c r="HD122" s="72">
        <f t="shared" si="2254"/>
        <v>0</v>
      </c>
      <c r="HE122" s="70">
        <f>SUM(HC122:HD122)</f>
        <v>0</v>
      </c>
      <c r="HF122" s="75">
        <v>0</v>
      </c>
      <c r="HG122" s="74">
        <f t="shared" si="2255"/>
        <v>0</v>
      </c>
      <c r="HH122" s="303">
        <f>GZ122+HE122+HF122+HG122</f>
        <v>0</v>
      </c>
      <c r="HJ122" s="37"/>
      <c r="HK122" s="37"/>
      <c r="HL122" s="37"/>
      <c r="HM122" s="37"/>
      <c r="HN122" s="37"/>
      <c r="HO122" s="37"/>
      <c r="HP122" s="37"/>
      <c r="HQ122" s="37"/>
      <c r="HR122" s="37"/>
      <c r="HS122" s="37"/>
      <c r="HT122" s="37"/>
      <c r="HU122" s="37"/>
      <c r="HV122" s="37"/>
      <c r="HW122" s="37"/>
      <c r="HX122" s="37"/>
      <c r="HY122" s="37"/>
      <c r="HZ122" s="37"/>
      <c r="IA122" s="37"/>
      <c r="IB122" s="37"/>
      <c r="IC122" s="37"/>
      <c r="ID122" s="37"/>
      <c r="IE122" s="37"/>
      <c r="IF122" s="37"/>
      <c r="IG122" s="37"/>
      <c r="IH122" s="37"/>
      <c r="II122" s="37"/>
      <c r="IJ122" s="37"/>
      <c r="IK122" s="37"/>
      <c r="IL122" s="37"/>
      <c r="IM122" s="37"/>
      <c r="IN122" s="37"/>
      <c r="IO122" s="37"/>
      <c r="IP122" s="37"/>
    </row>
    <row r="123" spans="1:250" ht="15.6" x14ac:dyDescent="0.3">
      <c r="A123" s="541"/>
      <c r="B123" s="537"/>
      <c r="C123" s="537"/>
      <c r="D123" s="537"/>
      <c r="E123" s="537"/>
      <c r="F123" s="537"/>
      <c r="G123" s="537"/>
      <c r="H123" s="537"/>
      <c r="I123" s="537"/>
      <c r="J123" s="537"/>
      <c r="K123" s="537"/>
      <c r="L123" s="537"/>
      <c r="M123" s="537"/>
      <c r="N123" s="537"/>
      <c r="O123" s="537"/>
      <c r="P123" s="538"/>
      <c r="Q123" s="423" t="s">
        <v>8</v>
      </c>
      <c r="R123" s="304">
        <f>SUM(R119:R122)</f>
        <v>0</v>
      </c>
      <c r="S123" s="541"/>
      <c r="T123" s="537"/>
      <c r="U123" s="537"/>
      <c r="V123" s="537"/>
      <c r="W123" s="537"/>
      <c r="X123" s="537"/>
      <c r="Y123" s="537"/>
      <c r="Z123" s="537"/>
      <c r="AA123" s="537"/>
      <c r="AB123" s="537"/>
      <c r="AC123" s="537"/>
      <c r="AD123" s="537"/>
      <c r="AE123" s="537"/>
      <c r="AF123" s="537"/>
      <c r="AG123" s="537"/>
      <c r="AH123" s="538"/>
      <c r="AI123" s="423" t="s">
        <v>8</v>
      </c>
      <c r="AJ123" s="304">
        <f>SUM(AJ119:AJ122)</f>
        <v>0</v>
      </c>
      <c r="AK123" s="541"/>
      <c r="AL123" s="537"/>
      <c r="AM123" s="537"/>
      <c r="AN123" s="537"/>
      <c r="AO123" s="537"/>
      <c r="AP123" s="537"/>
      <c r="AQ123" s="537"/>
      <c r="AR123" s="537"/>
      <c r="AS123" s="537"/>
      <c r="AT123" s="537"/>
      <c r="AU123" s="537"/>
      <c r="AV123" s="537"/>
      <c r="AW123" s="537"/>
      <c r="AX123" s="537"/>
      <c r="AY123" s="537"/>
      <c r="AZ123" s="538"/>
      <c r="BA123" s="423" t="s">
        <v>8</v>
      </c>
      <c r="BB123" s="304">
        <f>SUM(BB119:BB122)</f>
        <v>0</v>
      </c>
      <c r="BC123" s="541"/>
      <c r="BD123" s="537"/>
      <c r="BE123" s="537"/>
      <c r="BF123" s="537"/>
      <c r="BG123" s="537"/>
      <c r="BH123" s="537"/>
      <c r="BI123" s="537"/>
      <c r="BJ123" s="537"/>
      <c r="BK123" s="537"/>
      <c r="BL123" s="537"/>
      <c r="BM123" s="537"/>
      <c r="BN123" s="537"/>
      <c r="BO123" s="537"/>
      <c r="BP123" s="537"/>
      <c r="BQ123" s="537"/>
      <c r="BR123" s="538"/>
      <c r="BS123" s="423" t="s">
        <v>8</v>
      </c>
      <c r="BT123" s="304">
        <f>SUM(BT119:BT122)</f>
        <v>0</v>
      </c>
      <c r="BU123" s="541"/>
      <c r="BV123" s="537"/>
      <c r="BW123" s="537"/>
      <c r="BX123" s="537"/>
      <c r="BY123" s="537"/>
      <c r="BZ123" s="537"/>
      <c r="CA123" s="537"/>
      <c r="CB123" s="537"/>
      <c r="CC123" s="537"/>
      <c r="CD123" s="537"/>
      <c r="CE123" s="537"/>
      <c r="CF123" s="537"/>
      <c r="CG123" s="537"/>
      <c r="CH123" s="537"/>
      <c r="CI123" s="537"/>
      <c r="CJ123" s="538"/>
      <c r="CK123" s="423" t="s">
        <v>8</v>
      </c>
      <c r="CL123" s="304">
        <f>SUM(CL119:CL122)</f>
        <v>0</v>
      </c>
      <c r="CM123" s="541"/>
      <c r="CN123" s="537"/>
      <c r="CO123" s="537"/>
      <c r="CP123" s="537"/>
      <c r="CQ123" s="537"/>
      <c r="CR123" s="537"/>
      <c r="CS123" s="537"/>
      <c r="CT123" s="537"/>
      <c r="CU123" s="537"/>
      <c r="CV123" s="537"/>
      <c r="CW123" s="537"/>
      <c r="CX123" s="537"/>
      <c r="CY123" s="537"/>
      <c r="CZ123" s="537"/>
      <c r="DA123" s="537"/>
      <c r="DB123" s="538"/>
      <c r="DC123" s="423" t="s">
        <v>8</v>
      </c>
      <c r="DD123" s="304">
        <f>SUM(DD119:DD122)</f>
        <v>0</v>
      </c>
      <c r="DE123" s="541"/>
      <c r="DF123" s="537"/>
      <c r="DG123" s="537"/>
      <c r="DH123" s="537"/>
      <c r="DI123" s="537"/>
      <c r="DJ123" s="537"/>
      <c r="DK123" s="537"/>
      <c r="DL123" s="537"/>
      <c r="DM123" s="537"/>
      <c r="DN123" s="537"/>
      <c r="DO123" s="537"/>
      <c r="DP123" s="537"/>
      <c r="DQ123" s="537"/>
      <c r="DR123" s="537"/>
      <c r="DS123" s="537"/>
      <c r="DT123" s="538"/>
      <c r="DU123" s="423" t="s">
        <v>8</v>
      </c>
      <c r="DV123" s="304">
        <f>SUM(DV119:DV122)</f>
        <v>0</v>
      </c>
      <c r="DW123" s="541"/>
      <c r="DX123" s="537"/>
      <c r="DY123" s="537"/>
      <c r="DZ123" s="537"/>
      <c r="EA123" s="537"/>
      <c r="EB123" s="537"/>
      <c r="EC123" s="537"/>
      <c r="ED123" s="537"/>
      <c r="EE123" s="537"/>
      <c r="EF123" s="537"/>
      <c r="EG123" s="537"/>
      <c r="EH123" s="537"/>
      <c r="EI123" s="537"/>
      <c r="EJ123" s="537"/>
      <c r="EK123" s="537"/>
      <c r="EL123" s="538"/>
      <c r="EM123" s="423" t="s">
        <v>8</v>
      </c>
      <c r="EN123" s="304">
        <f>SUM(EN119:EN122)</f>
        <v>0</v>
      </c>
      <c r="EO123" s="541"/>
      <c r="EP123" s="537"/>
      <c r="EQ123" s="537"/>
      <c r="ER123" s="537"/>
      <c r="ES123" s="537"/>
      <c r="ET123" s="537"/>
      <c r="EU123" s="537"/>
      <c r="EV123" s="537"/>
      <c r="EW123" s="537"/>
      <c r="EX123" s="537"/>
      <c r="EY123" s="537"/>
      <c r="EZ123" s="537"/>
      <c r="FA123" s="537"/>
      <c r="FB123" s="537"/>
      <c r="FC123" s="537"/>
      <c r="FD123" s="538"/>
      <c r="FE123" s="423" t="s">
        <v>8</v>
      </c>
      <c r="FF123" s="304">
        <f>SUM(FF119:FF122)</f>
        <v>0</v>
      </c>
      <c r="FG123" s="541"/>
      <c r="FH123" s="537"/>
      <c r="FI123" s="537"/>
      <c r="FJ123" s="537"/>
      <c r="FK123" s="537"/>
      <c r="FL123" s="537"/>
      <c r="FM123" s="537"/>
      <c r="FN123" s="537"/>
      <c r="FO123" s="537"/>
      <c r="FP123" s="537"/>
      <c r="FQ123" s="537"/>
      <c r="FR123" s="537"/>
      <c r="FS123" s="537"/>
      <c r="FT123" s="537"/>
      <c r="FU123" s="537"/>
      <c r="FV123" s="538"/>
      <c r="FW123" s="423" t="s">
        <v>8</v>
      </c>
      <c r="FX123" s="304">
        <f>SUM(FX119:FX122)</f>
        <v>0</v>
      </c>
      <c r="FY123" s="541"/>
      <c r="FZ123" s="537"/>
      <c r="GA123" s="537"/>
      <c r="GB123" s="537"/>
      <c r="GC123" s="537"/>
      <c r="GD123" s="537"/>
      <c r="GE123" s="537"/>
      <c r="GF123" s="537"/>
      <c r="GG123" s="537"/>
      <c r="GH123" s="537"/>
      <c r="GI123" s="537"/>
      <c r="GJ123" s="537"/>
      <c r="GK123" s="537"/>
      <c r="GL123" s="537"/>
      <c r="GM123" s="537"/>
      <c r="GN123" s="538"/>
      <c r="GO123" s="423" t="s">
        <v>8</v>
      </c>
      <c r="GP123" s="304">
        <f>SUM(GP119:GP122)</f>
        <v>0</v>
      </c>
      <c r="GQ123" s="541"/>
      <c r="GR123" s="537"/>
      <c r="GS123" s="537"/>
      <c r="GT123" s="537"/>
      <c r="GU123" s="537"/>
      <c r="GV123" s="537"/>
      <c r="GW123" s="537"/>
      <c r="GX123" s="537"/>
      <c r="GY123" s="537"/>
      <c r="GZ123" s="537"/>
      <c r="HA123" s="537"/>
      <c r="HB123" s="537"/>
      <c r="HC123" s="537"/>
      <c r="HD123" s="537"/>
      <c r="HE123" s="537"/>
      <c r="HF123" s="538"/>
      <c r="HG123" s="423" t="s">
        <v>8</v>
      </c>
      <c r="HH123" s="304">
        <f>SUM(HH119:HH122)</f>
        <v>0</v>
      </c>
      <c r="HJ123" s="37"/>
      <c r="HK123" s="37"/>
      <c r="HL123" s="37"/>
      <c r="HM123" s="37"/>
      <c r="HN123" s="37"/>
      <c r="HO123" s="37"/>
      <c r="HP123" s="37"/>
      <c r="HQ123" s="37"/>
      <c r="HR123" s="37"/>
      <c r="HS123" s="37"/>
      <c r="HT123" s="37"/>
      <c r="HU123" s="37"/>
      <c r="HV123" s="37"/>
      <c r="HW123" s="37"/>
      <c r="HX123" s="37"/>
      <c r="HY123" s="37"/>
      <c r="HZ123" s="37"/>
      <c r="IA123" s="37"/>
      <c r="IB123" s="37"/>
      <c r="IC123" s="37"/>
      <c r="ID123" s="37"/>
      <c r="IE123" s="37"/>
      <c r="IF123" s="37"/>
      <c r="IG123" s="37"/>
      <c r="IH123" s="37"/>
      <c r="II123" s="37"/>
      <c r="IJ123" s="37"/>
      <c r="IK123" s="37"/>
      <c r="IL123" s="37"/>
      <c r="IM123" s="37"/>
      <c r="IN123" s="37"/>
      <c r="IO123" s="37"/>
      <c r="IP123" s="37"/>
    </row>
    <row r="124" spans="1:250" ht="15.6" x14ac:dyDescent="0.3">
      <c r="A124" s="543"/>
      <c r="B124" s="544"/>
      <c r="C124" s="544"/>
      <c r="D124" s="544"/>
      <c r="E124" s="742" t="s">
        <v>185</v>
      </c>
      <c r="F124" s="742"/>
      <c r="G124" s="742"/>
      <c r="H124" s="742"/>
      <c r="I124" s="742"/>
      <c r="J124" s="742"/>
      <c r="K124" s="742"/>
      <c r="L124" s="742"/>
      <c r="M124" s="742"/>
      <c r="N124" s="544"/>
      <c r="O124" s="544"/>
      <c r="P124" s="544"/>
      <c r="Q124" s="544"/>
      <c r="R124" s="545"/>
      <c r="S124" s="543"/>
      <c r="T124" s="544"/>
      <c r="U124" s="544"/>
      <c r="V124" s="544"/>
      <c r="W124" s="742" t="s">
        <v>185</v>
      </c>
      <c r="X124" s="742"/>
      <c r="Y124" s="742"/>
      <c r="Z124" s="742"/>
      <c r="AA124" s="742"/>
      <c r="AB124" s="742"/>
      <c r="AC124" s="742"/>
      <c r="AD124" s="742"/>
      <c r="AE124" s="742"/>
      <c r="AF124" s="544"/>
      <c r="AG124" s="544"/>
      <c r="AH124" s="544"/>
      <c r="AI124" s="544"/>
      <c r="AJ124" s="545"/>
      <c r="AK124" s="543"/>
      <c r="AL124" s="544"/>
      <c r="AM124" s="544"/>
      <c r="AN124" s="544"/>
      <c r="AO124" s="742" t="s">
        <v>185</v>
      </c>
      <c r="AP124" s="742"/>
      <c r="AQ124" s="742"/>
      <c r="AR124" s="742"/>
      <c r="AS124" s="742"/>
      <c r="AT124" s="742"/>
      <c r="AU124" s="742"/>
      <c r="AV124" s="742"/>
      <c r="AW124" s="742"/>
      <c r="AX124" s="544"/>
      <c r="AY124" s="544"/>
      <c r="AZ124" s="544"/>
      <c r="BA124" s="544"/>
      <c r="BB124" s="545"/>
      <c r="BC124" s="543"/>
      <c r="BD124" s="544"/>
      <c r="BE124" s="544"/>
      <c r="BF124" s="544"/>
      <c r="BG124" s="742" t="s">
        <v>185</v>
      </c>
      <c r="BH124" s="742"/>
      <c r="BI124" s="742"/>
      <c r="BJ124" s="742"/>
      <c r="BK124" s="742"/>
      <c r="BL124" s="742"/>
      <c r="BM124" s="742"/>
      <c r="BN124" s="742"/>
      <c r="BO124" s="742"/>
      <c r="BP124" s="544"/>
      <c r="BQ124" s="544"/>
      <c r="BR124" s="544"/>
      <c r="BS124" s="544"/>
      <c r="BT124" s="545"/>
      <c r="BU124" s="543"/>
      <c r="BV124" s="544"/>
      <c r="BW124" s="544"/>
      <c r="BX124" s="544"/>
      <c r="BY124" s="742" t="s">
        <v>185</v>
      </c>
      <c r="BZ124" s="742"/>
      <c r="CA124" s="742"/>
      <c r="CB124" s="742"/>
      <c r="CC124" s="742"/>
      <c r="CD124" s="742"/>
      <c r="CE124" s="742"/>
      <c r="CF124" s="742"/>
      <c r="CG124" s="742"/>
      <c r="CH124" s="544"/>
      <c r="CI124" s="544"/>
      <c r="CJ124" s="544"/>
      <c r="CK124" s="544"/>
      <c r="CL124" s="545"/>
      <c r="CM124" s="543"/>
      <c r="CN124" s="544"/>
      <c r="CO124" s="544"/>
      <c r="CP124" s="544"/>
      <c r="CQ124" s="742" t="s">
        <v>185</v>
      </c>
      <c r="CR124" s="742"/>
      <c r="CS124" s="742"/>
      <c r="CT124" s="742"/>
      <c r="CU124" s="742"/>
      <c r="CV124" s="742"/>
      <c r="CW124" s="742"/>
      <c r="CX124" s="742"/>
      <c r="CY124" s="742"/>
      <c r="CZ124" s="544"/>
      <c r="DA124" s="544"/>
      <c r="DB124" s="544"/>
      <c r="DC124" s="544"/>
      <c r="DD124" s="545"/>
      <c r="DE124" s="543"/>
      <c r="DF124" s="544"/>
      <c r="DG124" s="544"/>
      <c r="DH124" s="544"/>
      <c r="DI124" s="742" t="s">
        <v>185</v>
      </c>
      <c r="DJ124" s="742"/>
      <c r="DK124" s="742"/>
      <c r="DL124" s="742"/>
      <c r="DM124" s="742"/>
      <c r="DN124" s="742"/>
      <c r="DO124" s="742"/>
      <c r="DP124" s="742"/>
      <c r="DQ124" s="742"/>
      <c r="DR124" s="544"/>
      <c r="DS124" s="544"/>
      <c r="DT124" s="544"/>
      <c r="DU124" s="544"/>
      <c r="DV124" s="545"/>
      <c r="DW124" s="543"/>
      <c r="DX124" s="544"/>
      <c r="DY124" s="544"/>
      <c r="DZ124" s="544"/>
      <c r="EA124" s="742" t="s">
        <v>185</v>
      </c>
      <c r="EB124" s="742"/>
      <c r="EC124" s="742"/>
      <c r="ED124" s="742"/>
      <c r="EE124" s="742"/>
      <c r="EF124" s="742"/>
      <c r="EG124" s="742"/>
      <c r="EH124" s="742"/>
      <c r="EI124" s="742"/>
      <c r="EJ124" s="544"/>
      <c r="EK124" s="544"/>
      <c r="EL124" s="544"/>
      <c r="EM124" s="544"/>
      <c r="EN124" s="545"/>
      <c r="EO124" s="543"/>
      <c r="EP124" s="544"/>
      <c r="EQ124" s="544"/>
      <c r="ER124" s="544"/>
      <c r="ES124" s="742" t="s">
        <v>185</v>
      </c>
      <c r="ET124" s="742"/>
      <c r="EU124" s="742"/>
      <c r="EV124" s="742"/>
      <c r="EW124" s="742"/>
      <c r="EX124" s="742"/>
      <c r="EY124" s="742"/>
      <c r="EZ124" s="742"/>
      <c r="FA124" s="742"/>
      <c r="FB124" s="544"/>
      <c r="FC124" s="544"/>
      <c r="FD124" s="544"/>
      <c r="FE124" s="544"/>
      <c r="FF124" s="545"/>
      <c r="FG124" s="543"/>
      <c r="FH124" s="544"/>
      <c r="FI124" s="544"/>
      <c r="FJ124" s="544"/>
      <c r="FK124" s="742" t="s">
        <v>185</v>
      </c>
      <c r="FL124" s="742"/>
      <c r="FM124" s="742"/>
      <c r="FN124" s="742"/>
      <c r="FO124" s="742"/>
      <c r="FP124" s="742"/>
      <c r="FQ124" s="742"/>
      <c r="FR124" s="742"/>
      <c r="FS124" s="742"/>
      <c r="FT124" s="544"/>
      <c r="FU124" s="544"/>
      <c r="FV124" s="544"/>
      <c r="FW124" s="544"/>
      <c r="FX124" s="545"/>
      <c r="FY124" s="543"/>
      <c r="FZ124" s="544"/>
      <c r="GA124" s="544"/>
      <c r="GB124" s="544"/>
      <c r="GC124" s="742" t="s">
        <v>185</v>
      </c>
      <c r="GD124" s="742"/>
      <c r="GE124" s="742"/>
      <c r="GF124" s="742"/>
      <c r="GG124" s="742"/>
      <c r="GH124" s="742"/>
      <c r="GI124" s="742"/>
      <c r="GJ124" s="742"/>
      <c r="GK124" s="742"/>
      <c r="GL124" s="544"/>
      <c r="GM124" s="544"/>
      <c r="GN124" s="544"/>
      <c r="GO124" s="544"/>
      <c r="GP124" s="545"/>
      <c r="GQ124" s="543"/>
      <c r="GR124" s="544"/>
      <c r="GS124" s="544"/>
      <c r="GT124" s="544"/>
      <c r="GU124" s="742" t="s">
        <v>185</v>
      </c>
      <c r="GV124" s="742"/>
      <c r="GW124" s="742"/>
      <c r="GX124" s="742"/>
      <c r="GY124" s="742"/>
      <c r="GZ124" s="742"/>
      <c r="HA124" s="742"/>
      <c r="HB124" s="742"/>
      <c r="HC124" s="742"/>
      <c r="HD124" s="544"/>
      <c r="HE124" s="544"/>
      <c r="HF124" s="544"/>
      <c r="HG124" s="544"/>
      <c r="HH124" s="545"/>
      <c r="HJ124" s="37"/>
      <c r="HK124" s="37"/>
      <c r="HL124" s="37"/>
      <c r="HM124" s="37"/>
      <c r="HN124" s="37"/>
      <c r="HO124" s="37"/>
      <c r="HP124" s="37"/>
      <c r="HQ124" s="37"/>
      <c r="HR124" s="37"/>
      <c r="HS124" s="37"/>
      <c r="HT124" s="37"/>
      <c r="HU124" s="37"/>
      <c r="HV124" s="37"/>
      <c r="HW124" s="37"/>
      <c r="HX124" s="37"/>
      <c r="HY124" s="37"/>
      <c r="HZ124" s="37"/>
      <c r="IA124" s="37"/>
      <c r="IB124" s="37"/>
      <c r="IC124" s="37"/>
      <c r="ID124" s="37"/>
      <c r="IE124" s="37"/>
      <c r="IF124" s="37"/>
      <c r="IG124" s="37"/>
      <c r="IH124" s="37"/>
      <c r="II124" s="37"/>
      <c r="IJ124" s="37"/>
      <c r="IK124" s="37"/>
      <c r="IL124" s="37"/>
      <c r="IM124" s="37"/>
      <c r="IN124" s="37"/>
      <c r="IO124" s="37"/>
      <c r="IP124" s="37"/>
    </row>
    <row r="125" spans="1:250" ht="15" hidden="1" customHeight="1" x14ac:dyDescent="0.3">
      <c r="A125" s="58">
        <v>0</v>
      </c>
      <c r="B125" s="68"/>
      <c r="C125" s="28">
        <f t="shared" ref="C125:C129" si="2256">D125/$AM$4</f>
        <v>0</v>
      </c>
      <c r="D125" s="28">
        <v>0</v>
      </c>
      <c r="E125" s="28">
        <f>D125*E$6</f>
        <v>0</v>
      </c>
      <c r="F125" s="28">
        <f>D125*F$6</f>
        <v>0</v>
      </c>
      <c r="G125" s="28">
        <f>D125/G$6</f>
        <v>0</v>
      </c>
      <c r="H125" s="72">
        <f>G125/H$6</f>
        <v>0</v>
      </c>
      <c r="I125" s="70">
        <f>D125/I$6</f>
        <v>0</v>
      </c>
      <c r="J125" s="70">
        <f>SUM(D125:I125)</f>
        <v>0</v>
      </c>
      <c r="K125" s="71">
        <v>0</v>
      </c>
      <c r="L125" s="71">
        <v>0</v>
      </c>
      <c r="M125" s="72">
        <f t="shared" ref="M125:M129" si="2257">((C125*M$6)+(C125*$AO$6)+(C125*$AP$6))*K125</f>
        <v>0</v>
      </c>
      <c r="N125" s="72">
        <f t="shared" ref="N125:N129" si="2258">((C125*N$6)+(C125*$AO$6)+(C125*$AP$6))*L125</f>
        <v>0</v>
      </c>
      <c r="O125" s="70">
        <f>SUM(M125:N125)</f>
        <v>0</v>
      </c>
      <c r="P125" s="73">
        <v>0</v>
      </c>
      <c r="Q125" s="74">
        <f t="shared" ref="Q125:Q126" si="2259">IF(A125=1,(D125*$BA$6),0)</f>
        <v>0</v>
      </c>
      <c r="R125" s="303">
        <f>J125+O125+P125+Q125</f>
        <v>0</v>
      </c>
      <c r="S125" s="58">
        <v>0</v>
      </c>
      <c r="T125" s="68"/>
      <c r="U125" s="28">
        <f t="shared" ref="U125:U129" si="2260">V125/$AM$4</f>
        <v>0</v>
      </c>
      <c r="V125" s="28">
        <v>0</v>
      </c>
      <c r="W125" s="28">
        <f>V125*W$6</f>
        <v>0</v>
      </c>
      <c r="X125" s="28">
        <f>V125*X$6</f>
        <v>0</v>
      </c>
      <c r="Y125" s="28">
        <f>V125/Y$6</f>
        <v>0</v>
      </c>
      <c r="Z125" s="72">
        <f>Y125/Z$6</f>
        <v>0</v>
      </c>
      <c r="AA125" s="70">
        <f>V125/AA$6</f>
        <v>0</v>
      </c>
      <c r="AB125" s="70">
        <f>SUM(V125:AA125)</f>
        <v>0</v>
      </c>
      <c r="AC125" s="71">
        <v>0</v>
      </c>
      <c r="AD125" s="71">
        <v>0</v>
      </c>
      <c r="AE125" s="72">
        <f t="shared" ref="AE125:AE129" si="2261">((U125*AE$6)+(U125*$AO$6)+(U125*$AP$6))*AC125</f>
        <v>0</v>
      </c>
      <c r="AF125" s="72">
        <f t="shared" ref="AF125:AF129" si="2262">((U125*AF$6)+(U125*$AO$6)+(U125*$AP$6))*AD125</f>
        <v>0</v>
      </c>
      <c r="AG125" s="70">
        <f>SUM(AE125:AF125)</f>
        <v>0</v>
      </c>
      <c r="AH125" s="73">
        <v>0</v>
      </c>
      <c r="AI125" s="74">
        <f t="shared" ref="AI125:AI126" si="2263">IF(S125=1,(V125*$BA$6),0)</f>
        <v>0</v>
      </c>
      <c r="AJ125" s="303">
        <f>AB125+AG125+AH125+AI125</f>
        <v>0</v>
      </c>
      <c r="AK125" s="58">
        <v>0</v>
      </c>
      <c r="AL125" s="68"/>
      <c r="AM125" s="28">
        <f t="shared" ref="AM125:AM129" si="2264">AN125/$AM$4</f>
        <v>0</v>
      </c>
      <c r="AN125" s="28">
        <v>0</v>
      </c>
      <c r="AO125" s="28">
        <f>AN125*AO$6</f>
        <v>0</v>
      </c>
      <c r="AP125" s="28">
        <f>AN125*AP$6</f>
        <v>0</v>
      </c>
      <c r="AQ125" s="28">
        <f>AN125/AQ$6</f>
        <v>0</v>
      </c>
      <c r="AR125" s="72">
        <f>AQ125/AR$6</f>
        <v>0</v>
      </c>
      <c r="AS125" s="70">
        <f>AN125/AS$6</f>
        <v>0</v>
      </c>
      <c r="AT125" s="70">
        <f>SUM(AN125:AS125)</f>
        <v>0</v>
      </c>
      <c r="AU125" s="71">
        <v>0</v>
      </c>
      <c r="AV125" s="71">
        <v>0</v>
      </c>
      <c r="AW125" s="72">
        <f t="shared" ref="AW125:AW129" si="2265">((AM125*AW$6)+(AM125*$AO$6)+(AM125*$AP$6))*AU125</f>
        <v>0</v>
      </c>
      <c r="AX125" s="72">
        <f t="shared" ref="AX125:AX129" si="2266">((AM125*AX$6)+(AM125*$AO$6)+(AM125*$AP$6))*AV125</f>
        <v>0</v>
      </c>
      <c r="AY125" s="70">
        <f>SUM(AW125:AX125)</f>
        <v>0</v>
      </c>
      <c r="AZ125" s="73">
        <v>0</v>
      </c>
      <c r="BA125" s="74">
        <f t="shared" ref="BA125:BA126" si="2267">IF(AK125=1,(AN125*$BA$6),0)</f>
        <v>0</v>
      </c>
      <c r="BB125" s="303">
        <f>AT125+AY125+AZ125+BA125</f>
        <v>0</v>
      </c>
      <c r="BC125" s="58">
        <v>0</v>
      </c>
      <c r="BD125" s="68"/>
      <c r="BE125" s="28">
        <f t="shared" ref="BE125:BE129" si="2268">BF125/$AM$4</f>
        <v>0</v>
      </c>
      <c r="BF125" s="28">
        <v>0</v>
      </c>
      <c r="BG125" s="28">
        <f>BF125*BG$6</f>
        <v>0</v>
      </c>
      <c r="BH125" s="28">
        <f>BF125*BH$6</f>
        <v>0</v>
      </c>
      <c r="BI125" s="28">
        <f>BF125/BI$6</f>
        <v>0</v>
      </c>
      <c r="BJ125" s="72">
        <f>BI125/BJ$6</f>
        <v>0</v>
      </c>
      <c r="BK125" s="70">
        <f>BF125/BK$6</f>
        <v>0</v>
      </c>
      <c r="BL125" s="70">
        <f>SUM(BF125:BK125)</f>
        <v>0</v>
      </c>
      <c r="BM125" s="71">
        <v>0</v>
      </c>
      <c r="BN125" s="71">
        <v>0</v>
      </c>
      <c r="BO125" s="72">
        <f t="shared" ref="BO125:BO129" si="2269">((BE125*BO$6)+(BE125*$AO$6)+(BE125*$AP$6))*BM125</f>
        <v>0</v>
      </c>
      <c r="BP125" s="72">
        <f t="shared" ref="BP125:BP129" si="2270">((BE125*BP$6)+(BE125*$AO$6)+(BE125*$AP$6))*BN125</f>
        <v>0</v>
      </c>
      <c r="BQ125" s="70">
        <f>SUM(BO125:BP125)</f>
        <v>0</v>
      </c>
      <c r="BR125" s="73">
        <v>0</v>
      </c>
      <c r="BS125" s="74">
        <f t="shared" ref="BS125:BS126" si="2271">IF(BC125=1,(BF125*$BA$6),0)</f>
        <v>0</v>
      </c>
      <c r="BT125" s="303">
        <f>BL125+BQ125+BR125+BS125</f>
        <v>0</v>
      </c>
      <c r="BU125" s="58">
        <v>0</v>
      </c>
      <c r="BV125" s="68"/>
      <c r="BW125" s="28">
        <f t="shared" ref="BW125:BW129" si="2272">BX125/$AM$4</f>
        <v>0</v>
      </c>
      <c r="BX125" s="28">
        <v>0</v>
      </c>
      <c r="BY125" s="28">
        <f>BX125*BY$6</f>
        <v>0</v>
      </c>
      <c r="BZ125" s="28">
        <f>BX125*BZ$6</f>
        <v>0</v>
      </c>
      <c r="CA125" s="28">
        <f>BX125/CA$6</f>
        <v>0</v>
      </c>
      <c r="CB125" s="72">
        <f>CA125/CB$6</f>
        <v>0</v>
      </c>
      <c r="CC125" s="70">
        <f>BX125/CC$6</f>
        <v>0</v>
      </c>
      <c r="CD125" s="70">
        <f>SUM(BX125:CC125)</f>
        <v>0</v>
      </c>
      <c r="CE125" s="71">
        <v>0</v>
      </c>
      <c r="CF125" s="71">
        <v>0</v>
      </c>
      <c r="CG125" s="72">
        <f t="shared" ref="CG125:CG129" si="2273">((BW125*CG$6)+(BW125*$AO$6)+(BW125*$AP$6))*CE125</f>
        <v>0</v>
      </c>
      <c r="CH125" s="72">
        <f t="shared" ref="CH125:CH129" si="2274">((BW125*CH$6)+(BW125*$AO$6)+(BW125*$AP$6))*CF125</f>
        <v>0</v>
      </c>
      <c r="CI125" s="70">
        <f>SUM(CG125:CH125)</f>
        <v>0</v>
      </c>
      <c r="CJ125" s="73">
        <v>0</v>
      </c>
      <c r="CK125" s="74">
        <f t="shared" ref="CK125:CK126" si="2275">IF(BU125=1,(BX125*$BA$6),0)</f>
        <v>0</v>
      </c>
      <c r="CL125" s="303">
        <f>CD125+CI125+CJ125+CK125</f>
        <v>0</v>
      </c>
      <c r="CM125" s="58">
        <v>0</v>
      </c>
      <c r="CN125" s="68"/>
      <c r="CO125" s="28">
        <f t="shared" ref="CO125:CO129" si="2276">CP125/$AM$4</f>
        <v>0</v>
      </c>
      <c r="CP125" s="28">
        <v>0</v>
      </c>
      <c r="CQ125" s="28">
        <f>CP125*CQ$6</f>
        <v>0</v>
      </c>
      <c r="CR125" s="28">
        <f>CP125*CR$6</f>
        <v>0</v>
      </c>
      <c r="CS125" s="28">
        <f>CP125/CS$6</f>
        <v>0</v>
      </c>
      <c r="CT125" s="72">
        <f>CS125/CT$6</f>
        <v>0</v>
      </c>
      <c r="CU125" s="70">
        <f>CP125/CU$6</f>
        <v>0</v>
      </c>
      <c r="CV125" s="70">
        <f>SUM(CP125:CU125)</f>
        <v>0</v>
      </c>
      <c r="CW125" s="71">
        <v>0</v>
      </c>
      <c r="CX125" s="71">
        <v>0</v>
      </c>
      <c r="CY125" s="72">
        <f t="shared" ref="CY125:CY129" si="2277">((CO125*CY$6)+(CO125*$AO$6)+(CO125*$AP$6))*CW125</f>
        <v>0</v>
      </c>
      <c r="CZ125" s="72">
        <f t="shared" ref="CZ125:CZ129" si="2278">((CO125*CZ$6)+(CO125*$AO$6)+(CO125*$AP$6))*CX125</f>
        <v>0</v>
      </c>
      <c r="DA125" s="70">
        <f>SUM(CY125:CZ125)</f>
        <v>0</v>
      </c>
      <c r="DB125" s="73">
        <v>0</v>
      </c>
      <c r="DC125" s="74">
        <f t="shared" ref="DC125:DC126" si="2279">IF(CM125=1,(CP125*$BA$6),0)</f>
        <v>0</v>
      </c>
      <c r="DD125" s="303">
        <f>CV125+DA125+DB125+DC125</f>
        <v>0</v>
      </c>
      <c r="DE125" s="58">
        <v>0</v>
      </c>
      <c r="DF125" s="68"/>
      <c r="DG125" s="28">
        <f t="shared" ref="DG125:DG129" si="2280">DH125/$AM$4</f>
        <v>0</v>
      </c>
      <c r="DH125" s="28">
        <v>0</v>
      </c>
      <c r="DI125" s="28">
        <f>DH125*DI$6</f>
        <v>0</v>
      </c>
      <c r="DJ125" s="28">
        <f>DH125*DJ$6</f>
        <v>0</v>
      </c>
      <c r="DK125" s="28">
        <f>DH125/DK$6</f>
        <v>0</v>
      </c>
      <c r="DL125" s="72">
        <f>DK125/DL$6</f>
        <v>0</v>
      </c>
      <c r="DM125" s="70">
        <f>DH125/DM$6</f>
        <v>0</v>
      </c>
      <c r="DN125" s="70">
        <f>SUM(DH125:DM125)</f>
        <v>0</v>
      </c>
      <c r="DO125" s="71">
        <v>0</v>
      </c>
      <c r="DP125" s="71">
        <v>0</v>
      </c>
      <c r="DQ125" s="72">
        <f t="shared" ref="DQ125:DQ129" si="2281">((DG125*DQ$6)+(DG125*$AO$6)+(DG125*$AP$6))*DO125</f>
        <v>0</v>
      </c>
      <c r="DR125" s="72">
        <f t="shared" ref="DR125:DR129" si="2282">((DG125*DR$6)+(DG125*$AO$6)+(DG125*$AP$6))*DP125</f>
        <v>0</v>
      </c>
      <c r="DS125" s="70">
        <f>SUM(DQ125:DR125)</f>
        <v>0</v>
      </c>
      <c r="DT125" s="73">
        <v>0</v>
      </c>
      <c r="DU125" s="74">
        <f t="shared" ref="DU125:DU126" si="2283">IF(DE125=1,(DH125*$BA$6),0)</f>
        <v>0</v>
      </c>
      <c r="DV125" s="303">
        <f>DN125+DS125+DT125+DU125</f>
        <v>0</v>
      </c>
      <c r="DW125" s="58">
        <v>0</v>
      </c>
      <c r="DX125" s="68"/>
      <c r="DY125" s="28">
        <f t="shared" ref="DY125:DY129" si="2284">DZ125/$AM$4</f>
        <v>0</v>
      </c>
      <c r="DZ125" s="28">
        <v>0</v>
      </c>
      <c r="EA125" s="28">
        <f>DZ125*EA$6</f>
        <v>0</v>
      </c>
      <c r="EB125" s="28">
        <f>DZ125*EB$6</f>
        <v>0</v>
      </c>
      <c r="EC125" s="28">
        <f>DZ125/EC$6</f>
        <v>0</v>
      </c>
      <c r="ED125" s="72">
        <f>EC125/ED$6</f>
        <v>0</v>
      </c>
      <c r="EE125" s="70">
        <f>DZ125/EE$6</f>
        <v>0</v>
      </c>
      <c r="EF125" s="70">
        <f>SUM(DZ125:EE125)</f>
        <v>0</v>
      </c>
      <c r="EG125" s="71">
        <v>0</v>
      </c>
      <c r="EH125" s="71">
        <v>0</v>
      </c>
      <c r="EI125" s="72">
        <f t="shared" ref="EI125:EI129" si="2285">((DY125*EI$6)+(DY125*$AO$6)+(DY125*$AP$6))*EG125</f>
        <v>0</v>
      </c>
      <c r="EJ125" s="72">
        <f t="shared" ref="EJ125:EJ129" si="2286">((DY125*EJ$6)+(DY125*$AO$6)+(DY125*$AP$6))*EH125</f>
        <v>0</v>
      </c>
      <c r="EK125" s="70">
        <f>SUM(EI125:EJ125)</f>
        <v>0</v>
      </c>
      <c r="EL125" s="73">
        <v>0</v>
      </c>
      <c r="EM125" s="74">
        <f t="shared" ref="EM125:EM126" si="2287">IF(DW125=1,(DZ125*$BA$6),0)</f>
        <v>0</v>
      </c>
      <c r="EN125" s="303">
        <f>EF125+EK125+EL125+EM125</f>
        <v>0</v>
      </c>
      <c r="EO125" s="58">
        <v>0</v>
      </c>
      <c r="EP125" s="68"/>
      <c r="EQ125" s="28">
        <f t="shared" ref="EQ125:EQ129" si="2288">ER125/$AM$4</f>
        <v>0</v>
      </c>
      <c r="ER125" s="28">
        <v>0</v>
      </c>
      <c r="ES125" s="28">
        <f>ER125*ES$6</f>
        <v>0</v>
      </c>
      <c r="ET125" s="28">
        <f>ER125*ET$6</f>
        <v>0</v>
      </c>
      <c r="EU125" s="28">
        <f>ER125/EU$6</f>
        <v>0</v>
      </c>
      <c r="EV125" s="72">
        <f>EU125/EV$6</f>
        <v>0</v>
      </c>
      <c r="EW125" s="70">
        <f>ER125/EW$6</f>
        <v>0</v>
      </c>
      <c r="EX125" s="70">
        <f>SUM(ER125:EW125)</f>
        <v>0</v>
      </c>
      <c r="EY125" s="71">
        <v>0</v>
      </c>
      <c r="EZ125" s="71">
        <v>0</v>
      </c>
      <c r="FA125" s="72">
        <f t="shared" ref="FA125:FA129" si="2289">((EQ125*FA$6)+(EQ125*$AO$6)+(EQ125*$AP$6))*EY125</f>
        <v>0</v>
      </c>
      <c r="FB125" s="72">
        <f t="shared" ref="FB125:FB129" si="2290">((EQ125*FB$6)+(EQ125*$AO$6)+(EQ125*$AP$6))*EZ125</f>
        <v>0</v>
      </c>
      <c r="FC125" s="70">
        <f>SUM(FA125:FB125)</f>
        <v>0</v>
      </c>
      <c r="FD125" s="73">
        <v>0</v>
      </c>
      <c r="FE125" s="74">
        <f t="shared" ref="FE125:FE126" si="2291">IF(EO125=1,(ER125*$BA$6),0)</f>
        <v>0</v>
      </c>
      <c r="FF125" s="303">
        <f>EX125+FC125+FD125+FE125</f>
        <v>0</v>
      </c>
      <c r="FG125" s="58">
        <v>0</v>
      </c>
      <c r="FH125" s="68"/>
      <c r="FI125" s="28">
        <f t="shared" ref="FI125:FI129" si="2292">FJ125/$AM$4</f>
        <v>0</v>
      </c>
      <c r="FJ125" s="28">
        <v>0</v>
      </c>
      <c r="FK125" s="28">
        <f>FJ125*FK$6</f>
        <v>0</v>
      </c>
      <c r="FL125" s="28">
        <f>FJ125*FL$6</f>
        <v>0</v>
      </c>
      <c r="FM125" s="28">
        <f>FJ125/FM$6</f>
        <v>0</v>
      </c>
      <c r="FN125" s="72">
        <f>FM125/FN$6</f>
        <v>0</v>
      </c>
      <c r="FO125" s="70">
        <f>FJ125/FO$6</f>
        <v>0</v>
      </c>
      <c r="FP125" s="70">
        <f>SUM(FJ125:FO125)</f>
        <v>0</v>
      </c>
      <c r="FQ125" s="71">
        <v>0</v>
      </c>
      <c r="FR125" s="71">
        <v>0</v>
      </c>
      <c r="FS125" s="72">
        <f t="shared" ref="FS125:FS129" si="2293">((FI125*FS$6)+(FI125*$AO$6)+(FI125*$AP$6))*FQ125</f>
        <v>0</v>
      </c>
      <c r="FT125" s="72">
        <f t="shared" ref="FT125:FT129" si="2294">((FI125*FT$6)+(FI125*$AO$6)+(FI125*$AP$6))*FR125</f>
        <v>0</v>
      </c>
      <c r="FU125" s="70">
        <f>SUM(FS125:FT125)</f>
        <v>0</v>
      </c>
      <c r="FV125" s="73">
        <v>0</v>
      </c>
      <c r="FW125" s="74">
        <f t="shared" ref="FW125:FW126" si="2295">IF(FG125=1,(FJ125*$BA$6),0)</f>
        <v>0</v>
      </c>
      <c r="FX125" s="303">
        <f>FP125+FU125+FV125+FW125</f>
        <v>0</v>
      </c>
      <c r="FY125" s="58">
        <v>0</v>
      </c>
      <c r="FZ125" s="68"/>
      <c r="GA125" s="28">
        <f t="shared" ref="GA125:GA129" si="2296">GB125/$AM$4</f>
        <v>0</v>
      </c>
      <c r="GB125" s="28">
        <v>0</v>
      </c>
      <c r="GC125" s="28">
        <f>GB125*GC$6</f>
        <v>0</v>
      </c>
      <c r="GD125" s="28">
        <f>GB125*GD$6</f>
        <v>0</v>
      </c>
      <c r="GE125" s="28">
        <f>GB125/GE$6</f>
        <v>0</v>
      </c>
      <c r="GF125" s="72">
        <f>GE125/GF$6</f>
        <v>0</v>
      </c>
      <c r="GG125" s="70">
        <f>GB125/GG$6</f>
        <v>0</v>
      </c>
      <c r="GH125" s="70">
        <f>SUM(GB125:GG125)</f>
        <v>0</v>
      </c>
      <c r="GI125" s="71">
        <v>0</v>
      </c>
      <c r="GJ125" s="71">
        <v>0</v>
      </c>
      <c r="GK125" s="72">
        <f t="shared" ref="GK125:GK129" si="2297">((GA125*GK$6)+(GA125*$AO$6)+(GA125*$AP$6))*GI125</f>
        <v>0</v>
      </c>
      <c r="GL125" s="72">
        <f t="shared" ref="GL125:GL129" si="2298">((GA125*GL$6)+(GA125*$AO$6)+(GA125*$AP$6))*GJ125</f>
        <v>0</v>
      </c>
      <c r="GM125" s="70">
        <f>SUM(GK125:GL125)</f>
        <v>0</v>
      </c>
      <c r="GN125" s="73">
        <v>0</v>
      </c>
      <c r="GO125" s="74">
        <f t="shared" ref="GO125:GO126" si="2299">IF(FY125=1,(GB125*$BA$6),0)</f>
        <v>0</v>
      </c>
      <c r="GP125" s="303">
        <f>GH125+GM125+GN125+GO125</f>
        <v>0</v>
      </c>
      <c r="GQ125" s="58">
        <v>0</v>
      </c>
      <c r="GR125" s="68"/>
      <c r="GS125" s="28">
        <f t="shared" ref="GS125:GS129" si="2300">GT125/$AM$4</f>
        <v>0</v>
      </c>
      <c r="GT125" s="28">
        <v>0</v>
      </c>
      <c r="GU125" s="28">
        <f>GT125*GU$6</f>
        <v>0</v>
      </c>
      <c r="GV125" s="28">
        <f>GT125*GV$6</f>
        <v>0</v>
      </c>
      <c r="GW125" s="28">
        <f>GT125/GW$6</f>
        <v>0</v>
      </c>
      <c r="GX125" s="72">
        <f>GW125/GX$6</f>
        <v>0</v>
      </c>
      <c r="GY125" s="70">
        <f>GT125/GY$6</f>
        <v>0</v>
      </c>
      <c r="GZ125" s="70">
        <f>SUM(GT125:GY125)</f>
        <v>0</v>
      </c>
      <c r="HA125" s="71">
        <v>0</v>
      </c>
      <c r="HB125" s="71">
        <v>0</v>
      </c>
      <c r="HC125" s="72">
        <f t="shared" ref="HC125:HC129" si="2301">((GS125*HC$6)+(GS125*$AO$6)+(GS125*$AP$6))*HA125</f>
        <v>0</v>
      </c>
      <c r="HD125" s="72">
        <f t="shared" ref="HD125:HD129" si="2302">((GS125*HD$6)+(GS125*$AO$6)+(GS125*$AP$6))*HB125</f>
        <v>0</v>
      </c>
      <c r="HE125" s="70">
        <f>SUM(HC125:HD125)</f>
        <v>0</v>
      </c>
      <c r="HF125" s="73">
        <v>0</v>
      </c>
      <c r="HG125" s="74">
        <f t="shared" ref="HG125:HG126" si="2303">IF(GQ125=1,(GT125*$BA$6),0)</f>
        <v>0</v>
      </c>
      <c r="HH125" s="303">
        <f>GZ125+HE125+HF125+HG125</f>
        <v>0</v>
      </c>
      <c r="HJ125" s="37"/>
      <c r="HK125" s="37"/>
      <c r="HL125" s="37"/>
      <c r="HM125" s="37"/>
      <c r="HN125" s="37"/>
      <c r="HO125" s="37"/>
      <c r="HP125" s="37"/>
      <c r="HQ125" s="37"/>
      <c r="HR125" s="37"/>
      <c r="HS125" s="37"/>
      <c r="HT125" s="37"/>
      <c r="HU125" s="37"/>
      <c r="HV125" s="37"/>
      <c r="HW125" s="37"/>
      <c r="HX125" s="37"/>
      <c r="HY125" s="37"/>
      <c r="HZ125" s="37"/>
      <c r="IA125" s="37"/>
      <c r="IB125" s="37"/>
      <c r="IC125" s="37"/>
      <c r="ID125" s="37"/>
      <c r="IE125" s="37"/>
      <c r="IF125" s="37"/>
      <c r="IG125" s="37"/>
      <c r="IH125" s="37"/>
      <c r="II125" s="37"/>
      <c r="IJ125" s="37"/>
      <c r="IK125" s="37"/>
      <c r="IL125" s="37"/>
      <c r="IM125" s="37"/>
      <c r="IN125" s="37"/>
      <c r="IO125" s="37"/>
      <c r="IP125" s="37"/>
    </row>
    <row r="126" spans="1:250" ht="15" hidden="1" customHeight="1" x14ac:dyDescent="0.3">
      <c r="A126" s="58">
        <v>0</v>
      </c>
      <c r="B126" s="68"/>
      <c r="C126" s="28">
        <f t="shared" si="2256"/>
        <v>0</v>
      </c>
      <c r="D126" s="28">
        <v>0</v>
      </c>
      <c r="E126" s="28">
        <f>D126*E$6</f>
        <v>0</v>
      </c>
      <c r="F126" s="28">
        <f>D126*F$6</f>
        <v>0</v>
      </c>
      <c r="G126" s="28">
        <f>D126/G$6</f>
        <v>0</v>
      </c>
      <c r="H126" s="72">
        <f>G126/H$6</f>
        <v>0</v>
      </c>
      <c r="I126" s="70">
        <f>D126/I$6</f>
        <v>0</v>
      </c>
      <c r="J126" s="70">
        <f>SUM(D126:I126)</f>
        <v>0</v>
      </c>
      <c r="K126" s="71">
        <v>0</v>
      </c>
      <c r="L126" s="71">
        <v>0</v>
      </c>
      <c r="M126" s="72">
        <f t="shared" si="2257"/>
        <v>0</v>
      </c>
      <c r="N126" s="72">
        <f t="shared" si="2258"/>
        <v>0</v>
      </c>
      <c r="O126" s="70">
        <f>SUM(M126:N126)</f>
        <v>0</v>
      </c>
      <c r="P126" s="73">
        <v>0</v>
      </c>
      <c r="Q126" s="74">
        <f t="shared" si="2259"/>
        <v>0</v>
      </c>
      <c r="R126" s="303">
        <f>J126+O126+P126+Q126</f>
        <v>0</v>
      </c>
      <c r="S126" s="58">
        <v>0</v>
      </c>
      <c r="T126" s="68"/>
      <c r="U126" s="28">
        <f t="shared" si="2260"/>
        <v>0</v>
      </c>
      <c r="V126" s="28">
        <v>0</v>
      </c>
      <c r="W126" s="28">
        <f>V126*W$6</f>
        <v>0</v>
      </c>
      <c r="X126" s="28">
        <f>V126*X$6</f>
        <v>0</v>
      </c>
      <c r="Y126" s="28">
        <f>V126/Y$6</f>
        <v>0</v>
      </c>
      <c r="Z126" s="72">
        <f>Y126/Z$6</f>
        <v>0</v>
      </c>
      <c r="AA126" s="70">
        <f>V126/AA$6</f>
        <v>0</v>
      </c>
      <c r="AB126" s="70">
        <f>SUM(V126:AA126)</f>
        <v>0</v>
      </c>
      <c r="AC126" s="71">
        <v>0</v>
      </c>
      <c r="AD126" s="71">
        <v>0</v>
      </c>
      <c r="AE126" s="72">
        <f t="shared" si="2261"/>
        <v>0</v>
      </c>
      <c r="AF126" s="72">
        <f t="shared" si="2262"/>
        <v>0</v>
      </c>
      <c r="AG126" s="70">
        <f>SUM(AE126:AF126)</f>
        <v>0</v>
      </c>
      <c r="AH126" s="73">
        <v>0</v>
      </c>
      <c r="AI126" s="74">
        <f t="shared" si="2263"/>
        <v>0</v>
      </c>
      <c r="AJ126" s="303">
        <f>AB126+AG126+AH126+AI126</f>
        <v>0</v>
      </c>
      <c r="AK126" s="58">
        <v>0</v>
      </c>
      <c r="AL126" s="68"/>
      <c r="AM126" s="28">
        <f t="shared" si="2264"/>
        <v>0</v>
      </c>
      <c r="AN126" s="28">
        <v>0</v>
      </c>
      <c r="AO126" s="28">
        <f>AN126*AO$6</f>
        <v>0</v>
      </c>
      <c r="AP126" s="28">
        <f>AN126*AP$6</f>
        <v>0</v>
      </c>
      <c r="AQ126" s="28">
        <f>AN126/AQ$6</f>
        <v>0</v>
      </c>
      <c r="AR126" s="72">
        <f>AQ126/AR$6</f>
        <v>0</v>
      </c>
      <c r="AS126" s="70">
        <f>AN126/AS$6</f>
        <v>0</v>
      </c>
      <c r="AT126" s="70">
        <f>SUM(AN126:AS126)</f>
        <v>0</v>
      </c>
      <c r="AU126" s="71">
        <v>0</v>
      </c>
      <c r="AV126" s="71">
        <v>0</v>
      </c>
      <c r="AW126" s="72">
        <f t="shared" si="2265"/>
        <v>0</v>
      </c>
      <c r="AX126" s="72">
        <f t="shared" si="2266"/>
        <v>0</v>
      </c>
      <c r="AY126" s="70">
        <f>SUM(AW126:AX126)</f>
        <v>0</v>
      </c>
      <c r="AZ126" s="73">
        <v>0</v>
      </c>
      <c r="BA126" s="74">
        <f t="shared" si="2267"/>
        <v>0</v>
      </c>
      <c r="BB126" s="303">
        <f>AT126+AY126+AZ126+BA126</f>
        <v>0</v>
      </c>
      <c r="BC126" s="58">
        <v>0</v>
      </c>
      <c r="BD126" s="68"/>
      <c r="BE126" s="28">
        <f t="shared" si="2268"/>
        <v>0</v>
      </c>
      <c r="BF126" s="28">
        <v>0</v>
      </c>
      <c r="BG126" s="28">
        <f>BF126*BG$6</f>
        <v>0</v>
      </c>
      <c r="BH126" s="28">
        <f>BF126*BH$6</f>
        <v>0</v>
      </c>
      <c r="BI126" s="28">
        <f>BF126/BI$6</f>
        <v>0</v>
      </c>
      <c r="BJ126" s="72">
        <f>BI126/BJ$6</f>
        <v>0</v>
      </c>
      <c r="BK126" s="70">
        <f>BF126/BK$6</f>
        <v>0</v>
      </c>
      <c r="BL126" s="70">
        <f>SUM(BF126:BK126)</f>
        <v>0</v>
      </c>
      <c r="BM126" s="71">
        <v>0</v>
      </c>
      <c r="BN126" s="71">
        <v>0</v>
      </c>
      <c r="BO126" s="72">
        <f t="shared" si="2269"/>
        <v>0</v>
      </c>
      <c r="BP126" s="72">
        <f t="shared" si="2270"/>
        <v>0</v>
      </c>
      <c r="BQ126" s="70">
        <f>SUM(BO126:BP126)</f>
        <v>0</v>
      </c>
      <c r="BR126" s="73">
        <v>0</v>
      </c>
      <c r="BS126" s="74">
        <f t="shared" si="2271"/>
        <v>0</v>
      </c>
      <c r="BT126" s="303">
        <f>BL126+BQ126+BR126+BS126</f>
        <v>0</v>
      </c>
      <c r="BU126" s="58">
        <v>0</v>
      </c>
      <c r="BV126" s="68"/>
      <c r="BW126" s="28">
        <f t="shared" si="2272"/>
        <v>0</v>
      </c>
      <c r="BX126" s="28">
        <v>0</v>
      </c>
      <c r="BY126" s="28">
        <f>BX126*BY$6</f>
        <v>0</v>
      </c>
      <c r="BZ126" s="28">
        <f>BX126*BZ$6</f>
        <v>0</v>
      </c>
      <c r="CA126" s="28">
        <f>BX126/CA$6</f>
        <v>0</v>
      </c>
      <c r="CB126" s="72">
        <f>CA126/CB$6</f>
        <v>0</v>
      </c>
      <c r="CC126" s="70">
        <f>BX126/CC$6</f>
        <v>0</v>
      </c>
      <c r="CD126" s="70">
        <f>SUM(BX126:CC126)</f>
        <v>0</v>
      </c>
      <c r="CE126" s="71">
        <v>0</v>
      </c>
      <c r="CF126" s="71">
        <v>0</v>
      </c>
      <c r="CG126" s="72">
        <f t="shared" si="2273"/>
        <v>0</v>
      </c>
      <c r="CH126" s="72">
        <f t="shared" si="2274"/>
        <v>0</v>
      </c>
      <c r="CI126" s="70">
        <f>SUM(CG126:CH126)</f>
        <v>0</v>
      </c>
      <c r="CJ126" s="73">
        <v>0</v>
      </c>
      <c r="CK126" s="74">
        <f t="shared" si="2275"/>
        <v>0</v>
      </c>
      <c r="CL126" s="303">
        <f>CD126+CI126+CJ126+CK126</f>
        <v>0</v>
      </c>
      <c r="CM126" s="58">
        <v>0</v>
      </c>
      <c r="CN126" s="68"/>
      <c r="CO126" s="28">
        <f t="shared" si="2276"/>
        <v>0</v>
      </c>
      <c r="CP126" s="28">
        <v>0</v>
      </c>
      <c r="CQ126" s="28">
        <f>CP126*CQ$6</f>
        <v>0</v>
      </c>
      <c r="CR126" s="28">
        <f>CP126*CR$6</f>
        <v>0</v>
      </c>
      <c r="CS126" s="28">
        <f>CP126/CS$6</f>
        <v>0</v>
      </c>
      <c r="CT126" s="72">
        <f>CS126/CT$6</f>
        <v>0</v>
      </c>
      <c r="CU126" s="70">
        <f>CP126/CU$6</f>
        <v>0</v>
      </c>
      <c r="CV126" s="70">
        <f>SUM(CP126:CU126)</f>
        <v>0</v>
      </c>
      <c r="CW126" s="71">
        <v>0</v>
      </c>
      <c r="CX126" s="71">
        <v>0</v>
      </c>
      <c r="CY126" s="72">
        <f t="shared" si="2277"/>
        <v>0</v>
      </c>
      <c r="CZ126" s="72">
        <f t="shared" si="2278"/>
        <v>0</v>
      </c>
      <c r="DA126" s="70">
        <f>SUM(CY126:CZ126)</f>
        <v>0</v>
      </c>
      <c r="DB126" s="73">
        <v>0</v>
      </c>
      <c r="DC126" s="74">
        <f t="shared" si="2279"/>
        <v>0</v>
      </c>
      <c r="DD126" s="303">
        <f>CV126+DA126+DB126+DC126</f>
        <v>0</v>
      </c>
      <c r="DE126" s="58">
        <v>0</v>
      </c>
      <c r="DF126" s="68"/>
      <c r="DG126" s="28">
        <f t="shared" si="2280"/>
        <v>0</v>
      </c>
      <c r="DH126" s="28">
        <v>0</v>
      </c>
      <c r="DI126" s="28">
        <f>DH126*DI$6</f>
        <v>0</v>
      </c>
      <c r="DJ126" s="28">
        <f>DH126*DJ$6</f>
        <v>0</v>
      </c>
      <c r="DK126" s="28">
        <f>DH126/DK$6</f>
        <v>0</v>
      </c>
      <c r="DL126" s="72">
        <f>DK126/DL$6</f>
        <v>0</v>
      </c>
      <c r="DM126" s="70">
        <f>DH126/DM$6</f>
        <v>0</v>
      </c>
      <c r="DN126" s="70">
        <f>SUM(DH126:DM126)</f>
        <v>0</v>
      </c>
      <c r="DO126" s="71">
        <v>0</v>
      </c>
      <c r="DP126" s="71">
        <v>0</v>
      </c>
      <c r="DQ126" s="72">
        <f t="shared" si="2281"/>
        <v>0</v>
      </c>
      <c r="DR126" s="72">
        <f t="shared" si="2282"/>
        <v>0</v>
      </c>
      <c r="DS126" s="70">
        <f>SUM(DQ126:DR126)</f>
        <v>0</v>
      </c>
      <c r="DT126" s="73">
        <v>0</v>
      </c>
      <c r="DU126" s="74">
        <f t="shared" si="2283"/>
        <v>0</v>
      </c>
      <c r="DV126" s="303">
        <f>DN126+DS126+DT126+DU126</f>
        <v>0</v>
      </c>
      <c r="DW126" s="58">
        <v>0</v>
      </c>
      <c r="DX126" s="68"/>
      <c r="DY126" s="28">
        <f t="shared" si="2284"/>
        <v>0</v>
      </c>
      <c r="DZ126" s="28">
        <v>0</v>
      </c>
      <c r="EA126" s="28">
        <f>DZ126*EA$6</f>
        <v>0</v>
      </c>
      <c r="EB126" s="28">
        <f>DZ126*EB$6</f>
        <v>0</v>
      </c>
      <c r="EC126" s="28">
        <f>DZ126/EC$6</f>
        <v>0</v>
      </c>
      <c r="ED126" s="72">
        <f>EC126/ED$6</f>
        <v>0</v>
      </c>
      <c r="EE126" s="70">
        <f>DZ126/EE$6</f>
        <v>0</v>
      </c>
      <c r="EF126" s="70">
        <f>SUM(DZ126:EE126)</f>
        <v>0</v>
      </c>
      <c r="EG126" s="71">
        <v>0</v>
      </c>
      <c r="EH126" s="71">
        <v>0</v>
      </c>
      <c r="EI126" s="72">
        <f t="shared" si="2285"/>
        <v>0</v>
      </c>
      <c r="EJ126" s="72">
        <f t="shared" si="2286"/>
        <v>0</v>
      </c>
      <c r="EK126" s="70">
        <f>SUM(EI126:EJ126)</f>
        <v>0</v>
      </c>
      <c r="EL126" s="73">
        <v>0</v>
      </c>
      <c r="EM126" s="74">
        <f t="shared" si="2287"/>
        <v>0</v>
      </c>
      <c r="EN126" s="303">
        <f>EF126+EK126+EL126+EM126</f>
        <v>0</v>
      </c>
      <c r="EO126" s="58">
        <v>0</v>
      </c>
      <c r="EP126" s="68"/>
      <c r="EQ126" s="28">
        <f t="shared" si="2288"/>
        <v>0</v>
      </c>
      <c r="ER126" s="28">
        <v>0</v>
      </c>
      <c r="ES126" s="28">
        <f>ER126*ES$6</f>
        <v>0</v>
      </c>
      <c r="ET126" s="28">
        <f>ER126*ET$6</f>
        <v>0</v>
      </c>
      <c r="EU126" s="28">
        <f>ER126/EU$6</f>
        <v>0</v>
      </c>
      <c r="EV126" s="72">
        <f>EU126/EV$6</f>
        <v>0</v>
      </c>
      <c r="EW126" s="70">
        <f>ER126/EW$6</f>
        <v>0</v>
      </c>
      <c r="EX126" s="70">
        <f>SUM(ER126:EW126)</f>
        <v>0</v>
      </c>
      <c r="EY126" s="71">
        <v>0</v>
      </c>
      <c r="EZ126" s="71">
        <v>0</v>
      </c>
      <c r="FA126" s="72">
        <f t="shared" si="2289"/>
        <v>0</v>
      </c>
      <c r="FB126" s="72">
        <f t="shared" si="2290"/>
        <v>0</v>
      </c>
      <c r="FC126" s="70">
        <f>SUM(FA126:FB126)</f>
        <v>0</v>
      </c>
      <c r="FD126" s="73">
        <v>0</v>
      </c>
      <c r="FE126" s="74">
        <f t="shared" si="2291"/>
        <v>0</v>
      </c>
      <c r="FF126" s="303">
        <f>EX126+FC126+FD126+FE126</f>
        <v>0</v>
      </c>
      <c r="FG126" s="58">
        <v>0</v>
      </c>
      <c r="FH126" s="68"/>
      <c r="FI126" s="28">
        <f t="shared" si="2292"/>
        <v>0</v>
      </c>
      <c r="FJ126" s="28">
        <v>0</v>
      </c>
      <c r="FK126" s="28">
        <f>FJ126*FK$6</f>
        <v>0</v>
      </c>
      <c r="FL126" s="28">
        <f>FJ126*FL$6</f>
        <v>0</v>
      </c>
      <c r="FM126" s="28">
        <f>FJ126/FM$6</f>
        <v>0</v>
      </c>
      <c r="FN126" s="72">
        <f>FM126/FN$6</f>
        <v>0</v>
      </c>
      <c r="FO126" s="70">
        <f>FJ126/FO$6</f>
        <v>0</v>
      </c>
      <c r="FP126" s="70">
        <f>SUM(FJ126:FO126)</f>
        <v>0</v>
      </c>
      <c r="FQ126" s="71">
        <v>0</v>
      </c>
      <c r="FR126" s="71">
        <v>0</v>
      </c>
      <c r="FS126" s="72">
        <f t="shared" si="2293"/>
        <v>0</v>
      </c>
      <c r="FT126" s="72">
        <f t="shared" si="2294"/>
        <v>0</v>
      </c>
      <c r="FU126" s="70">
        <f>SUM(FS126:FT126)</f>
        <v>0</v>
      </c>
      <c r="FV126" s="73">
        <v>0</v>
      </c>
      <c r="FW126" s="74">
        <f t="shared" si="2295"/>
        <v>0</v>
      </c>
      <c r="FX126" s="303">
        <f>FP126+FU126+FV126+FW126</f>
        <v>0</v>
      </c>
      <c r="FY126" s="58">
        <v>0</v>
      </c>
      <c r="FZ126" s="68"/>
      <c r="GA126" s="28">
        <f t="shared" si="2296"/>
        <v>0</v>
      </c>
      <c r="GB126" s="28">
        <v>0</v>
      </c>
      <c r="GC126" s="28">
        <f>GB126*GC$6</f>
        <v>0</v>
      </c>
      <c r="GD126" s="28">
        <f>GB126*GD$6</f>
        <v>0</v>
      </c>
      <c r="GE126" s="28">
        <f>GB126/GE$6</f>
        <v>0</v>
      </c>
      <c r="GF126" s="72">
        <f>GE126/GF$6</f>
        <v>0</v>
      </c>
      <c r="GG126" s="70">
        <f>GB126/GG$6</f>
        <v>0</v>
      </c>
      <c r="GH126" s="70">
        <f>SUM(GB126:GG126)</f>
        <v>0</v>
      </c>
      <c r="GI126" s="71">
        <v>0</v>
      </c>
      <c r="GJ126" s="71">
        <v>0</v>
      </c>
      <c r="GK126" s="72">
        <f t="shared" si="2297"/>
        <v>0</v>
      </c>
      <c r="GL126" s="72">
        <f t="shared" si="2298"/>
        <v>0</v>
      </c>
      <c r="GM126" s="70">
        <f>SUM(GK126:GL126)</f>
        <v>0</v>
      </c>
      <c r="GN126" s="73">
        <v>0</v>
      </c>
      <c r="GO126" s="74">
        <f t="shared" si="2299"/>
        <v>0</v>
      </c>
      <c r="GP126" s="303">
        <f>GH126+GM126+GN126+GO126</f>
        <v>0</v>
      </c>
      <c r="GQ126" s="58">
        <v>0</v>
      </c>
      <c r="GR126" s="68"/>
      <c r="GS126" s="28">
        <f t="shared" si="2300"/>
        <v>0</v>
      </c>
      <c r="GT126" s="28">
        <v>0</v>
      </c>
      <c r="GU126" s="28">
        <f>GT126*GU$6</f>
        <v>0</v>
      </c>
      <c r="GV126" s="28">
        <f>GT126*GV$6</f>
        <v>0</v>
      </c>
      <c r="GW126" s="28">
        <f>GT126/GW$6</f>
        <v>0</v>
      </c>
      <c r="GX126" s="72">
        <f>GW126/GX$6</f>
        <v>0</v>
      </c>
      <c r="GY126" s="70">
        <f>GT126/GY$6</f>
        <v>0</v>
      </c>
      <c r="GZ126" s="70">
        <f>SUM(GT126:GY126)</f>
        <v>0</v>
      </c>
      <c r="HA126" s="71">
        <v>0</v>
      </c>
      <c r="HB126" s="71">
        <v>0</v>
      </c>
      <c r="HC126" s="72">
        <f t="shared" si="2301"/>
        <v>0</v>
      </c>
      <c r="HD126" s="72">
        <f t="shared" si="2302"/>
        <v>0</v>
      </c>
      <c r="HE126" s="70">
        <f>SUM(HC126:HD126)</f>
        <v>0</v>
      </c>
      <c r="HF126" s="73">
        <v>0</v>
      </c>
      <c r="HG126" s="74">
        <f t="shared" si="2303"/>
        <v>0</v>
      </c>
      <c r="HH126" s="303">
        <f>GZ126+HE126+HF126+HG126</f>
        <v>0</v>
      </c>
      <c r="HJ126" s="37"/>
      <c r="HK126" s="37"/>
      <c r="HL126" s="37"/>
      <c r="HM126" s="37"/>
      <c r="HN126" s="37"/>
      <c r="HO126" s="37"/>
      <c r="HP126" s="37"/>
      <c r="HQ126" s="37"/>
      <c r="HR126" s="37"/>
      <c r="HS126" s="37"/>
      <c r="HT126" s="37"/>
      <c r="HU126" s="37"/>
      <c r="HV126" s="37"/>
      <c r="HW126" s="37"/>
      <c r="HX126" s="37"/>
      <c r="HY126" s="37"/>
      <c r="HZ126" s="37"/>
      <c r="IA126" s="37"/>
      <c r="IB126" s="37"/>
      <c r="IC126" s="37"/>
      <c r="ID126" s="37"/>
      <c r="IE126" s="37"/>
      <c r="IF126" s="37"/>
      <c r="IG126" s="37"/>
      <c r="IH126" s="37"/>
      <c r="II126" s="37"/>
      <c r="IJ126" s="37"/>
      <c r="IK126" s="37"/>
      <c r="IL126" s="37"/>
      <c r="IM126" s="37"/>
      <c r="IN126" s="37"/>
      <c r="IO126" s="37"/>
      <c r="IP126" s="37"/>
    </row>
    <row r="127" spans="1:250" ht="15" customHeight="1" x14ac:dyDescent="0.3">
      <c r="A127" s="58">
        <v>0</v>
      </c>
      <c r="B127" s="76" t="s">
        <v>133</v>
      </c>
      <c r="C127" s="28">
        <f t="shared" si="2256"/>
        <v>0</v>
      </c>
      <c r="D127" s="28">
        <v>0</v>
      </c>
      <c r="E127" s="28">
        <f>D127*E$6</f>
        <v>0</v>
      </c>
      <c r="F127" s="28">
        <f>D127*F$6</f>
        <v>0</v>
      </c>
      <c r="G127" s="28">
        <f>D127/G$6</f>
        <v>0</v>
      </c>
      <c r="H127" s="72">
        <f>G127/H$6</f>
        <v>0</v>
      </c>
      <c r="I127" s="72">
        <f>D127/I$6</f>
        <v>0</v>
      </c>
      <c r="J127" s="70">
        <f>SUM(D127:I127)</f>
        <v>0</v>
      </c>
      <c r="K127" s="71">
        <v>0</v>
      </c>
      <c r="L127" s="71">
        <v>0</v>
      </c>
      <c r="M127" s="72">
        <f t="shared" si="2257"/>
        <v>0</v>
      </c>
      <c r="N127" s="72">
        <f t="shared" si="2258"/>
        <v>0</v>
      </c>
      <c r="O127" s="70">
        <f>SUM(M127:N127)</f>
        <v>0</v>
      </c>
      <c r="P127" s="73">
        <v>0</v>
      </c>
      <c r="Q127" s="74">
        <f t="shared" ref="Q127:Q129" si="2304">IF(A127=1,($C$1*$Q$6),0)</f>
        <v>0</v>
      </c>
      <c r="R127" s="303">
        <f t="shared" ref="R127:R129" si="2305">J127+O127+P127+Q127</f>
        <v>0</v>
      </c>
      <c r="S127" s="58">
        <v>0</v>
      </c>
      <c r="T127" s="76" t="s">
        <v>133</v>
      </c>
      <c r="U127" s="28">
        <f t="shared" si="2260"/>
        <v>0</v>
      </c>
      <c r="V127" s="28">
        <v>0</v>
      </c>
      <c r="W127" s="28">
        <f>V127*W$6</f>
        <v>0</v>
      </c>
      <c r="X127" s="28">
        <f>V127*X$6</f>
        <v>0</v>
      </c>
      <c r="Y127" s="28">
        <f>V127/Y$6</f>
        <v>0</v>
      </c>
      <c r="Z127" s="72">
        <f>Y127/Z$6</f>
        <v>0</v>
      </c>
      <c r="AA127" s="72">
        <f>V127/AA$6</f>
        <v>0</v>
      </c>
      <c r="AB127" s="70">
        <f>SUM(V127:AA127)</f>
        <v>0</v>
      </c>
      <c r="AC127" s="71">
        <v>0</v>
      </c>
      <c r="AD127" s="71">
        <v>0</v>
      </c>
      <c r="AE127" s="72">
        <f t="shared" si="2261"/>
        <v>0</v>
      </c>
      <c r="AF127" s="72">
        <f t="shared" si="2262"/>
        <v>0</v>
      </c>
      <c r="AG127" s="70">
        <f>SUM(AE127:AF127)</f>
        <v>0</v>
      </c>
      <c r="AH127" s="73">
        <v>0</v>
      </c>
      <c r="AI127" s="74">
        <f t="shared" ref="AI127:AI129" si="2306">IF(S127=1,($C$1*$Q$6),0)</f>
        <v>0</v>
      </c>
      <c r="AJ127" s="303">
        <f t="shared" ref="AJ127:AJ129" si="2307">AB127+AG127+AH127+AI127</f>
        <v>0</v>
      </c>
      <c r="AK127" s="58">
        <v>0</v>
      </c>
      <c r="AL127" s="76" t="s">
        <v>133</v>
      </c>
      <c r="AM127" s="28">
        <f t="shared" si="2264"/>
        <v>0</v>
      </c>
      <c r="AN127" s="28">
        <v>0</v>
      </c>
      <c r="AO127" s="28">
        <f>AN127*AO$6</f>
        <v>0</v>
      </c>
      <c r="AP127" s="28">
        <f>AN127*AP$6</f>
        <v>0</v>
      </c>
      <c r="AQ127" s="28">
        <f>AN127/AQ$6</f>
        <v>0</v>
      </c>
      <c r="AR127" s="72">
        <f>AQ127/AR$6</f>
        <v>0</v>
      </c>
      <c r="AS127" s="72">
        <f>AN127/AS$6</f>
        <v>0</v>
      </c>
      <c r="AT127" s="70">
        <f>SUM(AN127:AS127)</f>
        <v>0</v>
      </c>
      <c r="AU127" s="71">
        <v>0</v>
      </c>
      <c r="AV127" s="71">
        <v>0</v>
      </c>
      <c r="AW127" s="72">
        <f t="shared" si="2265"/>
        <v>0</v>
      </c>
      <c r="AX127" s="72">
        <f t="shared" si="2266"/>
        <v>0</v>
      </c>
      <c r="AY127" s="70">
        <f>SUM(AW127:AX127)</f>
        <v>0</v>
      </c>
      <c r="AZ127" s="73">
        <v>0</v>
      </c>
      <c r="BA127" s="74">
        <f t="shared" ref="BA127:BA129" si="2308">IF(AK127=1,($C$1*$Q$6),0)</f>
        <v>0</v>
      </c>
      <c r="BB127" s="303">
        <f t="shared" ref="BB127:BB129" si="2309">AT127+AY127+AZ127+BA127</f>
        <v>0</v>
      </c>
      <c r="BC127" s="58">
        <v>0</v>
      </c>
      <c r="BD127" s="76" t="s">
        <v>133</v>
      </c>
      <c r="BE127" s="28">
        <f t="shared" si="2268"/>
        <v>0</v>
      </c>
      <c r="BF127" s="28">
        <v>0</v>
      </c>
      <c r="BG127" s="28">
        <f>BF127*BG$6</f>
        <v>0</v>
      </c>
      <c r="BH127" s="28">
        <f>BF127*BH$6</f>
        <v>0</v>
      </c>
      <c r="BI127" s="28">
        <f>BF127/BI$6</f>
        <v>0</v>
      </c>
      <c r="BJ127" s="72">
        <f>BI127/BJ$6</f>
        <v>0</v>
      </c>
      <c r="BK127" s="72">
        <f>BF127/BK$6</f>
        <v>0</v>
      </c>
      <c r="BL127" s="70">
        <f>SUM(BF127:BK127)</f>
        <v>0</v>
      </c>
      <c r="BM127" s="71">
        <v>0</v>
      </c>
      <c r="BN127" s="71">
        <v>0</v>
      </c>
      <c r="BO127" s="72">
        <f t="shared" si="2269"/>
        <v>0</v>
      </c>
      <c r="BP127" s="72">
        <f t="shared" si="2270"/>
        <v>0</v>
      </c>
      <c r="BQ127" s="70">
        <f>SUM(BO127:BP127)</f>
        <v>0</v>
      </c>
      <c r="BR127" s="73">
        <v>0</v>
      </c>
      <c r="BS127" s="74">
        <f t="shared" ref="BS127:BS129" si="2310">IF(BC127=1,($C$1*$Q$6),0)</f>
        <v>0</v>
      </c>
      <c r="BT127" s="303">
        <f t="shared" ref="BT127:BT129" si="2311">BL127+BQ127+BR127+BS127</f>
        <v>0</v>
      </c>
      <c r="BU127" s="58">
        <v>0</v>
      </c>
      <c r="BV127" s="76" t="s">
        <v>133</v>
      </c>
      <c r="BW127" s="28">
        <f t="shared" si="2272"/>
        <v>0</v>
      </c>
      <c r="BX127" s="28">
        <v>0</v>
      </c>
      <c r="BY127" s="28">
        <f>BX127*BY$6</f>
        <v>0</v>
      </c>
      <c r="BZ127" s="28">
        <f>BX127*BZ$6</f>
        <v>0</v>
      </c>
      <c r="CA127" s="28">
        <f>BX127/CA$6</f>
        <v>0</v>
      </c>
      <c r="CB127" s="72">
        <f>CA127/CB$6</f>
        <v>0</v>
      </c>
      <c r="CC127" s="72">
        <f>BX127/CC$6</f>
        <v>0</v>
      </c>
      <c r="CD127" s="70">
        <f>SUM(BX127:CC127)</f>
        <v>0</v>
      </c>
      <c r="CE127" s="71">
        <v>0</v>
      </c>
      <c r="CF127" s="71">
        <v>0</v>
      </c>
      <c r="CG127" s="72">
        <f t="shared" si="2273"/>
        <v>0</v>
      </c>
      <c r="CH127" s="72">
        <f t="shared" si="2274"/>
        <v>0</v>
      </c>
      <c r="CI127" s="70">
        <f>SUM(CG127:CH127)</f>
        <v>0</v>
      </c>
      <c r="CJ127" s="73">
        <v>0</v>
      </c>
      <c r="CK127" s="74">
        <f t="shared" ref="CK127:CK129" si="2312">IF(BU127=1,($C$1*$Q$6),0)</f>
        <v>0</v>
      </c>
      <c r="CL127" s="303">
        <f t="shared" ref="CL127:CL129" si="2313">CD127+CI127+CJ127+CK127</f>
        <v>0</v>
      </c>
      <c r="CM127" s="58">
        <v>0</v>
      </c>
      <c r="CN127" s="76" t="s">
        <v>133</v>
      </c>
      <c r="CO127" s="28">
        <f t="shared" si="2276"/>
        <v>0</v>
      </c>
      <c r="CP127" s="28">
        <v>0</v>
      </c>
      <c r="CQ127" s="28">
        <f>CP127*CQ$6</f>
        <v>0</v>
      </c>
      <c r="CR127" s="28">
        <f>CP127*CR$6</f>
        <v>0</v>
      </c>
      <c r="CS127" s="28">
        <f>CP127/CS$6</f>
        <v>0</v>
      </c>
      <c r="CT127" s="72">
        <f>CS127/CT$6</f>
        <v>0</v>
      </c>
      <c r="CU127" s="72">
        <f>CP127/CU$6</f>
        <v>0</v>
      </c>
      <c r="CV127" s="70">
        <f>SUM(CP127:CU127)</f>
        <v>0</v>
      </c>
      <c r="CW127" s="71">
        <v>0</v>
      </c>
      <c r="CX127" s="71">
        <v>0</v>
      </c>
      <c r="CY127" s="72">
        <f t="shared" si="2277"/>
        <v>0</v>
      </c>
      <c r="CZ127" s="72">
        <f t="shared" si="2278"/>
        <v>0</v>
      </c>
      <c r="DA127" s="70">
        <f>SUM(CY127:CZ127)</f>
        <v>0</v>
      </c>
      <c r="DB127" s="73">
        <v>0</v>
      </c>
      <c r="DC127" s="74">
        <f t="shared" ref="DC127:DC129" si="2314">IF(CM127=1,($C$1*$Q$6),0)</f>
        <v>0</v>
      </c>
      <c r="DD127" s="303">
        <f t="shared" ref="DD127:DD129" si="2315">CV127+DA127+DB127+DC127</f>
        <v>0</v>
      </c>
      <c r="DE127" s="58">
        <v>0</v>
      </c>
      <c r="DF127" s="76" t="s">
        <v>133</v>
      </c>
      <c r="DG127" s="28">
        <f t="shared" si="2280"/>
        <v>0</v>
      </c>
      <c r="DH127" s="28">
        <v>0</v>
      </c>
      <c r="DI127" s="28">
        <f>DH127*DI$6</f>
        <v>0</v>
      </c>
      <c r="DJ127" s="28">
        <f>DH127*DJ$6</f>
        <v>0</v>
      </c>
      <c r="DK127" s="28">
        <f>DH127/DK$6</f>
        <v>0</v>
      </c>
      <c r="DL127" s="72">
        <f>DK127/DL$6</f>
        <v>0</v>
      </c>
      <c r="DM127" s="72">
        <f>DH127/DM$6</f>
        <v>0</v>
      </c>
      <c r="DN127" s="70">
        <f>SUM(DH127:DM127)</f>
        <v>0</v>
      </c>
      <c r="DO127" s="71">
        <v>0</v>
      </c>
      <c r="DP127" s="71">
        <v>0</v>
      </c>
      <c r="DQ127" s="72">
        <f t="shared" si="2281"/>
        <v>0</v>
      </c>
      <c r="DR127" s="72">
        <f t="shared" si="2282"/>
        <v>0</v>
      </c>
      <c r="DS127" s="70">
        <f>SUM(DQ127:DR127)</f>
        <v>0</v>
      </c>
      <c r="DT127" s="73">
        <v>0</v>
      </c>
      <c r="DU127" s="74">
        <f t="shared" ref="DU127:DU129" si="2316">IF(DE127=1,($C$1*$Q$6),0)</f>
        <v>0</v>
      </c>
      <c r="DV127" s="303">
        <f t="shared" ref="DV127:DV129" si="2317">DN127+DS127+DT127+DU127</f>
        <v>0</v>
      </c>
      <c r="DW127" s="58">
        <v>0</v>
      </c>
      <c r="DX127" s="76" t="s">
        <v>133</v>
      </c>
      <c r="DY127" s="28">
        <f t="shared" si="2284"/>
        <v>0</v>
      </c>
      <c r="DZ127" s="28">
        <v>0</v>
      </c>
      <c r="EA127" s="28">
        <f>DZ127*EA$6</f>
        <v>0</v>
      </c>
      <c r="EB127" s="28">
        <f>DZ127*EB$6</f>
        <v>0</v>
      </c>
      <c r="EC127" s="28">
        <f>DZ127/EC$6</f>
        <v>0</v>
      </c>
      <c r="ED127" s="72">
        <f>EC127/ED$6</f>
        <v>0</v>
      </c>
      <c r="EE127" s="72">
        <f>DZ127/EE$6</f>
        <v>0</v>
      </c>
      <c r="EF127" s="70">
        <f>SUM(DZ127:EE127)</f>
        <v>0</v>
      </c>
      <c r="EG127" s="71">
        <v>0</v>
      </c>
      <c r="EH127" s="71">
        <v>0</v>
      </c>
      <c r="EI127" s="72">
        <f t="shared" si="2285"/>
        <v>0</v>
      </c>
      <c r="EJ127" s="72">
        <f t="shared" si="2286"/>
        <v>0</v>
      </c>
      <c r="EK127" s="70">
        <f>SUM(EI127:EJ127)</f>
        <v>0</v>
      </c>
      <c r="EL127" s="73">
        <v>0</v>
      </c>
      <c r="EM127" s="74">
        <f t="shared" ref="EM127:EM129" si="2318">IF(DW127=1,($C$1*$Q$6),0)</f>
        <v>0</v>
      </c>
      <c r="EN127" s="303">
        <f t="shared" ref="EN127:EN129" si="2319">EF127+EK127+EL127+EM127</f>
        <v>0</v>
      </c>
      <c r="EO127" s="58">
        <v>0</v>
      </c>
      <c r="EP127" s="76" t="s">
        <v>133</v>
      </c>
      <c r="EQ127" s="28">
        <f t="shared" si="2288"/>
        <v>0</v>
      </c>
      <c r="ER127" s="28">
        <v>0</v>
      </c>
      <c r="ES127" s="28">
        <f>ER127*ES$6</f>
        <v>0</v>
      </c>
      <c r="ET127" s="28">
        <f>ER127*ET$6</f>
        <v>0</v>
      </c>
      <c r="EU127" s="28">
        <f>ER127/EU$6</f>
        <v>0</v>
      </c>
      <c r="EV127" s="72">
        <f>EU127/EV$6</f>
        <v>0</v>
      </c>
      <c r="EW127" s="72">
        <f>ER127/EW$6</f>
        <v>0</v>
      </c>
      <c r="EX127" s="70">
        <f>SUM(ER127:EW127)</f>
        <v>0</v>
      </c>
      <c r="EY127" s="71">
        <v>0</v>
      </c>
      <c r="EZ127" s="71">
        <v>0</v>
      </c>
      <c r="FA127" s="72">
        <f t="shared" si="2289"/>
        <v>0</v>
      </c>
      <c r="FB127" s="72">
        <f t="shared" si="2290"/>
        <v>0</v>
      </c>
      <c r="FC127" s="70">
        <f>SUM(FA127:FB127)</f>
        <v>0</v>
      </c>
      <c r="FD127" s="73">
        <v>0</v>
      </c>
      <c r="FE127" s="74">
        <f t="shared" ref="FE127:FE129" si="2320">IF(EO127=1,($C$1*$Q$6),0)</f>
        <v>0</v>
      </c>
      <c r="FF127" s="303">
        <f t="shared" ref="FF127:FF129" si="2321">EX127+FC127+FD127+FE127</f>
        <v>0</v>
      </c>
      <c r="FG127" s="58">
        <v>0</v>
      </c>
      <c r="FH127" s="76" t="s">
        <v>133</v>
      </c>
      <c r="FI127" s="28">
        <f t="shared" si="2292"/>
        <v>0</v>
      </c>
      <c r="FJ127" s="28">
        <v>0</v>
      </c>
      <c r="FK127" s="28">
        <f>FJ127*FK$6</f>
        <v>0</v>
      </c>
      <c r="FL127" s="28">
        <f>FJ127*FL$6</f>
        <v>0</v>
      </c>
      <c r="FM127" s="28">
        <f>FJ127/FM$6</f>
        <v>0</v>
      </c>
      <c r="FN127" s="72">
        <f>FM127/FN$6</f>
        <v>0</v>
      </c>
      <c r="FO127" s="72">
        <f>FJ127/FO$6</f>
        <v>0</v>
      </c>
      <c r="FP127" s="70">
        <f>SUM(FJ127:FO127)</f>
        <v>0</v>
      </c>
      <c r="FQ127" s="71">
        <v>0</v>
      </c>
      <c r="FR127" s="71">
        <v>0</v>
      </c>
      <c r="FS127" s="72">
        <f t="shared" si="2293"/>
        <v>0</v>
      </c>
      <c r="FT127" s="72">
        <f t="shared" si="2294"/>
        <v>0</v>
      </c>
      <c r="FU127" s="70">
        <f>SUM(FS127:FT127)</f>
        <v>0</v>
      </c>
      <c r="FV127" s="73">
        <v>0</v>
      </c>
      <c r="FW127" s="74">
        <f t="shared" ref="FW127:FW129" si="2322">IF(FG127=1,($C$1*$Q$6),0)</f>
        <v>0</v>
      </c>
      <c r="FX127" s="303">
        <f t="shared" ref="FX127:FX129" si="2323">FP127+FU127+FV127+FW127</f>
        <v>0</v>
      </c>
      <c r="FY127" s="58">
        <v>0</v>
      </c>
      <c r="FZ127" s="76" t="s">
        <v>133</v>
      </c>
      <c r="GA127" s="28">
        <f t="shared" si="2296"/>
        <v>0</v>
      </c>
      <c r="GB127" s="28">
        <v>0</v>
      </c>
      <c r="GC127" s="28">
        <f>GB127*GC$6</f>
        <v>0</v>
      </c>
      <c r="GD127" s="28">
        <f>GB127*GD$6</f>
        <v>0</v>
      </c>
      <c r="GE127" s="28">
        <f>GB127/GE$6</f>
        <v>0</v>
      </c>
      <c r="GF127" s="72">
        <f>GE127/GF$6</f>
        <v>0</v>
      </c>
      <c r="GG127" s="72">
        <f>GB127/GG$6</f>
        <v>0</v>
      </c>
      <c r="GH127" s="70">
        <f>SUM(GB127:GG127)</f>
        <v>0</v>
      </c>
      <c r="GI127" s="71">
        <v>0</v>
      </c>
      <c r="GJ127" s="71">
        <v>0</v>
      </c>
      <c r="GK127" s="72">
        <f t="shared" si="2297"/>
        <v>0</v>
      </c>
      <c r="GL127" s="72">
        <f t="shared" si="2298"/>
        <v>0</v>
      </c>
      <c r="GM127" s="70">
        <f>SUM(GK127:GL127)</f>
        <v>0</v>
      </c>
      <c r="GN127" s="73">
        <v>0</v>
      </c>
      <c r="GO127" s="74">
        <f t="shared" ref="GO127:GO129" si="2324">IF(FY127=1,($C$1*$Q$6),0)</f>
        <v>0</v>
      </c>
      <c r="GP127" s="303">
        <f t="shared" ref="GP127:GP129" si="2325">GH127+GM127+GN127+GO127</f>
        <v>0</v>
      </c>
      <c r="GQ127" s="58">
        <v>0</v>
      </c>
      <c r="GR127" s="76" t="s">
        <v>133</v>
      </c>
      <c r="GS127" s="28">
        <f t="shared" si="2300"/>
        <v>0</v>
      </c>
      <c r="GT127" s="28">
        <v>0</v>
      </c>
      <c r="GU127" s="28">
        <f>GT127*GU$6</f>
        <v>0</v>
      </c>
      <c r="GV127" s="28">
        <f>GT127*GV$6</f>
        <v>0</v>
      </c>
      <c r="GW127" s="28">
        <f>GT127/GW$6</f>
        <v>0</v>
      </c>
      <c r="GX127" s="72">
        <f>GW127/GX$6</f>
        <v>0</v>
      </c>
      <c r="GY127" s="72">
        <f>GT127/GY$6</f>
        <v>0</v>
      </c>
      <c r="GZ127" s="70">
        <f>SUM(GT127:GY127)</f>
        <v>0</v>
      </c>
      <c r="HA127" s="71">
        <v>0</v>
      </c>
      <c r="HB127" s="71">
        <v>0</v>
      </c>
      <c r="HC127" s="72">
        <f t="shared" si="2301"/>
        <v>0</v>
      </c>
      <c r="HD127" s="72">
        <f t="shared" si="2302"/>
        <v>0</v>
      </c>
      <c r="HE127" s="70">
        <f>SUM(HC127:HD127)</f>
        <v>0</v>
      </c>
      <c r="HF127" s="73">
        <v>0</v>
      </c>
      <c r="HG127" s="74">
        <f t="shared" ref="HG127:HG129" si="2326">IF(GQ127=1,($C$1*$Q$6),0)</f>
        <v>0</v>
      </c>
      <c r="HH127" s="303">
        <f t="shared" ref="HH127:HH129" si="2327">GZ127+HE127+HF127+HG127</f>
        <v>0</v>
      </c>
      <c r="HJ127" s="37"/>
      <c r="HK127" s="37"/>
      <c r="HL127" s="37"/>
      <c r="HM127" s="37"/>
      <c r="HN127" s="37"/>
      <c r="HO127" s="37"/>
      <c r="HP127" s="37"/>
      <c r="HQ127" s="37"/>
      <c r="HR127" s="37"/>
      <c r="HS127" s="37"/>
      <c r="HT127" s="37"/>
      <c r="HU127" s="37"/>
      <c r="HV127" s="37"/>
      <c r="HW127" s="37"/>
      <c r="HX127" s="37"/>
      <c r="HY127" s="37"/>
      <c r="HZ127" s="37"/>
      <c r="IA127" s="37"/>
      <c r="IB127" s="37"/>
      <c r="IC127" s="37"/>
      <c r="ID127" s="37"/>
      <c r="IE127" s="37"/>
      <c r="IF127" s="37"/>
      <c r="IG127" s="37"/>
      <c r="IH127" s="37"/>
      <c r="II127" s="37"/>
      <c r="IJ127" s="37"/>
      <c r="IK127" s="37"/>
      <c r="IL127" s="37"/>
      <c r="IM127" s="37"/>
      <c r="IN127" s="37"/>
      <c r="IO127" s="37"/>
      <c r="IP127" s="37"/>
    </row>
    <row r="128" spans="1:250" ht="15" customHeight="1" x14ac:dyDescent="0.3">
      <c r="A128" s="58">
        <v>0</v>
      </c>
      <c r="B128" s="76" t="s">
        <v>182</v>
      </c>
      <c r="C128" s="28">
        <f t="shared" si="2256"/>
        <v>0</v>
      </c>
      <c r="D128" s="28">
        <v>0</v>
      </c>
      <c r="E128" s="28">
        <f>D128*E$6</f>
        <v>0</v>
      </c>
      <c r="F128" s="28">
        <f>D128*F$6</f>
        <v>0</v>
      </c>
      <c r="G128" s="28">
        <f>D128/G$6</f>
        <v>0</v>
      </c>
      <c r="H128" s="72">
        <f>G128/H$6</f>
        <v>0</v>
      </c>
      <c r="I128" s="72">
        <f>D128/I$6</f>
        <v>0</v>
      </c>
      <c r="J128" s="70">
        <f>SUM(D128:I128)</f>
        <v>0</v>
      </c>
      <c r="K128" s="71">
        <v>0</v>
      </c>
      <c r="L128" s="71">
        <v>0</v>
      </c>
      <c r="M128" s="72">
        <f t="shared" si="2257"/>
        <v>0</v>
      </c>
      <c r="N128" s="72">
        <f t="shared" si="2258"/>
        <v>0</v>
      </c>
      <c r="O128" s="70">
        <f>SUM(M128:N128)</f>
        <v>0</v>
      </c>
      <c r="P128" s="73">
        <v>0</v>
      </c>
      <c r="Q128" s="74">
        <f t="shared" si="2304"/>
        <v>0</v>
      </c>
      <c r="R128" s="303">
        <f t="shared" si="2305"/>
        <v>0</v>
      </c>
      <c r="S128" s="58">
        <v>0</v>
      </c>
      <c r="T128" s="76" t="s">
        <v>182</v>
      </c>
      <c r="U128" s="28">
        <f t="shared" si="2260"/>
        <v>0</v>
      </c>
      <c r="V128" s="28">
        <v>0</v>
      </c>
      <c r="W128" s="28">
        <f>V128*W$6</f>
        <v>0</v>
      </c>
      <c r="X128" s="28">
        <f>V128*X$6</f>
        <v>0</v>
      </c>
      <c r="Y128" s="28">
        <f>V128/Y$6</f>
        <v>0</v>
      </c>
      <c r="Z128" s="72">
        <f>Y128/Z$6</f>
        <v>0</v>
      </c>
      <c r="AA128" s="72">
        <f>V128/AA$6</f>
        <v>0</v>
      </c>
      <c r="AB128" s="70">
        <f>SUM(V128:AA128)</f>
        <v>0</v>
      </c>
      <c r="AC128" s="71">
        <v>0</v>
      </c>
      <c r="AD128" s="71">
        <v>0</v>
      </c>
      <c r="AE128" s="72">
        <f t="shared" si="2261"/>
        <v>0</v>
      </c>
      <c r="AF128" s="72">
        <f t="shared" si="2262"/>
        <v>0</v>
      </c>
      <c r="AG128" s="70">
        <f>SUM(AE128:AF128)</f>
        <v>0</v>
      </c>
      <c r="AH128" s="73">
        <v>0</v>
      </c>
      <c r="AI128" s="74">
        <f t="shared" si="2306"/>
        <v>0</v>
      </c>
      <c r="AJ128" s="303">
        <f t="shared" si="2307"/>
        <v>0</v>
      </c>
      <c r="AK128" s="58">
        <v>0</v>
      </c>
      <c r="AL128" s="76" t="s">
        <v>182</v>
      </c>
      <c r="AM128" s="28">
        <f t="shared" si="2264"/>
        <v>0</v>
      </c>
      <c r="AN128" s="28">
        <v>0</v>
      </c>
      <c r="AO128" s="28">
        <f>AN128*AO$6</f>
        <v>0</v>
      </c>
      <c r="AP128" s="28">
        <f>AN128*AP$6</f>
        <v>0</v>
      </c>
      <c r="AQ128" s="28">
        <f>AN128/AQ$6</f>
        <v>0</v>
      </c>
      <c r="AR128" s="72">
        <f>AQ128/AR$6</f>
        <v>0</v>
      </c>
      <c r="AS128" s="72">
        <f>AN128/AS$6</f>
        <v>0</v>
      </c>
      <c r="AT128" s="70">
        <f>SUM(AN128:AS128)</f>
        <v>0</v>
      </c>
      <c r="AU128" s="71">
        <v>0</v>
      </c>
      <c r="AV128" s="71">
        <v>0</v>
      </c>
      <c r="AW128" s="72">
        <f t="shared" si="2265"/>
        <v>0</v>
      </c>
      <c r="AX128" s="72">
        <f t="shared" si="2266"/>
        <v>0</v>
      </c>
      <c r="AY128" s="70">
        <f>SUM(AW128:AX128)</f>
        <v>0</v>
      </c>
      <c r="AZ128" s="73">
        <v>0</v>
      </c>
      <c r="BA128" s="74">
        <f t="shared" si="2308"/>
        <v>0</v>
      </c>
      <c r="BB128" s="303">
        <f t="shared" si="2309"/>
        <v>0</v>
      </c>
      <c r="BC128" s="58">
        <v>0</v>
      </c>
      <c r="BD128" s="76" t="s">
        <v>182</v>
      </c>
      <c r="BE128" s="28">
        <f t="shared" si="2268"/>
        <v>0</v>
      </c>
      <c r="BF128" s="28">
        <v>0</v>
      </c>
      <c r="BG128" s="28">
        <f>BF128*BG$6</f>
        <v>0</v>
      </c>
      <c r="BH128" s="28">
        <f>BF128*BH$6</f>
        <v>0</v>
      </c>
      <c r="BI128" s="28">
        <f>BF128/BI$6</f>
        <v>0</v>
      </c>
      <c r="BJ128" s="72">
        <f>BI128/BJ$6</f>
        <v>0</v>
      </c>
      <c r="BK128" s="72">
        <f>BF128/BK$6</f>
        <v>0</v>
      </c>
      <c r="BL128" s="70">
        <f>SUM(BF128:BK128)</f>
        <v>0</v>
      </c>
      <c r="BM128" s="71">
        <v>0</v>
      </c>
      <c r="BN128" s="71">
        <v>0</v>
      </c>
      <c r="BO128" s="72">
        <f t="shared" si="2269"/>
        <v>0</v>
      </c>
      <c r="BP128" s="72">
        <f t="shared" si="2270"/>
        <v>0</v>
      </c>
      <c r="BQ128" s="70">
        <f>SUM(BO128:BP128)</f>
        <v>0</v>
      </c>
      <c r="BR128" s="73">
        <v>0</v>
      </c>
      <c r="BS128" s="74">
        <f t="shared" si="2310"/>
        <v>0</v>
      </c>
      <c r="BT128" s="303">
        <f t="shared" si="2311"/>
        <v>0</v>
      </c>
      <c r="BU128" s="58">
        <v>0</v>
      </c>
      <c r="BV128" s="76" t="s">
        <v>182</v>
      </c>
      <c r="BW128" s="28">
        <f t="shared" si="2272"/>
        <v>0</v>
      </c>
      <c r="BX128" s="28">
        <v>0</v>
      </c>
      <c r="BY128" s="28">
        <f>BX128*BY$6</f>
        <v>0</v>
      </c>
      <c r="BZ128" s="28">
        <f>BX128*BZ$6</f>
        <v>0</v>
      </c>
      <c r="CA128" s="28">
        <f>BX128/CA$6</f>
        <v>0</v>
      </c>
      <c r="CB128" s="72">
        <f>CA128/CB$6</f>
        <v>0</v>
      </c>
      <c r="CC128" s="72">
        <f>BX128/CC$6</f>
        <v>0</v>
      </c>
      <c r="CD128" s="70">
        <f>SUM(BX128:CC128)</f>
        <v>0</v>
      </c>
      <c r="CE128" s="71">
        <v>0</v>
      </c>
      <c r="CF128" s="71">
        <v>0</v>
      </c>
      <c r="CG128" s="72">
        <f t="shared" si="2273"/>
        <v>0</v>
      </c>
      <c r="CH128" s="72">
        <f t="shared" si="2274"/>
        <v>0</v>
      </c>
      <c r="CI128" s="70">
        <f>SUM(CG128:CH128)</f>
        <v>0</v>
      </c>
      <c r="CJ128" s="73">
        <v>0</v>
      </c>
      <c r="CK128" s="74">
        <f t="shared" si="2312"/>
        <v>0</v>
      </c>
      <c r="CL128" s="303">
        <f t="shared" si="2313"/>
        <v>0</v>
      </c>
      <c r="CM128" s="58">
        <v>0</v>
      </c>
      <c r="CN128" s="76" t="s">
        <v>182</v>
      </c>
      <c r="CO128" s="28">
        <f t="shared" si="2276"/>
        <v>0</v>
      </c>
      <c r="CP128" s="28">
        <v>0</v>
      </c>
      <c r="CQ128" s="28">
        <f>CP128*CQ$6</f>
        <v>0</v>
      </c>
      <c r="CR128" s="28">
        <f>CP128*CR$6</f>
        <v>0</v>
      </c>
      <c r="CS128" s="28">
        <f>CP128/CS$6</f>
        <v>0</v>
      </c>
      <c r="CT128" s="72">
        <f>CS128/CT$6</f>
        <v>0</v>
      </c>
      <c r="CU128" s="72">
        <f>CP128/CU$6</f>
        <v>0</v>
      </c>
      <c r="CV128" s="70">
        <f>SUM(CP128:CU128)</f>
        <v>0</v>
      </c>
      <c r="CW128" s="71">
        <v>0</v>
      </c>
      <c r="CX128" s="71">
        <v>0</v>
      </c>
      <c r="CY128" s="72">
        <f t="shared" si="2277"/>
        <v>0</v>
      </c>
      <c r="CZ128" s="72">
        <f t="shared" si="2278"/>
        <v>0</v>
      </c>
      <c r="DA128" s="70">
        <f>SUM(CY128:CZ128)</f>
        <v>0</v>
      </c>
      <c r="DB128" s="73">
        <v>0</v>
      </c>
      <c r="DC128" s="74">
        <f t="shared" si="2314"/>
        <v>0</v>
      </c>
      <c r="DD128" s="303">
        <f t="shared" si="2315"/>
        <v>0</v>
      </c>
      <c r="DE128" s="58">
        <v>0</v>
      </c>
      <c r="DF128" s="76" t="s">
        <v>182</v>
      </c>
      <c r="DG128" s="28">
        <f t="shared" si="2280"/>
        <v>0</v>
      </c>
      <c r="DH128" s="28">
        <v>0</v>
      </c>
      <c r="DI128" s="28">
        <f>DH128*DI$6</f>
        <v>0</v>
      </c>
      <c r="DJ128" s="28">
        <f>DH128*DJ$6</f>
        <v>0</v>
      </c>
      <c r="DK128" s="28">
        <f>DH128/DK$6</f>
        <v>0</v>
      </c>
      <c r="DL128" s="72">
        <f>DK128/DL$6</f>
        <v>0</v>
      </c>
      <c r="DM128" s="72">
        <f>DH128/DM$6</f>
        <v>0</v>
      </c>
      <c r="DN128" s="70">
        <f>SUM(DH128:DM128)</f>
        <v>0</v>
      </c>
      <c r="DO128" s="71">
        <v>0</v>
      </c>
      <c r="DP128" s="71">
        <v>0</v>
      </c>
      <c r="DQ128" s="72">
        <f t="shared" si="2281"/>
        <v>0</v>
      </c>
      <c r="DR128" s="72">
        <f t="shared" si="2282"/>
        <v>0</v>
      </c>
      <c r="DS128" s="70">
        <f>SUM(DQ128:DR128)</f>
        <v>0</v>
      </c>
      <c r="DT128" s="73">
        <v>0</v>
      </c>
      <c r="DU128" s="74">
        <f t="shared" si="2316"/>
        <v>0</v>
      </c>
      <c r="DV128" s="303">
        <f t="shared" si="2317"/>
        <v>0</v>
      </c>
      <c r="DW128" s="58">
        <v>0</v>
      </c>
      <c r="DX128" s="76" t="s">
        <v>182</v>
      </c>
      <c r="DY128" s="28">
        <f t="shared" si="2284"/>
        <v>0</v>
      </c>
      <c r="DZ128" s="28">
        <v>0</v>
      </c>
      <c r="EA128" s="28">
        <f>DZ128*EA$6</f>
        <v>0</v>
      </c>
      <c r="EB128" s="28">
        <f>DZ128*EB$6</f>
        <v>0</v>
      </c>
      <c r="EC128" s="28">
        <f>DZ128/EC$6</f>
        <v>0</v>
      </c>
      <c r="ED128" s="72">
        <f>EC128/ED$6</f>
        <v>0</v>
      </c>
      <c r="EE128" s="72">
        <f>DZ128/EE$6</f>
        <v>0</v>
      </c>
      <c r="EF128" s="70">
        <f>SUM(DZ128:EE128)</f>
        <v>0</v>
      </c>
      <c r="EG128" s="71">
        <v>0</v>
      </c>
      <c r="EH128" s="71">
        <v>0</v>
      </c>
      <c r="EI128" s="72">
        <f t="shared" si="2285"/>
        <v>0</v>
      </c>
      <c r="EJ128" s="72">
        <f t="shared" si="2286"/>
        <v>0</v>
      </c>
      <c r="EK128" s="70">
        <f>SUM(EI128:EJ128)</f>
        <v>0</v>
      </c>
      <c r="EL128" s="73">
        <v>0</v>
      </c>
      <c r="EM128" s="74">
        <f t="shared" si="2318"/>
        <v>0</v>
      </c>
      <c r="EN128" s="303">
        <f t="shared" si="2319"/>
        <v>0</v>
      </c>
      <c r="EO128" s="58">
        <v>0</v>
      </c>
      <c r="EP128" s="76" t="s">
        <v>182</v>
      </c>
      <c r="EQ128" s="28">
        <f t="shared" si="2288"/>
        <v>0</v>
      </c>
      <c r="ER128" s="28">
        <v>0</v>
      </c>
      <c r="ES128" s="28">
        <f>ER128*ES$6</f>
        <v>0</v>
      </c>
      <c r="ET128" s="28">
        <f>ER128*ET$6</f>
        <v>0</v>
      </c>
      <c r="EU128" s="28">
        <f>ER128/EU$6</f>
        <v>0</v>
      </c>
      <c r="EV128" s="72">
        <f>EU128/EV$6</f>
        <v>0</v>
      </c>
      <c r="EW128" s="72">
        <f>ER128/EW$6</f>
        <v>0</v>
      </c>
      <c r="EX128" s="70">
        <f>SUM(ER128:EW128)</f>
        <v>0</v>
      </c>
      <c r="EY128" s="71">
        <v>0</v>
      </c>
      <c r="EZ128" s="71">
        <v>0</v>
      </c>
      <c r="FA128" s="72">
        <f t="shared" si="2289"/>
        <v>0</v>
      </c>
      <c r="FB128" s="72">
        <f t="shared" si="2290"/>
        <v>0</v>
      </c>
      <c r="FC128" s="70">
        <f>SUM(FA128:FB128)</f>
        <v>0</v>
      </c>
      <c r="FD128" s="73">
        <v>0</v>
      </c>
      <c r="FE128" s="74">
        <f t="shared" si="2320"/>
        <v>0</v>
      </c>
      <c r="FF128" s="303">
        <f t="shared" si="2321"/>
        <v>0</v>
      </c>
      <c r="FG128" s="58">
        <v>0</v>
      </c>
      <c r="FH128" s="76" t="s">
        <v>182</v>
      </c>
      <c r="FI128" s="28">
        <f t="shared" si="2292"/>
        <v>0</v>
      </c>
      <c r="FJ128" s="28">
        <v>0</v>
      </c>
      <c r="FK128" s="28">
        <f>FJ128*FK$6</f>
        <v>0</v>
      </c>
      <c r="FL128" s="28">
        <f>FJ128*FL$6</f>
        <v>0</v>
      </c>
      <c r="FM128" s="28">
        <f>FJ128/FM$6</f>
        <v>0</v>
      </c>
      <c r="FN128" s="72">
        <f>FM128/FN$6</f>
        <v>0</v>
      </c>
      <c r="FO128" s="72">
        <f>FJ128/FO$6</f>
        <v>0</v>
      </c>
      <c r="FP128" s="70">
        <f>SUM(FJ128:FO128)</f>
        <v>0</v>
      </c>
      <c r="FQ128" s="71">
        <v>0</v>
      </c>
      <c r="FR128" s="71">
        <v>0</v>
      </c>
      <c r="FS128" s="72">
        <f t="shared" si="2293"/>
        <v>0</v>
      </c>
      <c r="FT128" s="72">
        <f t="shared" si="2294"/>
        <v>0</v>
      </c>
      <c r="FU128" s="70">
        <f>SUM(FS128:FT128)</f>
        <v>0</v>
      </c>
      <c r="FV128" s="73">
        <v>0</v>
      </c>
      <c r="FW128" s="74">
        <f t="shared" si="2322"/>
        <v>0</v>
      </c>
      <c r="FX128" s="303">
        <f t="shared" si="2323"/>
        <v>0</v>
      </c>
      <c r="FY128" s="58">
        <v>0</v>
      </c>
      <c r="FZ128" s="76" t="s">
        <v>182</v>
      </c>
      <c r="GA128" s="28">
        <f t="shared" si="2296"/>
        <v>0</v>
      </c>
      <c r="GB128" s="28">
        <v>0</v>
      </c>
      <c r="GC128" s="28">
        <f>GB128*GC$6</f>
        <v>0</v>
      </c>
      <c r="GD128" s="28">
        <f>GB128*GD$6</f>
        <v>0</v>
      </c>
      <c r="GE128" s="28">
        <f>GB128/GE$6</f>
        <v>0</v>
      </c>
      <c r="GF128" s="72">
        <f>GE128/GF$6</f>
        <v>0</v>
      </c>
      <c r="GG128" s="72">
        <f>GB128/GG$6</f>
        <v>0</v>
      </c>
      <c r="GH128" s="70">
        <f>SUM(GB128:GG128)</f>
        <v>0</v>
      </c>
      <c r="GI128" s="71">
        <v>0</v>
      </c>
      <c r="GJ128" s="71">
        <v>0</v>
      </c>
      <c r="GK128" s="72">
        <f t="shared" si="2297"/>
        <v>0</v>
      </c>
      <c r="GL128" s="72">
        <f t="shared" si="2298"/>
        <v>0</v>
      </c>
      <c r="GM128" s="70">
        <f>SUM(GK128:GL128)</f>
        <v>0</v>
      </c>
      <c r="GN128" s="73">
        <v>0</v>
      </c>
      <c r="GO128" s="74">
        <f t="shared" si="2324"/>
        <v>0</v>
      </c>
      <c r="GP128" s="303">
        <f t="shared" si="2325"/>
        <v>0</v>
      </c>
      <c r="GQ128" s="58">
        <v>0</v>
      </c>
      <c r="GR128" s="76" t="s">
        <v>182</v>
      </c>
      <c r="GS128" s="28">
        <f t="shared" si="2300"/>
        <v>0</v>
      </c>
      <c r="GT128" s="28">
        <v>0</v>
      </c>
      <c r="GU128" s="28">
        <f>GT128*GU$6</f>
        <v>0</v>
      </c>
      <c r="GV128" s="28">
        <f>GT128*GV$6</f>
        <v>0</v>
      </c>
      <c r="GW128" s="28">
        <f>GT128/GW$6</f>
        <v>0</v>
      </c>
      <c r="GX128" s="72">
        <f>GW128/GX$6</f>
        <v>0</v>
      </c>
      <c r="GY128" s="72">
        <f>GT128/GY$6</f>
        <v>0</v>
      </c>
      <c r="GZ128" s="70">
        <f>SUM(GT128:GY128)</f>
        <v>0</v>
      </c>
      <c r="HA128" s="71">
        <v>0</v>
      </c>
      <c r="HB128" s="71">
        <v>0</v>
      </c>
      <c r="HC128" s="72">
        <f t="shared" si="2301"/>
        <v>0</v>
      </c>
      <c r="HD128" s="72">
        <f t="shared" si="2302"/>
        <v>0</v>
      </c>
      <c r="HE128" s="70">
        <f>SUM(HC128:HD128)</f>
        <v>0</v>
      </c>
      <c r="HF128" s="73">
        <v>0</v>
      </c>
      <c r="HG128" s="74">
        <f t="shared" si="2326"/>
        <v>0</v>
      </c>
      <c r="HH128" s="303">
        <f t="shared" si="2327"/>
        <v>0</v>
      </c>
      <c r="HJ128" s="37"/>
      <c r="HK128" s="37"/>
      <c r="HL128" s="37"/>
      <c r="HM128" s="37"/>
      <c r="HN128" s="37"/>
      <c r="HO128" s="37"/>
      <c r="HP128" s="37"/>
      <c r="HQ128" s="37"/>
      <c r="HR128" s="37"/>
      <c r="HS128" s="37"/>
      <c r="HT128" s="37"/>
      <c r="HU128" s="37"/>
      <c r="HV128" s="37"/>
      <c r="HW128" s="37"/>
      <c r="HX128" s="37"/>
      <c r="HY128" s="37"/>
      <c r="HZ128" s="37"/>
      <c r="IA128" s="37"/>
      <c r="IB128" s="37"/>
      <c r="IC128" s="37"/>
      <c r="ID128" s="37"/>
      <c r="IE128" s="37"/>
      <c r="IF128" s="37"/>
      <c r="IG128" s="37"/>
      <c r="IH128" s="37"/>
      <c r="II128" s="37"/>
      <c r="IJ128" s="37"/>
      <c r="IK128" s="37"/>
      <c r="IL128" s="37"/>
      <c r="IM128" s="37"/>
      <c r="IN128" s="37"/>
      <c r="IO128" s="37"/>
      <c r="IP128" s="37"/>
    </row>
    <row r="129" spans="1:250" ht="15" customHeight="1" x14ac:dyDescent="0.3">
      <c r="A129" s="58">
        <v>0</v>
      </c>
      <c r="B129" s="68" t="s">
        <v>182</v>
      </c>
      <c r="C129" s="28">
        <f t="shared" si="2256"/>
        <v>0</v>
      </c>
      <c r="D129" s="69">
        <v>0</v>
      </c>
      <c r="E129" s="28">
        <f>D129*E$6</f>
        <v>0</v>
      </c>
      <c r="F129" s="28">
        <f>D129*F$6</f>
        <v>0</v>
      </c>
      <c r="G129" s="28">
        <f>D129/G$6</f>
        <v>0</v>
      </c>
      <c r="H129" s="72">
        <f>G129/H$6</f>
        <v>0</v>
      </c>
      <c r="I129" s="72">
        <f>D129/I$6</f>
        <v>0</v>
      </c>
      <c r="J129" s="70">
        <f>SUM(D129:I129)</f>
        <v>0</v>
      </c>
      <c r="K129" s="71">
        <v>0</v>
      </c>
      <c r="L129" s="71">
        <v>0</v>
      </c>
      <c r="M129" s="72">
        <f t="shared" si="2257"/>
        <v>0</v>
      </c>
      <c r="N129" s="72">
        <f t="shared" si="2258"/>
        <v>0</v>
      </c>
      <c r="O129" s="70">
        <f t="shared" ref="O129" si="2328">SUM(M129:N129)</f>
        <v>0</v>
      </c>
      <c r="P129" s="73">
        <v>0</v>
      </c>
      <c r="Q129" s="74">
        <f t="shared" si="2304"/>
        <v>0</v>
      </c>
      <c r="R129" s="303">
        <f t="shared" si="2305"/>
        <v>0</v>
      </c>
      <c r="S129" s="58">
        <v>0</v>
      </c>
      <c r="T129" s="68" t="s">
        <v>182</v>
      </c>
      <c r="U129" s="28">
        <f t="shared" si="2260"/>
        <v>0</v>
      </c>
      <c r="V129" s="69">
        <v>0</v>
      </c>
      <c r="W129" s="28">
        <f>V129*W$6</f>
        <v>0</v>
      </c>
      <c r="X129" s="28">
        <f>V129*X$6</f>
        <v>0</v>
      </c>
      <c r="Y129" s="28">
        <f>V129/Y$6</f>
        <v>0</v>
      </c>
      <c r="Z129" s="72">
        <f>Y129/Z$6</f>
        <v>0</v>
      </c>
      <c r="AA129" s="72">
        <f>V129/AA$6</f>
        <v>0</v>
      </c>
      <c r="AB129" s="70">
        <f>SUM(V129:AA129)</f>
        <v>0</v>
      </c>
      <c r="AC129" s="71">
        <v>0</v>
      </c>
      <c r="AD129" s="71">
        <v>0</v>
      </c>
      <c r="AE129" s="72">
        <f t="shared" si="2261"/>
        <v>0</v>
      </c>
      <c r="AF129" s="72">
        <f t="shared" si="2262"/>
        <v>0</v>
      </c>
      <c r="AG129" s="70">
        <f t="shared" ref="AG129" si="2329">SUM(AE129:AF129)</f>
        <v>0</v>
      </c>
      <c r="AH129" s="73">
        <v>0</v>
      </c>
      <c r="AI129" s="74">
        <f t="shared" si="2306"/>
        <v>0</v>
      </c>
      <c r="AJ129" s="303">
        <f t="shared" si="2307"/>
        <v>0</v>
      </c>
      <c r="AK129" s="58">
        <v>0</v>
      </c>
      <c r="AL129" s="68" t="s">
        <v>182</v>
      </c>
      <c r="AM129" s="28">
        <f t="shared" si="2264"/>
        <v>0</v>
      </c>
      <c r="AN129" s="69">
        <v>0</v>
      </c>
      <c r="AO129" s="28">
        <f>AN129*AO$6</f>
        <v>0</v>
      </c>
      <c r="AP129" s="28">
        <f>AN129*AP$6</f>
        <v>0</v>
      </c>
      <c r="AQ129" s="28">
        <f>AN129/AQ$6</f>
        <v>0</v>
      </c>
      <c r="AR129" s="72">
        <f>AQ129/AR$6</f>
        <v>0</v>
      </c>
      <c r="AS129" s="72">
        <f>AN129/AS$6</f>
        <v>0</v>
      </c>
      <c r="AT129" s="70">
        <f>SUM(AN129:AS129)</f>
        <v>0</v>
      </c>
      <c r="AU129" s="71">
        <v>0</v>
      </c>
      <c r="AV129" s="71">
        <v>0</v>
      </c>
      <c r="AW129" s="72">
        <f t="shared" si="2265"/>
        <v>0</v>
      </c>
      <c r="AX129" s="72">
        <f t="shared" si="2266"/>
        <v>0</v>
      </c>
      <c r="AY129" s="70">
        <f t="shared" ref="AY129" si="2330">SUM(AW129:AX129)</f>
        <v>0</v>
      </c>
      <c r="AZ129" s="73">
        <v>0</v>
      </c>
      <c r="BA129" s="74">
        <f t="shared" si="2308"/>
        <v>0</v>
      </c>
      <c r="BB129" s="303">
        <f t="shared" si="2309"/>
        <v>0</v>
      </c>
      <c r="BC129" s="58">
        <v>0</v>
      </c>
      <c r="BD129" s="68" t="s">
        <v>182</v>
      </c>
      <c r="BE129" s="28">
        <f t="shared" si="2268"/>
        <v>0</v>
      </c>
      <c r="BF129" s="69">
        <v>0</v>
      </c>
      <c r="BG129" s="28">
        <f>BF129*BG$6</f>
        <v>0</v>
      </c>
      <c r="BH129" s="28">
        <f>BF129*BH$6</f>
        <v>0</v>
      </c>
      <c r="BI129" s="28">
        <f>BF129/BI$6</f>
        <v>0</v>
      </c>
      <c r="BJ129" s="72">
        <f>BI129/BJ$6</f>
        <v>0</v>
      </c>
      <c r="BK129" s="72">
        <f>BF129/BK$6</f>
        <v>0</v>
      </c>
      <c r="BL129" s="70">
        <f>SUM(BF129:BK129)</f>
        <v>0</v>
      </c>
      <c r="BM129" s="71">
        <v>0</v>
      </c>
      <c r="BN129" s="71">
        <v>0</v>
      </c>
      <c r="BO129" s="72">
        <f t="shared" si="2269"/>
        <v>0</v>
      </c>
      <c r="BP129" s="72">
        <f t="shared" si="2270"/>
        <v>0</v>
      </c>
      <c r="BQ129" s="70">
        <f t="shared" ref="BQ129" si="2331">SUM(BO129:BP129)</f>
        <v>0</v>
      </c>
      <c r="BR129" s="73">
        <v>0</v>
      </c>
      <c r="BS129" s="74">
        <f t="shared" si="2310"/>
        <v>0</v>
      </c>
      <c r="BT129" s="303">
        <f t="shared" si="2311"/>
        <v>0</v>
      </c>
      <c r="BU129" s="58">
        <v>0</v>
      </c>
      <c r="BV129" s="68" t="s">
        <v>182</v>
      </c>
      <c r="BW129" s="28">
        <f t="shared" si="2272"/>
        <v>0</v>
      </c>
      <c r="BX129" s="69">
        <v>0</v>
      </c>
      <c r="BY129" s="28">
        <f>BX129*BY$6</f>
        <v>0</v>
      </c>
      <c r="BZ129" s="28">
        <f>BX129*BZ$6</f>
        <v>0</v>
      </c>
      <c r="CA129" s="28">
        <f>BX129/CA$6</f>
        <v>0</v>
      </c>
      <c r="CB129" s="72">
        <f>CA129/CB$6</f>
        <v>0</v>
      </c>
      <c r="CC129" s="72">
        <f>BX129/CC$6</f>
        <v>0</v>
      </c>
      <c r="CD129" s="70">
        <f>SUM(BX129:CC129)</f>
        <v>0</v>
      </c>
      <c r="CE129" s="71">
        <v>0</v>
      </c>
      <c r="CF129" s="71">
        <v>0</v>
      </c>
      <c r="CG129" s="72">
        <f t="shared" si="2273"/>
        <v>0</v>
      </c>
      <c r="CH129" s="72">
        <f t="shared" si="2274"/>
        <v>0</v>
      </c>
      <c r="CI129" s="70">
        <f t="shared" ref="CI129" si="2332">SUM(CG129:CH129)</f>
        <v>0</v>
      </c>
      <c r="CJ129" s="73">
        <v>0</v>
      </c>
      <c r="CK129" s="74">
        <f t="shared" si="2312"/>
        <v>0</v>
      </c>
      <c r="CL129" s="303">
        <f t="shared" si="2313"/>
        <v>0</v>
      </c>
      <c r="CM129" s="58">
        <v>0</v>
      </c>
      <c r="CN129" s="68" t="s">
        <v>182</v>
      </c>
      <c r="CO129" s="28">
        <f t="shared" si="2276"/>
        <v>0</v>
      </c>
      <c r="CP129" s="69">
        <v>0</v>
      </c>
      <c r="CQ129" s="28">
        <f>CP129*CQ$6</f>
        <v>0</v>
      </c>
      <c r="CR129" s="28">
        <f>CP129*CR$6</f>
        <v>0</v>
      </c>
      <c r="CS129" s="28">
        <f>CP129/CS$6</f>
        <v>0</v>
      </c>
      <c r="CT129" s="72">
        <f>CS129/CT$6</f>
        <v>0</v>
      </c>
      <c r="CU129" s="72">
        <f>CP129/CU$6</f>
        <v>0</v>
      </c>
      <c r="CV129" s="70">
        <f>SUM(CP129:CU129)</f>
        <v>0</v>
      </c>
      <c r="CW129" s="71">
        <v>0</v>
      </c>
      <c r="CX129" s="71">
        <v>0</v>
      </c>
      <c r="CY129" s="72">
        <f t="shared" si="2277"/>
        <v>0</v>
      </c>
      <c r="CZ129" s="72">
        <f t="shared" si="2278"/>
        <v>0</v>
      </c>
      <c r="DA129" s="70">
        <f t="shared" ref="DA129" si="2333">SUM(CY129:CZ129)</f>
        <v>0</v>
      </c>
      <c r="DB129" s="73">
        <v>0</v>
      </c>
      <c r="DC129" s="74">
        <f t="shared" si="2314"/>
        <v>0</v>
      </c>
      <c r="DD129" s="303">
        <f t="shared" si="2315"/>
        <v>0</v>
      </c>
      <c r="DE129" s="58">
        <v>0</v>
      </c>
      <c r="DF129" s="68" t="s">
        <v>182</v>
      </c>
      <c r="DG129" s="28">
        <f t="shared" si="2280"/>
        <v>0</v>
      </c>
      <c r="DH129" s="69">
        <v>0</v>
      </c>
      <c r="DI129" s="28">
        <f>DH129*DI$6</f>
        <v>0</v>
      </c>
      <c r="DJ129" s="28">
        <f>DH129*DJ$6</f>
        <v>0</v>
      </c>
      <c r="DK129" s="28">
        <f>DH129/DK$6</f>
        <v>0</v>
      </c>
      <c r="DL129" s="72">
        <f>DK129/DL$6</f>
        <v>0</v>
      </c>
      <c r="DM129" s="72">
        <f>DH129/DM$6</f>
        <v>0</v>
      </c>
      <c r="DN129" s="70">
        <f>SUM(DH129:DM129)</f>
        <v>0</v>
      </c>
      <c r="DO129" s="71">
        <v>0</v>
      </c>
      <c r="DP129" s="71">
        <v>0</v>
      </c>
      <c r="DQ129" s="72">
        <f t="shared" si="2281"/>
        <v>0</v>
      </c>
      <c r="DR129" s="72">
        <f t="shared" si="2282"/>
        <v>0</v>
      </c>
      <c r="DS129" s="70">
        <f t="shared" ref="DS129" si="2334">SUM(DQ129:DR129)</f>
        <v>0</v>
      </c>
      <c r="DT129" s="73">
        <v>0</v>
      </c>
      <c r="DU129" s="74">
        <f t="shared" si="2316"/>
        <v>0</v>
      </c>
      <c r="DV129" s="303">
        <f t="shared" si="2317"/>
        <v>0</v>
      </c>
      <c r="DW129" s="58">
        <v>0</v>
      </c>
      <c r="DX129" s="68" t="s">
        <v>182</v>
      </c>
      <c r="DY129" s="28">
        <f t="shared" si="2284"/>
        <v>0</v>
      </c>
      <c r="DZ129" s="69">
        <v>0</v>
      </c>
      <c r="EA129" s="28">
        <f>DZ129*EA$6</f>
        <v>0</v>
      </c>
      <c r="EB129" s="28">
        <f>DZ129*EB$6</f>
        <v>0</v>
      </c>
      <c r="EC129" s="28">
        <f>DZ129/EC$6</f>
        <v>0</v>
      </c>
      <c r="ED129" s="72">
        <f>EC129/ED$6</f>
        <v>0</v>
      </c>
      <c r="EE129" s="72">
        <f>DZ129/EE$6</f>
        <v>0</v>
      </c>
      <c r="EF129" s="70">
        <f>SUM(DZ129:EE129)</f>
        <v>0</v>
      </c>
      <c r="EG129" s="71">
        <v>0</v>
      </c>
      <c r="EH129" s="71">
        <v>0</v>
      </c>
      <c r="EI129" s="72">
        <f t="shared" si="2285"/>
        <v>0</v>
      </c>
      <c r="EJ129" s="72">
        <f t="shared" si="2286"/>
        <v>0</v>
      </c>
      <c r="EK129" s="70">
        <f t="shared" ref="EK129" si="2335">SUM(EI129:EJ129)</f>
        <v>0</v>
      </c>
      <c r="EL129" s="73">
        <v>0</v>
      </c>
      <c r="EM129" s="74">
        <f t="shared" si="2318"/>
        <v>0</v>
      </c>
      <c r="EN129" s="303">
        <f t="shared" si="2319"/>
        <v>0</v>
      </c>
      <c r="EO129" s="58">
        <v>0</v>
      </c>
      <c r="EP129" s="68" t="s">
        <v>182</v>
      </c>
      <c r="EQ129" s="28">
        <f t="shared" si="2288"/>
        <v>0</v>
      </c>
      <c r="ER129" s="69">
        <v>0</v>
      </c>
      <c r="ES129" s="28">
        <f>ER129*ES$6</f>
        <v>0</v>
      </c>
      <c r="ET129" s="28">
        <f>ER129*ET$6</f>
        <v>0</v>
      </c>
      <c r="EU129" s="28">
        <f>ER129/EU$6</f>
        <v>0</v>
      </c>
      <c r="EV129" s="72">
        <f>EU129/EV$6</f>
        <v>0</v>
      </c>
      <c r="EW129" s="72">
        <f>ER129/EW$6</f>
        <v>0</v>
      </c>
      <c r="EX129" s="70">
        <f>SUM(ER129:EW129)</f>
        <v>0</v>
      </c>
      <c r="EY129" s="71">
        <v>0</v>
      </c>
      <c r="EZ129" s="71">
        <v>0</v>
      </c>
      <c r="FA129" s="72">
        <f t="shared" si="2289"/>
        <v>0</v>
      </c>
      <c r="FB129" s="72">
        <f t="shared" si="2290"/>
        <v>0</v>
      </c>
      <c r="FC129" s="70">
        <f t="shared" ref="FC129" si="2336">SUM(FA129:FB129)</f>
        <v>0</v>
      </c>
      <c r="FD129" s="73">
        <v>0</v>
      </c>
      <c r="FE129" s="74">
        <f t="shared" si="2320"/>
        <v>0</v>
      </c>
      <c r="FF129" s="303">
        <f t="shared" si="2321"/>
        <v>0</v>
      </c>
      <c r="FG129" s="58">
        <v>0</v>
      </c>
      <c r="FH129" s="68" t="s">
        <v>182</v>
      </c>
      <c r="FI129" s="28">
        <f t="shared" si="2292"/>
        <v>0</v>
      </c>
      <c r="FJ129" s="69">
        <v>0</v>
      </c>
      <c r="FK129" s="28">
        <f>FJ129*FK$6</f>
        <v>0</v>
      </c>
      <c r="FL129" s="28">
        <f>FJ129*FL$6</f>
        <v>0</v>
      </c>
      <c r="FM129" s="28">
        <f>FJ129/FM$6</f>
        <v>0</v>
      </c>
      <c r="FN129" s="72">
        <f>FM129/FN$6</f>
        <v>0</v>
      </c>
      <c r="FO129" s="72">
        <f>FJ129/FO$6</f>
        <v>0</v>
      </c>
      <c r="FP129" s="70">
        <f>SUM(FJ129:FO129)</f>
        <v>0</v>
      </c>
      <c r="FQ129" s="71">
        <v>0</v>
      </c>
      <c r="FR129" s="71">
        <v>0</v>
      </c>
      <c r="FS129" s="72">
        <f t="shared" si="2293"/>
        <v>0</v>
      </c>
      <c r="FT129" s="72">
        <f t="shared" si="2294"/>
        <v>0</v>
      </c>
      <c r="FU129" s="70">
        <f t="shared" ref="FU129" si="2337">SUM(FS129:FT129)</f>
        <v>0</v>
      </c>
      <c r="FV129" s="73">
        <v>0</v>
      </c>
      <c r="FW129" s="74">
        <f t="shared" si="2322"/>
        <v>0</v>
      </c>
      <c r="FX129" s="303">
        <f t="shared" si="2323"/>
        <v>0</v>
      </c>
      <c r="FY129" s="58">
        <v>0</v>
      </c>
      <c r="FZ129" s="68" t="s">
        <v>182</v>
      </c>
      <c r="GA129" s="28">
        <f t="shared" si="2296"/>
        <v>0</v>
      </c>
      <c r="GB129" s="69">
        <v>0</v>
      </c>
      <c r="GC129" s="28">
        <f>GB129*GC$6</f>
        <v>0</v>
      </c>
      <c r="GD129" s="28">
        <f>GB129*GD$6</f>
        <v>0</v>
      </c>
      <c r="GE129" s="28">
        <f>GB129/GE$6</f>
        <v>0</v>
      </c>
      <c r="GF129" s="72">
        <f>GE129/GF$6</f>
        <v>0</v>
      </c>
      <c r="GG129" s="72">
        <f>GB129/GG$6</f>
        <v>0</v>
      </c>
      <c r="GH129" s="70">
        <f>SUM(GB129:GG129)</f>
        <v>0</v>
      </c>
      <c r="GI129" s="71">
        <v>0</v>
      </c>
      <c r="GJ129" s="71">
        <v>0</v>
      </c>
      <c r="GK129" s="72">
        <f t="shared" si="2297"/>
        <v>0</v>
      </c>
      <c r="GL129" s="72">
        <f t="shared" si="2298"/>
        <v>0</v>
      </c>
      <c r="GM129" s="70">
        <f t="shared" ref="GM129" si="2338">SUM(GK129:GL129)</f>
        <v>0</v>
      </c>
      <c r="GN129" s="73">
        <v>0</v>
      </c>
      <c r="GO129" s="74">
        <f t="shared" si="2324"/>
        <v>0</v>
      </c>
      <c r="GP129" s="303">
        <f t="shared" si="2325"/>
        <v>0</v>
      </c>
      <c r="GQ129" s="58">
        <v>0</v>
      </c>
      <c r="GR129" s="68" t="s">
        <v>182</v>
      </c>
      <c r="GS129" s="28">
        <f t="shared" si="2300"/>
        <v>0</v>
      </c>
      <c r="GT129" s="69">
        <v>0</v>
      </c>
      <c r="GU129" s="28">
        <f>GT129*GU$6</f>
        <v>0</v>
      </c>
      <c r="GV129" s="28">
        <f>GT129*GV$6</f>
        <v>0</v>
      </c>
      <c r="GW129" s="28">
        <f>GT129/GW$6</f>
        <v>0</v>
      </c>
      <c r="GX129" s="72">
        <f>GW129/GX$6</f>
        <v>0</v>
      </c>
      <c r="GY129" s="72">
        <f>GT129/GY$6</f>
        <v>0</v>
      </c>
      <c r="GZ129" s="70">
        <f>SUM(GT129:GY129)</f>
        <v>0</v>
      </c>
      <c r="HA129" s="71">
        <v>0</v>
      </c>
      <c r="HB129" s="71">
        <v>0</v>
      </c>
      <c r="HC129" s="72">
        <f t="shared" si="2301"/>
        <v>0</v>
      </c>
      <c r="HD129" s="72">
        <f t="shared" si="2302"/>
        <v>0</v>
      </c>
      <c r="HE129" s="70">
        <f t="shared" ref="HE129" si="2339">SUM(HC129:HD129)</f>
        <v>0</v>
      </c>
      <c r="HF129" s="73">
        <v>0</v>
      </c>
      <c r="HG129" s="74">
        <f t="shared" si="2326"/>
        <v>0</v>
      </c>
      <c r="HH129" s="303">
        <f t="shared" si="2327"/>
        <v>0</v>
      </c>
      <c r="HJ129" s="37"/>
      <c r="HK129" s="37"/>
      <c r="HL129" s="37"/>
      <c r="HM129" s="37"/>
      <c r="HN129" s="37"/>
      <c r="HO129" s="37"/>
      <c r="HP129" s="37"/>
      <c r="HQ129" s="37"/>
      <c r="HR129" s="37"/>
      <c r="HS129" s="37"/>
      <c r="HT129" s="37"/>
      <c r="HU129" s="37"/>
      <c r="HV129" s="37"/>
      <c r="HW129" s="37"/>
      <c r="HX129" s="37"/>
      <c r="HY129" s="37"/>
      <c r="HZ129" s="37"/>
      <c r="IA129" s="37"/>
      <c r="IB129" s="37"/>
      <c r="IC129" s="37"/>
      <c r="ID129" s="37"/>
      <c r="IE129" s="37"/>
      <c r="IF129" s="37"/>
      <c r="IG129" s="37"/>
      <c r="IH129" s="37"/>
      <c r="II129" s="37"/>
      <c r="IJ129" s="37"/>
      <c r="IK129" s="37"/>
      <c r="IL129" s="37"/>
      <c r="IM129" s="37"/>
      <c r="IN129" s="37"/>
      <c r="IO129" s="37"/>
      <c r="IP129" s="37"/>
    </row>
    <row r="130" spans="1:250" ht="15" customHeight="1" x14ac:dyDescent="0.3">
      <c r="A130" s="541"/>
      <c r="B130" s="537"/>
      <c r="C130" s="537"/>
      <c r="D130" s="537"/>
      <c r="E130" s="537"/>
      <c r="F130" s="537"/>
      <c r="G130" s="537"/>
      <c r="H130" s="537"/>
      <c r="I130" s="537"/>
      <c r="J130" s="537"/>
      <c r="K130" s="537"/>
      <c r="L130" s="537"/>
      <c r="M130" s="537"/>
      <c r="N130" s="537"/>
      <c r="O130" s="537"/>
      <c r="P130" s="538"/>
      <c r="Q130" s="307" t="s">
        <v>8</v>
      </c>
      <c r="R130" s="304">
        <f>SUM(R127:R129)</f>
        <v>0</v>
      </c>
      <c r="S130" s="541"/>
      <c r="T130" s="537"/>
      <c r="U130" s="537"/>
      <c r="V130" s="537"/>
      <c r="W130" s="537"/>
      <c r="X130" s="537"/>
      <c r="Y130" s="537"/>
      <c r="Z130" s="537"/>
      <c r="AA130" s="537"/>
      <c r="AB130" s="537"/>
      <c r="AC130" s="537"/>
      <c r="AD130" s="537"/>
      <c r="AE130" s="537"/>
      <c r="AF130" s="537"/>
      <c r="AG130" s="537"/>
      <c r="AH130" s="538"/>
      <c r="AI130" s="307" t="s">
        <v>8</v>
      </c>
      <c r="AJ130" s="304">
        <f>SUM(AJ127:AJ129)</f>
        <v>0</v>
      </c>
      <c r="AK130" s="541"/>
      <c r="AL130" s="537"/>
      <c r="AM130" s="537"/>
      <c r="AN130" s="537"/>
      <c r="AO130" s="537"/>
      <c r="AP130" s="537"/>
      <c r="AQ130" s="537"/>
      <c r="AR130" s="537"/>
      <c r="AS130" s="537"/>
      <c r="AT130" s="537"/>
      <c r="AU130" s="537"/>
      <c r="AV130" s="537"/>
      <c r="AW130" s="537"/>
      <c r="AX130" s="537"/>
      <c r="AY130" s="537"/>
      <c r="AZ130" s="538"/>
      <c r="BA130" s="307" t="s">
        <v>8</v>
      </c>
      <c r="BB130" s="304">
        <f>SUM(BB127:BB129)</f>
        <v>0</v>
      </c>
      <c r="BC130" s="541"/>
      <c r="BD130" s="537"/>
      <c r="BE130" s="537"/>
      <c r="BF130" s="537"/>
      <c r="BG130" s="537"/>
      <c r="BH130" s="537"/>
      <c r="BI130" s="537"/>
      <c r="BJ130" s="537"/>
      <c r="BK130" s="537"/>
      <c r="BL130" s="537"/>
      <c r="BM130" s="537"/>
      <c r="BN130" s="537"/>
      <c r="BO130" s="537"/>
      <c r="BP130" s="537"/>
      <c r="BQ130" s="537"/>
      <c r="BR130" s="538"/>
      <c r="BS130" s="307" t="s">
        <v>8</v>
      </c>
      <c r="BT130" s="304">
        <f>SUM(BT127:BT129)</f>
        <v>0</v>
      </c>
      <c r="BU130" s="541"/>
      <c r="BV130" s="537"/>
      <c r="BW130" s="537"/>
      <c r="BX130" s="537"/>
      <c r="BY130" s="537"/>
      <c r="BZ130" s="537"/>
      <c r="CA130" s="537"/>
      <c r="CB130" s="537"/>
      <c r="CC130" s="537"/>
      <c r="CD130" s="537"/>
      <c r="CE130" s="537"/>
      <c r="CF130" s="537"/>
      <c r="CG130" s="537"/>
      <c r="CH130" s="537"/>
      <c r="CI130" s="537"/>
      <c r="CJ130" s="538"/>
      <c r="CK130" s="307" t="s">
        <v>8</v>
      </c>
      <c r="CL130" s="304">
        <f>SUM(CL127:CL129)</f>
        <v>0</v>
      </c>
      <c r="CM130" s="541"/>
      <c r="CN130" s="537"/>
      <c r="CO130" s="537"/>
      <c r="CP130" s="537"/>
      <c r="CQ130" s="537"/>
      <c r="CR130" s="537"/>
      <c r="CS130" s="537"/>
      <c r="CT130" s="537"/>
      <c r="CU130" s="537"/>
      <c r="CV130" s="537"/>
      <c r="CW130" s="537"/>
      <c r="CX130" s="537"/>
      <c r="CY130" s="537"/>
      <c r="CZ130" s="537"/>
      <c r="DA130" s="537"/>
      <c r="DB130" s="538"/>
      <c r="DC130" s="307" t="s">
        <v>8</v>
      </c>
      <c r="DD130" s="304">
        <f>SUM(DD127:DD129)</f>
        <v>0</v>
      </c>
      <c r="DE130" s="541"/>
      <c r="DF130" s="537"/>
      <c r="DG130" s="537"/>
      <c r="DH130" s="537"/>
      <c r="DI130" s="537"/>
      <c r="DJ130" s="537"/>
      <c r="DK130" s="537"/>
      <c r="DL130" s="537"/>
      <c r="DM130" s="537"/>
      <c r="DN130" s="537"/>
      <c r="DO130" s="537"/>
      <c r="DP130" s="537"/>
      <c r="DQ130" s="537"/>
      <c r="DR130" s="537"/>
      <c r="DS130" s="537"/>
      <c r="DT130" s="538"/>
      <c r="DU130" s="307" t="s">
        <v>8</v>
      </c>
      <c r="DV130" s="304">
        <f>SUM(DV127:DV129)</f>
        <v>0</v>
      </c>
      <c r="DW130" s="541"/>
      <c r="DX130" s="537"/>
      <c r="DY130" s="537"/>
      <c r="DZ130" s="537"/>
      <c r="EA130" s="537"/>
      <c r="EB130" s="537"/>
      <c r="EC130" s="537"/>
      <c r="ED130" s="537"/>
      <c r="EE130" s="537"/>
      <c r="EF130" s="537"/>
      <c r="EG130" s="537"/>
      <c r="EH130" s="537"/>
      <c r="EI130" s="537"/>
      <c r="EJ130" s="537"/>
      <c r="EK130" s="537"/>
      <c r="EL130" s="538"/>
      <c r="EM130" s="307" t="s">
        <v>8</v>
      </c>
      <c r="EN130" s="304">
        <f>SUM(EN127:EN129)</f>
        <v>0</v>
      </c>
      <c r="EO130" s="541"/>
      <c r="EP130" s="537"/>
      <c r="EQ130" s="537"/>
      <c r="ER130" s="537"/>
      <c r="ES130" s="537"/>
      <c r="ET130" s="537"/>
      <c r="EU130" s="537"/>
      <c r="EV130" s="537"/>
      <c r="EW130" s="537"/>
      <c r="EX130" s="537"/>
      <c r="EY130" s="537"/>
      <c r="EZ130" s="537"/>
      <c r="FA130" s="537"/>
      <c r="FB130" s="537"/>
      <c r="FC130" s="537"/>
      <c r="FD130" s="538"/>
      <c r="FE130" s="307" t="s">
        <v>8</v>
      </c>
      <c r="FF130" s="304">
        <f>SUM(FF127:FF129)</f>
        <v>0</v>
      </c>
      <c r="FG130" s="541"/>
      <c r="FH130" s="537"/>
      <c r="FI130" s="537"/>
      <c r="FJ130" s="537"/>
      <c r="FK130" s="537"/>
      <c r="FL130" s="537"/>
      <c r="FM130" s="537"/>
      <c r="FN130" s="537"/>
      <c r="FO130" s="537"/>
      <c r="FP130" s="537"/>
      <c r="FQ130" s="537"/>
      <c r="FR130" s="537"/>
      <c r="FS130" s="537"/>
      <c r="FT130" s="537"/>
      <c r="FU130" s="537"/>
      <c r="FV130" s="538"/>
      <c r="FW130" s="307" t="s">
        <v>8</v>
      </c>
      <c r="FX130" s="304">
        <f>SUM(FX127:FX129)</f>
        <v>0</v>
      </c>
      <c r="FY130" s="541"/>
      <c r="FZ130" s="537"/>
      <c r="GA130" s="537"/>
      <c r="GB130" s="537"/>
      <c r="GC130" s="537"/>
      <c r="GD130" s="537"/>
      <c r="GE130" s="537"/>
      <c r="GF130" s="537"/>
      <c r="GG130" s="537"/>
      <c r="GH130" s="537"/>
      <c r="GI130" s="537"/>
      <c r="GJ130" s="537"/>
      <c r="GK130" s="537"/>
      <c r="GL130" s="537"/>
      <c r="GM130" s="537"/>
      <c r="GN130" s="538"/>
      <c r="GO130" s="307" t="s">
        <v>8</v>
      </c>
      <c r="GP130" s="304">
        <f>SUM(GP127:GP129)</f>
        <v>0</v>
      </c>
      <c r="GQ130" s="541"/>
      <c r="GR130" s="537"/>
      <c r="GS130" s="537"/>
      <c r="GT130" s="537"/>
      <c r="GU130" s="537"/>
      <c r="GV130" s="537"/>
      <c r="GW130" s="537"/>
      <c r="GX130" s="537"/>
      <c r="GY130" s="537"/>
      <c r="GZ130" s="537"/>
      <c r="HA130" s="537"/>
      <c r="HB130" s="537"/>
      <c r="HC130" s="537"/>
      <c r="HD130" s="537"/>
      <c r="HE130" s="537"/>
      <c r="HF130" s="538"/>
      <c r="HG130" s="307" t="s">
        <v>8</v>
      </c>
      <c r="HH130" s="304">
        <f>SUM(HH127:HH129)</f>
        <v>0</v>
      </c>
      <c r="HJ130" s="37"/>
      <c r="HK130" s="37"/>
      <c r="HL130" s="37"/>
      <c r="HM130" s="37"/>
      <c r="HN130" s="37"/>
      <c r="HO130" s="37"/>
      <c r="HP130" s="37"/>
      <c r="HQ130" s="37"/>
      <c r="HR130" s="37"/>
      <c r="HS130" s="37"/>
      <c r="HT130" s="37"/>
      <c r="HU130" s="37"/>
      <c r="HV130" s="37"/>
      <c r="HW130" s="37"/>
      <c r="HX130" s="37"/>
      <c r="HY130" s="37"/>
      <c r="HZ130" s="37"/>
      <c r="IA130" s="37"/>
      <c r="IB130" s="37"/>
      <c r="IC130" s="37"/>
      <c r="ID130" s="37"/>
      <c r="IE130" s="37"/>
      <c r="IF130" s="37"/>
      <c r="IG130" s="37"/>
      <c r="IH130" s="37"/>
      <c r="II130" s="37"/>
      <c r="IJ130" s="37"/>
      <c r="IK130" s="37"/>
      <c r="IL130" s="37"/>
      <c r="IM130" s="37"/>
      <c r="IN130" s="37"/>
      <c r="IO130" s="37"/>
      <c r="IP130" s="37"/>
    </row>
    <row r="131" spans="1:250" ht="15" customHeight="1" x14ac:dyDescent="0.3">
      <c r="A131" s="546"/>
      <c r="B131" s="547"/>
      <c r="C131" s="547"/>
      <c r="D131" s="547"/>
      <c r="E131" s="742" t="s">
        <v>53</v>
      </c>
      <c r="F131" s="742"/>
      <c r="G131" s="742"/>
      <c r="H131" s="742"/>
      <c r="I131" s="742"/>
      <c r="J131" s="742"/>
      <c r="K131" s="742"/>
      <c r="L131" s="742"/>
      <c r="M131" s="742"/>
      <c r="N131" s="547"/>
      <c r="O131" s="547"/>
      <c r="P131" s="547"/>
      <c r="Q131" s="547"/>
      <c r="R131" s="548"/>
      <c r="S131" s="546"/>
      <c r="T131" s="547"/>
      <c r="U131" s="547"/>
      <c r="V131" s="547"/>
      <c r="W131" s="742" t="s">
        <v>53</v>
      </c>
      <c r="X131" s="742"/>
      <c r="Y131" s="742"/>
      <c r="Z131" s="742"/>
      <c r="AA131" s="742"/>
      <c r="AB131" s="742"/>
      <c r="AC131" s="742"/>
      <c r="AD131" s="742"/>
      <c r="AE131" s="742"/>
      <c r="AF131" s="547"/>
      <c r="AG131" s="547"/>
      <c r="AH131" s="547"/>
      <c r="AI131" s="547"/>
      <c r="AJ131" s="548"/>
      <c r="AK131" s="546"/>
      <c r="AL131" s="547"/>
      <c r="AM131" s="547"/>
      <c r="AN131" s="547"/>
      <c r="AO131" s="742" t="s">
        <v>53</v>
      </c>
      <c r="AP131" s="742"/>
      <c r="AQ131" s="742"/>
      <c r="AR131" s="742"/>
      <c r="AS131" s="742"/>
      <c r="AT131" s="742"/>
      <c r="AU131" s="742"/>
      <c r="AV131" s="742"/>
      <c r="AW131" s="742"/>
      <c r="AX131" s="547"/>
      <c r="AY131" s="547"/>
      <c r="AZ131" s="547"/>
      <c r="BA131" s="547"/>
      <c r="BB131" s="548"/>
      <c r="BC131" s="546"/>
      <c r="BD131" s="547"/>
      <c r="BE131" s="547"/>
      <c r="BF131" s="547"/>
      <c r="BG131" s="742" t="s">
        <v>53</v>
      </c>
      <c r="BH131" s="742"/>
      <c r="BI131" s="742"/>
      <c r="BJ131" s="742"/>
      <c r="BK131" s="742"/>
      <c r="BL131" s="742"/>
      <c r="BM131" s="742"/>
      <c r="BN131" s="742"/>
      <c r="BO131" s="742"/>
      <c r="BP131" s="547"/>
      <c r="BQ131" s="547"/>
      <c r="BR131" s="547"/>
      <c r="BS131" s="547"/>
      <c r="BT131" s="548"/>
      <c r="BU131" s="546"/>
      <c r="BV131" s="547"/>
      <c r="BW131" s="547"/>
      <c r="BX131" s="547"/>
      <c r="BY131" s="742" t="s">
        <v>53</v>
      </c>
      <c r="BZ131" s="742"/>
      <c r="CA131" s="742"/>
      <c r="CB131" s="742"/>
      <c r="CC131" s="742"/>
      <c r="CD131" s="742"/>
      <c r="CE131" s="742"/>
      <c r="CF131" s="742"/>
      <c r="CG131" s="742"/>
      <c r="CH131" s="547"/>
      <c r="CI131" s="547"/>
      <c r="CJ131" s="547"/>
      <c r="CK131" s="547"/>
      <c r="CL131" s="548"/>
      <c r="CM131" s="546"/>
      <c r="CN131" s="547"/>
      <c r="CO131" s="547"/>
      <c r="CP131" s="547"/>
      <c r="CQ131" s="742" t="s">
        <v>53</v>
      </c>
      <c r="CR131" s="742"/>
      <c r="CS131" s="742"/>
      <c r="CT131" s="742"/>
      <c r="CU131" s="742"/>
      <c r="CV131" s="742"/>
      <c r="CW131" s="742"/>
      <c r="CX131" s="742"/>
      <c r="CY131" s="742"/>
      <c r="CZ131" s="547"/>
      <c r="DA131" s="547"/>
      <c r="DB131" s="547"/>
      <c r="DC131" s="547"/>
      <c r="DD131" s="548"/>
      <c r="DE131" s="546"/>
      <c r="DF131" s="547"/>
      <c r="DG131" s="547"/>
      <c r="DH131" s="547"/>
      <c r="DI131" s="742" t="s">
        <v>53</v>
      </c>
      <c r="DJ131" s="742"/>
      <c r="DK131" s="742"/>
      <c r="DL131" s="742"/>
      <c r="DM131" s="742"/>
      <c r="DN131" s="742"/>
      <c r="DO131" s="742"/>
      <c r="DP131" s="742"/>
      <c r="DQ131" s="742"/>
      <c r="DR131" s="547"/>
      <c r="DS131" s="547"/>
      <c r="DT131" s="547"/>
      <c r="DU131" s="547"/>
      <c r="DV131" s="548"/>
      <c r="DW131" s="546"/>
      <c r="DX131" s="547"/>
      <c r="DY131" s="547"/>
      <c r="DZ131" s="547"/>
      <c r="EA131" s="742" t="s">
        <v>53</v>
      </c>
      <c r="EB131" s="742"/>
      <c r="EC131" s="742"/>
      <c r="ED131" s="742"/>
      <c r="EE131" s="742"/>
      <c r="EF131" s="742"/>
      <c r="EG131" s="742"/>
      <c r="EH131" s="742"/>
      <c r="EI131" s="742"/>
      <c r="EJ131" s="547"/>
      <c r="EK131" s="547"/>
      <c r="EL131" s="547"/>
      <c r="EM131" s="547"/>
      <c r="EN131" s="548"/>
      <c r="EO131" s="546"/>
      <c r="EP131" s="547"/>
      <c r="EQ131" s="547"/>
      <c r="ER131" s="547"/>
      <c r="ES131" s="742" t="s">
        <v>53</v>
      </c>
      <c r="ET131" s="742"/>
      <c r="EU131" s="742"/>
      <c r="EV131" s="742"/>
      <c r="EW131" s="742"/>
      <c r="EX131" s="742"/>
      <c r="EY131" s="742"/>
      <c r="EZ131" s="742"/>
      <c r="FA131" s="742"/>
      <c r="FB131" s="547"/>
      <c r="FC131" s="547"/>
      <c r="FD131" s="547"/>
      <c r="FE131" s="547"/>
      <c r="FF131" s="548"/>
      <c r="FG131" s="546"/>
      <c r="FH131" s="547"/>
      <c r="FI131" s="547"/>
      <c r="FJ131" s="547"/>
      <c r="FK131" s="742" t="s">
        <v>53</v>
      </c>
      <c r="FL131" s="742"/>
      <c r="FM131" s="742"/>
      <c r="FN131" s="742"/>
      <c r="FO131" s="742"/>
      <c r="FP131" s="742"/>
      <c r="FQ131" s="742"/>
      <c r="FR131" s="742"/>
      <c r="FS131" s="742"/>
      <c r="FT131" s="547"/>
      <c r="FU131" s="547"/>
      <c r="FV131" s="547"/>
      <c r="FW131" s="547"/>
      <c r="FX131" s="548"/>
      <c r="FY131" s="546"/>
      <c r="FZ131" s="547"/>
      <c r="GA131" s="547"/>
      <c r="GB131" s="547"/>
      <c r="GC131" s="742" t="s">
        <v>53</v>
      </c>
      <c r="GD131" s="742"/>
      <c r="GE131" s="742"/>
      <c r="GF131" s="742"/>
      <c r="GG131" s="742"/>
      <c r="GH131" s="742"/>
      <c r="GI131" s="742"/>
      <c r="GJ131" s="742"/>
      <c r="GK131" s="742"/>
      <c r="GL131" s="547"/>
      <c r="GM131" s="547"/>
      <c r="GN131" s="547"/>
      <c r="GO131" s="547"/>
      <c r="GP131" s="548"/>
      <c r="GQ131" s="546"/>
      <c r="GR131" s="547"/>
      <c r="GS131" s="547"/>
      <c r="GT131" s="547"/>
      <c r="GU131" s="742" t="s">
        <v>53</v>
      </c>
      <c r="GV131" s="742"/>
      <c r="GW131" s="742"/>
      <c r="GX131" s="742"/>
      <c r="GY131" s="742"/>
      <c r="GZ131" s="742"/>
      <c r="HA131" s="742"/>
      <c r="HB131" s="742"/>
      <c r="HC131" s="742"/>
      <c r="HD131" s="547"/>
      <c r="HE131" s="547"/>
      <c r="HF131" s="547"/>
      <c r="HG131" s="547"/>
      <c r="HH131" s="548"/>
      <c r="HJ131" s="37"/>
      <c r="HK131" s="37"/>
      <c r="HL131" s="37"/>
      <c r="HM131" s="37"/>
      <c r="HN131" s="37"/>
      <c r="HO131" s="37"/>
      <c r="HP131" s="37"/>
      <c r="HQ131" s="37"/>
      <c r="HR131" s="37"/>
      <c r="HS131" s="37"/>
      <c r="HT131" s="37"/>
      <c r="HU131" s="37"/>
      <c r="HV131" s="37"/>
      <c r="HW131" s="37"/>
      <c r="HX131" s="37"/>
      <c r="HY131" s="37"/>
      <c r="HZ131" s="37"/>
      <c r="IA131" s="37"/>
      <c r="IB131" s="37"/>
      <c r="IC131" s="37"/>
      <c r="ID131" s="37"/>
      <c r="IE131" s="37"/>
      <c r="IF131" s="37"/>
      <c r="IG131" s="37"/>
      <c r="IH131" s="37"/>
      <c r="II131" s="37"/>
      <c r="IJ131" s="37"/>
      <c r="IK131" s="37"/>
      <c r="IL131" s="37"/>
      <c r="IM131" s="37"/>
      <c r="IN131" s="37"/>
      <c r="IO131" s="37"/>
      <c r="IP131" s="37"/>
    </row>
    <row r="132" spans="1:250" ht="15" customHeight="1" x14ac:dyDescent="0.3">
      <c r="A132" s="58">
        <v>0</v>
      </c>
      <c r="B132" s="76" t="s">
        <v>182</v>
      </c>
      <c r="C132" s="28">
        <f t="shared" ref="C132:C134" si="2340">D132/$AM$4</f>
        <v>0</v>
      </c>
      <c r="D132" s="28">
        <v>0</v>
      </c>
      <c r="E132" s="28">
        <f>D132*E$6</f>
        <v>0</v>
      </c>
      <c r="F132" s="28">
        <f>D132*F$6</f>
        <v>0</v>
      </c>
      <c r="G132" s="28">
        <f>D132/G$6</f>
        <v>0</v>
      </c>
      <c r="H132" s="72">
        <f>G132/H$6</f>
        <v>0</v>
      </c>
      <c r="I132" s="72">
        <f>D132/I$6</f>
        <v>0</v>
      </c>
      <c r="J132" s="70">
        <f>SUM(D132:I132)</f>
        <v>0</v>
      </c>
      <c r="K132" s="71">
        <v>0</v>
      </c>
      <c r="L132" s="71">
        <v>0</v>
      </c>
      <c r="M132" s="72">
        <f t="shared" ref="M132:M134" si="2341">((C132*M$6)+(C132*$AO$6)+(C132*$AP$6))*K132</f>
        <v>0</v>
      </c>
      <c r="N132" s="72">
        <f t="shared" ref="N132:N134" si="2342">((C132*N$6)+(C132*$AO$6)+(C132*$AP$6))*L132</f>
        <v>0</v>
      </c>
      <c r="O132" s="70">
        <f>SUM(M132:N132)</f>
        <v>0</v>
      </c>
      <c r="P132" s="73">
        <v>0</v>
      </c>
      <c r="Q132" s="74">
        <f t="shared" ref="Q132:Q134" si="2343">IF(A132=1,($C$1*$Q$6),0)</f>
        <v>0</v>
      </c>
      <c r="R132" s="303">
        <f t="shared" ref="R132:R134" si="2344">J132+O132+P132+Q132</f>
        <v>0</v>
      </c>
      <c r="S132" s="58">
        <v>0</v>
      </c>
      <c r="T132" s="76" t="s">
        <v>182</v>
      </c>
      <c r="U132" s="28">
        <f t="shared" ref="U132:U134" si="2345">V132/$AM$4</f>
        <v>0</v>
      </c>
      <c r="V132" s="28">
        <v>0</v>
      </c>
      <c r="W132" s="28">
        <f>V132*W$6</f>
        <v>0</v>
      </c>
      <c r="X132" s="28">
        <f>V132*X$6</f>
        <v>0</v>
      </c>
      <c r="Y132" s="28">
        <f>V132/Y$6</f>
        <v>0</v>
      </c>
      <c r="Z132" s="72">
        <f>Y132/Z$6</f>
        <v>0</v>
      </c>
      <c r="AA132" s="72">
        <f>V132/AA$6</f>
        <v>0</v>
      </c>
      <c r="AB132" s="70">
        <f>SUM(V132:AA132)</f>
        <v>0</v>
      </c>
      <c r="AC132" s="71">
        <v>0</v>
      </c>
      <c r="AD132" s="71">
        <v>0</v>
      </c>
      <c r="AE132" s="72">
        <f t="shared" ref="AE132:AE134" si="2346">((U132*AE$6)+(U132*$AO$6)+(U132*$AP$6))*AC132</f>
        <v>0</v>
      </c>
      <c r="AF132" s="72">
        <f t="shared" ref="AF132:AF134" si="2347">((U132*AF$6)+(U132*$AO$6)+(U132*$AP$6))*AD132</f>
        <v>0</v>
      </c>
      <c r="AG132" s="70">
        <f>SUM(AE132:AF132)</f>
        <v>0</v>
      </c>
      <c r="AH132" s="73">
        <v>0</v>
      </c>
      <c r="AI132" s="74">
        <f t="shared" ref="AI132:AI134" si="2348">IF(S132=1,($C$1*$Q$6),0)</f>
        <v>0</v>
      </c>
      <c r="AJ132" s="303">
        <f t="shared" ref="AJ132:AJ134" si="2349">AB132+AG132+AH132+AI132</f>
        <v>0</v>
      </c>
      <c r="AK132" s="58">
        <v>0</v>
      </c>
      <c r="AL132" s="76" t="s">
        <v>182</v>
      </c>
      <c r="AM132" s="28">
        <f t="shared" ref="AM132:AM134" si="2350">AN132/$AM$4</f>
        <v>0</v>
      </c>
      <c r="AN132" s="28">
        <v>0</v>
      </c>
      <c r="AO132" s="28">
        <f>AN132*AO$6</f>
        <v>0</v>
      </c>
      <c r="AP132" s="28">
        <f>AN132*AP$6</f>
        <v>0</v>
      </c>
      <c r="AQ132" s="28">
        <f>AN132/AQ$6</f>
        <v>0</v>
      </c>
      <c r="AR132" s="72">
        <f>AQ132/AR$6</f>
        <v>0</v>
      </c>
      <c r="AS132" s="72">
        <f>AN132/AS$6</f>
        <v>0</v>
      </c>
      <c r="AT132" s="70">
        <f>SUM(AN132:AS132)</f>
        <v>0</v>
      </c>
      <c r="AU132" s="71">
        <v>0</v>
      </c>
      <c r="AV132" s="71">
        <v>0</v>
      </c>
      <c r="AW132" s="72">
        <f t="shared" ref="AW132:AW134" si="2351">((AM132*AW$6)+(AM132*$AO$6)+(AM132*$AP$6))*AU132</f>
        <v>0</v>
      </c>
      <c r="AX132" s="72">
        <f t="shared" ref="AX132:AX134" si="2352">((AM132*AX$6)+(AM132*$AO$6)+(AM132*$AP$6))*AV132</f>
        <v>0</v>
      </c>
      <c r="AY132" s="70">
        <f>SUM(AW132:AX132)</f>
        <v>0</v>
      </c>
      <c r="AZ132" s="73">
        <v>0</v>
      </c>
      <c r="BA132" s="74">
        <f t="shared" ref="BA132:BA134" si="2353">IF(AK132=1,($C$1*$Q$6),0)</f>
        <v>0</v>
      </c>
      <c r="BB132" s="303">
        <f t="shared" ref="BB132:BB134" si="2354">AT132+AY132+AZ132+BA132</f>
        <v>0</v>
      </c>
      <c r="BC132" s="58">
        <v>0</v>
      </c>
      <c r="BD132" s="76" t="s">
        <v>182</v>
      </c>
      <c r="BE132" s="28">
        <f t="shared" ref="BE132:BE134" si="2355">BF132/$AM$4</f>
        <v>0</v>
      </c>
      <c r="BF132" s="28">
        <v>0</v>
      </c>
      <c r="BG132" s="28">
        <f>BF132*BG$6</f>
        <v>0</v>
      </c>
      <c r="BH132" s="28">
        <f>BF132*BH$6</f>
        <v>0</v>
      </c>
      <c r="BI132" s="28">
        <f>BF132/BI$6</f>
        <v>0</v>
      </c>
      <c r="BJ132" s="72">
        <f>BI132/BJ$6</f>
        <v>0</v>
      </c>
      <c r="BK132" s="72">
        <f>BF132/BK$6</f>
        <v>0</v>
      </c>
      <c r="BL132" s="70">
        <f>SUM(BF132:BK132)</f>
        <v>0</v>
      </c>
      <c r="BM132" s="71">
        <v>0</v>
      </c>
      <c r="BN132" s="71">
        <v>0</v>
      </c>
      <c r="BO132" s="72">
        <f t="shared" ref="BO132:BO134" si="2356">((BE132*BO$6)+(BE132*$AO$6)+(BE132*$AP$6))*BM132</f>
        <v>0</v>
      </c>
      <c r="BP132" s="72">
        <f t="shared" ref="BP132:BP134" si="2357">((BE132*BP$6)+(BE132*$AO$6)+(BE132*$AP$6))*BN132</f>
        <v>0</v>
      </c>
      <c r="BQ132" s="70">
        <f>SUM(BO132:BP132)</f>
        <v>0</v>
      </c>
      <c r="BR132" s="73">
        <v>0</v>
      </c>
      <c r="BS132" s="74">
        <f t="shared" ref="BS132:BS134" si="2358">IF(BC132=1,($C$1*$Q$6),0)</f>
        <v>0</v>
      </c>
      <c r="BT132" s="303">
        <f t="shared" ref="BT132:BT134" si="2359">BL132+BQ132+BR132+BS132</f>
        <v>0</v>
      </c>
      <c r="BU132" s="58">
        <v>0</v>
      </c>
      <c r="BV132" s="76" t="s">
        <v>182</v>
      </c>
      <c r="BW132" s="28">
        <f t="shared" ref="BW132:BW134" si="2360">BX132/$AM$4</f>
        <v>0</v>
      </c>
      <c r="BX132" s="28">
        <v>0</v>
      </c>
      <c r="BY132" s="28">
        <f>BX132*BY$6</f>
        <v>0</v>
      </c>
      <c r="BZ132" s="28">
        <f>BX132*BZ$6</f>
        <v>0</v>
      </c>
      <c r="CA132" s="28">
        <f>BX132/CA$6</f>
        <v>0</v>
      </c>
      <c r="CB132" s="72">
        <f>CA132/CB$6</f>
        <v>0</v>
      </c>
      <c r="CC132" s="72">
        <f>BX132/CC$6</f>
        <v>0</v>
      </c>
      <c r="CD132" s="70">
        <f>SUM(BX132:CC132)</f>
        <v>0</v>
      </c>
      <c r="CE132" s="71">
        <v>0</v>
      </c>
      <c r="CF132" s="71">
        <v>0</v>
      </c>
      <c r="CG132" s="72">
        <f t="shared" ref="CG132:CG134" si="2361">((BW132*CG$6)+(BW132*$AO$6)+(BW132*$AP$6))*CE132</f>
        <v>0</v>
      </c>
      <c r="CH132" s="72">
        <f t="shared" ref="CH132:CH134" si="2362">((BW132*CH$6)+(BW132*$AO$6)+(BW132*$AP$6))*CF132</f>
        <v>0</v>
      </c>
      <c r="CI132" s="70">
        <f>SUM(CG132:CH132)</f>
        <v>0</v>
      </c>
      <c r="CJ132" s="73">
        <v>0</v>
      </c>
      <c r="CK132" s="74">
        <f t="shared" ref="CK132:CK134" si="2363">IF(BU132=1,($C$1*$Q$6),0)</f>
        <v>0</v>
      </c>
      <c r="CL132" s="303">
        <f t="shared" ref="CL132:CL134" si="2364">CD132+CI132+CJ132+CK132</f>
        <v>0</v>
      </c>
      <c r="CM132" s="58">
        <v>0</v>
      </c>
      <c r="CN132" s="76" t="s">
        <v>182</v>
      </c>
      <c r="CO132" s="28">
        <f t="shared" ref="CO132:CO134" si="2365">CP132/$AM$4</f>
        <v>0</v>
      </c>
      <c r="CP132" s="28">
        <v>0</v>
      </c>
      <c r="CQ132" s="28">
        <f>CP132*CQ$6</f>
        <v>0</v>
      </c>
      <c r="CR132" s="28">
        <f>CP132*CR$6</f>
        <v>0</v>
      </c>
      <c r="CS132" s="28">
        <f>CP132/CS$6</f>
        <v>0</v>
      </c>
      <c r="CT132" s="72">
        <f>CS132/CT$6</f>
        <v>0</v>
      </c>
      <c r="CU132" s="72">
        <f>CP132/CU$6</f>
        <v>0</v>
      </c>
      <c r="CV132" s="70">
        <f>SUM(CP132:CU132)</f>
        <v>0</v>
      </c>
      <c r="CW132" s="71">
        <v>0</v>
      </c>
      <c r="CX132" s="71">
        <v>0</v>
      </c>
      <c r="CY132" s="72">
        <f t="shared" ref="CY132:CY134" si="2366">((CO132*CY$6)+(CO132*$AO$6)+(CO132*$AP$6))*CW132</f>
        <v>0</v>
      </c>
      <c r="CZ132" s="72">
        <f t="shared" ref="CZ132:CZ134" si="2367">((CO132*CZ$6)+(CO132*$AO$6)+(CO132*$AP$6))*CX132</f>
        <v>0</v>
      </c>
      <c r="DA132" s="70">
        <f>SUM(CY132:CZ132)</f>
        <v>0</v>
      </c>
      <c r="DB132" s="73">
        <v>0</v>
      </c>
      <c r="DC132" s="74">
        <f t="shared" ref="DC132:DC134" si="2368">IF(CM132=1,($C$1*$Q$6),0)</f>
        <v>0</v>
      </c>
      <c r="DD132" s="303">
        <f t="shared" ref="DD132:DD134" si="2369">CV132+DA132+DB132+DC132</f>
        <v>0</v>
      </c>
      <c r="DE132" s="58">
        <v>0</v>
      </c>
      <c r="DF132" s="76" t="s">
        <v>182</v>
      </c>
      <c r="DG132" s="28">
        <f t="shared" ref="DG132:DG134" si="2370">DH132/$AM$4</f>
        <v>0</v>
      </c>
      <c r="DH132" s="28">
        <v>0</v>
      </c>
      <c r="DI132" s="28">
        <f>DH132*DI$6</f>
        <v>0</v>
      </c>
      <c r="DJ132" s="28">
        <f>DH132*DJ$6</f>
        <v>0</v>
      </c>
      <c r="DK132" s="28">
        <f>DH132/DK$6</f>
        <v>0</v>
      </c>
      <c r="DL132" s="72">
        <f>DK132/DL$6</f>
        <v>0</v>
      </c>
      <c r="DM132" s="72">
        <f>DH132/DM$6</f>
        <v>0</v>
      </c>
      <c r="DN132" s="70">
        <f>SUM(DH132:DM132)</f>
        <v>0</v>
      </c>
      <c r="DO132" s="71">
        <v>0</v>
      </c>
      <c r="DP132" s="71">
        <v>0</v>
      </c>
      <c r="DQ132" s="72">
        <f t="shared" ref="DQ132:DQ134" si="2371">((DG132*DQ$6)+(DG132*$AO$6)+(DG132*$AP$6))*DO132</f>
        <v>0</v>
      </c>
      <c r="DR132" s="72">
        <f t="shared" ref="DR132:DR134" si="2372">((DG132*DR$6)+(DG132*$AO$6)+(DG132*$AP$6))*DP132</f>
        <v>0</v>
      </c>
      <c r="DS132" s="70">
        <f>SUM(DQ132:DR132)</f>
        <v>0</v>
      </c>
      <c r="DT132" s="73">
        <v>0</v>
      </c>
      <c r="DU132" s="74">
        <f t="shared" ref="DU132:DU134" si="2373">IF(DE132=1,($C$1*$Q$6),0)</f>
        <v>0</v>
      </c>
      <c r="DV132" s="303">
        <f t="shared" ref="DV132:DV134" si="2374">DN132+DS132+DT132+DU132</f>
        <v>0</v>
      </c>
      <c r="DW132" s="58">
        <v>0</v>
      </c>
      <c r="DX132" s="76" t="s">
        <v>182</v>
      </c>
      <c r="DY132" s="28">
        <f t="shared" ref="DY132:DY134" si="2375">DZ132/$AM$4</f>
        <v>0</v>
      </c>
      <c r="DZ132" s="28">
        <v>0</v>
      </c>
      <c r="EA132" s="28">
        <f>DZ132*EA$6</f>
        <v>0</v>
      </c>
      <c r="EB132" s="28">
        <f>DZ132*EB$6</f>
        <v>0</v>
      </c>
      <c r="EC132" s="28">
        <f>DZ132/EC$6</f>
        <v>0</v>
      </c>
      <c r="ED132" s="72">
        <f>EC132/ED$6</f>
        <v>0</v>
      </c>
      <c r="EE132" s="72">
        <f>DZ132/EE$6</f>
        <v>0</v>
      </c>
      <c r="EF132" s="70">
        <f>SUM(DZ132:EE132)</f>
        <v>0</v>
      </c>
      <c r="EG132" s="71">
        <v>0</v>
      </c>
      <c r="EH132" s="71">
        <v>0</v>
      </c>
      <c r="EI132" s="72">
        <f t="shared" ref="EI132:EI134" si="2376">((DY132*EI$6)+(DY132*$AO$6)+(DY132*$AP$6))*EG132</f>
        <v>0</v>
      </c>
      <c r="EJ132" s="72">
        <f t="shared" ref="EJ132:EJ134" si="2377">((DY132*EJ$6)+(DY132*$AO$6)+(DY132*$AP$6))*EH132</f>
        <v>0</v>
      </c>
      <c r="EK132" s="70">
        <f>SUM(EI132:EJ132)</f>
        <v>0</v>
      </c>
      <c r="EL132" s="73">
        <v>0</v>
      </c>
      <c r="EM132" s="74">
        <f t="shared" ref="EM132:EM134" si="2378">IF(DW132=1,($C$1*$Q$6),0)</f>
        <v>0</v>
      </c>
      <c r="EN132" s="303">
        <f t="shared" ref="EN132:EN134" si="2379">EF132+EK132+EL132+EM132</f>
        <v>0</v>
      </c>
      <c r="EO132" s="58">
        <v>0</v>
      </c>
      <c r="EP132" s="76" t="s">
        <v>182</v>
      </c>
      <c r="EQ132" s="28">
        <f t="shared" ref="EQ132:EQ134" si="2380">ER132/$AM$4</f>
        <v>0</v>
      </c>
      <c r="ER132" s="28">
        <v>0</v>
      </c>
      <c r="ES132" s="28">
        <f>ER132*ES$6</f>
        <v>0</v>
      </c>
      <c r="ET132" s="28">
        <f>ER132*ET$6</f>
        <v>0</v>
      </c>
      <c r="EU132" s="28">
        <f>ER132/EU$6</f>
        <v>0</v>
      </c>
      <c r="EV132" s="72">
        <f>EU132/EV$6</f>
        <v>0</v>
      </c>
      <c r="EW132" s="72">
        <f>ER132/EW$6</f>
        <v>0</v>
      </c>
      <c r="EX132" s="70">
        <f>SUM(ER132:EW132)</f>
        <v>0</v>
      </c>
      <c r="EY132" s="71">
        <v>0</v>
      </c>
      <c r="EZ132" s="71">
        <v>0</v>
      </c>
      <c r="FA132" s="72">
        <f t="shared" ref="FA132:FA134" si="2381">((EQ132*FA$6)+(EQ132*$AO$6)+(EQ132*$AP$6))*EY132</f>
        <v>0</v>
      </c>
      <c r="FB132" s="72">
        <f t="shared" ref="FB132:FB134" si="2382">((EQ132*FB$6)+(EQ132*$AO$6)+(EQ132*$AP$6))*EZ132</f>
        <v>0</v>
      </c>
      <c r="FC132" s="70">
        <f>SUM(FA132:FB132)</f>
        <v>0</v>
      </c>
      <c r="FD132" s="73">
        <v>0</v>
      </c>
      <c r="FE132" s="74">
        <f t="shared" ref="FE132:FE134" si="2383">IF(EO132=1,($C$1*$Q$6),0)</f>
        <v>0</v>
      </c>
      <c r="FF132" s="303">
        <f t="shared" ref="FF132:FF134" si="2384">EX132+FC132+FD132+FE132</f>
        <v>0</v>
      </c>
      <c r="FG132" s="58">
        <v>0</v>
      </c>
      <c r="FH132" s="76" t="s">
        <v>182</v>
      </c>
      <c r="FI132" s="28">
        <f t="shared" ref="FI132:FI134" si="2385">FJ132/$AM$4</f>
        <v>0</v>
      </c>
      <c r="FJ132" s="28">
        <v>0</v>
      </c>
      <c r="FK132" s="28">
        <f>FJ132*FK$6</f>
        <v>0</v>
      </c>
      <c r="FL132" s="28">
        <f>FJ132*FL$6</f>
        <v>0</v>
      </c>
      <c r="FM132" s="28">
        <f>FJ132/FM$6</f>
        <v>0</v>
      </c>
      <c r="FN132" s="72">
        <f>FM132/FN$6</f>
        <v>0</v>
      </c>
      <c r="FO132" s="72">
        <f>FJ132/FO$6</f>
        <v>0</v>
      </c>
      <c r="FP132" s="70">
        <f>SUM(FJ132:FO132)</f>
        <v>0</v>
      </c>
      <c r="FQ132" s="71">
        <v>0</v>
      </c>
      <c r="FR132" s="71">
        <v>0</v>
      </c>
      <c r="FS132" s="72">
        <f t="shared" ref="FS132:FS134" si="2386">((FI132*FS$6)+(FI132*$AO$6)+(FI132*$AP$6))*FQ132</f>
        <v>0</v>
      </c>
      <c r="FT132" s="72">
        <f t="shared" ref="FT132:FT134" si="2387">((FI132*FT$6)+(FI132*$AO$6)+(FI132*$AP$6))*FR132</f>
        <v>0</v>
      </c>
      <c r="FU132" s="70">
        <f>SUM(FS132:FT132)</f>
        <v>0</v>
      </c>
      <c r="FV132" s="73">
        <v>0</v>
      </c>
      <c r="FW132" s="74">
        <f t="shared" ref="FW132:FW134" si="2388">IF(FG132=1,($C$1*$Q$6),0)</f>
        <v>0</v>
      </c>
      <c r="FX132" s="303">
        <f t="shared" ref="FX132:FX134" si="2389">FP132+FU132+FV132+FW132</f>
        <v>0</v>
      </c>
      <c r="FY132" s="58">
        <v>0</v>
      </c>
      <c r="FZ132" s="76" t="s">
        <v>182</v>
      </c>
      <c r="GA132" s="28">
        <f t="shared" ref="GA132:GA134" si="2390">GB132/$AM$4</f>
        <v>0</v>
      </c>
      <c r="GB132" s="28">
        <v>0</v>
      </c>
      <c r="GC132" s="28">
        <f>GB132*GC$6</f>
        <v>0</v>
      </c>
      <c r="GD132" s="28">
        <f>GB132*GD$6</f>
        <v>0</v>
      </c>
      <c r="GE132" s="28">
        <f>GB132/GE$6</f>
        <v>0</v>
      </c>
      <c r="GF132" s="72">
        <f>GE132/GF$6</f>
        <v>0</v>
      </c>
      <c r="GG132" s="72">
        <f>GB132/GG$6</f>
        <v>0</v>
      </c>
      <c r="GH132" s="70">
        <f>SUM(GB132:GG132)</f>
        <v>0</v>
      </c>
      <c r="GI132" s="71">
        <v>0</v>
      </c>
      <c r="GJ132" s="71">
        <v>0</v>
      </c>
      <c r="GK132" s="72">
        <f t="shared" ref="GK132:GK134" si="2391">((GA132*GK$6)+(GA132*$AO$6)+(GA132*$AP$6))*GI132</f>
        <v>0</v>
      </c>
      <c r="GL132" s="72">
        <f t="shared" ref="GL132:GL134" si="2392">((GA132*GL$6)+(GA132*$AO$6)+(GA132*$AP$6))*GJ132</f>
        <v>0</v>
      </c>
      <c r="GM132" s="70">
        <f>SUM(GK132:GL132)</f>
        <v>0</v>
      </c>
      <c r="GN132" s="73">
        <v>0</v>
      </c>
      <c r="GO132" s="74">
        <f t="shared" ref="GO132:GO134" si="2393">IF(FY132=1,($C$1*$Q$6),0)</f>
        <v>0</v>
      </c>
      <c r="GP132" s="303">
        <f t="shared" ref="GP132:GP134" si="2394">GH132+GM132+GN132+GO132</f>
        <v>0</v>
      </c>
      <c r="GQ132" s="58">
        <v>0</v>
      </c>
      <c r="GR132" s="76" t="s">
        <v>182</v>
      </c>
      <c r="GS132" s="28">
        <f t="shared" ref="GS132:GS134" si="2395">GT132/$AM$4</f>
        <v>0</v>
      </c>
      <c r="GT132" s="28">
        <v>0</v>
      </c>
      <c r="GU132" s="28">
        <f>GT132*GU$6</f>
        <v>0</v>
      </c>
      <c r="GV132" s="28">
        <f>GT132*GV$6</f>
        <v>0</v>
      </c>
      <c r="GW132" s="28">
        <f>GT132/GW$6</f>
        <v>0</v>
      </c>
      <c r="GX132" s="72">
        <f>GW132/GX$6</f>
        <v>0</v>
      </c>
      <c r="GY132" s="72">
        <f>GT132/GY$6</f>
        <v>0</v>
      </c>
      <c r="GZ132" s="70">
        <f>SUM(GT132:GY132)</f>
        <v>0</v>
      </c>
      <c r="HA132" s="71">
        <v>0</v>
      </c>
      <c r="HB132" s="71">
        <v>0</v>
      </c>
      <c r="HC132" s="72">
        <f t="shared" ref="HC132:HC134" si="2396">((GS132*HC$6)+(GS132*$AO$6)+(GS132*$AP$6))*HA132</f>
        <v>0</v>
      </c>
      <c r="HD132" s="72">
        <f t="shared" ref="HD132:HD134" si="2397">((GS132*HD$6)+(GS132*$AO$6)+(GS132*$AP$6))*HB132</f>
        <v>0</v>
      </c>
      <c r="HE132" s="70">
        <f>SUM(HC132:HD132)</f>
        <v>0</v>
      </c>
      <c r="HF132" s="73">
        <v>0</v>
      </c>
      <c r="HG132" s="74">
        <f t="shared" ref="HG132:HG134" si="2398">IF(GQ132=1,($C$1*$Q$6),0)</f>
        <v>0</v>
      </c>
      <c r="HH132" s="303">
        <f t="shared" ref="HH132:HH134" si="2399">GZ132+HE132+HF132+HG132</f>
        <v>0</v>
      </c>
      <c r="HJ132" s="37"/>
      <c r="HK132" s="37"/>
      <c r="HL132" s="37"/>
      <c r="HM132" s="37"/>
      <c r="HN132" s="37"/>
      <c r="HO132" s="37"/>
      <c r="HP132" s="37"/>
      <c r="HQ132" s="37"/>
      <c r="HR132" s="37"/>
      <c r="HS132" s="37"/>
      <c r="HT132" s="37"/>
      <c r="HU132" s="37"/>
      <c r="HV132" s="37"/>
      <c r="HW132" s="37"/>
      <c r="HX132" s="37"/>
      <c r="HY132" s="37"/>
      <c r="HZ132" s="37"/>
      <c r="IA132" s="37"/>
      <c r="IB132" s="37"/>
      <c r="IC132" s="37"/>
      <c r="ID132" s="37"/>
      <c r="IE132" s="37"/>
      <c r="IF132" s="37"/>
      <c r="IG132" s="37"/>
      <c r="IH132" s="37"/>
      <c r="II132" s="37"/>
      <c r="IJ132" s="37"/>
      <c r="IK132" s="37"/>
      <c r="IL132" s="37"/>
      <c r="IM132" s="37"/>
      <c r="IN132" s="37"/>
      <c r="IO132" s="37"/>
      <c r="IP132" s="37"/>
    </row>
    <row r="133" spans="1:250" ht="15" customHeight="1" x14ac:dyDescent="0.3">
      <c r="A133" s="58">
        <v>0</v>
      </c>
      <c r="B133" s="76" t="s">
        <v>182</v>
      </c>
      <c r="C133" s="28">
        <f t="shared" si="2340"/>
        <v>0</v>
      </c>
      <c r="D133" s="28">
        <v>0</v>
      </c>
      <c r="E133" s="28">
        <f>D133*E$6</f>
        <v>0</v>
      </c>
      <c r="F133" s="28">
        <f>D133*F$6</f>
        <v>0</v>
      </c>
      <c r="G133" s="28">
        <f>D133/G$6</f>
        <v>0</v>
      </c>
      <c r="H133" s="72">
        <f>G133/H$6</f>
        <v>0</v>
      </c>
      <c r="I133" s="72">
        <f>D133/I$6</f>
        <v>0</v>
      </c>
      <c r="J133" s="70">
        <f>SUM(D133:I133)</f>
        <v>0</v>
      </c>
      <c r="K133" s="71">
        <v>0</v>
      </c>
      <c r="L133" s="71">
        <v>0</v>
      </c>
      <c r="M133" s="72">
        <f t="shared" si="2341"/>
        <v>0</v>
      </c>
      <c r="N133" s="72">
        <f t="shared" si="2342"/>
        <v>0</v>
      </c>
      <c r="O133" s="70">
        <f>SUM(M133:N133)</f>
        <v>0</v>
      </c>
      <c r="P133" s="73">
        <v>0</v>
      </c>
      <c r="Q133" s="74">
        <f t="shared" si="2343"/>
        <v>0</v>
      </c>
      <c r="R133" s="303">
        <f t="shared" si="2344"/>
        <v>0</v>
      </c>
      <c r="S133" s="58">
        <v>0</v>
      </c>
      <c r="T133" s="76" t="s">
        <v>182</v>
      </c>
      <c r="U133" s="28">
        <f t="shared" si="2345"/>
        <v>0</v>
      </c>
      <c r="V133" s="28">
        <v>0</v>
      </c>
      <c r="W133" s="28">
        <f>V133*W$6</f>
        <v>0</v>
      </c>
      <c r="X133" s="28">
        <f>V133*X$6</f>
        <v>0</v>
      </c>
      <c r="Y133" s="28">
        <f>V133/Y$6</f>
        <v>0</v>
      </c>
      <c r="Z133" s="72">
        <f>Y133/Z$6</f>
        <v>0</v>
      </c>
      <c r="AA133" s="72">
        <f>V133/AA$6</f>
        <v>0</v>
      </c>
      <c r="AB133" s="70">
        <f>SUM(V133:AA133)</f>
        <v>0</v>
      </c>
      <c r="AC133" s="71">
        <v>0</v>
      </c>
      <c r="AD133" s="71">
        <v>0</v>
      </c>
      <c r="AE133" s="72">
        <f t="shared" si="2346"/>
        <v>0</v>
      </c>
      <c r="AF133" s="72">
        <f t="shared" si="2347"/>
        <v>0</v>
      </c>
      <c r="AG133" s="70">
        <f>SUM(AE133:AF133)</f>
        <v>0</v>
      </c>
      <c r="AH133" s="73">
        <v>0</v>
      </c>
      <c r="AI133" s="74">
        <f t="shared" si="2348"/>
        <v>0</v>
      </c>
      <c r="AJ133" s="303">
        <f t="shared" si="2349"/>
        <v>0</v>
      </c>
      <c r="AK133" s="58">
        <v>0</v>
      </c>
      <c r="AL133" s="76" t="s">
        <v>182</v>
      </c>
      <c r="AM133" s="28">
        <f t="shared" si="2350"/>
        <v>0</v>
      </c>
      <c r="AN133" s="28">
        <v>0</v>
      </c>
      <c r="AO133" s="28">
        <f>AN133*AO$6</f>
        <v>0</v>
      </c>
      <c r="AP133" s="28">
        <f>AN133*AP$6</f>
        <v>0</v>
      </c>
      <c r="AQ133" s="28">
        <f>AN133/AQ$6</f>
        <v>0</v>
      </c>
      <c r="AR133" s="72">
        <f>AQ133/AR$6</f>
        <v>0</v>
      </c>
      <c r="AS133" s="72">
        <f>AN133/AS$6</f>
        <v>0</v>
      </c>
      <c r="AT133" s="70">
        <f>SUM(AN133:AS133)</f>
        <v>0</v>
      </c>
      <c r="AU133" s="71">
        <v>0</v>
      </c>
      <c r="AV133" s="71">
        <v>0</v>
      </c>
      <c r="AW133" s="72">
        <f t="shared" si="2351"/>
        <v>0</v>
      </c>
      <c r="AX133" s="72">
        <f t="shared" si="2352"/>
        <v>0</v>
      </c>
      <c r="AY133" s="70">
        <f>SUM(AW133:AX133)</f>
        <v>0</v>
      </c>
      <c r="AZ133" s="73">
        <v>0</v>
      </c>
      <c r="BA133" s="74">
        <f t="shared" si="2353"/>
        <v>0</v>
      </c>
      <c r="BB133" s="303">
        <f t="shared" si="2354"/>
        <v>0</v>
      </c>
      <c r="BC133" s="58">
        <v>0</v>
      </c>
      <c r="BD133" s="76" t="s">
        <v>182</v>
      </c>
      <c r="BE133" s="28">
        <f t="shared" si="2355"/>
        <v>0</v>
      </c>
      <c r="BF133" s="28">
        <v>0</v>
      </c>
      <c r="BG133" s="28">
        <f>BF133*BG$6</f>
        <v>0</v>
      </c>
      <c r="BH133" s="28">
        <f>BF133*BH$6</f>
        <v>0</v>
      </c>
      <c r="BI133" s="28">
        <f>BF133/BI$6</f>
        <v>0</v>
      </c>
      <c r="BJ133" s="72">
        <f>BI133/BJ$6</f>
        <v>0</v>
      </c>
      <c r="BK133" s="72">
        <f>BF133/BK$6</f>
        <v>0</v>
      </c>
      <c r="BL133" s="70">
        <f>SUM(BF133:BK133)</f>
        <v>0</v>
      </c>
      <c r="BM133" s="71">
        <v>0</v>
      </c>
      <c r="BN133" s="71">
        <v>0</v>
      </c>
      <c r="BO133" s="72">
        <f t="shared" si="2356"/>
        <v>0</v>
      </c>
      <c r="BP133" s="72">
        <f t="shared" si="2357"/>
        <v>0</v>
      </c>
      <c r="BQ133" s="70">
        <f>SUM(BO133:BP133)</f>
        <v>0</v>
      </c>
      <c r="BR133" s="73">
        <v>0</v>
      </c>
      <c r="BS133" s="74">
        <f t="shared" si="2358"/>
        <v>0</v>
      </c>
      <c r="BT133" s="303">
        <f t="shared" si="2359"/>
        <v>0</v>
      </c>
      <c r="BU133" s="58">
        <v>0</v>
      </c>
      <c r="BV133" s="76" t="s">
        <v>182</v>
      </c>
      <c r="BW133" s="28">
        <f t="shared" si="2360"/>
        <v>0</v>
      </c>
      <c r="BX133" s="28">
        <v>0</v>
      </c>
      <c r="BY133" s="28">
        <f>BX133*BY$6</f>
        <v>0</v>
      </c>
      <c r="BZ133" s="28">
        <f>BX133*BZ$6</f>
        <v>0</v>
      </c>
      <c r="CA133" s="28">
        <f>BX133/CA$6</f>
        <v>0</v>
      </c>
      <c r="CB133" s="72">
        <f>CA133/CB$6</f>
        <v>0</v>
      </c>
      <c r="CC133" s="72">
        <f>BX133/CC$6</f>
        <v>0</v>
      </c>
      <c r="CD133" s="70">
        <f>SUM(BX133:CC133)</f>
        <v>0</v>
      </c>
      <c r="CE133" s="71">
        <v>0</v>
      </c>
      <c r="CF133" s="71">
        <v>0</v>
      </c>
      <c r="CG133" s="72">
        <f t="shared" si="2361"/>
        <v>0</v>
      </c>
      <c r="CH133" s="72">
        <f t="shared" si="2362"/>
        <v>0</v>
      </c>
      <c r="CI133" s="70">
        <f>SUM(CG133:CH133)</f>
        <v>0</v>
      </c>
      <c r="CJ133" s="73">
        <v>0</v>
      </c>
      <c r="CK133" s="74">
        <f t="shared" si="2363"/>
        <v>0</v>
      </c>
      <c r="CL133" s="303">
        <f t="shared" si="2364"/>
        <v>0</v>
      </c>
      <c r="CM133" s="58">
        <v>0</v>
      </c>
      <c r="CN133" s="76" t="s">
        <v>182</v>
      </c>
      <c r="CO133" s="28">
        <f t="shared" si="2365"/>
        <v>0</v>
      </c>
      <c r="CP133" s="28">
        <v>0</v>
      </c>
      <c r="CQ133" s="28">
        <f>CP133*CQ$6</f>
        <v>0</v>
      </c>
      <c r="CR133" s="28">
        <f>CP133*CR$6</f>
        <v>0</v>
      </c>
      <c r="CS133" s="28">
        <f>CP133/CS$6</f>
        <v>0</v>
      </c>
      <c r="CT133" s="72">
        <f>CS133/CT$6</f>
        <v>0</v>
      </c>
      <c r="CU133" s="72">
        <f>CP133/CU$6</f>
        <v>0</v>
      </c>
      <c r="CV133" s="70">
        <f>SUM(CP133:CU133)</f>
        <v>0</v>
      </c>
      <c r="CW133" s="71">
        <v>0</v>
      </c>
      <c r="CX133" s="71">
        <v>0</v>
      </c>
      <c r="CY133" s="72">
        <f t="shared" si="2366"/>
        <v>0</v>
      </c>
      <c r="CZ133" s="72">
        <f t="shared" si="2367"/>
        <v>0</v>
      </c>
      <c r="DA133" s="70">
        <f>SUM(CY133:CZ133)</f>
        <v>0</v>
      </c>
      <c r="DB133" s="73">
        <v>0</v>
      </c>
      <c r="DC133" s="74">
        <f t="shared" si="2368"/>
        <v>0</v>
      </c>
      <c r="DD133" s="303">
        <f t="shared" si="2369"/>
        <v>0</v>
      </c>
      <c r="DE133" s="58">
        <v>0</v>
      </c>
      <c r="DF133" s="76" t="s">
        <v>182</v>
      </c>
      <c r="DG133" s="28">
        <f t="shared" si="2370"/>
        <v>0</v>
      </c>
      <c r="DH133" s="28">
        <v>0</v>
      </c>
      <c r="DI133" s="28">
        <f>DH133*DI$6</f>
        <v>0</v>
      </c>
      <c r="DJ133" s="28">
        <f>DH133*DJ$6</f>
        <v>0</v>
      </c>
      <c r="DK133" s="28">
        <f>DH133/DK$6</f>
        <v>0</v>
      </c>
      <c r="DL133" s="72">
        <f>DK133/DL$6</f>
        <v>0</v>
      </c>
      <c r="DM133" s="72">
        <f>DH133/DM$6</f>
        <v>0</v>
      </c>
      <c r="DN133" s="70">
        <f>SUM(DH133:DM133)</f>
        <v>0</v>
      </c>
      <c r="DO133" s="71">
        <v>0</v>
      </c>
      <c r="DP133" s="71">
        <v>0</v>
      </c>
      <c r="DQ133" s="72">
        <f t="shared" si="2371"/>
        <v>0</v>
      </c>
      <c r="DR133" s="72">
        <f t="shared" si="2372"/>
        <v>0</v>
      </c>
      <c r="DS133" s="70">
        <f>SUM(DQ133:DR133)</f>
        <v>0</v>
      </c>
      <c r="DT133" s="73">
        <v>0</v>
      </c>
      <c r="DU133" s="74">
        <f t="shared" si="2373"/>
        <v>0</v>
      </c>
      <c r="DV133" s="303">
        <f t="shared" si="2374"/>
        <v>0</v>
      </c>
      <c r="DW133" s="58">
        <v>0</v>
      </c>
      <c r="DX133" s="76" t="s">
        <v>182</v>
      </c>
      <c r="DY133" s="28">
        <f t="shared" si="2375"/>
        <v>0</v>
      </c>
      <c r="DZ133" s="28">
        <v>0</v>
      </c>
      <c r="EA133" s="28">
        <f>DZ133*EA$6</f>
        <v>0</v>
      </c>
      <c r="EB133" s="28">
        <f>DZ133*EB$6</f>
        <v>0</v>
      </c>
      <c r="EC133" s="28">
        <f>DZ133/EC$6</f>
        <v>0</v>
      </c>
      <c r="ED133" s="72">
        <f>EC133/ED$6</f>
        <v>0</v>
      </c>
      <c r="EE133" s="72">
        <f>DZ133/EE$6</f>
        <v>0</v>
      </c>
      <c r="EF133" s="70">
        <f>SUM(DZ133:EE133)</f>
        <v>0</v>
      </c>
      <c r="EG133" s="71">
        <v>0</v>
      </c>
      <c r="EH133" s="71">
        <v>0</v>
      </c>
      <c r="EI133" s="72">
        <f t="shared" si="2376"/>
        <v>0</v>
      </c>
      <c r="EJ133" s="72">
        <f t="shared" si="2377"/>
        <v>0</v>
      </c>
      <c r="EK133" s="70">
        <f>SUM(EI133:EJ133)</f>
        <v>0</v>
      </c>
      <c r="EL133" s="73">
        <v>0</v>
      </c>
      <c r="EM133" s="74">
        <f t="shared" si="2378"/>
        <v>0</v>
      </c>
      <c r="EN133" s="303">
        <f t="shared" si="2379"/>
        <v>0</v>
      </c>
      <c r="EO133" s="58">
        <v>0</v>
      </c>
      <c r="EP133" s="76" t="s">
        <v>182</v>
      </c>
      <c r="EQ133" s="28">
        <f t="shared" si="2380"/>
        <v>0</v>
      </c>
      <c r="ER133" s="28">
        <v>0</v>
      </c>
      <c r="ES133" s="28">
        <f>ER133*ES$6</f>
        <v>0</v>
      </c>
      <c r="ET133" s="28">
        <f>ER133*ET$6</f>
        <v>0</v>
      </c>
      <c r="EU133" s="28">
        <f>ER133/EU$6</f>
        <v>0</v>
      </c>
      <c r="EV133" s="72">
        <f>EU133/EV$6</f>
        <v>0</v>
      </c>
      <c r="EW133" s="72">
        <f>ER133/EW$6</f>
        <v>0</v>
      </c>
      <c r="EX133" s="70">
        <f>SUM(ER133:EW133)</f>
        <v>0</v>
      </c>
      <c r="EY133" s="71">
        <v>0</v>
      </c>
      <c r="EZ133" s="71">
        <v>0</v>
      </c>
      <c r="FA133" s="72">
        <f t="shared" si="2381"/>
        <v>0</v>
      </c>
      <c r="FB133" s="72">
        <f t="shared" si="2382"/>
        <v>0</v>
      </c>
      <c r="FC133" s="70">
        <f>SUM(FA133:FB133)</f>
        <v>0</v>
      </c>
      <c r="FD133" s="73">
        <v>0</v>
      </c>
      <c r="FE133" s="74">
        <f t="shared" si="2383"/>
        <v>0</v>
      </c>
      <c r="FF133" s="303">
        <f t="shared" si="2384"/>
        <v>0</v>
      </c>
      <c r="FG133" s="58">
        <v>0</v>
      </c>
      <c r="FH133" s="76" t="s">
        <v>182</v>
      </c>
      <c r="FI133" s="28">
        <f t="shared" si="2385"/>
        <v>0</v>
      </c>
      <c r="FJ133" s="28">
        <v>0</v>
      </c>
      <c r="FK133" s="28">
        <f>FJ133*FK$6</f>
        <v>0</v>
      </c>
      <c r="FL133" s="28">
        <f>FJ133*FL$6</f>
        <v>0</v>
      </c>
      <c r="FM133" s="28">
        <f>FJ133/FM$6</f>
        <v>0</v>
      </c>
      <c r="FN133" s="72">
        <f>FM133/FN$6</f>
        <v>0</v>
      </c>
      <c r="FO133" s="72">
        <f>FJ133/FO$6</f>
        <v>0</v>
      </c>
      <c r="FP133" s="70">
        <f>SUM(FJ133:FO133)</f>
        <v>0</v>
      </c>
      <c r="FQ133" s="71">
        <v>0</v>
      </c>
      <c r="FR133" s="71">
        <v>0</v>
      </c>
      <c r="FS133" s="72">
        <f t="shared" si="2386"/>
        <v>0</v>
      </c>
      <c r="FT133" s="72">
        <f t="shared" si="2387"/>
        <v>0</v>
      </c>
      <c r="FU133" s="70">
        <f>SUM(FS133:FT133)</f>
        <v>0</v>
      </c>
      <c r="FV133" s="73">
        <v>0</v>
      </c>
      <c r="FW133" s="74">
        <f t="shared" si="2388"/>
        <v>0</v>
      </c>
      <c r="FX133" s="303">
        <f t="shared" si="2389"/>
        <v>0</v>
      </c>
      <c r="FY133" s="58">
        <v>0</v>
      </c>
      <c r="FZ133" s="76" t="s">
        <v>182</v>
      </c>
      <c r="GA133" s="28">
        <f t="shared" si="2390"/>
        <v>0</v>
      </c>
      <c r="GB133" s="28">
        <v>0</v>
      </c>
      <c r="GC133" s="28">
        <f>GB133*GC$6</f>
        <v>0</v>
      </c>
      <c r="GD133" s="28">
        <f>GB133*GD$6</f>
        <v>0</v>
      </c>
      <c r="GE133" s="28">
        <f>GB133/GE$6</f>
        <v>0</v>
      </c>
      <c r="GF133" s="72">
        <f>GE133/GF$6</f>
        <v>0</v>
      </c>
      <c r="GG133" s="72">
        <f>GB133/GG$6</f>
        <v>0</v>
      </c>
      <c r="GH133" s="70">
        <f>SUM(GB133:GG133)</f>
        <v>0</v>
      </c>
      <c r="GI133" s="71">
        <v>0</v>
      </c>
      <c r="GJ133" s="71">
        <v>0</v>
      </c>
      <c r="GK133" s="72">
        <f t="shared" si="2391"/>
        <v>0</v>
      </c>
      <c r="GL133" s="72">
        <f t="shared" si="2392"/>
        <v>0</v>
      </c>
      <c r="GM133" s="70">
        <f>SUM(GK133:GL133)</f>
        <v>0</v>
      </c>
      <c r="GN133" s="73">
        <v>0</v>
      </c>
      <c r="GO133" s="74">
        <f t="shared" si="2393"/>
        <v>0</v>
      </c>
      <c r="GP133" s="303">
        <f t="shared" si="2394"/>
        <v>0</v>
      </c>
      <c r="GQ133" s="58">
        <v>0</v>
      </c>
      <c r="GR133" s="76" t="s">
        <v>182</v>
      </c>
      <c r="GS133" s="28">
        <f t="shared" si="2395"/>
        <v>0</v>
      </c>
      <c r="GT133" s="28">
        <v>0</v>
      </c>
      <c r="GU133" s="28">
        <f>GT133*GU$6</f>
        <v>0</v>
      </c>
      <c r="GV133" s="28">
        <f>GT133*GV$6</f>
        <v>0</v>
      </c>
      <c r="GW133" s="28">
        <f>GT133/GW$6</f>
        <v>0</v>
      </c>
      <c r="GX133" s="72">
        <f>GW133/GX$6</f>
        <v>0</v>
      </c>
      <c r="GY133" s="72">
        <f>GT133/GY$6</f>
        <v>0</v>
      </c>
      <c r="GZ133" s="70">
        <f>SUM(GT133:GY133)</f>
        <v>0</v>
      </c>
      <c r="HA133" s="71">
        <v>0</v>
      </c>
      <c r="HB133" s="71">
        <v>0</v>
      </c>
      <c r="HC133" s="72">
        <f t="shared" si="2396"/>
        <v>0</v>
      </c>
      <c r="HD133" s="72">
        <f t="shared" si="2397"/>
        <v>0</v>
      </c>
      <c r="HE133" s="70">
        <f>SUM(HC133:HD133)</f>
        <v>0</v>
      </c>
      <c r="HF133" s="73">
        <v>0</v>
      </c>
      <c r="HG133" s="74">
        <f t="shared" si="2398"/>
        <v>0</v>
      </c>
      <c r="HH133" s="303">
        <f t="shared" si="2399"/>
        <v>0</v>
      </c>
      <c r="HJ133" s="37"/>
      <c r="HK133" s="37"/>
      <c r="HL133" s="37"/>
      <c r="HM133" s="37"/>
      <c r="HN133" s="37"/>
      <c r="HO133" s="37"/>
      <c r="HP133" s="37"/>
      <c r="HQ133" s="37"/>
      <c r="HR133" s="37"/>
      <c r="HS133" s="37"/>
      <c r="HT133" s="37"/>
      <c r="HU133" s="37"/>
      <c r="HV133" s="37"/>
      <c r="HW133" s="37"/>
      <c r="HX133" s="37"/>
      <c r="HY133" s="37"/>
      <c r="HZ133" s="37"/>
      <c r="IA133" s="37"/>
      <c r="IB133" s="37"/>
      <c r="IC133" s="37"/>
      <c r="ID133" s="37"/>
      <c r="IE133" s="37"/>
      <c r="IF133" s="37"/>
      <c r="IG133" s="37"/>
      <c r="IH133" s="37"/>
      <c r="II133" s="37"/>
      <c r="IJ133" s="37"/>
      <c r="IK133" s="37"/>
      <c r="IL133" s="37"/>
      <c r="IM133" s="37"/>
      <c r="IN133" s="37"/>
      <c r="IO133" s="37"/>
      <c r="IP133" s="37"/>
    </row>
    <row r="134" spans="1:250" ht="15" customHeight="1" x14ac:dyDescent="0.3">
      <c r="A134" s="58">
        <v>0</v>
      </c>
      <c r="B134" s="68" t="s">
        <v>182</v>
      </c>
      <c r="C134" s="28">
        <f t="shared" si="2340"/>
        <v>0</v>
      </c>
      <c r="D134" s="69">
        <v>0</v>
      </c>
      <c r="E134" s="28">
        <f>D134*E$6</f>
        <v>0</v>
      </c>
      <c r="F134" s="28">
        <f>D134*F$6</f>
        <v>0</v>
      </c>
      <c r="G134" s="28">
        <f>D134/G$6</f>
        <v>0</v>
      </c>
      <c r="H134" s="72">
        <f>G134/H$6</f>
        <v>0</v>
      </c>
      <c r="I134" s="72">
        <f>D134/I$6</f>
        <v>0</v>
      </c>
      <c r="J134" s="70">
        <f>SUM(D134:I134)</f>
        <v>0</v>
      </c>
      <c r="K134" s="71">
        <v>0</v>
      </c>
      <c r="L134" s="71">
        <v>0</v>
      </c>
      <c r="M134" s="72">
        <f t="shared" si="2341"/>
        <v>0</v>
      </c>
      <c r="N134" s="72">
        <f t="shared" si="2342"/>
        <v>0</v>
      </c>
      <c r="O134" s="70">
        <f t="shared" ref="O134" si="2400">SUM(M134:N134)</f>
        <v>0</v>
      </c>
      <c r="P134" s="73">
        <v>0</v>
      </c>
      <c r="Q134" s="74">
        <f t="shared" si="2343"/>
        <v>0</v>
      </c>
      <c r="R134" s="303">
        <f t="shared" si="2344"/>
        <v>0</v>
      </c>
      <c r="S134" s="58">
        <v>0</v>
      </c>
      <c r="T134" s="68" t="s">
        <v>182</v>
      </c>
      <c r="U134" s="28">
        <f t="shared" si="2345"/>
        <v>0</v>
      </c>
      <c r="V134" s="69">
        <v>0</v>
      </c>
      <c r="W134" s="28">
        <f>V134*W$6</f>
        <v>0</v>
      </c>
      <c r="X134" s="28">
        <f>V134*X$6</f>
        <v>0</v>
      </c>
      <c r="Y134" s="28">
        <f>V134/Y$6</f>
        <v>0</v>
      </c>
      <c r="Z134" s="72">
        <f>Y134/Z$6</f>
        <v>0</v>
      </c>
      <c r="AA134" s="72">
        <f>V134/AA$6</f>
        <v>0</v>
      </c>
      <c r="AB134" s="70">
        <f>SUM(V134:AA134)</f>
        <v>0</v>
      </c>
      <c r="AC134" s="71">
        <v>0</v>
      </c>
      <c r="AD134" s="71">
        <v>0</v>
      </c>
      <c r="AE134" s="72">
        <f t="shared" si="2346"/>
        <v>0</v>
      </c>
      <c r="AF134" s="72">
        <f t="shared" si="2347"/>
        <v>0</v>
      </c>
      <c r="AG134" s="70">
        <f t="shared" ref="AG134" si="2401">SUM(AE134:AF134)</f>
        <v>0</v>
      </c>
      <c r="AH134" s="73">
        <v>0</v>
      </c>
      <c r="AI134" s="74">
        <f t="shared" si="2348"/>
        <v>0</v>
      </c>
      <c r="AJ134" s="303">
        <f t="shared" si="2349"/>
        <v>0</v>
      </c>
      <c r="AK134" s="58">
        <v>0</v>
      </c>
      <c r="AL134" s="68" t="s">
        <v>182</v>
      </c>
      <c r="AM134" s="28">
        <f t="shared" si="2350"/>
        <v>0</v>
      </c>
      <c r="AN134" s="69">
        <v>0</v>
      </c>
      <c r="AO134" s="28">
        <f>AN134*AO$6</f>
        <v>0</v>
      </c>
      <c r="AP134" s="28">
        <f>AN134*AP$6</f>
        <v>0</v>
      </c>
      <c r="AQ134" s="28">
        <f>AN134/AQ$6</f>
        <v>0</v>
      </c>
      <c r="AR134" s="72">
        <f>AQ134/AR$6</f>
        <v>0</v>
      </c>
      <c r="AS134" s="72">
        <f>AN134/AS$6</f>
        <v>0</v>
      </c>
      <c r="AT134" s="70">
        <f>SUM(AN134:AS134)</f>
        <v>0</v>
      </c>
      <c r="AU134" s="71">
        <v>0</v>
      </c>
      <c r="AV134" s="71">
        <v>0</v>
      </c>
      <c r="AW134" s="72">
        <f t="shared" si="2351"/>
        <v>0</v>
      </c>
      <c r="AX134" s="72">
        <f t="shared" si="2352"/>
        <v>0</v>
      </c>
      <c r="AY134" s="70">
        <f t="shared" ref="AY134" si="2402">SUM(AW134:AX134)</f>
        <v>0</v>
      </c>
      <c r="AZ134" s="73">
        <v>0</v>
      </c>
      <c r="BA134" s="74">
        <f t="shared" si="2353"/>
        <v>0</v>
      </c>
      <c r="BB134" s="303">
        <f t="shared" si="2354"/>
        <v>0</v>
      </c>
      <c r="BC134" s="58">
        <v>0</v>
      </c>
      <c r="BD134" s="68" t="s">
        <v>182</v>
      </c>
      <c r="BE134" s="28">
        <f t="shared" si="2355"/>
        <v>0</v>
      </c>
      <c r="BF134" s="69">
        <v>0</v>
      </c>
      <c r="BG134" s="28">
        <f>BF134*BG$6</f>
        <v>0</v>
      </c>
      <c r="BH134" s="28">
        <f>BF134*BH$6</f>
        <v>0</v>
      </c>
      <c r="BI134" s="28">
        <f>BF134/BI$6</f>
        <v>0</v>
      </c>
      <c r="BJ134" s="72">
        <f>BI134/BJ$6</f>
        <v>0</v>
      </c>
      <c r="BK134" s="72">
        <f>BF134/BK$6</f>
        <v>0</v>
      </c>
      <c r="BL134" s="70">
        <f>SUM(BF134:BK134)</f>
        <v>0</v>
      </c>
      <c r="BM134" s="71">
        <v>0</v>
      </c>
      <c r="BN134" s="71">
        <v>0</v>
      </c>
      <c r="BO134" s="72">
        <f t="shared" si="2356"/>
        <v>0</v>
      </c>
      <c r="BP134" s="72">
        <f t="shared" si="2357"/>
        <v>0</v>
      </c>
      <c r="BQ134" s="70">
        <f t="shared" ref="BQ134" si="2403">SUM(BO134:BP134)</f>
        <v>0</v>
      </c>
      <c r="BR134" s="73">
        <v>0</v>
      </c>
      <c r="BS134" s="74">
        <f t="shared" si="2358"/>
        <v>0</v>
      </c>
      <c r="BT134" s="303">
        <f t="shared" si="2359"/>
        <v>0</v>
      </c>
      <c r="BU134" s="58">
        <v>0</v>
      </c>
      <c r="BV134" s="68" t="s">
        <v>182</v>
      </c>
      <c r="BW134" s="28">
        <f t="shared" si="2360"/>
        <v>0</v>
      </c>
      <c r="BX134" s="69">
        <v>0</v>
      </c>
      <c r="BY134" s="28">
        <f>BX134*BY$6</f>
        <v>0</v>
      </c>
      <c r="BZ134" s="28">
        <f>BX134*BZ$6</f>
        <v>0</v>
      </c>
      <c r="CA134" s="28">
        <f>BX134/CA$6</f>
        <v>0</v>
      </c>
      <c r="CB134" s="72">
        <f>CA134/CB$6</f>
        <v>0</v>
      </c>
      <c r="CC134" s="72">
        <f>BX134/CC$6</f>
        <v>0</v>
      </c>
      <c r="CD134" s="70">
        <f>SUM(BX134:CC134)</f>
        <v>0</v>
      </c>
      <c r="CE134" s="71">
        <v>0</v>
      </c>
      <c r="CF134" s="71">
        <v>0</v>
      </c>
      <c r="CG134" s="72">
        <f t="shared" si="2361"/>
        <v>0</v>
      </c>
      <c r="CH134" s="72">
        <f t="shared" si="2362"/>
        <v>0</v>
      </c>
      <c r="CI134" s="70">
        <f t="shared" ref="CI134" si="2404">SUM(CG134:CH134)</f>
        <v>0</v>
      </c>
      <c r="CJ134" s="73">
        <v>0</v>
      </c>
      <c r="CK134" s="74">
        <f t="shared" si="2363"/>
        <v>0</v>
      </c>
      <c r="CL134" s="303">
        <f t="shared" si="2364"/>
        <v>0</v>
      </c>
      <c r="CM134" s="58">
        <v>0</v>
      </c>
      <c r="CN134" s="68" t="s">
        <v>182</v>
      </c>
      <c r="CO134" s="28">
        <f t="shared" si="2365"/>
        <v>0</v>
      </c>
      <c r="CP134" s="69">
        <v>0</v>
      </c>
      <c r="CQ134" s="28">
        <f>CP134*CQ$6</f>
        <v>0</v>
      </c>
      <c r="CR134" s="28">
        <f>CP134*CR$6</f>
        <v>0</v>
      </c>
      <c r="CS134" s="28">
        <f>CP134/CS$6</f>
        <v>0</v>
      </c>
      <c r="CT134" s="72">
        <f>CS134/CT$6</f>
        <v>0</v>
      </c>
      <c r="CU134" s="72">
        <f>CP134/CU$6</f>
        <v>0</v>
      </c>
      <c r="CV134" s="70">
        <f>SUM(CP134:CU134)</f>
        <v>0</v>
      </c>
      <c r="CW134" s="71">
        <v>0</v>
      </c>
      <c r="CX134" s="71">
        <v>0</v>
      </c>
      <c r="CY134" s="72">
        <f t="shared" si="2366"/>
        <v>0</v>
      </c>
      <c r="CZ134" s="72">
        <f t="shared" si="2367"/>
        <v>0</v>
      </c>
      <c r="DA134" s="70">
        <f t="shared" ref="DA134" si="2405">SUM(CY134:CZ134)</f>
        <v>0</v>
      </c>
      <c r="DB134" s="73">
        <v>0</v>
      </c>
      <c r="DC134" s="74">
        <f t="shared" si="2368"/>
        <v>0</v>
      </c>
      <c r="DD134" s="303">
        <f t="shared" si="2369"/>
        <v>0</v>
      </c>
      <c r="DE134" s="58">
        <v>0</v>
      </c>
      <c r="DF134" s="68" t="s">
        <v>182</v>
      </c>
      <c r="DG134" s="28">
        <f t="shared" si="2370"/>
        <v>0</v>
      </c>
      <c r="DH134" s="69">
        <v>0</v>
      </c>
      <c r="DI134" s="28">
        <f>DH134*DI$6</f>
        <v>0</v>
      </c>
      <c r="DJ134" s="28">
        <f>DH134*DJ$6</f>
        <v>0</v>
      </c>
      <c r="DK134" s="28">
        <f>DH134/DK$6</f>
        <v>0</v>
      </c>
      <c r="DL134" s="72">
        <f>DK134/DL$6</f>
        <v>0</v>
      </c>
      <c r="DM134" s="72">
        <f>DH134/DM$6</f>
        <v>0</v>
      </c>
      <c r="DN134" s="70">
        <f>SUM(DH134:DM134)</f>
        <v>0</v>
      </c>
      <c r="DO134" s="71">
        <v>0</v>
      </c>
      <c r="DP134" s="71">
        <v>0</v>
      </c>
      <c r="DQ134" s="72">
        <f t="shared" si="2371"/>
        <v>0</v>
      </c>
      <c r="DR134" s="72">
        <f t="shared" si="2372"/>
        <v>0</v>
      </c>
      <c r="DS134" s="70">
        <f t="shared" ref="DS134" si="2406">SUM(DQ134:DR134)</f>
        <v>0</v>
      </c>
      <c r="DT134" s="73">
        <v>0</v>
      </c>
      <c r="DU134" s="74">
        <f t="shared" si="2373"/>
        <v>0</v>
      </c>
      <c r="DV134" s="303">
        <f t="shared" si="2374"/>
        <v>0</v>
      </c>
      <c r="DW134" s="58">
        <v>0</v>
      </c>
      <c r="DX134" s="68" t="s">
        <v>182</v>
      </c>
      <c r="DY134" s="28">
        <f t="shared" si="2375"/>
        <v>0</v>
      </c>
      <c r="DZ134" s="69">
        <v>0</v>
      </c>
      <c r="EA134" s="28">
        <f>DZ134*EA$6</f>
        <v>0</v>
      </c>
      <c r="EB134" s="28">
        <f>DZ134*EB$6</f>
        <v>0</v>
      </c>
      <c r="EC134" s="28">
        <f>DZ134/EC$6</f>
        <v>0</v>
      </c>
      <c r="ED134" s="72">
        <f>EC134/ED$6</f>
        <v>0</v>
      </c>
      <c r="EE134" s="72">
        <f>DZ134/EE$6</f>
        <v>0</v>
      </c>
      <c r="EF134" s="70">
        <f>SUM(DZ134:EE134)</f>
        <v>0</v>
      </c>
      <c r="EG134" s="71">
        <v>0</v>
      </c>
      <c r="EH134" s="71">
        <v>0</v>
      </c>
      <c r="EI134" s="72">
        <f t="shared" si="2376"/>
        <v>0</v>
      </c>
      <c r="EJ134" s="72">
        <f t="shared" si="2377"/>
        <v>0</v>
      </c>
      <c r="EK134" s="70">
        <f t="shared" ref="EK134" si="2407">SUM(EI134:EJ134)</f>
        <v>0</v>
      </c>
      <c r="EL134" s="73">
        <v>0</v>
      </c>
      <c r="EM134" s="74">
        <f t="shared" si="2378"/>
        <v>0</v>
      </c>
      <c r="EN134" s="303">
        <f t="shared" si="2379"/>
        <v>0</v>
      </c>
      <c r="EO134" s="58">
        <v>0</v>
      </c>
      <c r="EP134" s="68" t="s">
        <v>182</v>
      </c>
      <c r="EQ134" s="28">
        <f t="shared" si="2380"/>
        <v>0</v>
      </c>
      <c r="ER134" s="69">
        <v>0</v>
      </c>
      <c r="ES134" s="28">
        <f>ER134*ES$6</f>
        <v>0</v>
      </c>
      <c r="ET134" s="28">
        <f>ER134*ET$6</f>
        <v>0</v>
      </c>
      <c r="EU134" s="28">
        <f>ER134/EU$6</f>
        <v>0</v>
      </c>
      <c r="EV134" s="72">
        <f>EU134/EV$6</f>
        <v>0</v>
      </c>
      <c r="EW134" s="72">
        <f>ER134/EW$6</f>
        <v>0</v>
      </c>
      <c r="EX134" s="70">
        <f>SUM(ER134:EW134)</f>
        <v>0</v>
      </c>
      <c r="EY134" s="71">
        <v>0</v>
      </c>
      <c r="EZ134" s="71">
        <v>0</v>
      </c>
      <c r="FA134" s="72">
        <f t="shared" si="2381"/>
        <v>0</v>
      </c>
      <c r="FB134" s="72">
        <f t="shared" si="2382"/>
        <v>0</v>
      </c>
      <c r="FC134" s="70">
        <f t="shared" ref="FC134" si="2408">SUM(FA134:FB134)</f>
        <v>0</v>
      </c>
      <c r="FD134" s="73">
        <v>0</v>
      </c>
      <c r="FE134" s="74">
        <f t="shared" si="2383"/>
        <v>0</v>
      </c>
      <c r="FF134" s="303">
        <f t="shared" si="2384"/>
        <v>0</v>
      </c>
      <c r="FG134" s="58">
        <v>0</v>
      </c>
      <c r="FH134" s="68" t="s">
        <v>182</v>
      </c>
      <c r="FI134" s="28">
        <f t="shared" si="2385"/>
        <v>0</v>
      </c>
      <c r="FJ134" s="69">
        <v>0</v>
      </c>
      <c r="FK134" s="28">
        <f>FJ134*FK$6</f>
        <v>0</v>
      </c>
      <c r="FL134" s="28">
        <f>FJ134*FL$6</f>
        <v>0</v>
      </c>
      <c r="FM134" s="28">
        <f>FJ134/FM$6</f>
        <v>0</v>
      </c>
      <c r="FN134" s="72">
        <f>FM134/FN$6</f>
        <v>0</v>
      </c>
      <c r="FO134" s="72">
        <f>FJ134/FO$6</f>
        <v>0</v>
      </c>
      <c r="FP134" s="70">
        <f>SUM(FJ134:FO134)</f>
        <v>0</v>
      </c>
      <c r="FQ134" s="71">
        <v>0</v>
      </c>
      <c r="FR134" s="71">
        <v>0</v>
      </c>
      <c r="FS134" s="72">
        <f t="shared" si="2386"/>
        <v>0</v>
      </c>
      <c r="FT134" s="72">
        <f t="shared" si="2387"/>
        <v>0</v>
      </c>
      <c r="FU134" s="70">
        <f t="shared" ref="FU134" si="2409">SUM(FS134:FT134)</f>
        <v>0</v>
      </c>
      <c r="FV134" s="73">
        <v>0</v>
      </c>
      <c r="FW134" s="74">
        <f t="shared" si="2388"/>
        <v>0</v>
      </c>
      <c r="FX134" s="303">
        <f t="shared" si="2389"/>
        <v>0</v>
      </c>
      <c r="FY134" s="58">
        <v>0</v>
      </c>
      <c r="FZ134" s="68" t="s">
        <v>182</v>
      </c>
      <c r="GA134" s="28">
        <f t="shared" si="2390"/>
        <v>0</v>
      </c>
      <c r="GB134" s="69">
        <v>0</v>
      </c>
      <c r="GC134" s="28">
        <f>GB134*GC$6</f>
        <v>0</v>
      </c>
      <c r="GD134" s="28">
        <f>GB134*GD$6</f>
        <v>0</v>
      </c>
      <c r="GE134" s="28">
        <f>GB134/GE$6</f>
        <v>0</v>
      </c>
      <c r="GF134" s="72">
        <f>GE134/GF$6</f>
        <v>0</v>
      </c>
      <c r="GG134" s="72">
        <f>GB134/GG$6</f>
        <v>0</v>
      </c>
      <c r="GH134" s="70">
        <f>SUM(GB134:GG134)</f>
        <v>0</v>
      </c>
      <c r="GI134" s="71">
        <v>0</v>
      </c>
      <c r="GJ134" s="71">
        <v>0</v>
      </c>
      <c r="GK134" s="72">
        <f t="shared" si="2391"/>
        <v>0</v>
      </c>
      <c r="GL134" s="72">
        <f t="shared" si="2392"/>
        <v>0</v>
      </c>
      <c r="GM134" s="70">
        <f t="shared" ref="GM134" si="2410">SUM(GK134:GL134)</f>
        <v>0</v>
      </c>
      <c r="GN134" s="73">
        <v>0</v>
      </c>
      <c r="GO134" s="74">
        <f t="shared" si="2393"/>
        <v>0</v>
      </c>
      <c r="GP134" s="303">
        <f t="shared" si="2394"/>
        <v>0</v>
      </c>
      <c r="GQ134" s="58">
        <v>0</v>
      </c>
      <c r="GR134" s="68" t="s">
        <v>182</v>
      </c>
      <c r="GS134" s="28">
        <f t="shared" si="2395"/>
        <v>0</v>
      </c>
      <c r="GT134" s="69">
        <v>0</v>
      </c>
      <c r="GU134" s="28">
        <f>GT134*GU$6</f>
        <v>0</v>
      </c>
      <c r="GV134" s="28">
        <f>GT134*GV$6</f>
        <v>0</v>
      </c>
      <c r="GW134" s="28">
        <f>GT134/GW$6</f>
        <v>0</v>
      </c>
      <c r="GX134" s="72">
        <f>GW134/GX$6</f>
        <v>0</v>
      </c>
      <c r="GY134" s="72">
        <f>GT134/GY$6</f>
        <v>0</v>
      </c>
      <c r="GZ134" s="70">
        <f>SUM(GT134:GY134)</f>
        <v>0</v>
      </c>
      <c r="HA134" s="71">
        <v>0</v>
      </c>
      <c r="HB134" s="71">
        <v>0</v>
      </c>
      <c r="HC134" s="72">
        <f t="shared" si="2396"/>
        <v>0</v>
      </c>
      <c r="HD134" s="72">
        <f t="shared" si="2397"/>
        <v>0</v>
      </c>
      <c r="HE134" s="70">
        <f t="shared" ref="HE134" si="2411">SUM(HC134:HD134)</f>
        <v>0</v>
      </c>
      <c r="HF134" s="73">
        <v>0</v>
      </c>
      <c r="HG134" s="74">
        <f t="shared" si="2398"/>
        <v>0</v>
      </c>
      <c r="HH134" s="303">
        <f t="shared" si="2399"/>
        <v>0</v>
      </c>
      <c r="HJ134" s="37"/>
      <c r="HK134" s="37"/>
      <c r="HL134" s="37"/>
      <c r="HM134" s="37"/>
      <c r="HN134" s="37"/>
      <c r="HO134" s="37"/>
      <c r="HP134" s="37"/>
      <c r="HQ134" s="37"/>
      <c r="HR134" s="37"/>
      <c r="HS134" s="37"/>
      <c r="HT134" s="37"/>
      <c r="HU134" s="37"/>
      <c r="HV134" s="37"/>
      <c r="HW134" s="37"/>
      <c r="HX134" s="37"/>
      <c r="HY134" s="37"/>
      <c r="HZ134" s="37"/>
      <c r="IA134" s="37"/>
      <c r="IB134" s="37"/>
      <c r="IC134" s="37"/>
      <c r="ID134" s="37"/>
      <c r="IE134" s="37"/>
      <c r="IF134" s="37"/>
      <c r="IG134" s="37"/>
      <c r="IH134" s="37"/>
      <c r="II134" s="37"/>
      <c r="IJ134" s="37"/>
      <c r="IK134" s="37"/>
      <c r="IL134" s="37"/>
      <c r="IM134" s="37"/>
      <c r="IN134" s="37"/>
      <c r="IO134" s="37"/>
      <c r="IP134" s="37"/>
    </row>
    <row r="135" spans="1:250" ht="15" customHeight="1" x14ac:dyDescent="0.3">
      <c r="A135" s="541"/>
      <c r="B135" s="537"/>
      <c r="C135" s="537"/>
      <c r="D135" s="537"/>
      <c r="E135" s="537"/>
      <c r="F135" s="537"/>
      <c r="G135" s="537"/>
      <c r="H135" s="537"/>
      <c r="I135" s="537"/>
      <c r="J135" s="537"/>
      <c r="K135" s="537"/>
      <c r="L135" s="537"/>
      <c r="M135" s="537"/>
      <c r="N135" s="537"/>
      <c r="O135" s="537"/>
      <c r="P135" s="538"/>
      <c r="Q135" s="307" t="s">
        <v>8</v>
      </c>
      <c r="R135" s="304">
        <f>SUM(R132:R134)</f>
        <v>0</v>
      </c>
      <c r="S135" s="541"/>
      <c r="T135" s="537"/>
      <c r="U135" s="537"/>
      <c r="V135" s="537"/>
      <c r="W135" s="537"/>
      <c r="X135" s="537"/>
      <c r="Y135" s="537"/>
      <c r="Z135" s="537"/>
      <c r="AA135" s="537"/>
      <c r="AB135" s="537"/>
      <c r="AC135" s="537"/>
      <c r="AD135" s="537"/>
      <c r="AE135" s="537"/>
      <c r="AF135" s="537"/>
      <c r="AG135" s="537"/>
      <c r="AH135" s="538"/>
      <c r="AI135" s="307" t="s">
        <v>8</v>
      </c>
      <c r="AJ135" s="304">
        <f>SUM(AJ132:AJ134)</f>
        <v>0</v>
      </c>
      <c r="AK135" s="541"/>
      <c r="AL135" s="537"/>
      <c r="AM135" s="537"/>
      <c r="AN135" s="537"/>
      <c r="AO135" s="537"/>
      <c r="AP135" s="537"/>
      <c r="AQ135" s="537"/>
      <c r="AR135" s="537"/>
      <c r="AS135" s="537"/>
      <c r="AT135" s="537"/>
      <c r="AU135" s="537"/>
      <c r="AV135" s="537"/>
      <c r="AW135" s="537"/>
      <c r="AX135" s="537"/>
      <c r="AY135" s="537"/>
      <c r="AZ135" s="538"/>
      <c r="BA135" s="307" t="s">
        <v>8</v>
      </c>
      <c r="BB135" s="304">
        <f>SUM(BB132:BB134)</f>
        <v>0</v>
      </c>
      <c r="BC135" s="541"/>
      <c r="BD135" s="537"/>
      <c r="BE135" s="537"/>
      <c r="BF135" s="537"/>
      <c r="BG135" s="537"/>
      <c r="BH135" s="537"/>
      <c r="BI135" s="537"/>
      <c r="BJ135" s="537"/>
      <c r="BK135" s="537"/>
      <c r="BL135" s="537"/>
      <c r="BM135" s="537"/>
      <c r="BN135" s="537"/>
      <c r="BO135" s="537"/>
      <c r="BP135" s="537"/>
      <c r="BQ135" s="537"/>
      <c r="BR135" s="538"/>
      <c r="BS135" s="307" t="s">
        <v>8</v>
      </c>
      <c r="BT135" s="304">
        <f>SUM(BT132:BT134)</f>
        <v>0</v>
      </c>
      <c r="BU135" s="541"/>
      <c r="BV135" s="537"/>
      <c r="BW135" s="537"/>
      <c r="BX135" s="537"/>
      <c r="BY135" s="537"/>
      <c r="BZ135" s="537"/>
      <c r="CA135" s="537"/>
      <c r="CB135" s="537"/>
      <c r="CC135" s="537"/>
      <c r="CD135" s="537"/>
      <c r="CE135" s="537"/>
      <c r="CF135" s="537"/>
      <c r="CG135" s="537"/>
      <c r="CH135" s="537"/>
      <c r="CI135" s="537"/>
      <c r="CJ135" s="538"/>
      <c r="CK135" s="307" t="s">
        <v>8</v>
      </c>
      <c r="CL135" s="304">
        <f>SUM(CL132:CL134)</f>
        <v>0</v>
      </c>
      <c r="CM135" s="541"/>
      <c r="CN135" s="537"/>
      <c r="CO135" s="537"/>
      <c r="CP135" s="537"/>
      <c r="CQ135" s="537"/>
      <c r="CR135" s="537"/>
      <c r="CS135" s="537"/>
      <c r="CT135" s="537"/>
      <c r="CU135" s="537"/>
      <c r="CV135" s="537"/>
      <c r="CW135" s="537"/>
      <c r="CX135" s="537"/>
      <c r="CY135" s="537"/>
      <c r="CZ135" s="537"/>
      <c r="DA135" s="537"/>
      <c r="DB135" s="538"/>
      <c r="DC135" s="307" t="s">
        <v>8</v>
      </c>
      <c r="DD135" s="304">
        <f>SUM(DD132:DD134)</f>
        <v>0</v>
      </c>
      <c r="DE135" s="541"/>
      <c r="DF135" s="537"/>
      <c r="DG135" s="537"/>
      <c r="DH135" s="537"/>
      <c r="DI135" s="537"/>
      <c r="DJ135" s="537"/>
      <c r="DK135" s="537"/>
      <c r="DL135" s="537"/>
      <c r="DM135" s="537"/>
      <c r="DN135" s="537"/>
      <c r="DO135" s="537"/>
      <c r="DP135" s="537"/>
      <c r="DQ135" s="537"/>
      <c r="DR135" s="537"/>
      <c r="DS135" s="537"/>
      <c r="DT135" s="538"/>
      <c r="DU135" s="307" t="s">
        <v>8</v>
      </c>
      <c r="DV135" s="304">
        <f>SUM(DV132:DV134)</f>
        <v>0</v>
      </c>
      <c r="DW135" s="541"/>
      <c r="DX135" s="537"/>
      <c r="DY135" s="537"/>
      <c r="DZ135" s="537"/>
      <c r="EA135" s="537"/>
      <c r="EB135" s="537"/>
      <c r="EC135" s="537"/>
      <c r="ED135" s="537"/>
      <c r="EE135" s="537"/>
      <c r="EF135" s="537"/>
      <c r="EG135" s="537"/>
      <c r="EH135" s="537"/>
      <c r="EI135" s="537"/>
      <c r="EJ135" s="537"/>
      <c r="EK135" s="537"/>
      <c r="EL135" s="538"/>
      <c r="EM135" s="307" t="s">
        <v>8</v>
      </c>
      <c r="EN135" s="304">
        <f>SUM(EN132:EN134)</f>
        <v>0</v>
      </c>
      <c r="EO135" s="541"/>
      <c r="EP135" s="537"/>
      <c r="EQ135" s="537"/>
      <c r="ER135" s="537"/>
      <c r="ES135" s="537"/>
      <c r="ET135" s="537"/>
      <c r="EU135" s="537"/>
      <c r="EV135" s="537"/>
      <c r="EW135" s="537"/>
      <c r="EX135" s="537"/>
      <c r="EY135" s="537"/>
      <c r="EZ135" s="537"/>
      <c r="FA135" s="537"/>
      <c r="FB135" s="537"/>
      <c r="FC135" s="537"/>
      <c r="FD135" s="538"/>
      <c r="FE135" s="307" t="s">
        <v>8</v>
      </c>
      <c r="FF135" s="304">
        <f>SUM(FF132:FF134)</f>
        <v>0</v>
      </c>
      <c r="FG135" s="541"/>
      <c r="FH135" s="537"/>
      <c r="FI135" s="537"/>
      <c r="FJ135" s="537"/>
      <c r="FK135" s="537"/>
      <c r="FL135" s="537"/>
      <c r="FM135" s="537"/>
      <c r="FN135" s="537"/>
      <c r="FO135" s="537"/>
      <c r="FP135" s="537"/>
      <c r="FQ135" s="537"/>
      <c r="FR135" s="537"/>
      <c r="FS135" s="537"/>
      <c r="FT135" s="537"/>
      <c r="FU135" s="537"/>
      <c r="FV135" s="538"/>
      <c r="FW135" s="307" t="s">
        <v>8</v>
      </c>
      <c r="FX135" s="304">
        <f>SUM(FX132:FX134)</f>
        <v>0</v>
      </c>
      <c r="FY135" s="541"/>
      <c r="FZ135" s="537"/>
      <c r="GA135" s="537"/>
      <c r="GB135" s="537"/>
      <c r="GC135" s="537"/>
      <c r="GD135" s="537"/>
      <c r="GE135" s="537"/>
      <c r="GF135" s="537"/>
      <c r="GG135" s="537"/>
      <c r="GH135" s="537"/>
      <c r="GI135" s="537"/>
      <c r="GJ135" s="537"/>
      <c r="GK135" s="537"/>
      <c r="GL135" s="537"/>
      <c r="GM135" s="537"/>
      <c r="GN135" s="538"/>
      <c r="GO135" s="307" t="s">
        <v>8</v>
      </c>
      <c r="GP135" s="304">
        <f>SUM(GP132:GP134)</f>
        <v>0</v>
      </c>
      <c r="GQ135" s="541"/>
      <c r="GR135" s="537"/>
      <c r="GS135" s="537"/>
      <c r="GT135" s="537"/>
      <c r="GU135" s="537"/>
      <c r="GV135" s="537"/>
      <c r="GW135" s="537"/>
      <c r="GX135" s="537"/>
      <c r="GY135" s="537"/>
      <c r="GZ135" s="537"/>
      <c r="HA135" s="537"/>
      <c r="HB135" s="537"/>
      <c r="HC135" s="537"/>
      <c r="HD135" s="537"/>
      <c r="HE135" s="537"/>
      <c r="HF135" s="538"/>
      <c r="HG135" s="307" t="s">
        <v>8</v>
      </c>
      <c r="HH135" s="304">
        <f>SUM(HH132:HH134)</f>
        <v>0</v>
      </c>
      <c r="HJ135" s="37"/>
      <c r="HK135" s="37"/>
      <c r="HL135" s="37"/>
      <c r="HM135" s="37"/>
      <c r="HN135" s="37"/>
      <c r="HO135" s="37"/>
      <c r="HP135" s="37"/>
      <c r="HQ135" s="37"/>
      <c r="HR135" s="37"/>
      <c r="HS135" s="37"/>
      <c r="HT135" s="37"/>
      <c r="HU135" s="37"/>
      <c r="HV135" s="37"/>
      <c r="HW135" s="37"/>
      <c r="HX135" s="37"/>
      <c r="HY135" s="37"/>
      <c r="HZ135" s="37"/>
      <c r="IA135" s="37"/>
      <c r="IB135" s="37"/>
      <c r="IC135" s="37"/>
      <c r="ID135" s="37"/>
      <c r="IE135" s="37"/>
      <c r="IF135" s="37"/>
      <c r="IG135" s="37"/>
      <c r="IH135" s="37"/>
      <c r="II135" s="37"/>
      <c r="IJ135" s="37"/>
      <c r="IK135" s="37"/>
      <c r="IL135" s="37"/>
      <c r="IM135" s="37"/>
      <c r="IN135" s="37"/>
      <c r="IO135" s="37"/>
      <c r="IP135" s="37"/>
    </row>
    <row r="136" spans="1:250" ht="15" customHeight="1" x14ac:dyDescent="0.3">
      <c r="A136" s="546"/>
      <c r="B136" s="547"/>
      <c r="C136" s="547"/>
      <c r="D136" s="547"/>
      <c r="E136" s="742" t="s">
        <v>48</v>
      </c>
      <c r="F136" s="742"/>
      <c r="G136" s="742"/>
      <c r="H136" s="742"/>
      <c r="I136" s="742"/>
      <c r="J136" s="742"/>
      <c r="K136" s="742"/>
      <c r="L136" s="742"/>
      <c r="M136" s="742"/>
      <c r="N136" s="547"/>
      <c r="O136" s="547"/>
      <c r="P136" s="547"/>
      <c r="Q136" s="547"/>
      <c r="R136" s="548"/>
      <c r="S136" s="546"/>
      <c r="T136" s="547"/>
      <c r="U136" s="547"/>
      <c r="V136" s="547"/>
      <c r="W136" s="742" t="s">
        <v>48</v>
      </c>
      <c r="X136" s="742"/>
      <c r="Y136" s="742"/>
      <c r="Z136" s="742"/>
      <c r="AA136" s="742"/>
      <c r="AB136" s="742"/>
      <c r="AC136" s="742"/>
      <c r="AD136" s="742"/>
      <c r="AE136" s="742"/>
      <c r="AF136" s="547"/>
      <c r="AG136" s="547"/>
      <c r="AH136" s="547"/>
      <c r="AI136" s="547"/>
      <c r="AJ136" s="548"/>
      <c r="AK136" s="546"/>
      <c r="AL136" s="547"/>
      <c r="AM136" s="547"/>
      <c r="AN136" s="547"/>
      <c r="AO136" s="742" t="s">
        <v>48</v>
      </c>
      <c r="AP136" s="742"/>
      <c r="AQ136" s="742"/>
      <c r="AR136" s="742"/>
      <c r="AS136" s="742"/>
      <c r="AT136" s="742"/>
      <c r="AU136" s="742"/>
      <c r="AV136" s="742"/>
      <c r="AW136" s="742"/>
      <c r="AX136" s="547"/>
      <c r="AY136" s="547"/>
      <c r="AZ136" s="547"/>
      <c r="BA136" s="547"/>
      <c r="BB136" s="548"/>
      <c r="BC136" s="546"/>
      <c r="BD136" s="547"/>
      <c r="BE136" s="547"/>
      <c r="BF136" s="547"/>
      <c r="BG136" s="742" t="s">
        <v>48</v>
      </c>
      <c r="BH136" s="742"/>
      <c r="BI136" s="742"/>
      <c r="BJ136" s="742"/>
      <c r="BK136" s="742"/>
      <c r="BL136" s="742"/>
      <c r="BM136" s="742"/>
      <c r="BN136" s="742"/>
      <c r="BO136" s="742"/>
      <c r="BP136" s="547"/>
      <c r="BQ136" s="547"/>
      <c r="BR136" s="547"/>
      <c r="BS136" s="547"/>
      <c r="BT136" s="548"/>
      <c r="BU136" s="546"/>
      <c r="BV136" s="547"/>
      <c r="BW136" s="547"/>
      <c r="BX136" s="547"/>
      <c r="BY136" s="742" t="s">
        <v>48</v>
      </c>
      <c r="BZ136" s="742"/>
      <c r="CA136" s="742"/>
      <c r="CB136" s="742"/>
      <c r="CC136" s="742"/>
      <c r="CD136" s="742"/>
      <c r="CE136" s="742"/>
      <c r="CF136" s="742"/>
      <c r="CG136" s="742"/>
      <c r="CH136" s="547"/>
      <c r="CI136" s="547"/>
      <c r="CJ136" s="547"/>
      <c r="CK136" s="547"/>
      <c r="CL136" s="548"/>
      <c r="CM136" s="546"/>
      <c r="CN136" s="547"/>
      <c r="CO136" s="547"/>
      <c r="CP136" s="547"/>
      <c r="CQ136" s="742" t="s">
        <v>48</v>
      </c>
      <c r="CR136" s="742"/>
      <c r="CS136" s="742"/>
      <c r="CT136" s="742"/>
      <c r="CU136" s="742"/>
      <c r="CV136" s="742"/>
      <c r="CW136" s="742"/>
      <c r="CX136" s="742"/>
      <c r="CY136" s="742"/>
      <c r="CZ136" s="547"/>
      <c r="DA136" s="547"/>
      <c r="DB136" s="547"/>
      <c r="DC136" s="547"/>
      <c r="DD136" s="548"/>
      <c r="DE136" s="546"/>
      <c r="DF136" s="547"/>
      <c r="DG136" s="547"/>
      <c r="DH136" s="547"/>
      <c r="DI136" s="742" t="s">
        <v>48</v>
      </c>
      <c r="DJ136" s="742"/>
      <c r="DK136" s="742"/>
      <c r="DL136" s="742"/>
      <c r="DM136" s="742"/>
      <c r="DN136" s="742"/>
      <c r="DO136" s="742"/>
      <c r="DP136" s="742"/>
      <c r="DQ136" s="742"/>
      <c r="DR136" s="547"/>
      <c r="DS136" s="547"/>
      <c r="DT136" s="547"/>
      <c r="DU136" s="547"/>
      <c r="DV136" s="548"/>
      <c r="DW136" s="546"/>
      <c r="DX136" s="547"/>
      <c r="DY136" s="547"/>
      <c r="DZ136" s="547"/>
      <c r="EA136" s="742" t="s">
        <v>48</v>
      </c>
      <c r="EB136" s="742"/>
      <c r="EC136" s="742"/>
      <c r="ED136" s="742"/>
      <c r="EE136" s="742"/>
      <c r="EF136" s="742"/>
      <c r="EG136" s="742"/>
      <c r="EH136" s="742"/>
      <c r="EI136" s="742"/>
      <c r="EJ136" s="547"/>
      <c r="EK136" s="547"/>
      <c r="EL136" s="547"/>
      <c r="EM136" s="547"/>
      <c r="EN136" s="548"/>
      <c r="EO136" s="546"/>
      <c r="EP136" s="547"/>
      <c r="EQ136" s="547"/>
      <c r="ER136" s="547"/>
      <c r="ES136" s="742" t="s">
        <v>48</v>
      </c>
      <c r="ET136" s="742"/>
      <c r="EU136" s="742"/>
      <c r="EV136" s="742"/>
      <c r="EW136" s="742"/>
      <c r="EX136" s="742"/>
      <c r="EY136" s="742"/>
      <c r="EZ136" s="742"/>
      <c r="FA136" s="742"/>
      <c r="FB136" s="547"/>
      <c r="FC136" s="547"/>
      <c r="FD136" s="547"/>
      <c r="FE136" s="547"/>
      <c r="FF136" s="548"/>
      <c r="FG136" s="546"/>
      <c r="FH136" s="547"/>
      <c r="FI136" s="547"/>
      <c r="FJ136" s="547"/>
      <c r="FK136" s="742" t="s">
        <v>48</v>
      </c>
      <c r="FL136" s="742"/>
      <c r="FM136" s="742"/>
      <c r="FN136" s="742"/>
      <c r="FO136" s="742"/>
      <c r="FP136" s="742"/>
      <c r="FQ136" s="742"/>
      <c r="FR136" s="742"/>
      <c r="FS136" s="742"/>
      <c r="FT136" s="547"/>
      <c r="FU136" s="547"/>
      <c r="FV136" s="547"/>
      <c r="FW136" s="547"/>
      <c r="FX136" s="548"/>
      <c r="FY136" s="546"/>
      <c r="FZ136" s="547"/>
      <c r="GA136" s="547"/>
      <c r="GB136" s="547"/>
      <c r="GC136" s="742" t="s">
        <v>48</v>
      </c>
      <c r="GD136" s="742"/>
      <c r="GE136" s="742"/>
      <c r="GF136" s="742"/>
      <c r="GG136" s="742"/>
      <c r="GH136" s="742"/>
      <c r="GI136" s="742"/>
      <c r="GJ136" s="742"/>
      <c r="GK136" s="742"/>
      <c r="GL136" s="547"/>
      <c r="GM136" s="547"/>
      <c r="GN136" s="547"/>
      <c r="GO136" s="547"/>
      <c r="GP136" s="548"/>
      <c r="GQ136" s="546"/>
      <c r="GR136" s="547"/>
      <c r="GS136" s="547"/>
      <c r="GT136" s="547"/>
      <c r="GU136" s="742" t="s">
        <v>48</v>
      </c>
      <c r="GV136" s="742"/>
      <c r="GW136" s="742"/>
      <c r="GX136" s="742"/>
      <c r="GY136" s="742"/>
      <c r="GZ136" s="742"/>
      <c r="HA136" s="742"/>
      <c r="HB136" s="742"/>
      <c r="HC136" s="742"/>
      <c r="HD136" s="547"/>
      <c r="HE136" s="547"/>
      <c r="HF136" s="547"/>
      <c r="HG136" s="547"/>
      <c r="HH136" s="548"/>
      <c r="HJ136" s="37"/>
      <c r="HK136" s="37"/>
      <c r="HL136" s="37"/>
      <c r="HM136" s="37"/>
      <c r="HN136" s="37"/>
      <c r="HO136" s="37"/>
      <c r="HP136" s="37"/>
      <c r="HQ136" s="37"/>
      <c r="HR136" s="37"/>
      <c r="HS136" s="37"/>
      <c r="HT136" s="37"/>
      <c r="HU136" s="37"/>
      <c r="HV136" s="37"/>
      <c r="HW136" s="37"/>
      <c r="HX136" s="37"/>
      <c r="HY136" s="37"/>
      <c r="HZ136" s="37"/>
      <c r="IA136" s="37"/>
      <c r="IB136" s="37"/>
      <c r="IC136" s="37"/>
      <c r="ID136" s="37"/>
      <c r="IE136" s="37"/>
      <c r="IF136" s="37"/>
      <c r="IG136" s="37"/>
      <c r="IH136" s="37"/>
      <c r="II136" s="37"/>
      <c r="IJ136" s="37"/>
      <c r="IK136" s="37"/>
      <c r="IL136" s="37"/>
      <c r="IM136" s="37"/>
      <c r="IN136" s="37"/>
      <c r="IO136" s="37"/>
      <c r="IP136" s="37"/>
    </row>
    <row r="137" spans="1:250" ht="15" customHeight="1" x14ac:dyDescent="0.3">
      <c r="A137" s="58">
        <v>0</v>
      </c>
      <c r="B137" s="76" t="s">
        <v>182</v>
      </c>
      <c r="C137" s="28">
        <f t="shared" ref="C137:C139" si="2412">D137/$AM$4</f>
        <v>0</v>
      </c>
      <c r="D137" s="28">
        <v>0</v>
      </c>
      <c r="E137" s="28">
        <f>D137*E$6</f>
        <v>0</v>
      </c>
      <c r="F137" s="28">
        <f>D137*F$6</f>
        <v>0</v>
      </c>
      <c r="G137" s="28">
        <f>D137/G$6</f>
        <v>0</v>
      </c>
      <c r="H137" s="72">
        <f>G137/H$6</f>
        <v>0</v>
      </c>
      <c r="I137" s="72">
        <f>D137/I$6</f>
        <v>0</v>
      </c>
      <c r="J137" s="70">
        <f>SUM(D137:I137)</f>
        <v>0</v>
      </c>
      <c r="K137" s="71">
        <v>0</v>
      </c>
      <c r="L137" s="71">
        <v>0</v>
      </c>
      <c r="M137" s="72">
        <f t="shared" ref="M137:M139" si="2413">((C137*M$6)+(C137*$AO$6)+(C137*$AP$6))*K137</f>
        <v>0</v>
      </c>
      <c r="N137" s="72">
        <f t="shared" ref="N137:N139" si="2414">((C137*N$6)+(C137*$AO$6)+(C137*$AP$6))*L137</f>
        <v>0</v>
      </c>
      <c r="O137" s="70">
        <f>SUM(M137:N137)</f>
        <v>0</v>
      </c>
      <c r="P137" s="73">
        <v>0</v>
      </c>
      <c r="Q137" s="74">
        <f t="shared" ref="Q137:Q139" si="2415">IF(A137=1,($C$1*$Q$6),0)</f>
        <v>0</v>
      </c>
      <c r="R137" s="303">
        <f t="shared" ref="R137:R139" si="2416">J137+O137+P137+Q137</f>
        <v>0</v>
      </c>
      <c r="S137" s="58">
        <v>0</v>
      </c>
      <c r="T137" s="76" t="s">
        <v>182</v>
      </c>
      <c r="U137" s="28">
        <f t="shared" ref="U137:U139" si="2417">V137/$AM$4</f>
        <v>0</v>
      </c>
      <c r="V137" s="28">
        <v>0</v>
      </c>
      <c r="W137" s="28">
        <f>V137*W$6</f>
        <v>0</v>
      </c>
      <c r="X137" s="28">
        <f>V137*X$6</f>
        <v>0</v>
      </c>
      <c r="Y137" s="28">
        <f>V137/Y$6</f>
        <v>0</v>
      </c>
      <c r="Z137" s="72">
        <f>Y137/Z$6</f>
        <v>0</v>
      </c>
      <c r="AA137" s="72">
        <f>V137/AA$6</f>
        <v>0</v>
      </c>
      <c r="AB137" s="70">
        <f>SUM(V137:AA137)</f>
        <v>0</v>
      </c>
      <c r="AC137" s="71">
        <v>0</v>
      </c>
      <c r="AD137" s="71">
        <v>0</v>
      </c>
      <c r="AE137" s="72">
        <f t="shared" ref="AE137:AE139" si="2418">((U137*AE$6)+(U137*$AO$6)+(U137*$AP$6))*AC137</f>
        <v>0</v>
      </c>
      <c r="AF137" s="72">
        <f t="shared" ref="AF137:AF139" si="2419">((U137*AF$6)+(U137*$AO$6)+(U137*$AP$6))*AD137</f>
        <v>0</v>
      </c>
      <c r="AG137" s="70">
        <f>SUM(AE137:AF137)</f>
        <v>0</v>
      </c>
      <c r="AH137" s="73">
        <v>0</v>
      </c>
      <c r="AI137" s="74">
        <f t="shared" ref="AI137:AI139" si="2420">IF(S137=1,($C$1*$Q$6),0)</f>
        <v>0</v>
      </c>
      <c r="AJ137" s="303">
        <f t="shared" ref="AJ137:AJ139" si="2421">AB137+AG137+AH137+AI137</f>
        <v>0</v>
      </c>
      <c r="AK137" s="58">
        <v>0</v>
      </c>
      <c r="AL137" s="76" t="s">
        <v>182</v>
      </c>
      <c r="AM137" s="28">
        <f t="shared" ref="AM137:AM139" si="2422">AN137/$AM$4</f>
        <v>0</v>
      </c>
      <c r="AN137" s="28">
        <v>0</v>
      </c>
      <c r="AO137" s="28">
        <f>AN137*AO$6</f>
        <v>0</v>
      </c>
      <c r="AP137" s="28">
        <f>AN137*AP$6</f>
        <v>0</v>
      </c>
      <c r="AQ137" s="28">
        <f>AN137/AQ$6</f>
        <v>0</v>
      </c>
      <c r="AR137" s="72">
        <f>AQ137/AR$6</f>
        <v>0</v>
      </c>
      <c r="AS137" s="72">
        <f>AN137/AS$6</f>
        <v>0</v>
      </c>
      <c r="AT137" s="70">
        <f>SUM(AN137:AS137)</f>
        <v>0</v>
      </c>
      <c r="AU137" s="71">
        <v>0</v>
      </c>
      <c r="AV137" s="71">
        <v>0</v>
      </c>
      <c r="AW137" s="72">
        <f t="shared" ref="AW137:AW139" si="2423">((AM137*AW$6)+(AM137*$AO$6)+(AM137*$AP$6))*AU137</f>
        <v>0</v>
      </c>
      <c r="AX137" s="72">
        <f t="shared" ref="AX137:AX139" si="2424">((AM137*AX$6)+(AM137*$AO$6)+(AM137*$AP$6))*AV137</f>
        <v>0</v>
      </c>
      <c r="AY137" s="70">
        <f>SUM(AW137:AX137)</f>
        <v>0</v>
      </c>
      <c r="AZ137" s="73">
        <v>0</v>
      </c>
      <c r="BA137" s="74">
        <f t="shared" ref="BA137:BA139" si="2425">IF(AK137=1,($C$1*$Q$6),0)</f>
        <v>0</v>
      </c>
      <c r="BB137" s="303">
        <f t="shared" ref="BB137:BB139" si="2426">AT137+AY137+AZ137+BA137</f>
        <v>0</v>
      </c>
      <c r="BC137" s="58">
        <v>0</v>
      </c>
      <c r="BD137" s="76" t="s">
        <v>182</v>
      </c>
      <c r="BE137" s="28">
        <f t="shared" ref="BE137:BE139" si="2427">BF137/$AM$4</f>
        <v>0</v>
      </c>
      <c r="BF137" s="28">
        <v>0</v>
      </c>
      <c r="BG137" s="28">
        <f>BF137*BG$6</f>
        <v>0</v>
      </c>
      <c r="BH137" s="28">
        <f>BF137*BH$6</f>
        <v>0</v>
      </c>
      <c r="BI137" s="28">
        <f>BF137/BI$6</f>
        <v>0</v>
      </c>
      <c r="BJ137" s="72">
        <f>BI137/BJ$6</f>
        <v>0</v>
      </c>
      <c r="BK137" s="72">
        <f>BF137/BK$6</f>
        <v>0</v>
      </c>
      <c r="BL137" s="70">
        <f>SUM(BF137:BK137)</f>
        <v>0</v>
      </c>
      <c r="BM137" s="71">
        <v>0</v>
      </c>
      <c r="BN137" s="71">
        <v>0</v>
      </c>
      <c r="BO137" s="72">
        <f t="shared" ref="BO137:BO139" si="2428">((BE137*BO$6)+(BE137*$AO$6)+(BE137*$AP$6))*BM137</f>
        <v>0</v>
      </c>
      <c r="BP137" s="72">
        <f t="shared" ref="BP137:BP139" si="2429">((BE137*BP$6)+(BE137*$AO$6)+(BE137*$AP$6))*BN137</f>
        <v>0</v>
      </c>
      <c r="BQ137" s="70">
        <f>SUM(BO137:BP137)</f>
        <v>0</v>
      </c>
      <c r="BR137" s="73">
        <v>0</v>
      </c>
      <c r="BS137" s="74">
        <f t="shared" ref="BS137:BS139" si="2430">IF(BC137=1,($C$1*$Q$6),0)</f>
        <v>0</v>
      </c>
      <c r="BT137" s="303">
        <f t="shared" ref="BT137:BT139" si="2431">BL137+BQ137+BR137+BS137</f>
        <v>0</v>
      </c>
      <c r="BU137" s="58">
        <v>0</v>
      </c>
      <c r="BV137" s="76" t="s">
        <v>182</v>
      </c>
      <c r="BW137" s="28">
        <f t="shared" ref="BW137:BW139" si="2432">BX137/$AM$4</f>
        <v>0</v>
      </c>
      <c r="BX137" s="28">
        <v>0</v>
      </c>
      <c r="BY137" s="28">
        <f>BX137*BY$6</f>
        <v>0</v>
      </c>
      <c r="BZ137" s="28">
        <f>BX137*BZ$6</f>
        <v>0</v>
      </c>
      <c r="CA137" s="28">
        <f>BX137/CA$6</f>
        <v>0</v>
      </c>
      <c r="CB137" s="72">
        <f>CA137/CB$6</f>
        <v>0</v>
      </c>
      <c r="CC137" s="72">
        <f>BX137/CC$6</f>
        <v>0</v>
      </c>
      <c r="CD137" s="70">
        <f>SUM(BX137:CC137)</f>
        <v>0</v>
      </c>
      <c r="CE137" s="71">
        <v>0</v>
      </c>
      <c r="CF137" s="71">
        <v>0</v>
      </c>
      <c r="CG137" s="72">
        <f t="shared" ref="CG137:CG139" si="2433">((BW137*CG$6)+(BW137*$AO$6)+(BW137*$AP$6))*CE137</f>
        <v>0</v>
      </c>
      <c r="CH137" s="72">
        <f t="shared" ref="CH137:CH139" si="2434">((BW137*CH$6)+(BW137*$AO$6)+(BW137*$AP$6))*CF137</f>
        <v>0</v>
      </c>
      <c r="CI137" s="70">
        <f>SUM(CG137:CH137)</f>
        <v>0</v>
      </c>
      <c r="CJ137" s="73">
        <v>0</v>
      </c>
      <c r="CK137" s="74">
        <f t="shared" ref="CK137:CK139" si="2435">IF(BU137=1,($C$1*$Q$6),0)</f>
        <v>0</v>
      </c>
      <c r="CL137" s="303">
        <f t="shared" ref="CL137:CL139" si="2436">CD137+CI137+CJ137+CK137</f>
        <v>0</v>
      </c>
      <c r="CM137" s="58">
        <v>0</v>
      </c>
      <c r="CN137" s="76" t="s">
        <v>182</v>
      </c>
      <c r="CO137" s="28">
        <f t="shared" ref="CO137:CO139" si="2437">CP137/$AM$4</f>
        <v>0</v>
      </c>
      <c r="CP137" s="28">
        <v>0</v>
      </c>
      <c r="CQ137" s="28">
        <f>CP137*CQ$6</f>
        <v>0</v>
      </c>
      <c r="CR137" s="28">
        <f>CP137*CR$6</f>
        <v>0</v>
      </c>
      <c r="CS137" s="28">
        <f>CP137/CS$6</f>
        <v>0</v>
      </c>
      <c r="CT137" s="72">
        <f>CS137/CT$6</f>
        <v>0</v>
      </c>
      <c r="CU137" s="72">
        <f>CP137/CU$6</f>
        <v>0</v>
      </c>
      <c r="CV137" s="70">
        <f>SUM(CP137:CU137)</f>
        <v>0</v>
      </c>
      <c r="CW137" s="71">
        <v>0</v>
      </c>
      <c r="CX137" s="71">
        <v>0</v>
      </c>
      <c r="CY137" s="72">
        <f t="shared" ref="CY137:CY139" si="2438">((CO137*CY$6)+(CO137*$AO$6)+(CO137*$AP$6))*CW137</f>
        <v>0</v>
      </c>
      <c r="CZ137" s="72">
        <f t="shared" ref="CZ137:CZ139" si="2439">((CO137*CZ$6)+(CO137*$AO$6)+(CO137*$AP$6))*CX137</f>
        <v>0</v>
      </c>
      <c r="DA137" s="70">
        <f>SUM(CY137:CZ137)</f>
        <v>0</v>
      </c>
      <c r="DB137" s="73">
        <v>0</v>
      </c>
      <c r="DC137" s="74">
        <f t="shared" ref="DC137:DC139" si="2440">IF(CM137=1,($C$1*$Q$6),0)</f>
        <v>0</v>
      </c>
      <c r="DD137" s="303">
        <f t="shared" ref="DD137:DD139" si="2441">CV137+DA137+DB137+DC137</f>
        <v>0</v>
      </c>
      <c r="DE137" s="58">
        <v>0</v>
      </c>
      <c r="DF137" s="76" t="s">
        <v>182</v>
      </c>
      <c r="DG137" s="28">
        <f t="shared" ref="DG137:DG139" si="2442">DH137/$AM$4</f>
        <v>0</v>
      </c>
      <c r="DH137" s="28">
        <v>0</v>
      </c>
      <c r="DI137" s="28">
        <f>DH137*DI$6</f>
        <v>0</v>
      </c>
      <c r="DJ137" s="28">
        <f>DH137*DJ$6</f>
        <v>0</v>
      </c>
      <c r="DK137" s="28">
        <f>DH137/DK$6</f>
        <v>0</v>
      </c>
      <c r="DL137" s="72">
        <f>DK137/DL$6</f>
        <v>0</v>
      </c>
      <c r="DM137" s="72">
        <f>DH137/DM$6</f>
        <v>0</v>
      </c>
      <c r="DN137" s="70">
        <f>SUM(DH137:DM137)</f>
        <v>0</v>
      </c>
      <c r="DO137" s="71">
        <v>0</v>
      </c>
      <c r="DP137" s="71">
        <v>0</v>
      </c>
      <c r="DQ137" s="72">
        <f t="shared" ref="DQ137:DQ139" si="2443">((DG137*DQ$6)+(DG137*$AO$6)+(DG137*$AP$6))*DO137</f>
        <v>0</v>
      </c>
      <c r="DR137" s="72">
        <f t="shared" ref="DR137:DR139" si="2444">((DG137*DR$6)+(DG137*$AO$6)+(DG137*$AP$6))*DP137</f>
        <v>0</v>
      </c>
      <c r="DS137" s="70">
        <f>SUM(DQ137:DR137)</f>
        <v>0</v>
      </c>
      <c r="DT137" s="73">
        <v>0</v>
      </c>
      <c r="DU137" s="74">
        <f t="shared" ref="DU137:DU139" si="2445">IF(DE137=1,($C$1*$Q$6),0)</f>
        <v>0</v>
      </c>
      <c r="DV137" s="303">
        <f t="shared" ref="DV137:DV139" si="2446">DN137+DS137+DT137+DU137</f>
        <v>0</v>
      </c>
      <c r="DW137" s="58">
        <v>0</v>
      </c>
      <c r="DX137" s="76" t="s">
        <v>182</v>
      </c>
      <c r="DY137" s="28">
        <f t="shared" ref="DY137:DY139" si="2447">DZ137/$AM$4</f>
        <v>0</v>
      </c>
      <c r="DZ137" s="28">
        <v>0</v>
      </c>
      <c r="EA137" s="28">
        <f>DZ137*EA$6</f>
        <v>0</v>
      </c>
      <c r="EB137" s="28">
        <f>DZ137*EB$6</f>
        <v>0</v>
      </c>
      <c r="EC137" s="28">
        <f>DZ137/EC$6</f>
        <v>0</v>
      </c>
      <c r="ED137" s="72">
        <f>EC137/ED$6</f>
        <v>0</v>
      </c>
      <c r="EE137" s="72">
        <f>DZ137/EE$6</f>
        <v>0</v>
      </c>
      <c r="EF137" s="70">
        <f>SUM(DZ137:EE137)</f>
        <v>0</v>
      </c>
      <c r="EG137" s="71">
        <v>0</v>
      </c>
      <c r="EH137" s="71">
        <v>0</v>
      </c>
      <c r="EI137" s="72">
        <f t="shared" ref="EI137:EI139" si="2448">((DY137*EI$6)+(DY137*$AO$6)+(DY137*$AP$6))*EG137</f>
        <v>0</v>
      </c>
      <c r="EJ137" s="72">
        <f t="shared" ref="EJ137:EJ139" si="2449">((DY137*EJ$6)+(DY137*$AO$6)+(DY137*$AP$6))*EH137</f>
        <v>0</v>
      </c>
      <c r="EK137" s="70">
        <f>SUM(EI137:EJ137)</f>
        <v>0</v>
      </c>
      <c r="EL137" s="73">
        <v>0</v>
      </c>
      <c r="EM137" s="74">
        <f t="shared" ref="EM137:EM139" si="2450">IF(DW137=1,($C$1*$Q$6),0)</f>
        <v>0</v>
      </c>
      <c r="EN137" s="303">
        <f t="shared" ref="EN137:EN139" si="2451">EF137+EK137+EL137+EM137</f>
        <v>0</v>
      </c>
      <c r="EO137" s="58">
        <v>0</v>
      </c>
      <c r="EP137" s="76" t="s">
        <v>182</v>
      </c>
      <c r="EQ137" s="28">
        <f t="shared" ref="EQ137:EQ139" si="2452">ER137/$AM$4</f>
        <v>0</v>
      </c>
      <c r="ER137" s="28">
        <v>0</v>
      </c>
      <c r="ES137" s="28">
        <f>ER137*ES$6</f>
        <v>0</v>
      </c>
      <c r="ET137" s="28">
        <f>ER137*ET$6</f>
        <v>0</v>
      </c>
      <c r="EU137" s="28">
        <f>ER137/EU$6</f>
        <v>0</v>
      </c>
      <c r="EV137" s="72">
        <f>EU137/EV$6</f>
        <v>0</v>
      </c>
      <c r="EW137" s="72">
        <f>ER137/EW$6</f>
        <v>0</v>
      </c>
      <c r="EX137" s="70">
        <f>SUM(ER137:EW137)</f>
        <v>0</v>
      </c>
      <c r="EY137" s="71">
        <v>0</v>
      </c>
      <c r="EZ137" s="71">
        <v>0</v>
      </c>
      <c r="FA137" s="72">
        <f t="shared" ref="FA137:FA139" si="2453">((EQ137*FA$6)+(EQ137*$AO$6)+(EQ137*$AP$6))*EY137</f>
        <v>0</v>
      </c>
      <c r="FB137" s="72">
        <f t="shared" ref="FB137:FB139" si="2454">((EQ137*FB$6)+(EQ137*$AO$6)+(EQ137*$AP$6))*EZ137</f>
        <v>0</v>
      </c>
      <c r="FC137" s="70">
        <f>SUM(FA137:FB137)</f>
        <v>0</v>
      </c>
      <c r="FD137" s="73">
        <v>0</v>
      </c>
      <c r="FE137" s="74">
        <f t="shared" ref="FE137:FE139" si="2455">IF(EO137=1,($C$1*$Q$6),0)</f>
        <v>0</v>
      </c>
      <c r="FF137" s="303">
        <f t="shared" ref="FF137:FF139" si="2456">EX137+FC137+FD137+FE137</f>
        <v>0</v>
      </c>
      <c r="FG137" s="58">
        <v>0</v>
      </c>
      <c r="FH137" s="76" t="s">
        <v>182</v>
      </c>
      <c r="FI137" s="28">
        <f t="shared" ref="FI137:FI139" si="2457">FJ137/$AM$4</f>
        <v>0</v>
      </c>
      <c r="FJ137" s="28">
        <v>0</v>
      </c>
      <c r="FK137" s="28">
        <f>FJ137*FK$6</f>
        <v>0</v>
      </c>
      <c r="FL137" s="28">
        <f>FJ137*FL$6</f>
        <v>0</v>
      </c>
      <c r="FM137" s="28">
        <f>FJ137/FM$6</f>
        <v>0</v>
      </c>
      <c r="FN137" s="72">
        <f>FM137/FN$6</f>
        <v>0</v>
      </c>
      <c r="FO137" s="72">
        <f>FJ137/FO$6</f>
        <v>0</v>
      </c>
      <c r="FP137" s="70">
        <f>SUM(FJ137:FO137)</f>
        <v>0</v>
      </c>
      <c r="FQ137" s="71">
        <v>0</v>
      </c>
      <c r="FR137" s="71">
        <v>0</v>
      </c>
      <c r="FS137" s="72">
        <f t="shared" ref="FS137:FS139" si="2458">((FI137*FS$6)+(FI137*$AO$6)+(FI137*$AP$6))*FQ137</f>
        <v>0</v>
      </c>
      <c r="FT137" s="72">
        <f t="shared" ref="FT137:FT139" si="2459">((FI137*FT$6)+(FI137*$AO$6)+(FI137*$AP$6))*FR137</f>
        <v>0</v>
      </c>
      <c r="FU137" s="70">
        <f>SUM(FS137:FT137)</f>
        <v>0</v>
      </c>
      <c r="FV137" s="73">
        <v>0</v>
      </c>
      <c r="FW137" s="74">
        <f t="shared" ref="FW137:FW139" si="2460">IF(FG137=1,($C$1*$Q$6),0)</f>
        <v>0</v>
      </c>
      <c r="FX137" s="303">
        <f t="shared" ref="FX137:FX139" si="2461">FP137+FU137+FV137+FW137</f>
        <v>0</v>
      </c>
      <c r="FY137" s="58">
        <v>0</v>
      </c>
      <c r="FZ137" s="76" t="s">
        <v>182</v>
      </c>
      <c r="GA137" s="28">
        <f t="shared" ref="GA137:GA139" si="2462">GB137/$AM$4</f>
        <v>0</v>
      </c>
      <c r="GB137" s="28">
        <v>0</v>
      </c>
      <c r="GC137" s="28">
        <f>GB137*GC$6</f>
        <v>0</v>
      </c>
      <c r="GD137" s="28">
        <f>GB137*GD$6</f>
        <v>0</v>
      </c>
      <c r="GE137" s="28">
        <f>GB137/GE$6</f>
        <v>0</v>
      </c>
      <c r="GF137" s="72">
        <f>GE137/GF$6</f>
        <v>0</v>
      </c>
      <c r="GG137" s="72">
        <f>GB137/GG$6</f>
        <v>0</v>
      </c>
      <c r="GH137" s="70">
        <f>SUM(GB137:GG137)</f>
        <v>0</v>
      </c>
      <c r="GI137" s="71">
        <v>0</v>
      </c>
      <c r="GJ137" s="71">
        <v>0</v>
      </c>
      <c r="GK137" s="72">
        <f t="shared" ref="GK137:GK139" si="2463">((GA137*GK$6)+(GA137*$AO$6)+(GA137*$AP$6))*GI137</f>
        <v>0</v>
      </c>
      <c r="GL137" s="72">
        <f t="shared" ref="GL137:GL139" si="2464">((GA137*GL$6)+(GA137*$AO$6)+(GA137*$AP$6))*GJ137</f>
        <v>0</v>
      </c>
      <c r="GM137" s="70">
        <f>SUM(GK137:GL137)</f>
        <v>0</v>
      </c>
      <c r="GN137" s="73">
        <v>0</v>
      </c>
      <c r="GO137" s="74">
        <f t="shared" ref="GO137:GO139" si="2465">IF(FY137=1,($C$1*$Q$6),0)</f>
        <v>0</v>
      </c>
      <c r="GP137" s="303">
        <f t="shared" ref="GP137:GP139" si="2466">GH137+GM137+GN137+GO137</f>
        <v>0</v>
      </c>
      <c r="GQ137" s="58">
        <v>0</v>
      </c>
      <c r="GR137" s="76" t="s">
        <v>182</v>
      </c>
      <c r="GS137" s="28">
        <f t="shared" ref="GS137:GS139" si="2467">GT137/$AM$4</f>
        <v>0</v>
      </c>
      <c r="GT137" s="28">
        <v>0</v>
      </c>
      <c r="GU137" s="28">
        <f>GT137*GU$6</f>
        <v>0</v>
      </c>
      <c r="GV137" s="28">
        <f>GT137*GV$6</f>
        <v>0</v>
      </c>
      <c r="GW137" s="28">
        <f>GT137/GW$6</f>
        <v>0</v>
      </c>
      <c r="GX137" s="72">
        <f>GW137/GX$6</f>
        <v>0</v>
      </c>
      <c r="GY137" s="72">
        <f>GT137/GY$6</f>
        <v>0</v>
      </c>
      <c r="GZ137" s="70">
        <f>SUM(GT137:GY137)</f>
        <v>0</v>
      </c>
      <c r="HA137" s="71">
        <v>0</v>
      </c>
      <c r="HB137" s="71">
        <v>0</v>
      </c>
      <c r="HC137" s="72">
        <f t="shared" ref="HC137:HC139" si="2468">((GS137*HC$6)+(GS137*$AO$6)+(GS137*$AP$6))*HA137</f>
        <v>0</v>
      </c>
      <c r="HD137" s="72">
        <f t="shared" ref="HD137:HD139" si="2469">((GS137*HD$6)+(GS137*$AO$6)+(GS137*$AP$6))*HB137</f>
        <v>0</v>
      </c>
      <c r="HE137" s="70">
        <f>SUM(HC137:HD137)</f>
        <v>0</v>
      </c>
      <c r="HF137" s="73">
        <v>0</v>
      </c>
      <c r="HG137" s="74">
        <f t="shared" ref="HG137:HG139" si="2470">IF(GQ137=1,($C$1*$Q$6),0)</f>
        <v>0</v>
      </c>
      <c r="HH137" s="303">
        <f t="shared" ref="HH137:HH139" si="2471">GZ137+HE137+HF137+HG137</f>
        <v>0</v>
      </c>
      <c r="HJ137" s="37"/>
      <c r="HK137" s="37"/>
      <c r="HL137" s="37"/>
      <c r="HM137" s="37"/>
      <c r="HN137" s="37"/>
      <c r="HO137" s="37"/>
      <c r="HP137" s="37"/>
      <c r="HQ137" s="37"/>
      <c r="HR137" s="37"/>
      <c r="HS137" s="37"/>
      <c r="HT137" s="37"/>
      <c r="HU137" s="37"/>
      <c r="HV137" s="37"/>
      <c r="HW137" s="37"/>
      <c r="HX137" s="37"/>
      <c r="HY137" s="37"/>
      <c r="HZ137" s="37"/>
      <c r="IA137" s="37"/>
      <c r="IB137" s="37"/>
      <c r="IC137" s="37"/>
      <c r="ID137" s="37"/>
      <c r="IE137" s="37"/>
      <c r="IF137" s="37"/>
      <c r="IG137" s="37"/>
      <c r="IH137" s="37"/>
      <c r="II137" s="37"/>
      <c r="IJ137" s="37"/>
      <c r="IK137" s="37"/>
      <c r="IL137" s="37"/>
      <c r="IM137" s="37"/>
      <c r="IN137" s="37"/>
      <c r="IO137" s="37"/>
      <c r="IP137" s="37"/>
    </row>
    <row r="138" spans="1:250" ht="15" customHeight="1" x14ac:dyDescent="0.3">
      <c r="A138" s="58">
        <v>0</v>
      </c>
      <c r="B138" s="76" t="s">
        <v>182</v>
      </c>
      <c r="C138" s="28">
        <f t="shared" si="2412"/>
        <v>0</v>
      </c>
      <c r="D138" s="28">
        <v>0</v>
      </c>
      <c r="E138" s="28">
        <f>D138*E$6</f>
        <v>0</v>
      </c>
      <c r="F138" s="28">
        <f>D138*F$6</f>
        <v>0</v>
      </c>
      <c r="G138" s="28">
        <f>D138/G$6</f>
        <v>0</v>
      </c>
      <c r="H138" s="72">
        <f>G138/H$6</f>
        <v>0</v>
      </c>
      <c r="I138" s="72">
        <f>D138/I$6</f>
        <v>0</v>
      </c>
      <c r="J138" s="70">
        <f>SUM(D138:I138)</f>
        <v>0</v>
      </c>
      <c r="K138" s="71">
        <v>0</v>
      </c>
      <c r="L138" s="71">
        <v>0</v>
      </c>
      <c r="M138" s="72">
        <f t="shared" si="2413"/>
        <v>0</v>
      </c>
      <c r="N138" s="72">
        <f t="shared" si="2414"/>
        <v>0</v>
      </c>
      <c r="O138" s="70">
        <f>SUM(M138:N138)</f>
        <v>0</v>
      </c>
      <c r="P138" s="73">
        <v>0</v>
      </c>
      <c r="Q138" s="74">
        <f t="shared" si="2415"/>
        <v>0</v>
      </c>
      <c r="R138" s="303">
        <f t="shared" si="2416"/>
        <v>0</v>
      </c>
      <c r="S138" s="58">
        <v>0</v>
      </c>
      <c r="T138" s="76" t="s">
        <v>182</v>
      </c>
      <c r="U138" s="28">
        <f t="shared" si="2417"/>
        <v>0</v>
      </c>
      <c r="V138" s="28">
        <v>0</v>
      </c>
      <c r="W138" s="28">
        <f>V138*W$6</f>
        <v>0</v>
      </c>
      <c r="X138" s="28">
        <f>V138*X$6</f>
        <v>0</v>
      </c>
      <c r="Y138" s="28">
        <f>V138/Y$6</f>
        <v>0</v>
      </c>
      <c r="Z138" s="72">
        <f>Y138/Z$6</f>
        <v>0</v>
      </c>
      <c r="AA138" s="72">
        <f>V138/AA$6</f>
        <v>0</v>
      </c>
      <c r="AB138" s="70">
        <f>SUM(V138:AA138)</f>
        <v>0</v>
      </c>
      <c r="AC138" s="71">
        <v>0</v>
      </c>
      <c r="AD138" s="71">
        <v>0</v>
      </c>
      <c r="AE138" s="72">
        <f t="shared" si="2418"/>
        <v>0</v>
      </c>
      <c r="AF138" s="72">
        <f t="shared" si="2419"/>
        <v>0</v>
      </c>
      <c r="AG138" s="70">
        <f>SUM(AE138:AF138)</f>
        <v>0</v>
      </c>
      <c r="AH138" s="73">
        <v>0</v>
      </c>
      <c r="AI138" s="74">
        <f t="shared" si="2420"/>
        <v>0</v>
      </c>
      <c r="AJ138" s="303">
        <f t="shared" si="2421"/>
        <v>0</v>
      </c>
      <c r="AK138" s="58">
        <v>0</v>
      </c>
      <c r="AL138" s="76" t="s">
        <v>182</v>
      </c>
      <c r="AM138" s="28">
        <f t="shared" si="2422"/>
        <v>0</v>
      </c>
      <c r="AN138" s="28">
        <v>0</v>
      </c>
      <c r="AO138" s="28">
        <f>AN138*AO$6</f>
        <v>0</v>
      </c>
      <c r="AP138" s="28">
        <f>AN138*AP$6</f>
        <v>0</v>
      </c>
      <c r="AQ138" s="28">
        <f>AN138/AQ$6</f>
        <v>0</v>
      </c>
      <c r="AR138" s="72">
        <f>AQ138/AR$6</f>
        <v>0</v>
      </c>
      <c r="AS138" s="72">
        <f>AN138/AS$6</f>
        <v>0</v>
      </c>
      <c r="AT138" s="70">
        <f>SUM(AN138:AS138)</f>
        <v>0</v>
      </c>
      <c r="AU138" s="71">
        <v>0</v>
      </c>
      <c r="AV138" s="71">
        <v>0</v>
      </c>
      <c r="AW138" s="72">
        <f t="shared" si="2423"/>
        <v>0</v>
      </c>
      <c r="AX138" s="72">
        <f t="shared" si="2424"/>
        <v>0</v>
      </c>
      <c r="AY138" s="70">
        <f>SUM(AW138:AX138)</f>
        <v>0</v>
      </c>
      <c r="AZ138" s="73">
        <v>0</v>
      </c>
      <c r="BA138" s="74">
        <f t="shared" si="2425"/>
        <v>0</v>
      </c>
      <c r="BB138" s="303">
        <f t="shared" si="2426"/>
        <v>0</v>
      </c>
      <c r="BC138" s="58">
        <v>0</v>
      </c>
      <c r="BD138" s="76" t="s">
        <v>182</v>
      </c>
      <c r="BE138" s="28">
        <f t="shared" si="2427"/>
        <v>0</v>
      </c>
      <c r="BF138" s="28">
        <v>0</v>
      </c>
      <c r="BG138" s="28">
        <f>BF138*BG$6</f>
        <v>0</v>
      </c>
      <c r="BH138" s="28">
        <f>BF138*BH$6</f>
        <v>0</v>
      </c>
      <c r="BI138" s="28">
        <f>BF138/BI$6</f>
        <v>0</v>
      </c>
      <c r="BJ138" s="72">
        <f>BI138/BJ$6</f>
        <v>0</v>
      </c>
      <c r="BK138" s="72">
        <f>BF138/BK$6</f>
        <v>0</v>
      </c>
      <c r="BL138" s="70">
        <f>SUM(BF138:BK138)</f>
        <v>0</v>
      </c>
      <c r="BM138" s="71">
        <v>0</v>
      </c>
      <c r="BN138" s="71">
        <v>0</v>
      </c>
      <c r="BO138" s="72">
        <f t="shared" si="2428"/>
        <v>0</v>
      </c>
      <c r="BP138" s="72">
        <f t="shared" si="2429"/>
        <v>0</v>
      </c>
      <c r="BQ138" s="70">
        <f>SUM(BO138:BP138)</f>
        <v>0</v>
      </c>
      <c r="BR138" s="73">
        <v>0</v>
      </c>
      <c r="BS138" s="74">
        <f t="shared" si="2430"/>
        <v>0</v>
      </c>
      <c r="BT138" s="303">
        <f t="shared" si="2431"/>
        <v>0</v>
      </c>
      <c r="BU138" s="58">
        <v>0</v>
      </c>
      <c r="BV138" s="76" t="s">
        <v>182</v>
      </c>
      <c r="BW138" s="28">
        <f t="shared" si="2432"/>
        <v>0</v>
      </c>
      <c r="BX138" s="28">
        <v>0</v>
      </c>
      <c r="BY138" s="28">
        <f>BX138*BY$6</f>
        <v>0</v>
      </c>
      <c r="BZ138" s="28">
        <f>BX138*BZ$6</f>
        <v>0</v>
      </c>
      <c r="CA138" s="28">
        <f>BX138/CA$6</f>
        <v>0</v>
      </c>
      <c r="CB138" s="72">
        <f>CA138/CB$6</f>
        <v>0</v>
      </c>
      <c r="CC138" s="72">
        <f>BX138/CC$6</f>
        <v>0</v>
      </c>
      <c r="CD138" s="70">
        <f>SUM(BX138:CC138)</f>
        <v>0</v>
      </c>
      <c r="CE138" s="71">
        <v>0</v>
      </c>
      <c r="CF138" s="71">
        <v>0</v>
      </c>
      <c r="CG138" s="72">
        <f t="shared" si="2433"/>
        <v>0</v>
      </c>
      <c r="CH138" s="72">
        <f t="shared" si="2434"/>
        <v>0</v>
      </c>
      <c r="CI138" s="70">
        <f>SUM(CG138:CH138)</f>
        <v>0</v>
      </c>
      <c r="CJ138" s="73">
        <v>0</v>
      </c>
      <c r="CK138" s="74">
        <f t="shared" si="2435"/>
        <v>0</v>
      </c>
      <c r="CL138" s="303">
        <f t="shared" si="2436"/>
        <v>0</v>
      </c>
      <c r="CM138" s="58">
        <v>0</v>
      </c>
      <c r="CN138" s="76" t="s">
        <v>182</v>
      </c>
      <c r="CO138" s="28">
        <f t="shared" si="2437"/>
        <v>0</v>
      </c>
      <c r="CP138" s="28">
        <v>0</v>
      </c>
      <c r="CQ138" s="28">
        <f>CP138*CQ$6</f>
        <v>0</v>
      </c>
      <c r="CR138" s="28">
        <f>CP138*CR$6</f>
        <v>0</v>
      </c>
      <c r="CS138" s="28">
        <f>CP138/CS$6</f>
        <v>0</v>
      </c>
      <c r="CT138" s="72">
        <f>CS138/CT$6</f>
        <v>0</v>
      </c>
      <c r="CU138" s="72">
        <f>CP138/CU$6</f>
        <v>0</v>
      </c>
      <c r="CV138" s="70">
        <f>SUM(CP138:CU138)</f>
        <v>0</v>
      </c>
      <c r="CW138" s="71">
        <v>0</v>
      </c>
      <c r="CX138" s="71">
        <v>0</v>
      </c>
      <c r="CY138" s="72">
        <f t="shared" si="2438"/>
        <v>0</v>
      </c>
      <c r="CZ138" s="72">
        <f t="shared" si="2439"/>
        <v>0</v>
      </c>
      <c r="DA138" s="70">
        <f>SUM(CY138:CZ138)</f>
        <v>0</v>
      </c>
      <c r="DB138" s="73">
        <v>0</v>
      </c>
      <c r="DC138" s="74">
        <f t="shared" si="2440"/>
        <v>0</v>
      </c>
      <c r="DD138" s="303">
        <f t="shared" si="2441"/>
        <v>0</v>
      </c>
      <c r="DE138" s="58">
        <v>0</v>
      </c>
      <c r="DF138" s="76" t="s">
        <v>182</v>
      </c>
      <c r="DG138" s="28">
        <f t="shared" si="2442"/>
        <v>0</v>
      </c>
      <c r="DH138" s="28">
        <v>0</v>
      </c>
      <c r="DI138" s="28">
        <f>DH138*DI$6</f>
        <v>0</v>
      </c>
      <c r="DJ138" s="28">
        <f>DH138*DJ$6</f>
        <v>0</v>
      </c>
      <c r="DK138" s="28">
        <f>DH138/DK$6</f>
        <v>0</v>
      </c>
      <c r="DL138" s="72">
        <f>DK138/DL$6</f>
        <v>0</v>
      </c>
      <c r="DM138" s="72">
        <f>DH138/DM$6</f>
        <v>0</v>
      </c>
      <c r="DN138" s="70">
        <f>SUM(DH138:DM138)</f>
        <v>0</v>
      </c>
      <c r="DO138" s="71">
        <v>0</v>
      </c>
      <c r="DP138" s="71">
        <v>0</v>
      </c>
      <c r="DQ138" s="72">
        <f t="shared" si="2443"/>
        <v>0</v>
      </c>
      <c r="DR138" s="72">
        <f t="shared" si="2444"/>
        <v>0</v>
      </c>
      <c r="DS138" s="70">
        <f>SUM(DQ138:DR138)</f>
        <v>0</v>
      </c>
      <c r="DT138" s="73">
        <v>0</v>
      </c>
      <c r="DU138" s="74">
        <f t="shared" si="2445"/>
        <v>0</v>
      </c>
      <c r="DV138" s="303">
        <f t="shared" si="2446"/>
        <v>0</v>
      </c>
      <c r="DW138" s="58">
        <v>0</v>
      </c>
      <c r="DX138" s="76" t="s">
        <v>182</v>
      </c>
      <c r="DY138" s="28">
        <f t="shared" si="2447"/>
        <v>0</v>
      </c>
      <c r="DZ138" s="28">
        <v>0</v>
      </c>
      <c r="EA138" s="28">
        <f>DZ138*EA$6</f>
        <v>0</v>
      </c>
      <c r="EB138" s="28">
        <f>DZ138*EB$6</f>
        <v>0</v>
      </c>
      <c r="EC138" s="28">
        <f>DZ138/EC$6</f>
        <v>0</v>
      </c>
      <c r="ED138" s="72">
        <f>EC138/ED$6</f>
        <v>0</v>
      </c>
      <c r="EE138" s="72">
        <f>DZ138/EE$6</f>
        <v>0</v>
      </c>
      <c r="EF138" s="70">
        <f>SUM(DZ138:EE138)</f>
        <v>0</v>
      </c>
      <c r="EG138" s="71">
        <v>0</v>
      </c>
      <c r="EH138" s="71">
        <v>0</v>
      </c>
      <c r="EI138" s="72">
        <f t="shared" si="2448"/>
        <v>0</v>
      </c>
      <c r="EJ138" s="72">
        <f t="shared" si="2449"/>
        <v>0</v>
      </c>
      <c r="EK138" s="70">
        <f>SUM(EI138:EJ138)</f>
        <v>0</v>
      </c>
      <c r="EL138" s="73">
        <v>0</v>
      </c>
      <c r="EM138" s="74">
        <f t="shared" si="2450"/>
        <v>0</v>
      </c>
      <c r="EN138" s="303">
        <f t="shared" si="2451"/>
        <v>0</v>
      </c>
      <c r="EO138" s="58">
        <v>0</v>
      </c>
      <c r="EP138" s="76" t="s">
        <v>182</v>
      </c>
      <c r="EQ138" s="28">
        <f t="shared" si="2452"/>
        <v>0</v>
      </c>
      <c r="ER138" s="28">
        <v>0</v>
      </c>
      <c r="ES138" s="28">
        <f>ER138*ES$6</f>
        <v>0</v>
      </c>
      <c r="ET138" s="28">
        <f>ER138*ET$6</f>
        <v>0</v>
      </c>
      <c r="EU138" s="28">
        <f>ER138/EU$6</f>
        <v>0</v>
      </c>
      <c r="EV138" s="72">
        <f>EU138/EV$6</f>
        <v>0</v>
      </c>
      <c r="EW138" s="72">
        <f>ER138/EW$6</f>
        <v>0</v>
      </c>
      <c r="EX138" s="70">
        <f>SUM(ER138:EW138)</f>
        <v>0</v>
      </c>
      <c r="EY138" s="71">
        <v>0</v>
      </c>
      <c r="EZ138" s="71">
        <v>0</v>
      </c>
      <c r="FA138" s="72">
        <f t="shared" si="2453"/>
        <v>0</v>
      </c>
      <c r="FB138" s="72">
        <f t="shared" si="2454"/>
        <v>0</v>
      </c>
      <c r="FC138" s="70">
        <f>SUM(FA138:FB138)</f>
        <v>0</v>
      </c>
      <c r="FD138" s="73">
        <v>0</v>
      </c>
      <c r="FE138" s="74">
        <f t="shared" si="2455"/>
        <v>0</v>
      </c>
      <c r="FF138" s="303">
        <f t="shared" si="2456"/>
        <v>0</v>
      </c>
      <c r="FG138" s="58">
        <v>0</v>
      </c>
      <c r="FH138" s="76" t="s">
        <v>182</v>
      </c>
      <c r="FI138" s="28">
        <f t="shared" si="2457"/>
        <v>0</v>
      </c>
      <c r="FJ138" s="28">
        <v>0</v>
      </c>
      <c r="FK138" s="28">
        <f>FJ138*FK$6</f>
        <v>0</v>
      </c>
      <c r="FL138" s="28">
        <f>FJ138*FL$6</f>
        <v>0</v>
      </c>
      <c r="FM138" s="28">
        <f>FJ138/FM$6</f>
        <v>0</v>
      </c>
      <c r="FN138" s="72">
        <f>FM138/FN$6</f>
        <v>0</v>
      </c>
      <c r="FO138" s="72">
        <f>FJ138/FO$6</f>
        <v>0</v>
      </c>
      <c r="FP138" s="70">
        <f>SUM(FJ138:FO138)</f>
        <v>0</v>
      </c>
      <c r="FQ138" s="71">
        <v>0</v>
      </c>
      <c r="FR138" s="71">
        <v>0</v>
      </c>
      <c r="FS138" s="72">
        <f t="shared" si="2458"/>
        <v>0</v>
      </c>
      <c r="FT138" s="72">
        <f t="shared" si="2459"/>
        <v>0</v>
      </c>
      <c r="FU138" s="70">
        <f>SUM(FS138:FT138)</f>
        <v>0</v>
      </c>
      <c r="FV138" s="73">
        <v>0</v>
      </c>
      <c r="FW138" s="74">
        <f t="shared" si="2460"/>
        <v>0</v>
      </c>
      <c r="FX138" s="303">
        <f t="shared" si="2461"/>
        <v>0</v>
      </c>
      <c r="FY138" s="58">
        <v>0</v>
      </c>
      <c r="FZ138" s="76" t="s">
        <v>182</v>
      </c>
      <c r="GA138" s="28">
        <f t="shared" si="2462"/>
        <v>0</v>
      </c>
      <c r="GB138" s="28">
        <v>0</v>
      </c>
      <c r="GC138" s="28">
        <f>GB138*GC$6</f>
        <v>0</v>
      </c>
      <c r="GD138" s="28">
        <f>GB138*GD$6</f>
        <v>0</v>
      </c>
      <c r="GE138" s="28">
        <f>GB138/GE$6</f>
        <v>0</v>
      </c>
      <c r="GF138" s="72">
        <f>GE138/GF$6</f>
        <v>0</v>
      </c>
      <c r="GG138" s="72">
        <f>GB138/GG$6</f>
        <v>0</v>
      </c>
      <c r="GH138" s="70">
        <f>SUM(GB138:GG138)</f>
        <v>0</v>
      </c>
      <c r="GI138" s="71">
        <v>0</v>
      </c>
      <c r="GJ138" s="71">
        <v>0</v>
      </c>
      <c r="GK138" s="72">
        <f t="shared" si="2463"/>
        <v>0</v>
      </c>
      <c r="GL138" s="72">
        <f t="shared" si="2464"/>
        <v>0</v>
      </c>
      <c r="GM138" s="70">
        <f>SUM(GK138:GL138)</f>
        <v>0</v>
      </c>
      <c r="GN138" s="73">
        <v>0</v>
      </c>
      <c r="GO138" s="74">
        <f t="shared" si="2465"/>
        <v>0</v>
      </c>
      <c r="GP138" s="303">
        <f t="shared" si="2466"/>
        <v>0</v>
      </c>
      <c r="GQ138" s="58">
        <v>0</v>
      </c>
      <c r="GR138" s="76" t="s">
        <v>182</v>
      </c>
      <c r="GS138" s="28">
        <f t="shared" si="2467"/>
        <v>0</v>
      </c>
      <c r="GT138" s="28">
        <v>0</v>
      </c>
      <c r="GU138" s="28">
        <f>GT138*GU$6</f>
        <v>0</v>
      </c>
      <c r="GV138" s="28">
        <f>GT138*GV$6</f>
        <v>0</v>
      </c>
      <c r="GW138" s="28">
        <f>GT138/GW$6</f>
        <v>0</v>
      </c>
      <c r="GX138" s="72">
        <f>GW138/GX$6</f>
        <v>0</v>
      </c>
      <c r="GY138" s="72">
        <f>GT138/GY$6</f>
        <v>0</v>
      </c>
      <c r="GZ138" s="70">
        <f>SUM(GT138:GY138)</f>
        <v>0</v>
      </c>
      <c r="HA138" s="71">
        <v>0</v>
      </c>
      <c r="HB138" s="71">
        <v>0</v>
      </c>
      <c r="HC138" s="72">
        <f t="shared" si="2468"/>
        <v>0</v>
      </c>
      <c r="HD138" s="72">
        <f t="shared" si="2469"/>
        <v>0</v>
      </c>
      <c r="HE138" s="70">
        <f>SUM(HC138:HD138)</f>
        <v>0</v>
      </c>
      <c r="HF138" s="73">
        <v>0</v>
      </c>
      <c r="HG138" s="74">
        <f t="shared" si="2470"/>
        <v>0</v>
      </c>
      <c r="HH138" s="303">
        <f t="shared" si="2471"/>
        <v>0</v>
      </c>
      <c r="HJ138" s="37"/>
      <c r="HK138" s="37"/>
      <c r="HL138" s="37"/>
      <c r="HM138" s="37"/>
      <c r="HN138" s="37"/>
      <c r="HO138" s="37"/>
      <c r="HP138" s="37"/>
      <c r="HQ138" s="37"/>
      <c r="HR138" s="37"/>
      <c r="HS138" s="37"/>
      <c r="HT138" s="37"/>
      <c r="HU138" s="37"/>
      <c r="HV138" s="37"/>
      <c r="HW138" s="37"/>
      <c r="HX138" s="37"/>
      <c r="HY138" s="37"/>
      <c r="HZ138" s="37"/>
      <c r="IA138" s="37"/>
      <c r="IB138" s="37"/>
      <c r="IC138" s="37"/>
      <c r="ID138" s="37"/>
      <c r="IE138" s="37"/>
      <c r="IF138" s="37"/>
      <c r="IG138" s="37"/>
      <c r="IH138" s="37"/>
      <c r="II138" s="37"/>
      <c r="IJ138" s="37"/>
      <c r="IK138" s="37"/>
      <c r="IL138" s="37"/>
      <c r="IM138" s="37"/>
      <c r="IN138" s="37"/>
      <c r="IO138" s="37"/>
      <c r="IP138" s="37"/>
    </row>
    <row r="139" spans="1:250" ht="15" customHeight="1" x14ac:dyDescent="0.3">
      <c r="A139" s="58">
        <v>0</v>
      </c>
      <c r="B139" s="68" t="s">
        <v>182</v>
      </c>
      <c r="C139" s="28">
        <f t="shared" si="2412"/>
        <v>0</v>
      </c>
      <c r="D139" s="69">
        <v>0</v>
      </c>
      <c r="E139" s="28">
        <f>D139*E$6</f>
        <v>0</v>
      </c>
      <c r="F139" s="28">
        <f>D139*F$6</f>
        <v>0</v>
      </c>
      <c r="G139" s="28">
        <f>D139/G$6</f>
        <v>0</v>
      </c>
      <c r="H139" s="72">
        <f>G139/H$6</f>
        <v>0</v>
      </c>
      <c r="I139" s="72">
        <f>D139/I$6</f>
        <v>0</v>
      </c>
      <c r="J139" s="70">
        <f>SUM(D139:I139)</f>
        <v>0</v>
      </c>
      <c r="K139" s="71">
        <v>0</v>
      </c>
      <c r="L139" s="71">
        <v>0</v>
      </c>
      <c r="M139" s="72">
        <f t="shared" si="2413"/>
        <v>0</v>
      </c>
      <c r="N139" s="72">
        <f t="shared" si="2414"/>
        <v>0</v>
      </c>
      <c r="O139" s="70">
        <f t="shared" ref="O139" si="2472">SUM(M139:N139)</f>
        <v>0</v>
      </c>
      <c r="P139" s="73">
        <v>0</v>
      </c>
      <c r="Q139" s="74">
        <f t="shared" si="2415"/>
        <v>0</v>
      </c>
      <c r="R139" s="303">
        <f t="shared" si="2416"/>
        <v>0</v>
      </c>
      <c r="S139" s="58">
        <v>0</v>
      </c>
      <c r="T139" s="68" t="s">
        <v>182</v>
      </c>
      <c r="U139" s="28">
        <f t="shared" si="2417"/>
        <v>0</v>
      </c>
      <c r="V139" s="69">
        <v>0</v>
      </c>
      <c r="W139" s="28">
        <f>V139*W$6</f>
        <v>0</v>
      </c>
      <c r="X139" s="28">
        <f>V139*X$6</f>
        <v>0</v>
      </c>
      <c r="Y139" s="28">
        <f>V139/Y$6</f>
        <v>0</v>
      </c>
      <c r="Z139" s="72">
        <f>Y139/Z$6</f>
        <v>0</v>
      </c>
      <c r="AA139" s="72">
        <f>V139/AA$6</f>
        <v>0</v>
      </c>
      <c r="AB139" s="70">
        <f>SUM(V139:AA139)</f>
        <v>0</v>
      </c>
      <c r="AC139" s="71">
        <v>0</v>
      </c>
      <c r="AD139" s="71">
        <v>0</v>
      </c>
      <c r="AE139" s="72">
        <f t="shared" si="2418"/>
        <v>0</v>
      </c>
      <c r="AF139" s="72">
        <f t="shared" si="2419"/>
        <v>0</v>
      </c>
      <c r="AG139" s="70">
        <f t="shared" ref="AG139" si="2473">SUM(AE139:AF139)</f>
        <v>0</v>
      </c>
      <c r="AH139" s="73">
        <v>0</v>
      </c>
      <c r="AI139" s="74">
        <f t="shared" si="2420"/>
        <v>0</v>
      </c>
      <c r="AJ139" s="303">
        <f t="shared" si="2421"/>
        <v>0</v>
      </c>
      <c r="AK139" s="58">
        <v>0</v>
      </c>
      <c r="AL139" s="68" t="s">
        <v>182</v>
      </c>
      <c r="AM139" s="28">
        <f t="shared" si="2422"/>
        <v>0</v>
      </c>
      <c r="AN139" s="69">
        <v>0</v>
      </c>
      <c r="AO139" s="28">
        <f>AN139*AO$6</f>
        <v>0</v>
      </c>
      <c r="AP139" s="28">
        <f>AN139*AP$6</f>
        <v>0</v>
      </c>
      <c r="AQ139" s="28">
        <f>AN139/AQ$6</f>
        <v>0</v>
      </c>
      <c r="AR139" s="72">
        <f>AQ139/AR$6</f>
        <v>0</v>
      </c>
      <c r="AS139" s="72">
        <f>AN139/AS$6</f>
        <v>0</v>
      </c>
      <c r="AT139" s="70">
        <f>SUM(AN139:AS139)</f>
        <v>0</v>
      </c>
      <c r="AU139" s="71">
        <v>0</v>
      </c>
      <c r="AV139" s="71">
        <v>0</v>
      </c>
      <c r="AW139" s="72">
        <f t="shared" si="2423"/>
        <v>0</v>
      </c>
      <c r="AX139" s="72">
        <f t="shared" si="2424"/>
        <v>0</v>
      </c>
      <c r="AY139" s="70">
        <f t="shared" ref="AY139" si="2474">SUM(AW139:AX139)</f>
        <v>0</v>
      </c>
      <c r="AZ139" s="73">
        <v>0</v>
      </c>
      <c r="BA139" s="74">
        <f t="shared" si="2425"/>
        <v>0</v>
      </c>
      <c r="BB139" s="303">
        <f t="shared" si="2426"/>
        <v>0</v>
      </c>
      <c r="BC139" s="58">
        <v>0</v>
      </c>
      <c r="BD139" s="68" t="s">
        <v>182</v>
      </c>
      <c r="BE139" s="28">
        <f t="shared" si="2427"/>
        <v>0</v>
      </c>
      <c r="BF139" s="69">
        <v>0</v>
      </c>
      <c r="BG139" s="28">
        <f>BF139*BG$6</f>
        <v>0</v>
      </c>
      <c r="BH139" s="28">
        <f>BF139*BH$6</f>
        <v>0</v>
      </c>
      <c r="BI139" s="28">
        <f>BF139/BI$6</f>
        <v>0</v>
      </c>
      <c r="BJ139" s="72">
        <f>BI139/BJ$6</f>
        <v>0</v>
      </c>
      <c r="BK139" s="72">
        <f>BF139/BK$6</f>
        <v>0</v>
      </c>
      <c r="BL139" s="70">
        <f>SUM(BF139:BK139)</f>
        <v>0</v>
      </c>
      <c r="BM139" s="71">
        <v>0</v>
      </c>
      <c r="BN139" s="71">
        <v>0</v>
      </c>
      <c r="BO139" s="72">
        <f t="shared" si="2428"/>
        <v>0</v>
      </c>
      <c r="BP139" s="72">
        <f t="shared" si="2429"/>
        <v>0</v>
      </c>
      <c r="BQ139" s="70">
        <f t="shared" ref="BQ139" si="2475">SUM(BO139:BP139)</f>
        <v>0</v>
      </c>
      <c r="BR139" s="73">
        <v>0</v>
      </c>
      <c r="BS139" s="74">
        <f t="shared" si="2430"/>
        <v>0</v>
      </c>
      <c r="BT139" s="303">
        <f t="shared" si="2431"/>
        <v>0</v>
      </c>
      <c r="BU139" s="58">
        <v>0</v>
      </c>
      <c r="BV139" s="68" t="s">
        <v>182</v>
      </c>
      <c r="BW139" s="28">
        <f t="shared" si="2432"/>
        <v>0</v>
      </c>
      <c r="BX139" s="69">
        <v>0</v>
      </c>
      <c r="BY139" s="28">
        <f>BX139*BY$6</f>
        <v>0</v>
      </c>
      <c r="BZ139" s="28">
        <f>BX139*BZ$6</f>
        <v>0</v>
      </c>
      <c r="CA139" s="28">
        <f>BX139/CA$6</f>
        <v>0</v>
      </c>
      <c r="CB139" s="72">
        <f>CA139/CB$6</f>
        <v>0</v>
      </c>
      <c r="CC139" s="72">
        <f>BX139/CC$6</f>
        <v>0</v>
      </c>
      <c r="CD139" s="70">
        <f>SUM(BX139:CC139)</f>
        <v>0</v>
      </c>
      <c r="CE139" s="71">
        <v>0</v>
      </c>
      <c r="CF139" s="71">
        <v>0</v>
      </c>
      <c r="CG139" s="72">
        <f t="shared" si="2433"/>
        <v>0</v>
      </c>
      <c r="CH139" s="72">
        <f t="shared" si="2434"/>
        <v>0</v>
      </c>
      <c r="CI139" s="70">
        <f t="shared" ref="CI139" si="2476">SUM(CG139:CH139)</f>
        <v>0</v>
      </c>
      <c r="CJ139" s="73">
        <v>0</v>
      </c>
      <c r="CK139" s="74">
        <f t="shared" si="2435"/>
        <v>0</v>
      </c>
      <c r="CL139" s="303">
        <f t="shared" si="2436"/>
        <v>0</v>
      </c>
      <c r="CM139" s="58">
        <v>0</v>
      </c>
      <c r="CN139" s="68" t="s">
        <v>182</v>
      </c>
      <c r="CO139" s="28">
        <f t="shared" si="2437"/>
        <v>0</v>
      </c>
      <c r="CP139" s="69">
        <v>0</v>
      </c>
      <c r="CQ139" s="28">
        <f>CP139*CQ$6</f>
        <v>0</v>
      </c>
      <c r="CR139" s="28">
        <f>CP139*CR$6</f>
        <v>0</v>
      </c>
      <c r="CS139" s="28">
        <f>CP139/CS$6</f>
        <v>0</v>
      </c>
      <c r="CT139" s="72">
        <f>CS139/CT$6</f>
        <v>0</v>
      </c>
      <c r="CU139" s="72">
        <f>CP139/CU$6</f>
        <v>0</v>
      </c>
      <c r="CV139" s="70">
        <f>SUM(CP139:CU139)</f>
        <v>0</v>
      </c>
      <c r="CW139" s="71">
        <v>0</v>
      </c>
      <c r="CX139" s="71">
        <v>0</v>
      </c>
      <c r="CY139" s="72">
        <f t="shared" si="2438"/>
        <v>0</v>
      </c>
      <c r="CZ139" s="72">
        <f t="shared" si="2439"/>
        <v>0</v>
      </c>
      <c r="DA139" s="70">
        <f t="shared" ref="DA139" si="2477">SUM(CY139:CZ139)</f>
        <v>0</v>
      </c>
      <c r="DB139" s="73">
        <v>0</v>
      </c>
      <c r="DC139" s="74">
        <f t="shared" si="2440"/>
        <v>0</v>
      </c>
      <c r="DD139" s="303">
        <f t="shared" si="2441"/>
        <v>0</v>
      </c>
      <c r="DE139" s="58">
        <v>0</v>
      </c>
      <c r="DF139" s="68" t="s">
        <v>182</v>
      </c>
      <c r="DG139" s="28">
        <f t="shared" si="2442"/>
        <v>0</v>
      </c>
      <c r="DH139" s="69">
        <v>0</v>
      </c>
      <c r="DI139" s="28">
        <f>DH139*DI$6</f>
        <v>0</v>
      </c>
      <c r="DJ139" s="28">
        <f>DH139*DJ$6</f>
        <v>0</v>
      </c>
      <c r="DK139" s="28">
        <f>DH139/DK$6</f>
        <v>0</v>
      </c>
      <c r="DL139" s="72">
        <f>DK139/DL$6</f>
        <v>0</v>
      </c>
      <c r="DM139" s="72">
        <f>DH139/DM$6</f>
        <v>0</v>
      </c>
      <c r="DN139" s="70">
        <f>SUM(DH139:DM139)</f>
        <v>0</v>
      </c>
      <c r="DO139" s="71">
        <v>0</v>
      </c>
      <c r="DP139" s="71">
        <v>0</v>
      </c>
      <c r="DQ139" s="72">
        <f t="shared" si="2443"/>
        <v>0</v>
      </c>
      <c r="DR139" s="72">
        <f t="shared" si="2444"/>
        <v>0</v>
      </c>
      <c r="DS139" s="70">
        <f t="shared" ref="DS139" si="2478">SUM(DQ139:DR139)</f>
        <v>0</v>
      </c>
      <c r="DT139" s="73">
        <v>0</v>
      </c>
      <c r="DU139" s="74">
        <f t="shared" si="2445"/>
        <v>0</v>
      </c>
      <c r="DV139" s="303">
        <f t="shared" si="2446"/>
        <v>0</v>
      </c>
      <c r="DW139" s="58">
        <v>0</v>
      </c>
      <c r="DX139" s="68" t="s">
        <v>182</v>
      </c>
      <c r="DY139" s="28">
        <f t="shared" si="2447"/>
        <v>0</v>
      </c>
      <c r="DZ139" s="69">
        <v>0</v>
      </c>
      <c r="EA139" s="28">
        <f>DZ139*EA$6</f>
        <v>0</v>
      </c>
      <c r="EB139" s="28">
        <f>DZ139*EB$6</f>
        <v>0</v>
      </c>
      <c r="EC139" s="28">
        <f>DZ139/EC$6</f>
        <v>0</v>
      </c>
      <c r="ED139" s="72">
        <f>EC139/ED$6</f>
        <v>0</v>
      </c>
      <c r="EE139" s="72">
        <f>DZ139/EE$6</f>
        <v>0</v>
      </c>
      <c r="EF139" s="70">
        <f>SUM(DZ139:EE139)</f>
        <v>0</v>
      </c>
      <c r="EG139" s="71">
        <v>0</v>
      </c>
      <c r="EH139" s="71">
        <v>0</v>
      </c>
      <c r="EI139" s="72">
        <f t="shared" si="2448"/>
        <v>0</v>
      </c>
      <c r="EJ139" s="72">
        <f t="shared" si="2449"/>
        <v>0</v>
      </c>
      <c r="EK139" s="70">
        <f t="shared" ref="EK139" si="2479">SUM(EI139:EJ139)</f>
        <v>0</v>
      </c>
      <c r="EL139" s="73">
        <v>0</v>
      </c>
      <c r="EM139" s="74">
        <f t="shared" si="2450"/>
        <v>0</v>
      </c>
      <c r="EN139" s="303">
        <f t="shared" si="2451"/>
        <v>0</v>
      </c>
      <c r="EO139" s="58">
        <v>0</v>
      </c>
      <c r="EP139" s="68" t="s">
        <v>182</v>
      </c>
      <c r="EQ139" s="28">
        <f t="shared" si="2452"/>
        <v>0</v>
      </c>
      <c r="ER139" s="69">
        <v>0</v>
      </c>
      <c r="ES139" s="28">
        <f>ER139*ES$6</f>
        <v>0</v>
      </c>
      <c r="ET139" s="28">
        <f>ER139*ET$6</f>
        <v>0</v>
      </c>
      <c r="EU139" s="28">
        <f>ER139/EU$6</f>
        <v>0</v>
      </c>
      <c r="EV139" s="72">
        <f>EU139/EV$6</f>
        <v>0</v>
      </c>
      <c r="EW139" s="72">
        <f>ER139/EW$6</f>
        <v>0</v>
      </c>
      <c r="EX139" s="70">
        <f>SUM(ER139:EW139)</f>
        <v>0</v>
      </c>
      <c r="EY139" s="71">
        <v>0</v>
      </c>
      <c r="EZ139" s="71">
        <v>0</v>
      </c>
      <c r="FA139" s="72">
        <f t="shared" si="2453"/>
        <v>0</v>
      </c>
      <c r="FB139" s="72">
        <f t="shared" si="2454"/>
        <v>0</v>
      </c>
      <c r="FC139" s="70">
        <f t="shared" ref="FC139" si="2480">SUM(FA139:FB139)</f>
        <v>0</v>
      </c>
      <c r="FD139" s="73">
        <v>0</v>
      </c>
      <c r="FE139" s="74">
        <f t="shared" si="2455"/>
        <v>0</v>
      </c>
      <c r="FF139" s="303">
        <f t="shared" si="2456"/>
        <v>0</v>
      </c>
      <c r="FG139" s="58">
        <v>0</v>
      </c>
      <c r="FH139" s="68" t="s">
        <v>182</v>
      </c>
      <c r="FI139" s="28">
        <f t="shared" si="2457"/>
        <v>0</v>
      </c>
      <c r="FJ139" s="69">
        <v>0</v>
      </c>
      <c r="FK139" s="28">
        <f>FJ139*FK$6</f>
        <v>0</v>
      </c>
      <c r="FL139" s="28">
        <f>FJ139*FL$6</f>
        <v>0</v>
      </c>
      <c r="FM139" s="28">
        <f>FJ139/FM$6</f>
        <v>0</v>
      </c>
      <c r="FN139" s="72">
        <f>FM139/FN$6</f>
        <v>0</v>
      </c>
      <c r="FO139" s="72">
        <f>FJ139/FO$6</f>
        <v>0</v>
      </c>
      <c r="FP139" s="70">
        <f>SUM(FJ139:FO139)</f>
        <v>0</v>
      </c>
      <c r="FQ139" s="71">
        <v>0</v>
      </c>
      <c r="FR139" s="71">
        <v>0</v>
      </c>
      <c r="FS139" s="72">
        <f t="shared" si="2458"/>
        <v>0</v>
      </c>
      <c r="FT139" s="72">
        <f t="shared" si="2459"/>
        <v>0</v>
      </c>
      <c r="FU139" s="70">
        <f t="shared" ref="FU139" si="2481">SUM(FS139:FT139)</f>
        <v>0</v>
      </c>
      <c r="FV139" s="73">
        <v>0</v>
      </c>
      <c r="FW139" s="74">
        <f t="shared" si="2460"/>
        <v>0</v>
      </c>
      <c r="FX139" s="303">
        <f t="shared" si="2461"/>
        <v>0</v>
      </c>
      <c r="FY139" s="58">
        <v>0</v>
      </c>
      <c r="FZ139" s="68" t="s">
        <v>182</v>
      </c>
      <c r="GA139" s="28">
        <f t="shared" si="2462"/>
        <v>0</v>
      </c>
      <c r="GB139" s="69">
        <v>0</v>
      </c>
      <c r="GC139" s="28">
        <f>GB139*GC$6</f>
        <v>0</v>
      </c>
      <c r="GD139" s="28">
        <f>GB139*GD$6</f>
        <v>0</v>
      </c>
      <c r="GE139" s="28">
        <f>GB139/GE$6</f>
        <v>0</v>
      </c>
      <c r="GF139" s="72">
        <f>GE139/GF$6</f>
        <v>0</v>
      </c>
      <c r="GG139" s="72">
        <f>GB139/GG$6</f>
        <v>0</v>
      </c>
      <c r="GH139" s="70">
        <f>SUM(GB139:GG139)</f>
        <v>0</v>
      </c>
      <c r="GI139" s="71">
        <v>0</v>
      </c>
      <c r="GJ139" s="71">
        <v>0</v>
      </c>
      <c r="GK139" s="72">
        <f t="shared" si="2463"/>
        <v>0</v>
      </c>
      <c r="GL139" s="72">
        <f t="shared" si="2464"/>
        <v>0</v>
      </c>
      <c r="GM139" s="70">
        <f t="shared" ref="GM139" si="2482">SUM(GK139:GL139)</f>
        <v>0</v>
      </c>
      <c r="GN139" s="73">
        <v>0</v>
      </c>
      <c r="GO139" s="74">
        <f t="shared" si="2465"/>
        <v>0</v>
      </c>
      <c r="GP139" s="303">
        <f t="shared" si="2466"/>
        <v>0</v>
      </c>
      <c r="GQ139" s="58">
        <v>0</v>
      </c>
      <c r="GR139" s="68" t="s">
        <v>182</v>
      </c>
      <c r="GS139" s="28">
        <f t="shared" si="2467"/>
        <v>0</v>
      </c>
      <c r="GT139" s="69">
        <v>0</v>
      </c>
      <c r="GU139" s="28">
        <f>GT139*GU$6</f>
        <v>0</v>
      </c>
      <c r="GV139" s="28">
        <f>GT139*GV$6</f>
        <v>0</v>
      </c>
      <c r="GW139" s="28">
        <f>GT139/GW$6</f>
        <v>0</v>
      </c>
      <c r="GX139" s="72">
        <f>GW139/GX$6</f>
        <v>0</v>
      </c>
      <c r="GY139" s="72">
        <f>GT139/GY$6</f>
        <v>0</v>
      </c>
      <c r="GZ139" s="70">
        <f>SUM(GT139:GY139)</f>
        <v>0</v>
      </c>
      <c r="HA139" s="71">
        <v>0</v>
      </c>
      <c r="HB139" s="71">
        <v>0</v>
      </c>
      <c r="HC139" s="72">
        <f t="shared" si="2468"/>
        <v>0</v>
      </c>
      <c r="HD139" s="72">
        <f t="shared" si="2469"/>
        <v>0</v>
      </c>
      <c r="HE139" s="70">
        <f t="shared" ref="HE139" si="2483">SUM(HC139:HD139)</f>
        <v>0</v>
      </c>
      <c r="HF139" s="73">
        <v>0</v>
      </c>
      <c r="HG139" s="74">
        <f t="shared" si="2470"/>
        <v>0</v>
      </c>
      <c r="HH139" s="303">
        <f t="shared" si="2471"/>
        <v>0</v>
      </c>
      <c r="HJ139" s="37"/>
      <c r="HK139" s="37"/>
      <c r="HL139" s="37"/>
      <c r="HM139" s="37"/>
      <c r="HN139" s="37"/>
      <c r="HO139" s="37"/>
      <c r="HP139" s="37"/>
      <c r="HQ139" s="37"/>
      <c r="HR139" s="37"/>
      <c r="HS139" s="37"/>
      <c r="HT139" s="37"/>
      <c r="HU139" s="37"/>
      <c r="HV139" s="37"/>
      <c r="HW139" s="37"/>
      <c r="HX139" s="37"/>
      <c r="HY139" s="37"/>
      <c r="HZ139" s="37"/>
      <c r="IA139" s="37"/>
      <c r="IB139" s="37"/>
      <c r="IC139" s="37"/>
      <c r="ID139" s="37"/>
      <c r="IE139" s="37"/>
      <c r="IF139" s="37"/>
      <c r="IG139" s="37"/>
      <c r="IH139" s="37"/>
      <c r="II139" s="37"/>
      <c r="IJ139" s="37"/>
      <c r="IK139" s="37"/>
      <c r="IL139" s="37"/>
      <c r="IM139" s="37"/>
      <c r="IN139" s="37"/>
      <c r="IO139" s="37"/>
      <c r="IP139" s="37"/>
    </row>
    <row r="140" spans="1:250" ht="15" customHeight="1" x14ac:dyDescent="0.3">
      <c r="A140" s="541"/>
      <c r="B140" s="537"/>
      <c r="C140" s="537"/>
      <c r="D140" s="537"/>
      <c r="E140" s="537"/>
      <c r="F140" s="537"/>
      <c r="G140" s="537"/>
      <c r="H140" s="537"/>
      <c r="I140" s="537"/>
      <c r="J140" s="537"/>
      <c r="K140" s="537"/>
      <c r="L140" s="537"/>
      <c r="M140" s="537"/>
      <c r="N140" s="537"/>
      <c r="O140" s="537"/>
      <c r="P140" s="538"/>
      <c r="Q140" s="307" t="s">
        <v>8</v>
      </c>
      <c r="R140" s="304">
        <f>SUM(R137:R139)</f>
        <v>0</v>
      </c>
      <c r="S140" s="541"/>
      <c r="T140" s="537"/>
      <c r="U140" s="537"/>
      <c r="V140" s="537"/>
      <c r="W140" s="537"/>
      <c r="X140" s="537"/>
      <c r="Y140" s="537"/>
      <c r="Z140" s="537"/>
      <c r="AA140" s="537"/>
      <c r="AB140" s="537"/>
      <c r="AC140" s="537"/>
      <c r="AD140" s="537"/>
      <c r="AE140" s="537"/>
      <c r="AF140" s="537"/>
      <c r="AG140" s="537"/>
      <c r="AH140" s="538"/>
      <c r="AI140" s="307" t="s">
        <v>8</v>
      </c>
      <c r="AJ140" s="304">
        <f>SUM(AJ137:AJ139)</f>
        <v>0</v>
      </c>
      <c r="AK140" s="541"/>
      <c r="AL140" s="537"/>
      <c r="AM140" s="537"/>
      <c r="AN140" s="537"/>
      <c r="AO140" s="537"/>
      <c r="AP140" s="537"/>
      <c r="AQ140" s="537"/>
      <c r="AR140" s="537"/>
      <c r="AS140" s="537"/>
      <c r="AT140" s="537"/>
      <c r="AU140" s="537"/>
      <c r="AV140" s="537"/>
      <c r="AW140" s="537"/>
      <c r="AX140" s="537"/>
      <c r="AY140" s="537"/>
      <c r="AZ140" s="538"/>
      <c r="BA140" s="307" t="s">
        <v>8</v>
      </c>
      <c r="BB140" s="304">
        <f>SUM(BB137:BB139)</f>
        <v>0</v>
      </c>
      <c r="BC140" s="541"/>
      <c r="BD140" s="537"/>
      <c r="BE140" s="537"/>
      <c r="BF140" s="537"/>
      <c r="BG140" s="537"/>
      <c r="BH140" s="537"/>
      <c r="BI140" s="537"/>
      <c r="BJ140" s="537"/>
      <c r="BK140" s="537"/>
      <c r="BL140" s="537"/>
      <c r="BM140" s="537"/>
      <c r="BN140" s="537"/>
      <c r="BO140" s="537"/>
      <c r="BP140" s="537"/>
      <c r="BQ140" s="537"/>
      <c r="BR140" s="538"/>
      <c r="BS140" s="307" t="s">
        <v>8</v>
      </c>
      <c r="BT140" s="304">
        <f>SUM(BT137:BT139)</f>
        <v>0</v>
      </c>
      <c r="BU140" s="541"/>
      <c r="BV140" s="537"/>
      <c r="BW140" s="537"/>
      <c r="BX140" s="537"/>
      <c r="BY140" s="537"/>
      <c r="BZ140" s="537"/>
      <c r="CA140" s="537"/>
      <c r="CB140" s="537"/>
      <c r="CC140" s="537"/>
      <c r="CD140" s="537"/>
      <c r="CE140" s="537"/>
      <c r="CF140" s="537"/>
      <c r="CG140" s="537"/>
      <c r="CH140" s="537"/>
      <c r="CI140" s="537"/>
      <c r="CJ140" s="538"/>
      <c r="CK140" s="307" t="s">
        <v>8</v>
      </c>
      <c r="CL140" s="304">
        <f>SUM(CL137:CL139)</f>
        <v>0</v>
      </c>
      <c r="CM140" s="541"/>
      <c r="CN140" s="537"/>
      <c r="CO140" s="537"/>
      <c r="CP140" s="537"/>
      <c r="CQ140" s="537"/>
      <c r="CR140" s="537"/>
      <c r="CS140" s="537"/>
      <c r="CT140" s="537"/>
      <c r="CU140" s="537"/>
      <c r="CV140" s="537"/>
      <c r="CW140" s="537"/>
      <c r="CX140" s="537"/>
      <c r="CY140" s="537"/>
      <c r="CZ140" s="537"/>
      <c r="DA140" s="537"/>
      <c r="DB140" s="538"/>
      <c r="DC140" s="307" t="s">
        <v>8</v>
      </c>
      <c r="DD140" s="304">
        <f>SUM(DD137:DD139)</f>
        <v>0</v>
      </c>
      <c r="DE140" s="541"/>
      <c r="DF140" s="537"/>
      <c r="DG140" s="537"/>
      <c r="DH140" s="537"/>
      <c r="DI140" s="537"/>
      <c r="DJ140" s="537"/>
      <c r="DK140" s="537"/>
      <c r="DL140" s="537"/>
      <c r="DM140" s="537"/>
      <c r="DN140" s="537"/>
      <c r="DO140" s="537"/>
      <c r="DP140" s="537"/>
      <c r="DQ140" s="537"/>
      <c r="DR140" s="537"/>
      <c r="DS140" s="537"/>
      <c r="DT140" s="538"/>
      <c r="DU140" s="307" t="s">
        <v>8</v>
      </c>
      <c r="DV140" s="304">
        <f>SUM(DV137:DV139)</f>
        <v>0</v>
      </c>
      <c r="DW140" s="541"/>
      <c r="DX140" s="537"/>
      <c r="DY140" s="537"/>
      <c r="DZ140" s="537"/>
      <c r="EA140" s="537"/>
      <c r="EB140" s="537"/>
      <c r="EC140" s="537"/>
      <c r="ED140" s="537"/>
      <c r="EE140" s="537"/>
      <c r="EF140" s="537"/>
      <c r="EG140" s="537"/>
      <c r="EH140" s="537"/>
      <c r="EI140" s="537"/>
      <c r="EJ140" s="537"/>
      <c r="EK140" s="537"/>
      <c r="EL140" s="538"/>
      <c r="EM140" s="307" t="s">
        <v>8</v>
      </c>
      <c r="EN140" s="304">
        <f>SUM(EN137:EN139)</f>
        <v>0</v>
      </c>
      <c r="EO140" s="541"/>
      <c r="EP140" s="537"/>
      <c r="EQ140" s="537"/>
      <c r="ER140" s="537"/>
      <c r="ES140" s="537"/>
      <c r="ET140" s="537"/>
      <c r="EU140" s="537"/>
      <c r="EV140" s="537"/>
      <c r="EW140" s="537"/>
      <c r="EX140" s="537"/>
      <c r="EY140" s="537"/>
      <c r="EZ140" s="537"/>
      <c r="FA140" s="537"/>
      <c r="FB140" s="537"/>
      <c r="FC140" s="537"/>
      <c r="FD140" s="538"/>
      <c r="FE140" s="307" t="s">
        <v>8</v>
      </c>
      <c r="FF140" s="304">
        <f>SUM(FF137:FF139)</f>
        <v>0</v>
      </c>
      <c r="FG140" s="541"/>
      <c r="FH140" s="537"/>
      <c r="FI140" s="537"/>
      <c r="FJ140" s="537"/>
      <c r="FK140" s="537"/>
      <c r="FL140" s="537"/>
      <c r="FM140" s="537"/>
      <c r="FN140" s="537"/>
      <c r="FO140" s="537"/>
      <c r="FP140" s="537"/>
      <c r="FQ140" s="537"/>
      <c r="FR140" s="537"/>
      <c r="FS140" s="537"/>
      <c r="FT140" s="537"/>
      <c r="FU140" s="537"/>
      <c r="FV140" s="538"/>
      <c r="FW140" s="307" t="s">
        <v>8</v>
      </c>
      <c r="FX140" s="304">
        <f>SUM(FX137:FX139)</f>
        <v>0</v>
      </c>
      <c r="FY140" s="541"/>
      <c r="FZ140" s="537"/>
      <c r="GA140" s="537"/>
      <c r="GB140" s="537"/>
      <c r="GC140" s="537"/>
      <c r="GD140" s="537"/>
      <c r="GE140" s="537"/>
      <c r="GF140" s="537"/>
      <c r="GG140" s="537"/>
      <c r="GH140" s="537"/>
      <c r="GI140" s="537"/>
      <c r="GJ140" s="537"/>
      <c r="GK140" s="537"/>
      <c r="GL140" s="537"/>
      <c r="GM140" s="537"/>
      <c r="GN140" s="538"/>
      <c r="GO140" s="307" t="s">
        <v>8</v>
      </c>
      <c r="GP140" s="304">
        <f>SUM(GP137:GP139)</f>
        <v>0</v>
      </c>
      <c r="GQ140" s="541"/>
      <c r="GR140" s="537"/>
      <c r="GS140" s="537"/>
      <c r="GT140" s="537"/>
      <c r="GU140" s="537"/>
      <c r="GV140" s="537"/>
      <c r="GW140" s="537"/>
      <c r="GX140" s="537"/>
      <c r="GY140" s="537"/>
      <c r="GZ140" s="537"/>
      <c r="HA140" s="537"/>
      <c r="HB140" s="537"/>
      <c r="HC140" s="537"/>
      <c r="HD140" s="537"/>
      <c r="HE140" s="537"/>
      <c r="HF140" s="538"/>
      <c r="HG140" s="307" t="s">
        <v>8</v>
      </c>
      <c r="HH140" s="304">
        <f>SUM(HH137:HH139)</f>
        <v>0</v>
      </c>
      <c r="HJ140" s="37"/>
      <c r="HK140" s="37"/>
      <c r="HL140" s="37"/>
      <c r="HM140" s="37"/>
      <c r="HN140" s="37"/>
      <c r="HO140" s="37"/>
      <c r="HP140" s="37"/>
      <c r="HQ140" s="37"/>
      <c r="HR140" s="37"/>
      <c r="HS140" s="37"/>
      <c r="HT140" s="37"/>
      <c r="HU140" s="37"/>
      <c r="HV140" s="37"/>
      <c r="HW140" s="37"/>
      <c r="HX140" s="37"/>
      <c r="HY140" s="37"/>
      <c r="HZ140" s="37"/>
      <c r="IA140" s="37"/>
      <c r="IB140" s="37"/>
      <c r="IC140" s="37"/>
      <c r="ID140" s="37"/>
      <c r="IE140" s="37"/>
      <c r="IF140" s="37"/>
      <c r="IG140" s="37"/>
      <c r="IH140" s="37"/>
      <c r="II140" s="37"/>
      <c r="IJ140" s="37"/>
      <c r="IK140" s="37"/>
      <c r="IL140" s="37"/>
      <c r="IM140" s="37"/>
      <c r="IN140" s="37"/>
      <c r="IO140" s="37"/>
      <c r="IP140" s="37"/>
    </row>
    <row r="141" spans="1:250" ht="15.75" customHeight="1" x14ac:dyDescent="0.3">
      <c r="A141" s="546"/>
      <c r="B141" s="547"/>
      <c r="C141" s="547"/>
      <c r="D141" s="547"/>
      <c r="E141" s="742" t="s">
        <v>174</v>
      </c>
      <c r="F141" s="742"/>
      <c r="G141" s="742"/>
      <c r="H141" s="742"/>
      <c r="I141" s="742"/>
      <c r="J141" s="742"/>
      <c r="K141" s="742"/>
      <c r="L141" s="742"/>
      <c r="M141" s="742"/>
      <c r="N141" s="547"/>
      <c r="O141" s="547"/>
      <c r="P141" s="547"/>
      <c r="Q141" s="547"/>
      <c r="R141" s="548"/>
      <c r="S141" s="546"/>
      <c r="T141" s="547"/>
      <c r="U141" s="547"/>
      <c r="V141" s="547"/>
      <c r="W141" s="742" t="s">
        <v>174</v>
      </c>
      <c r="X141" s="742"/>
      <c r="Y141" s="742"/>
      <c r="Z141" s="742"/>
      <c r="AA141" s="742"/>
      <c r="AB141" s="742"/>
      <c r="AC141" s="742"/>
      <c r="AD141" s="742"/>
      <c r="AE141" s="742"/>
      <c r="AF141" s="547"/>
      <c r="AG141" s="547"/>
      <c r="AH141" s="547"/>
      <c r="AI141" s="547"/>
      <c r="AJ141" s="548"/>
      <c r="AK141" s="546"/>
      <c r="AL141" s="547"/>
      <c r="AM141" s="547"/>
      <c r="AN141" s="547"/>
      <c r="AO141" s="742" t="s">
        <v>174</v>
      </c>
      <c r="AP141" s="742"/>
      <c r="AQ141" s="742"/>
      <c r="AR141" s="742"/>
      <c r="AS141" s="742"/>
      <c r="AT141" s="742"/>
      <c r="AU141" s="742"/>
      <c r="AV141" s="742"/>
      <c r="AW141" s="742"/>
      <c r="AX141" s="547"/>
      <c r="AY141" s="547"/>
      <c r="AZ141" s="547"/>
      <c r="BA141" s="547"/>
      <c r="BB141" s="548"/>
      <c r="BC141" s="546"/>
      <c r="BD141" s="547"/>
      <c r="BE141" s="547"/>
      <c r="BF141" s="547"/>
      <c r="BG141" s="742" t="s">
        <v>174</v>
      </c>
      <c r="BH141" s="742"/>
      <c r="BI141" s="742"/>
      <c r="BJ141" s="742"/>
      <c r="BK141" s="742"/>
      <c r="BL141" s="742"/>
      <c r="BM141" s="742"/>
      <c r="BN141" s="742"/>
      <c r="BO141" s="742"/>
      <c r="BP141" s="547"/>
      <c r="BQ141" s="547"/>
      <c r="BR141" s="547"/>
      <c r="BS141" s="547"/>
      <c r="BT141" s="548"/>
      <c r="BU141" s="546"/>
      <c r="BV141" s="547"/>
      <c r="BW141" s="547"/>
      <c r="BX141" s="547"/>
      <c r="BY141" s="742" t="s">
        <v>174</v>
      </c>
      <c r="BZ141" s="742"/>
      <c r="CA141" s="742"/>
      <c r="CB141" s="742"/>
      <c r="CC141" s="742"/>
      <c r="CD141" s="742"/>
      <c r="CE141" s="742"/>
      <c r="CF141" s="742"/>
      <c r="CG141" s="742"/>
      <c r="CH141" s="547"/>
      <c r="CI141" s="547"/>
      <c r="CJ141" s="547"/>
      <c r="CK141" s="547"/>
      <c r="CL141" s="548"/>
      <c r="CM141" s="546"/>
      <c r="CN141" s="547"/>
      <c r="CO141" s="547"/>
      <c r="CP141" s="547"/>
      <c r="CQ141" s="742" t="s">
        <v>174</v>
      </c>
      <c r="CR141" s="742"/>
      <c r="CS141" s="742"/>
      <c r="CT141" s="742"/>
      <c r="CU141" s="742"/>
      <c r="CV141" s="742"/>
      <c r="CW141" s="742"/>
      <c r="CX141" s="742"/>
      <c r="CY141" s="742"/>
      <c r="CZ141" s="547"/>
      <c r="DA141" s="547"/>
      <c r="DB141" s="547"/>
      <c r="DC141" s="547"/>
      <c r="DD141" s="548"/>
      <c r="DE141" s="546"/>
      <c r="DF141" s="547"/>
      <c r="DG141" s="547"/>
      <c r="DH141" s="547"/>
      <c r="DI141" s="742" t="s">
        <v>174</v>
      </c>
      <c r="DJ141" s="742"/>
      <c r="DK141" s="742"/>
      <c r="DL141" s="742"/>
      <c r="DM141" s="742"/>
      <c r="DN141" s="742"/>
      <c r="DO141" s="742"/>
      <c r="DP141" s="742"/>
      <c r="DQ141" s="742"/>
      <c r="DR141" s="547"/>
      <c r="DS141" s="547"/>
      <c r="DT141" s="547"/>
      <c r="DU141" s="547"/>
      <c r="DV141" s="548"/>
      <c r="DW141" s="546"/>
      <c r="DX141" s="547"/>
      <c r="DY141" s="547"/>
      <c r="DZ141" s="547"/>
      <c r="EA141" s="742" t="s">
        <v>174</v>
      </c>
      <c r="EB141" s="742"/>
      <c r="EC141" s="742"/>
      <c r="ED141" s="742"/>
      <c r="EE141" s="742"/>
      <c r="EF141" s="742"/>
      <c r="EG141" s="742"/>
      <c r="EH141" s="742"/>
      <c r="EI141" s="742"/>
      <c r="EJ141" s="547"/>
      <c r="EK141" s="547"/>
      <c r="EL141" s="547"/>
      <c r="EM141" s="547"/>
      <c r="EN141" s="548"/>
      <c r="EO141" s="546"/>
      <c r="EP141" s="547"/>
      <c r="EQ141" s="547"/>
      <c r="ER141" s="547"/>
      <c r="ES141" s="742" t="s">
        <v>174</v>
      </c>
      <c r="ET141" s="742"/>
      <c r="EU141" s="742"/>
      <c r="EV141" s="742"/>
      <c r="EW141" s="742"/>
      <c r="EX141" s="742"/>
      <c r="EY141" s="742"/>
      <c r="EZ141" s="742"/>
      <c r="FA141" s="742"/>
      <c r="FB141" s="547"/>
      <c r="FC141" s="547"/>
      <c r="FD141" s="547"/>
      <c r="FE141" s="547"/>
      <c r="FF141" s="548"/>
      <c r="FG141" s="546"/>
      <c r="FH141" s="547"/>
      <c r="FI141" s="547"/>
      <c r="FJ141" s="547"/>
      <c r="FK141" s="742" t="s">
        <v>174</v>
      </c>
      <c r="FL141" s="742"/>
      <c r="FM141" s="742"/>
      <c r="FN141" s="742"/>
      <c r="FO141" s="742"/>
      <c r="FP141" s="742"/>
      <c r="FQ141" s="742"/>
      <c r="FR141" s="742"/>
      <c r="FS141" s="742"/>
      <c r="FT141" s="547"/>
      <c r="FU141" s="547"/>
      <c r="FV141" s="547"/>
      <c r="FW141" s="547"/>
      <c r="FX141" s="548"/>
      <c r="FY141" s="546"/>
      <c r="FZ141" s="547"/>
      <c r="GA141" s="547"/>
      <c r="GB141" s="547"/>
      <c r="GC141" s="742" t="s">
        <v>174</v>
      </c>
      <c r="GD141" s="742"/>
      <c r="GE141" s="742"/>
      <c r="GF141" s="742"/>
      <c r="GG141" s="742"/>
      <c r="GH141" s="742"/>
      <c r="GI141" s="742"/>
      <c r="GJ141" s="742"/>
      <c r="GK141" s="742"/>
      <c r="GL141" s="547"/>
      <c r="GM141" s="547"/>
      <c r="GN141" s="547"/>
      <c r="GO141" s="547"/>
      <c r="GP141" s="548"/>
      <c r="GQ141" s="546"/>
      <c r="GR141" s="547"/>
      <c r="GS141" s="547"/>
      <c r="GT141" s="547"/>
      <c r="GU141" s="742" t="s">
        <v>174</v>
      </c>
      <c r="GV141" s="742"/>
      <c r="GW141" s="742"/>
      <c r="GX141" s="742"/>
      <c r="GY141" s="742"/>
      <c r="GZ141" s="742"/>
      <c r="HA141" s="742"/>
      <c r="HB141" s="742"/>
      <c r="HC141" s="742"/>
      <c r="HD141" s="547"/>
      <c r="HE141" s="547"/>
      <c r="HF141" s="547"/>
      <c r="HG141" s="547"/>
      <c r="HH141" s="548"/>
      <c r="HJ141" s="37"/>
      <c r="HK141" s="37"/>
      <c r="HL141" s="37"/>
      <c r="HM141" s="37"/>
      <c r="HN141" s="37"/>
      <c r="HO141" s="37"/>
      <c r="HP141" s="37"/>
      <c r="HQ141" s="37"/>
      <c r="HR141" s="37"/>
      <c r="HS141" s="37"/>
      <c r="HT141" s="37"/>
      <c r="HU141" s="37"/>
      <c r="HV141" s="37"/>
      <c r="HW141" s="37"/>
      <c r="HX141" s="37"/>
      <c r="HY141" s="37"/>
      <c r="HZ141" s="37"/>
      <c r="IA141" s="37"/>
      <c r="IB141" s="37"/>
      <c r="IC141" s="37"/>
      <c r="ID141" s="37"/>
      <c r="IE141" s="37"/>
      <c r="IF141" s="37"/>
      <c r="IG141" s="37"/>
      <c r="IH141" s="37"/>
      <c r="II141" s="37"/>
      <c r="IJ141" s="37"/>
      <c r="IK141" s="37"/>
      <c r="IL141" s="37"/>
      <c r="IM141" s="37"/>
      <c r="IN141" s="37"/>
      <c r="IO141" s="37"/>
      <c r="IP141" s="37"/>
    </row>
    <row r="142" spans="1:250" ht="15" customHeight="1" x14ac:dyDescent="0.3">
      <c r="A142" s="58">
        <v>0</v>
      </c>
      <c r="B142" s="76" t="s">
        <v>182</v>
      </c>
      <c r="C142" s="28">
        <f t="shared" ref="C142:C144" si="2484">D142/$AM$4</f>
        <v>0</v>
      </c>
      <c r="D142" s="28">
        <v>0</v>
      </c>
      <c r="E142" s="28">
        <f>D142*E$6</f>
        <v>0</v>
      </c>
      <c r="F142" s="28">
        <f>D142*F$6</f>
        <v>0</v>
      </c>
      <c r="G142" s="28">
        <f>D142/G$6</f>
        <v>0</v>
      </c>
      <c r="H142" s="72">
        <f>G142/H$6</f>
        <v>0</v>
      </c>
      <c r="I142" s="72">
        <f>D142/I$6</f>
        <v>0</v>
      </c>
      <c r="J142" s="70">
        <f>SUM(D142:I142)</f>
        <v>0</v>
      </c>
      <c r="K142" s="71">
        <v>0</v>
      </c>
      <c r="L142" s="71">
        <v>0</v>
      </c>
      <c r="M142" s="72">
        <f t="shared" ref="M142:M144" si="2485">((C142*M$6)+(C142*$AO$6)+(C142*$AP$6))*K142</f>
        <v>0</v>
      </c>
      <c r="N142" s="72">
        <f t="shared" ref="N142:N144" si="2486">((C142*N$6)+(C142*$AO$6)+(C142*$AP$6))*L142</f>
        <v>0</v>
      </c>
      <c r="O142" s="70">
        <f>SUM(M142:N142)</f>
        <v>0</v>
      </c>
      <c r="P142" s="73">
        <v>0</v>
      </c>
      <c r="Q142" s="74">
        <f t="shared" ref="Q142:Q144" si="2487">IF(A142=1,($C$1*$Q$6),0)</f>
        <v>0</v>
      </c>
      <c r="R142" s="303">
        <f t="shared" ref="R142:R144" si="2488">J142+O142+P142+Q142</f>
        <v>0</v>
      </c>
      <c r="S142" s="58">
        <v>0</v>
      </c>
      <c r="T142" s="76" t="s">
        <v>182</v>
      </c>
      <c r="U142" s="28">
        <f t="shared" ref="U142:U144" si="2489">V142/$AM$4</f>
        <v>0</v>
      </c>
      <c r="V142" s="28">
        <v>0</v>
      </c>
      <c r="W142" s="28">
        <f>V142*W$6</f>
        <v>0</v>
      </c>
      <c r="X142" s="28">
        <f>V142*X$6</f>
        <v>0</v>
      </c>
      <c r="Y142" s="28">
        <f>V142/Y$6</f>
        <v>0</v>
      </c>
      <c r="Z142" s="72">
        <f>Y142/Z$6</f>
        <v>0</v>
      </c>
      <c r="AA142" s="72">
        <f>V142/AA$6</f>
        <v>0</v>
      </c>
      <c r="AB142" s="70">
        <f>SUM(V142:AA142)</f>
        <v>0</v>
      </c>
      <c r="AC142" s="71">
        <v>0</v>
      </c>
      <c r="AD142" s="71">
        <v>0</v>
      </c>
      <c r="AE142" s="72">
        <f t="shared" ref="AE142:AE144" si="2490">((U142*AE$6)+(U142*$AO$6)+(U142*$AP$6))*AC142</f>
        <v>0</v>
      </c>
      <c r="AF142" s="72">
        <f t="shared" ref="AF142:AF144" si="2491">((U142*AF$6)+(U142*$AO$6)+(U142*$AP$6))*AD142</f>
        <v>0</v>
      </c>
      <c r="AG142" s="70">
        <f>SUM(AE142:AF142)</f>
        <v>0</v>
      </c>
      <c r="AH142" s="73">
        <v>0</v>
      </c>
      <c r="AI142" s="74">
        <f t="shared" ref="AI142:AI144" si="2492">IF(S142=1,($C$1*$Q$6),0)</f>
        <v>0</v>
      </c>
      <c r="AJ142" s="303">
        <f t="shared" ref="AJ142:AJ144" si="2493">AB142+AG142+AH142+AI142</f>
        <v>0</v>
      </c>
      <c r="AK142" s="58">
        <v>0</v>
      </c>
      <c r="AL142" s="76" t="s">
        <v>182</v>
      </c>
      <c r="AM142" s="28">
        <f t="shared" ref="AM142:AM144" si="2494">AN142/$AM$4</f>
        <v>0</v>
      </c>
      <c r="AN142" s="28">
        <v>0</v>
      </c>
      <c r="AO142" s="28">
        <f>AN142*AO$6</f>
        <v>0</v>
      </c>
      <c r="AP142" s="28">
        <f>AN142*AP$6</f>
        <v>0</v>
      </c>
      <c r="AQ142" s="28">
        <f>AN142/AQ$6</f>
        <v>0</v>
      </c>
      <c r="AR142" s="72">
        <f>AQ142/AR$6</f>
        <v>0</v>
      </c>
      <c r="AS142" s="72">
        <f>AN142/AS$6</f>
        <v>0</v>
      </c>
      <c r="AT142" s="70">
        <f>SUM(AN142:AS142)</f>
        <v>0</v>
      </c>
      <c r="AU142" s="71">
        <v>0</v>
      </c>
      <c r="AV142" s="71">
        <v>0</v>
      </c>
      <c r="AW142" s="72">
        <f t="shared" ref="AW142:AW144" si="2495">((AM142*AW$6)+(AM142*$AO$6)+(AM142*$AP$6))*AU142</f>
        <v>0</v>
      </c>
      <c r="AX142" s="72">
        <f t="shared" ref="AX142:AX144" si="2496">((AM142*AX$6)+(AM142*$AO$6)+(AM142*$AP$6))*AV142</f>
        <v>0</v>
      </c>
      <c r="AY142" s="70">
        <f>SUM(AW142:AX142)</f>
        <v>0</v>
      </c>
      <c r="AZ142" s="73">
        <v>0</v>
      </c>
      <c r="BA142" s="74">
        <f t="shared" ref="BA142:BA144" si="2497">IF(AK142=1,($C$1*$Q$6),0)</f>
        <v>0</v>
      </c>
      <c r="BB142" s="303">
        <f t="shared" ref="BB142:BB144" si="2498">AT142+AY142+AZ142+BA142</f>
        <v>0</v>
      </c>
      <c r="BC142" s="58">
        <v>0</v>
      </c>
      <c r="BD142" s="76" t="s">
        <v>182</v>
      </c>
      <c r="BE142" s="28">
        <f t="shared" ref="BE142:BE144" si="2499">BF142/$AM$4</f>
        <v>0</v>
      </c>
      <c r="BF142" s="28">
        <v>0</v>
      </c>
      <c r="BG142" s="28">
        <f>BF142*BG$6</f>
        <v>0</v>
      </c>
      <c r="BH142" s="28">
        <f>BF142*BH$6</f>
        <v>0</v>
      </c>
      <c r="BI142" s="28">
        <f>BF142/BI$6</f>
        <v>0</v>
      </c>
      <c r="BJ142" s="72">
        <f>BI142/BJ$6</f>
        <v>0</v>
      </c>
      <c r="BK142" s="72">
        <f>BF142/BK$6</f>
        <v>0</v>
      </c>
      <c r="BL142" s="70">
        <f>SUM(BF142:BK142)</f>
        <v>0</v>
      </c>
      <c r="BM142" s="71">
        <v>0</v>
      </c>
      <c r="BN142" s="71">
        <v>0</v>
      </c>
      <c r="BO142" s="72">
        <f t="shared" ref="BO142:BO144" si="2500">((BE142*BO$6)+(BE142*$AO$6)+(BE142*$AP$6))*BM142</f>
        <v>0</v>
      </c>
      <c r="BP142" s="72">
        <f t="shared" ref="BP142:BP144" si="2501">((BE142*BP$6)+(BE142*$AO$6)+(BE142*$AP$6))*BN142</f>
        <v>0</v>
      </c>
      <c r="BQ142" s="70">
        <f>SUM(BO142:BP142)</f>
        <v>0</v>
      </c>
      <c r="BR142" s="73">
        <v>0</v>
      </c>
      <c r="BS142" s="74">
        <f t="shared" ref="BS142:BS144" si="2502">IF(BC142=1,($C$1*$Q$6),0)</f>
        <v>0</v>
      </c>
      <c r="BT142" s="303">
        <f t="shared" ref="BT142:BT144" si="2503">BL142+BQ142+BR142+BS142</f>
        <v>0</v>
      </c>
      <c r="BU142" s="58">
        <v>0</v>
      </c>
      <c r="BV142" s="76" t="s">
        <v>182</v>
      </c>
      <c r="BW142" s="28">
        <f t="shared" ref="BW142:BW144" si="2504">BX142/$AM$4</f>
        <v>0</v>
      </c>
      <c r="BX142" s="28">
        <v>0</v>
      </c>
      <c r="BY142" s="28">
        <f>BX142*BY$6</f>
        <v>0</v>
      </c>
      <c r="BZ142" s="28">
        <f>BX142*BZ$6</f>
        <v>0</v>
      </c>
      <c r="CA142" s="28">
        <f>BX142/CA$6</f>
        <v>0</v>
      </c>
      <c r="CB142" s="72">
        <f>CA142/CB$6</f>
        <v>0</v>
      </c>
      <c r="CC142" s="72">
        <f>BX142/CC$6</f>
        <v>0</v>
      </c>
      <c r="CD142" s="70">
        <f>SUM(BX142:CC142)</f>
        <v>0</v>
      </c>
      <c r="CE142" s="71">
        <v>0</v>
      </c>
      <c r="CF142" s="71">
        <v>0</v>
      </c>
      <c r="CG142" s="72">
        <f t="shared" ref="CG142:CG144" si="2505">((BW142*CG$6)+(BW142*$AO$6)+(BW142*$AP$6))*CE142</f>
        <v>0</v>
      </c>
      <c r="CH142" s="72">
        <f t="shared" ref="CH142:CH144" si="2506">((BW142*CH$6)+(BW142*$AO$6)+(BW142*$AP$6))*CF142</f>
        <v>0</v>
      </c>
      <c r="CI142" s="70">
        <f>SUM(CG142:CH142)</f>
        <v>0</v>
      </c>
      <c r="CJ142" s="73">
        <v>0</v>
      </c>
      <c r="CK142" s="74">
        <f t="shared" ref="CK142:CK144" si="2507">IF(BU142=1,($C$1*$Q$6),0)</f>
        <v>0</v>
      </c>
      <c r="CL142" s="303">
        <f t="shared" ref="CL142:CL144" si="2508">CD142+CI142+CJ142+CK142</f>
        <v>0</v>
      </c>
      <c r="CM142" s="58">
        <v>0</v>
      </c>
      <c r="CN142" s="76" t="s">
        <v>182</v>
      </c>
      <c r="CO142" s="28">
        <f t="shared" ref="CO142:CO144" si="2509">CP142/$AM$4</f>
        <v>0</v>
      </c>
      <c r="CP142" s="28">
        <v>0</v>
      </c>
      <c r="CQ142" s="28">
        <f>CP142*CQ$6</f>
        <v>0</v>
      </c>
      <c r="CR142" s="28">
        <f>CP142*CR$6</f>
        <v>0</v>
      </c>
      <c r="CS142" s="28">
        <f>CP142/CS$6</f>
        <v>0</v>
      </c>
      <c r="CT142" s="72">
        <f>CS142/CT$6</f>
        <v>0</v>
      </c>
      <c r="CU142" s="72">
        <f>CP142/CU$6</f>
        <v>0</v>
      </c>
      <c r="CV142" s="70">
        <f>SUM(CP142:CU142)</f>
        <v>0</v>
      </c>
      <c r="CW142" s="71">
        <v>0</v>
      </c>
      <c r="CX142" s="71">
        <v>0</v>
      </c>
      <c r="CY142" s="72">
        <f t="shared" ref="CY142:CY144" si="2510">((CO142*CY$6)+(CO142*$AO$6)+(CO142*$AP$6))*CW142</f>
        <v>0</v>
      </c>
      <c r="CZ142" s="72">
        <f t="shared" ref="CZ142:CZ144" si="2511">((CO142*CZ$6)+(CO142*$AO$6)+(CO142*$AP$6))*CX142</f>
        <v>0</v>
      </c>
      <c r="DA142" s="70">
        <f>SUM(CY142:CZ142)</f>
        <v>0</v>
      </c>
      <c r="DB142" s="73">
        <v>0</v>
      </c>
      <c r="DC142" s="74">
        <f t="shared" ref="DC142:DC144" si="2512">IF(CM142=1,($C$1*$Q$6),0)</f>
        <v>0</v>
      </c>
      <c r="DD142" s="303">
        <f t="shared" ref="DD142:DD144" si="2513">CV142+DA142+DB142+DC142</f>
        <v>0</v>
      </c>
      <c r="DE142" s="58">
        <v>0</v>
      </c>
      <c r="DF142" s="76" t="s">
        <v>182</v>
      </c>
      <c r="DG142" s="28">
        <f t="shared" ref="DG142:DG144" si="2514">DH142/$AM$4</f>
        <v>0</v>
      </c>
      <c r="DH142" s="28">
        <v>0</v>
      </c>
      <c r="DI142" s="28">
        <f>DH142*DI$6</f>
        <v>0</v>
      </c>
      <c r="DJ142" s="28">
        <f>DH142*DJ$6</f>
        <v>0</v>
      </c>
      <c r="DK142" s="28">
        <f>DH142/DK$6</f>
        <v>0</v>
      </c>
      <c r="DL142" s="72">
        <f>DK142/DL$6</f>
        <v>0</v>
      </c>
      <c r="DM142" s="72">
        <f>DH142/DM$6</f>
        <v>0</v>
      </c>
      <c r="DN142" s="70">
        <f>SUM(DH142:DM142)</f>
        <v>0</v>
      </c>
      <c r="DO142" s="71">
        <v>0</v>
      </c>
      <c r="DP142" s="71">
        <v>0</v>
      </c>
      <c r="DQ142" s="72">
        <f t="shared" ref="DQ142:DQ144" si="2515">((DG142*DQ$6)+(DG142*$AO$6)+(DG142*$AP$6))*DO142</f>
        <v>0</v>
      </c>
      <c r="DR142" s="72">
        <f t="shared" ref="DR142:DR144" si="2516">((DG142*DR$6)+(DG142*$AO$6)+(DG142*$AP$6))*DP142</f>
        <v>0</v>
      </c>
      <c r="DS142" s="70">
        <f>SUM(DQ142:DR142)</f>
        <v>0</v>
      </c>
      <c r="DT142" s="73">
        <v>0</v>
      </c>
      <c r="DU142" s="74">
        <f t="shared" ref="DU142:DU144" si="2517">IF(DE142=1,($C$1*$Q$6),0)</f>
        <v>0</v>
      </c>
      <c r="DV142" s="303">
        <f t="shared" ref="DV142:DV144" si="2518">DN142+DS142+DT142+DU142</f>
        <v>0</v>
      </c>
      <c r="DW142" s="58">
        <v>0</v>
      </c>
      <c r="DX142" s="76" t="s">
        <v>182</v>
      </c>
      <c r="DY142" s="28">
        <f t="shared" ref="DY142:DY144" si="2519">DZ142/$AM$4</f>
        <v>0</v>
      </c>
      <c r="DZ142" s="28">
        <v>0</v>
      </c>
      <c r="EA142" s="28">
        <f>DZ142*EA$6</f>
        <v>0</v>
      </c>
      <c r="EB142" s="28">
        <f>DZ142*EB$6</f>
        <v>0</v>
      </c>
      <c r="EC142" s="28">
        <f>DZ142/EC$6</f>
        <v>0</v>
      </c>
      <c r="ED142" s="72">
        <f>EC142/ED$6</f>
        <v>0</v>
      </c>
      <c r="EE142" s="72">
        <f>DZ142/EE$6</f>
        <v>0</v>
      </c>
      <c r="EF142" s="70">
        <f>SUM(DZ142:EE142)</f>
        <v>0</v>
      </c>
      <c r="EG142" s="71">
        <v>0</v>
      </c>
      <c r="EH142" s="71">
        <v>0</v>
      </c>
      <c r="EI142" s="72">
        <f t="shared" ref="EI142:EI144" si="2520">((DY142*EI$6)+(DY142*$AO$6)+(DY142*$AP$6))*EG142</f>
        <v>0</v>
      </c>
      <c r="EJ142" s="72">
        <f t="shared" ref="EJ142:EJ144" si="2521">((DY142*EJ$6)+(DY142*$AO$6)+(DY142*$AP$6))*EH142</f>
        <v>0</v>
      </c>
      <c r="EK142" s="70">
        <f>SUM(EI142:EJ142)</f>
        <v>0</v>
      </c>
      <c r="EL142" s="73">
        <v>0</v>
      </c>
      <c r="EM142" s="74">
        <f t="shared" ref="EM142:EM144" si="2522">IF(DW142=1,($C$1*$Q$6),0)</f>
        <v>0</v>
      </c>
      <c r="EN142" s="303">
        <f t="shared" ref="EN142:EN144" si="2523">EF142+EK142+EL142+EM142</f>
        <v>0</v>
      </c>
      <c r="EO142" s="58">
        <v>0</v>
      </c>
      <c r="EP142" s="76" t="s">
        <v>182</v>
      </c>
      <c r="EQ142" s="28">
        <f t="shared" ref="EQ142:EQ144" si="2524">ER142/$AM$4</f>
        <v>0</v>
      </c>
      <c r="ER142" s="28">
        <v>0</v>
      </c>
      <c r="ES142" s="28">
        <f>ER142*ES$6</f>
        <v>0</v>
      </c>
      <c r="ET142" s="28">
        <f>ER142*ET$6</f>
        <v>0</v>
      </c>
      <c r="EU142" s="28">
        <f>ER142/EU$6</f>
        <v>0</v>
      </c>
      <c r="EV142" s="72">
        <f>EU142/EV$6</f>
        <v>0</v>
      </c>
      <c r="EW142" s="72">
        <f>ER142/EW$6</f>
        <v>0</v>
      </c>
      <c r="EX142" s="70">
        <f>SUM(ER142:EW142)</f>
        <v>0</v>
      </c>
      <c r="EY142" s="71">
        <v>0</v>
      </c>
      <c r="EZ142" s="71">
        <v>0</v>
      </c>
      <c r="FA142" s="72">
        <f t="shared" ref="FA142:FA144" si="2525">((EQ142*FA$6)+(EQ142*$AO$6)+(EQ142*$AP$6))*EY142</f>
        <v>0</v>
      </c>
      <c r="FB142" s="72">
        <f t="shared" ref="FB142:FB144" si="2526">((EQ142*FB$6)+(EQ142*$AO$6)+(EQ142*$AP$6))*EZ142</f>
        <v>0</v>
      </c>
      <c r="FC142" s="70">
        <f>SUM(FA142:FB142)</f>
        <v>0</v>
      </c>
      <c r="FD142" s="73">
        <v>0</v>
      </c>
      <c r="FE142" s="74">
        <f t="shared" ref="FE142:FE144" si="2527">IF(EO142=1,($C$1*$Q$6),0)</f>
        <v>0</v>
      </c>
      <c r="FF142" s="303">
        <f t="shared" ref="FF142:FF144" si="2528">EX142+FC142+FD142+FE142</f>
        <v>0</v>
      </c>
      <c r="FG142" s="58">
        <v>0</v>
      </c>
      <c r="FH142" s="76" t="s">
        <v>182</v>
      </c>
      <c r="FI142" s="28">
        <f t="shared" ref="FI142:FI144" si="2529">FJ142/$AM$4</f>
        <v>0</v>
      </c>
      <c r="FJ142" s="28">
        <v>0</v>
      </c>
      <c r="FK142" s="28">
        <f>FJ142*FK$6</f>
        <v>0</v>
      </c>
      <c r="FL142" s="28">
        <f>FJ142*FL$6</f>
        <v>0</v>
      </c>
      <c r="FM142" s="28">
        <f>FJ142/FM$6</f>
        <v>0</v>
      </c>
      <c r="FN142" s="72">
        <f>FM142/FN$6</f>
        <v>0</v>
      </c>
      <c r="FO142" s="72">
        <f>FJ142/FO$6</f>
        <v>0</v>
      </c>
      <c r="FP142" s="70">
        <f>SUM(FJ142:FO142)</f>
        <v>0</v>
      </c>
      <c r="FQ142" s="71">
        <v>0</v>
      </c>
      <c r="FR142" s="71">
        <v>0</v>
      </c>
      <c r="FS142" s="72">
        <f t="shared" ref="FS142:FS144" si="2530">((FI142*FS$6)+(FI142*$AO$6)+(FI142*$AP$6))*FQ142</f>
        <v>0</v>
      </c>
      <c r="FT142" s="72">
        <f t="shared" ref="FT142:FT144" si="2531">((FI142*FT$6)+(FI142*$AO$6)+(FI142*$AP$6))*FR142</f>
        <v>0</v>
      </c>
      <c r="FU142" s="70">
        <f>SUM(FS142:FT142)</f>
        <v>0</v>
      </c>
      <c r="FV142" s="73">
        <v>0</v>
      </c>
      <c r="FW142" s="74">
        <f t="shared" ref="FW142:FW144" si="2532">IF(FG142=1,($C$1*$Q$6),0)</f>
        <v>0</v>
      </c>
      <c r="FX142" s="303">
        <f t="shared" ref="FX142:FX144" si="2533">FP142+FU142+FV142+FW142</f>
        <v>0</v>
      </c>
      <c r="FY142" s="58">
        <v>0</v>
      </c>
      <c r="FZ142" s="76" t="s">
        <v>182</v>
      </c>
      <c r="GA142" s="28">
        <f t="shared" ref="GA142:GA144" si="2534">GB142/$AM$4</f>
        <v>0</v>
      </c>
      <c r="GB142" s="28">
        <v>0</v>
      </c>
      <c r="GC142" s="28">
        <f>GB142*GC$6</f>
        <v>0</v>
      </c>
      <c r="GD142" s="28">
        <f>GB142*GD$6</f>
        <v>0</v>
      </c>
      <c r="GE142" s="28">
        <f>GB142/GE$6</f>
        <v>0</v>
      </c>
      <c r="GF142" s="72">
        <f>GE142/GF$6</f>
        <v>0</v>
      </c>
      <c r="GG142" s="72">
        <f>GB142/GG$6</f>
        <v>0</v>
      </c>
      <c r="GH142" s="70">
        <f>SUM(GB142:GG142)</f>
        <v>0</v>
      </c>
      <c r="GI142" s="71">
        <v>0</v>
      </c>
      <c r="GJ142" s="71">
        <v>0</v>
      </c>
      <c r="GK142" s="72">
        <f t="shared" ref="GK142:GK144" si="2535">((GA142*GK$6)+(GA142*$AO$6)+(GA142*$AP$6))*GI142</f>
        <v>0</v>
      </c>
      <c r="GL142" s="72">
        <f t="shared" ref="GL142:GL144" si="2536">((GA142*GL$6)+(GA142*$AO$6)+(GA142*$AP$6))*GJ142</f>
        <v>0</v>
      </c>
      <c r="GM142" s="70">
        <f>SUM(GK142:GL142)</f>
        <v>0</v>
      </c>
      <c r="GN142" s="73">
        <v>0</v>
      </c>
      <c r="GO142" s="74">
        <f t="shared" ref="GO142:GO144" si="2537">IF(FY142=1,($C$1*$Q$6),0)</f>
        <v>0</v>
      </c>
      <c r="GP142" s="303">
        <f t="shared" ref="GP142:GP144" si="2538">GH142+GM142+GN142+GO142</f>
        <v>0</v>
      </c>
      <c r="GQ142" s="58">
        <v>0</v>
      </c>
      <c r="GR142" s="76" t="s">
        <v>182</v>
      </c>
      <c r="GS142" s="28">
        <f t="shared" ref="GS142:GS144" si="2539">GT142/$AM$4</f>
        <v>0</v>
      </c>
      <c r="GT142" s="28">
        <v>0</v>
      </c>
      <c r="GU142" s="28">
        <f>GT142*GU$6</f>
        <v>0</v>
      </c>
      <c r="GV142" s="28">
        <f>GT142*GV$6</f>
        <v>0</v>
      </c>
      <c r="GW142" s="28">
        <f>GT142/GW$6</f>
        <v>0</v>
      </c>
      <c r="GX142" s="72">
        <f>GW142/GX$6</f>
        <v>0</v>
      </c>
      <c r="GY142" s="72">
        <f>GT142/GY$6</f>
        <v>0</v>
      </c>
      <c r="GZ142" s="70">
        <f>SUM(GT142:GY142)</f>
        <v>0</v>
      </c>
      <c r="HA142" s="71">
        <v>0</v>
      </c>
      <c r="HB142" s="71">
        <v>0</v>
      </c>
      <c r="HC142" s="72">
        <f t="shared" ref="HC142:HC144" si="2540">((GS142*HC$6)+(GS142*$AO$6)+(GS142*$AP$6))*HA142</f>
        <v>0</v>
      </c>
      <c r="HD142" s="72">
        <f t="shared" ref="HD142:HD144" si="2541">((GS142*HD$6)+(GS142*$AO$6)+(GS142*$AP$6))*HB142</f>
        <v>0</v>
      </c>
      <c r="HE142" s="70">
        <f>SUM(HC142:HD142)</f>
        <v>0</v>
      </c>
      <c r="HF142" s="73">
        <v>0</v>
      </c>
      <c r="HG142" s="74">
        <f t="shared" ref="HG142:HG144" si="2542">IF(GQ142=1,($C$1*$Q$6),0)</f>
        <v>0</v>
      </c>
      <c r="HH142" s="303">
        <f t="shared" ref="HH142:HH144" si="2543">GZ142+HE142+HF142+HG142</f>
        <v>0</v>
      </c>
      <c r="HJ142" s="37"/>
      <c r="HK142" s="37"/>
      <c r="HL142" s="37"/>
      <c r="HM142" s="37"/>
      <c r="HN142" s="37"/>
      <c r="HO142" s="37"/>
      <c r="HP142" s="37"/>
      <c r="HQ142" s="37"/>
      <c r="HR142" s="37"/>
      <c r="HS142" s="37"/>
      <c r="HT142" s="37"/>
      <c r="HU142" s="37"/>
      <c r="HV142" s="37"/>
      <c r="HW142" s="37"/>
      <c r="HX142" s="37"/>
      <c r="HY142" s="37"/>
      <c r="HZ142" s="37"/>
      <c r="IA142" s="37"/>
      <c r="IB142" s="37"/>
      <c r="IC142" s="37"/>
      <c r="ID142" s="37"/>
      <c r="IE142" s="37"/>
      <c r="IF142" s="37"/>
      <c r="IG142" s="37"/>
      <c r="IH142" s="37"/>
      <c r="II142" s="37"/>
      <c r="IJ142" s="37"/>
      <c r="IK142" s="37"/>
      <c r="IL142" s="37"/>
      <c r="IM142" s="37"/>
      <c r="IN142" s="37"/>
      <c r="IO142" s="37"/>
      <c r="IP142" s="37"/>
    </row>
    <row r="143" spans="1:250" ht="15" customHeight="1" x14ac:dyDescent="0.3">
      <c r="A143" s="58">
        <v>0</v>
      </c>
      <c r="B143" s="76" t="s">
        <v>182</v>
      </c>
      <c r="C143" s="28">
        <f t="shared" si="2484"/>
        <v>0</v>
      </c>
      <c r="D143" s="28">
        <v>0</v>
      </c>
      <c r="E143" s="28">
        <f>D143*E$6</f>
        <v>0</v>
      </c>
      <c r="F143" s="28">
        <f>D143*F$6</f>
        <v>0</v>
      </c>
      <c r="G143" s="28">
        <f>D143/G$6</f>
        <v>0</v>
      </c>
      <c r="H143" s="72">
        <f>G143/H$6</f>
        <v>0</v>
      </c>
      <c r="I143" s="72">
        <f>D143/I$6</f>
        <v>0</v>
      </c>
      <c r="J143" s="70">
        <f>SUM(D143:I143)</f>
        <v>0</v>
      </c>
      <c r="K143" s="71">
        <v>0</v>
      </c>
      <c r="L143" s="71">
        <v>0</v>
      </c>
      <c r="M143" s="72">
        <f t="shared" si="2485"/>
        <v>0</v>
      </c>
      <c r="N143" s="72">
        <f t="shared" si="2486"/>
        <v>0</v>
      </c>
      <c r="O143" s="70">
        <f>SUM(M143:N143)</f>
        <v>0</v>
      </c>
      <c r="P143" s="73">
        <v>0</v>
      </c>
      <c r="Q143" s="74">
        <f t="shared" si="2487"/>
        <v>0</v>
      </c>
      <c r="R143" s="303">
        <f t="shared" si="2488"/>
        <v>0</v>
      </c>
      <c r="S143" s="58">
        <v>0</v>
      </c>
      <c r="T143" s="76" t="s">
        <v>182</v>
      </c>
      <c r="U143" s="28">
        <f t="shared" si="2489"/>
        <v>0</v>
      </c>
      <c r="V143" s="28">
        <v>0</v>
      </c>
      <c r="W143" s="28">
        <f>V143*W$6</f>
        <v>0</v>
      </c>
      <c r="X143" s="28">
        <f>V143*X$6</f>
        <v>0</v>
      </c>
      <c r="Y143" s="28">
        <f>V143/Y$6</f>
        <v>0</v>
      </c>
      <c r="Z143" s="72">
        <f>Y143/Z$6</f>
        <v>0</v>
      </c>
      <c r="AA143" s="72">
        <f>V143/AA$6</f>
        <v>0</v>
      </c>
      <c r="AB143" s="70">
        <f>SUM(V143:AA143)</f>
        <v>0</v>
      </c>
      <c r="AC143" s="71">
        <v>0</v>
      </c>
      <c r="AD143" s="71">
        <v>0</v>
      </c>
      <c r="AE143" s="72">
        <f t="shared" si="2490"/>
        <v>0</v>
      </c>
      <c r="AF143" s="72">
        <f t="shared" si="2491"/>
        <v>0</v>
      </c>
      <c r="AG143" s="70">
        <f>SUM(AE143:AF143)</f>
        <v>0</v>
      </c>
      <c r="AH143" s="73">
        <v>0</v>
      </c>
      <c r="AI143" s="74">
        <f t="shared" si="2492"/>
        <v>0</v>
      </c>
      <c r="AJ143" s="303">
        <f t="shared" si="2493"/>
        <v>0</v>
      </c>
      <c r="AK143" s="58">
        <v>0</v>
      </c>
      <c r="AL143" s="76" t="s">
        <v>182</v>
      </c>
      <c r="AM143" s="28">
        <f t="shared" si="2494"/>
        <v>0</v>
      </c>
      <c r="AN143" s="28">
        <v>0</v>
      </c>
      <c r="AO143" s="28">
        <f>AN143*AO$6</f>
        <v>0</v>
      </c>
      <c r="AP143" s="28">
        <f>AN143*AP$6</f>
        <v>0</v>
      </c>
      <c r="AQ143" s="28">
        <f>AN143/AQ$6</f>
        <v>0</v>
      </c>
      <c r="AR143" s="72">
        <f>AQ143/AR$6</f>
        <v>0</v>
      </c>
      <c r="AS143" s="72">
        <f>AN143/AS$6</f>
        <v>0</v>
      </c>
      <c r="AT143" s="70">
        <f>SUM(AN143:AS143)</f>
        <v>0</v>
      </c>
      <c r="AU143" s="71">
        <v>0</v>
      </c>
      <c r="AV143" s="71">
        <v>0</v>
      </c>
      <c r="AW143" s="72">
        <f t="shared" si="2495"/>
        <v>0</v>
      </c>
      <c r="AX143" s="72">
        <f t="shared" si="2496"/>
        <v>0</v>
      </c>
      <c r="AY143" s="70">
        <f>SUM(AW143:AX143)</f>
        <v>0</v>
      </c>
      <c r="AZ143" s="73">
        <v>0</v>
      </c>
      <c r="BA143" s="74">
        <f t="shared" si="2497"/>
        <v>0</v>
      </c>
      <c r="BB143" s="303">
        <f t="shared" si="2498"/>
        <v>0</v>
      </c>
      <c r="BC143" s="58">
        <v>0</v>
      </c>
      <c r="BD143" s="76" t="s">
        <v>182</v>
      </c>
      <c r="BE143" s="28">
        <f t="shared" si="2499"/>
        <v>0</v>
      </c>
      <c r="BF143" s="28">
        <v>0</v>
      </c>
      <c r="BG143" s="28">
        <f>BF143*BG$6</f>
        <v>0</v>
      </c>
      <c r="BH143" s="28">
        <f>BF143*BH$6</f>
        <v>0</v>
      </c>
      <c r="BI143" s="28">
        <f>BF143/BI$6</f>
        <v>0</v>
      </c>
      <c r="BJ143" s="72">
        <f>BI143/BJ$6</f>
        <v>0</v>
      </c>
      <c r="BK143" s="72">
        <f>BF143/BK$6</f>
        <v>0</v>
      </c>
      <c r="BL143" s="70">
        <f>SUM(BF143:BK143)</f>
        <v>0</v>
      </c>
      <c r="BM143" s="71">
        <v>0</v>
      </c>
      <c r="BN143" s="71">
        <v>0</v>
      </c>
      <c r="BO143" s="72">
        <f t="shared" si="2500"/>
        <v>0</v>
      </c>
      <c r="BP143" s="72">
        <f t="shared" si="2501"/>
        <v>0</v>
      </c>
      <c r="BQ143" s="70">
        <f>SUM(BO143:BP143)</f>
        <v>0</v>
      </c>
      <c r="BR143" s="73">
        <v>0</v>
      </c>
      <c r="BS143" s="74">
        <f t="shared" si="2502"/>
        <v>0</v>
      </c>
      <c r="BT143" s="303">
        <f t="shared" si="2503"/>
        <v>0</v>
      </c>
      <c r="BU143" s="58">
        <v>0</v>
      </c>
      <c r="BV143" s="76" t="s">
        <v>182</v>
      </c>
      <c r="BW143" s="28">
        <f t="shared" si="2504"/>
        <v>0</v>
      </c>
      <c r="BX143" s="28">
        <v>0</v>
      </c>
      <c r="BY143" s="28">
        <f>BX143*BY$6</f>
        <v>0</v>
      </c>
      <c r="BZ143" s="28">
        <f>BX143*BZ$6</f>
        <v>0</v>
      </c>
      <c r="CA143" s="28">
        <f>BX143/CA$6</f>
        <v>0</v>
      </c>
      <c r="CB143" s="72">
        <f>CA143/CB$6</f>
        <v>0</v>
      </c>
      <c r="CC143" s="72">
        <f>BX143/CC$6</f>
        <v>0</v>
      </c>
      <c r="CD143" s="70">
        <f>SUM(BX143:CC143)</f>
        <v>0</v>
      </c>
      <c r="CE143" s="71">
        <v>0</v>
      </c>
      <c r="CF143" s="71">
        <v>0</v>
      </c>
      <c r="CG143" s="72">
        <f t="shared" si="2505"/>
        <v>0</v>
      </c>
      <c r="CH143" s="72">
        <f t="shared" si="2506"/>
        <v>0</v>
      </c>
      <c r="CI143" s="70">
        <f>SUM(CG143:CH143)</f>
        <v>0</v>
      </c>
      <c r="CJ143" s="73">
        <v>0</v>
      </c>
      <c r="CK143" s="74">
        <f t="shared" si="2507"/>
        <v>0</v>
      </c>
      <c r="CL143" s="303">
        <f t="shared" si="2508"/>
        <v>0</v>
      </c>
      <c r="CM143" s="58">
        <v>0</v>
      </c>
      <c r="CN143" s="76" t="s">
        <v>182</v>
      </c>
      <c r="CO143" s="28">
        <f t="shared" si="2509"/>
        <v>0</v>
      </c>
      <c r="CP143" s="28">
        <v>0</v>
      </c>
      <c r="CQ143" s="28">
        <f>CP143*CQ$6</f>
        <v>0</v>
      </c>
      <c r="CR143" s="28">
        <f>CP143*CR$6</f>
        <v>0</v>
      </c>
      <c r="CS143" s="28">
        <f>CP143/CS$6</f>
        <v>0</v>
      </c>
      <c r="CT143" s="72">
        <f>CS143/CT$6</f>
        <v>0</v>
      </c>
      <c r="CU143" s="72">
        <f>CP143/CU$6</f>
        <v>0</v>
      </c>
      <c r="CV143" s="70">
        <f>SUM(CP143:CU143)</f>
        <v>0</v>
      </c>
      <c r="CW143" s="71">
        <v>0</v>
      </c>
      <c r="CX143" s="71">
        <v>0</v>
      </c>
      <c r="CY143" s="72">
        <f t="shared" si="2510"/>
        <v>0</v>
      </c>
      <c r="CZ143" s="72">
        <f t="shared" si="2511"/>
        <v>0</v>
      </c>
      <c r="DA143" s="70">
        <f>SUM(CY143:CZ143)</f>
        <v>0</v>
      </c>
      <c r="DB143" s="73">
        <v>0</v>
      </c>
      <c r="DC143" s="74">
        <f t="shared" si="2512"/>
        <v>0</v>
      </c>
      <c r="DD143" s="303">
        <f t="shared" si="2513"/>
        <v>0</v>
      </c>
      <c r="DE143" s="58">
        <v>0</v>
      </c>
      <c r="DF143" s="76" t="s">
        <v>182</v>
      </c>
      <c r="DG143" s="28">
        <f t="shared" si="2514"/>
        <v>0</v>
      </c>
      <c r="DH143" s="28">
        <v>0</v>
      </c>
      <c r="DI143" s="28">
        <f>DH143*DI$6</f>
        <v>0</v>
      </c>
      <c r="DJ143" s="28">
        <f>DH143*DJ$6</f>
        <v>0</v>
      </c>
      <c r="DK143" s="28">
        <f>DH143/DK$6</f>
        <v>0</v>
      </c>
      <c r="DL143" s="72">
        <f>DK143/DL$6</f>
        <v>0</v>
      </c>
      <c r="DM143" s="72">
        <f>DH143/DM$6</f>
        <v>0</v>
      </c>
      <c r="DN143" s="70">
        <f>SUM(DH143:DM143)</f>
        <v>0</v>
      </c>
      <c r="DO143" s="71">
        <v>0</v>
      </c>
      <c r="DP143" s="71">
        <v>0</v>
      </c>
      <c r="DQ143" s="72">
        <f t="shared" si="2515"/>
        <v>0</v>
      </c>
      <c r="DR143" s="72">
        <f t="shared" si="2516"/>
        <v>0</v>
      </c>
      <c r="DS143" s="70">
        <f>SUM(DQ143:DR143)</f>
        <v>0</v>
      </c>
      <c r="DT143" s="73">
        <v>0</v>
      </c>
      <c r="DU143" s="74">
        <f t="shared" si="2517"/>
        <v>0</v>
      </c>
      <c r="DV143" s="303">
        <f t="shared" si="2518"/>
        <v>0</v>
      </c>
      <c r="DW143" s="58">
        <v>0</v>
      </c>
      <c r="DX143" s="76" t="s">
        <v>182</v>
      </c>
      <c r="DY143" s="28">
        <f t="shared" si="2519"/>
        <v>0</v>
      </c>
      <c r="DZ143" s="28">
        <v>0</v>
      </c>
      <c r="EA143" s="28">
        <f>DZ143*EA$6</f>
        <v>0</v>
      </c>
      <c r="EB143" s="28">
        <f>DZ143*EB$6</f>
        <v>0</v>
      </c>
      <c r="EC143" s="28">
        <f>DZ143/EC$6</f>
        <v>0</v>
      </c>
      <c r="ED143" s="72">
        <f>EC143/ED$6</f>
        <v>0</v>
      </c>
      <c r="EE143" s="72">
        <f>DZ143/EE$6</f>
        <v>0</v>
      </c>
      <c r="EF143" s="70">
        <f>SUM(DZ143:EE143)</f>
        <v>0</v>
      </c>
      <c r="EG143" s="71">
        <v>0</v>
      </c>
      <c r="EH143" s="71">
        <v>0</v>
      </c>
      <c r="EI143" s="72">
        <f t="shared" si="2520"/>
        <v>0</v>
      </c>
      <c r="EJ143" s="72">
        <f t="shared" si="2521"/>
        <v>0</v>
      </c>
      <c r="EK143" s="70">
        <f>SUM(EI143:EJ143)</f>
        <v>0</v>
      </c>
      <c r="EL143" s="73">
        <v>0</v>
      </c>
      <c r="EM143" s="74">
        <f t="shared" si="2522"/>
        <v>0</v>
      </c>
      <c r="EN143" s="303">
        <f t="shared" si="2523"/>
        <v>0</v>
      </c>
      <c r="EO143" s="58">
        <v>0</v>
      </c>
      <c r="EP143" s="76" t="s">
        <v>182</v>
      </c>
      <c r="EQ143" s="28">
        <f t="shared" si="2524"/>
        <v>0</v>
      </c>
      <c r="ER143" s="28">
        <v>0</v>
      </c>
      <c r="ES143" s="28">
        <f>ER143*ES$6</f>
        <v>0</v>
      </c>
      <c r="ET143" s="28">
        <f>ER143*ET$6</f>
        <v>0</v>
      </c>
      <c r="EU143" s="28">
        <f>ER143/EU$6</f>
        <v>0</v>
      </c>
      <c r="EV143" s="72">
        <f>EU143/EV$6</f>
        <v>0</v>
      </c>
      <c r="EW143" s="72">
        <f>ER143/EW$6</f>
        <v>0</v>
      </c>
      <c r="EX143" s="70">
        <f>SUM(ER143:EW143)</f>
        <v>0</v>
      </c>
      <c r="EY143" s="71">
        <v>0</v>
      </c>
      <c r="EZ143" s="71">
        <v>0</v>
      </c>
      <c r="FA143" s="72">
        <f t="shared" si="2525"/>
        <v>0</v>
      </c>
      <c r="FB143" s="72">
        <f t="shared" si="2526"/>
        <v>0</v>
      </c>
      <c r="FC143" s="70">
        <f>SUM(FA143:FB143)</f>
        <v>0</v>
      </c>
      <c r="FD143" s="73">
        <v>0</v>
      </c>
      <c r="FE143" s="74">
        <f t="shared" si="2527"/>
        <v>0</v>
      </c>
      <c r="FF143" s="303">
        <f t="shared" si="2528"/>
        <v>0</v>
      </c>
      <c r="FG143" s="58">
        <v>0</v>
      </c>
      <c r="FH143" s="76" t="s">
        <v>182</v>
      </c>
      <c r="FI143" s="28">
        <f t="shared" si="2529"/>
        <v>0</v>
      </c>
      <c r="FJ143" s="28">
        <v>0</v>
      </c>
      <c r="FK143" s="28">
        <f>FJ143*FK$6</f>
        <v>0</v>
      </c>
      <c r="FL143" s="28">
        <f>FJ143*FL$6</f>
        <v>0</v>
      </c>
      <c r="FM143" s="28">
        <f>FJ143/FM$6</f>
        <v>0</v>
      </c>
      <c r="FN143" s="72">
        <f>FM143/FN$6</f>
        <v>0</v>
      </c>
      <c r="FO143" s="72">
        <f>FJ143/FO$6</f>
        <v>0</v>
      </c>
      <c r="FP143" s="70">
        <f>SUM(FJ143:FO143)</f>
        <v>0</v>
      </c>
      <c r="FQ143" s="71">
        <v>0</v>
      </c>
      <c r="FR143" s="71">
        <v>0</v>
      </c>
      <c r="FS143" s="72">
        <f t="shared" si="2530"/>
        <v>0</v>
      </c>
      <c r="FT143" s="72">
        <f t="shared" si="2531"/>
        <v>0</v>
      </c>
      <c r="FU143" s="70">
        <f>SUM(FS143:FT143)</f>
        <v>0</v>
      </c>
      <c r="FV143" s="73">
        <v>0</v>
      </c>
      <c r="FW143" s="74">
        <f t="shared" si="2532"/>
        <v>0</v>
      </c>
      <c r="FX143" s="303">
        <f t="shared" si="2533"/>
        <v>0</v>
      </c>
      <c r="FY143" s="58">
        <v>0</v>
      </c>
      <c r="FZ143" s="76" t="s">
        <v>182</v>
      </c>
      <c r="GA143" s="28">
        <f t="shared" si="2534"/>
        <v>0</v>
      </c>
      <c r="GB143" s="28">
        <v>0</v>
      </c>
      <c r="GC143" s="28">
        <f>GB143*GC$6</f>
        <v>0</v>
      </c>
      <c r="GD143" s="28">
        <f>GB143*GD$6</f>
        <v>0</v>
      </c>
      <c r="GE143" s="28">
        <f>GB143/GE$6</f>
        <v>0</v>
      </c>
      <c r="GF143" s="72">
        <f>GE143/GF$6</f>
        <v>0</v>
      </c>
      <c r="GG143" s="72">
        <f>GB143/GG$6</f>
        <v>0</v>
      </c>
      <c r="GH143" s="70">
        <f>SUM(GB143:GG143)</f>
        <v>0</v>
      </c>
      <c r="GI143" s="71">
        <v>0</v>
      </c>
      <c r="GJ143" s="71">
        <v>0</v>
      </c>
      <c r="GK143" s="72">
        <f t="shared" si="2535"/>
        <v>0</v>
      </c>
      <c r="GL143" s="72">
        <f t="shared" si="2536"/>
        <v>0</v>
      </c>
      <c r="GM143" s="70">
        <f>SUM(GK143:GL143)</f>
        <v>0</v>
      </c>
      <c r="GN143" s="73">
        <v>0</v>
      </c>
      <c r="GO143" s="74">
        <f t="shared" si="2537"/>
        <v>0</v>
      </c>
      <c r="GP143" s="303">
        <f t="shared" si="2538"/>
        <v>0</v>
      </c>
      <c r="GQ143" s="58">
        <v>0</v>
      </c>
      <c r="GR143" s="76" t="s">
        <v>182</v>
      </c>
      <c r="GS143" s="28">
        <f t="shared" si="2539"/>
        <v>0</v>
      </c>
      <c r="GT143" s="28">
        <v>0</v>
      </c>
      <c r="GU143" s="28">
        <f>GT143*GU$6</f>
        <v>0</v>
      </c>
      <c r="GV143" s="28">
        <f>GT143*GV$6</f>
        <v>0</v>
      </c>
      <c r="GW143" s="28">
        <f>GT143/GW$6</f>
        <v>0</v>
      </c>
      <c r="GX143" s="72">
        <f>GW143/GX$6</f>
        <v>0</v>
      </c>
      <c r="GY143" s="72">
        <f>GT143/GY$6</f>
        <v>0</v>
      </c>
      <c r="GZ143" s="70">
        <f>SUM(GT143:GY143)</f>
        <v>0</v>
      </c>
      <c r="HA143" s="71">
        <v>0</v>
      </c>
      <c r="HB143" s="71">
        <v>0</v>
      </c>
      <c r="HC143" s="72">
        <f t="shared" si="2540"/>
        <v>0</v>
      </c>
      <c r="HD143" s="72">
        <f t="shared" si="2541"/>
        <v>0</v>
      </c>
      <c r="HE143" s="70">
        <f>SUM(HC143:HD143)</f>
        <v>0</v>
      </c>
      <c r="HF143" s="73">
        <v>0</v>
      </c>
      <c r="HG143" s="74">
        <f t="shared" si="2542"/>
        <v>0</v>
      </c>
      <c r="HH143" s="303">
        <f t="shared" si="2543"/>
        <v>0</v>
      </c>
      <c r="HJ143" s="37"/>
      <c r="HK143" s="37"/>
      <c r="HL143" s="37"/>
      <c r="HM143" s="37"/>
      <c r="HN143" s="37"/>
      <c r="HO143" s="37"/>
      <c r="HP143" s="37"/>
      <c r="HQ143" s="37"/>
      <c r="HR143" s="37"/>
      <c r="HS143" s="37"/>
      <c r="HT143" s="37"/>
      <c r="HU143" s="37"/>
      <c r="HV143" s="37"/>
      <c r="HW143" s="37"/>
      <c r="HX143" s="37"/>
      <c r="HY143" s="37"/>
      <c r="HZ143" s="37"/>
      <c r="IA143" s="37"/>
      <c r="IB143" s="37"/>
      <c r="IC143" s="37"/>
      <c r="ID143" s="37"/>
      <c r="IE143" s="37"/>
      <c r="IF143" s="37"/>
      <c r="IG143" s="37"/>
      <c r="IH143" s="37"/>
      <c r="II143" s="37"/>
      <c r="IJ143" s="37"/>
      <c r="IK143" s="37"/>
      <c r="IL143" s="37"/>
      <c r="IM143" s="37"/>
      <c r="IN143" s="37"/>
      <c r="IO143" s="37"/>
      <c r="IP143" s="37"/>
    </row>
    <row r="144" spans="1:250" ht="15" customHeight="1" x14ac:dyDescent="0.3">
      <c r="A144" s="58">
        <v>0</v>
      </c>
      <c r="B144" s="68" t="s">
        <v>182</v>
      </c>
      <c r="C144" s="28">
        <f t="shared" si="2484"/>
        <v>0</v>
      </c>
      <c r="D144" s="69">
        <v>0</v>
      </c>
      <c r="E144" s="28">
        <f>D144*E$6</f>
        <v>0</v>
      </c>
      <c r="F144" s="28">
        <f>D144*F$6</f>
        <v>0</v>
      </c>
      <c r="G144" s="28">
        <f>D144/G$6</f>
        <v>0</v>
      </c>
      <c r="H144" s="72">
        <f>G144/H$6</f>
        <v>0</v>
      </c>
      <c r="I144" s="72">
        <f>D144/I$6</f>
        <v>0</v>
      </c>
      <c r="J144" s="70">
        <f>SUM(D144:I144)</f>
        <v>0</v>
      </c>
      <c r="K144" s="71">
        <v>0</v>
      </c>
      <c r="L144" s="71">
        <v>0</v>
      </c>
      <c r="M144" s="72">
        <f t="shared" si="2485"/>
        <v>0</v>
      </c>
      <c r="N144" s="72">
        <f t="shared" si="2486"/>
        <v>0</v>
      </c>
      <c r="O144" s="70">
        <f t="shared" ref="O144" si="2544">SUM(M144:N144)</f>
        <v>0</v>
      </c>
      <c r="P144" s="73">
        <v>0</v>
      </c>
      <c r="Q144" s="74">
        <f t="shared" si="2487"/>
        <v>0</v>
      </c>
      <c r="R144" s="303">
        <f t="shared" si="2488"/>
        <v>0</v>
      </c>
      <c r="S144" s="58">
        <v>0</v>
      </c>
      <c r="T144" s="68" t="s">
        <v>182</v>
      </c>
      <c r="U144" s="28">
        <f t="shared" si="2489"/>
        <v>0</v>
      </c>
      <c r="V144" s="69">
        <v>0</v>
      </c>
      <c r="W144" s="28">
        <f>V144*W$6</f>
        <v>0</v>
      </c>
      <c r="X144" s="28">
        <f>V144*X$6</f>
        <v>0</v>
      </c>
      <c r="Y144" s="28">
        <f>V144/Y$6</f>
        <v>0</v>
      </c>
      <c r="Z144" s="72">
        <f>Y144/Z$6</f>
        <v>0</v>
      </c>
      <c r="AA144" s="72">
        <f>V144/AA$6</f>
        <v>0</v>
      </c>
      <c r="AB144" s="70">
        <f>SUM(V144:AA144)</f>
        <v>0</v>
      </c>
      <c r="AC144" s="71">
        <v>0</v>
      </c>
      <c r="AD144" s="71">
        <v>0</v>
      </c>
      <c r="AE144" s="72">
        <f t="shared" si="2490"/>
        <v>0</v>
      </c>
      <c r="AF144" s="72">
        <f t="shared" si="2491"/>
        <v>0</v>
      </c>
      <c r="AG144" s="70">
        <f t="shared" ref="AG144" si="2545">SUM(AE144:AF144)</f>
        <v>0</v>
      </c>
      <c r="AH144" s="73">
        <v>0</v>
      </c>
      <c r="AI144" s="74">
        <f t="shared" si="2492"/>
        <v>0</v>
      </c>
      <c r="AJ144" s="303">
        <f t="shared" si="2493"/>
        <v>0</v>
      </c>
      <c r="AK144" s="58">
        <v>0</v>
      </c>
      <c r="AL144" s="68" t="s">
        <v>182</v>
      </c>
      <c r="AM144" s="28">
        <f t="shared" si="2494"/>
        <v>0</v>
      </c>
      <c r="AN144" s="69">
        <v>0</v>
      </c>
      <c r="AO144" s="28">
        <f>AN144*AO$6</f>
        <v>0</v>
      </c>
      <c r="AP144" s="28">
        <f>AN144*AP$6</f>
        <v>0</v>
      </c>
      <c r="AQ144" s="28">
        <f>AN144/AQ$6</f>
        <v>0</v>
      </c>
      <c r="AR144" s="72">
        <f>AQ144/AR$6</f>
        <v>0</v>
      </c>
      <c r="AS144" s="72">
        <f>AN144/AS$6</f>
        <v>0</v>
      </c>
      <c r="AT144" s="70">
        <f>SUM(AN144:AS144)</f>
        <v>0</v>
      </c>
      <c r="AU144" s="71">
        <v>0</v>
      </c>
      <c r="AV144" s="71">
        <v>0</v>
      </c>
      <c r="AW144" s="72">
        <f t="shared" si="2495"/>
        <v>0</v>
      </c>
      <c r="AX144" s="72">
        <f t="shared" si="2496"/>
        <v>0</v>
      </c>
      <c r="AY144" s="70">
        <f t="shared" ref="AY144" si="2546">SUM(AW144:AX144)</f>
        <v>0</v>
      </c>
      <c r="AZ144" s="73">
        <v>0</v>
      </c>
      <c r="BA144" s="74">
        <f t="shared" si="2497"/>
        <v>0</v>
      </c>
      <c r="BB144" s="303">
        <f t="shared" si="2498"/>
        <v>0</v>
      </c>
      <c r="BC144" s="58">
        <v>0</v>
      </c>
      <c r="BD144" s="68" t="s">
        <v>182</v>
      </c>
      <c r="BE144" s="28">
        <f t="shared" si="2499"/>
        <v>0</v>
      </c>
      <c r="BF144" s="69">
        <v>0</v>
      </c>
      <c r="BG144" s="28">
        <f>BF144*BG$6</f>
        <v>0</v>
      </c>
      <c r="BH144" s="28">
        <f>BF144*BH$6</f>
        <v>0</v>
      </c>
      <c r="BI144" s="28">
        <f>BF144/BI$6</f>
        <v>0</v>
      </c>
      <c r="BJ144" s="72">
        <f>BI144/BJ$6</f>
        <v>0</v>
      </c>
      <c r="BK144" s="72">
        <f>BF144/BK$6</f>
        <v>0</v>
      </c>
      <c r="BL144" s="70">
        <f>SUM(BF144:BK144)</f>
        <v>0</v>
      </c>
      <c r="BM144" s="71">
        <v>0</v>
      </c>
      <c r="BN144" s="71">
        <v>0</v>
      </c>
      <c r="BO144" s="72">
        <f t="shared" si="2500"/>
        <v>0</v>
      </c>
      <c r="BP144" s="72">
        <f t="shared" si="2501"/>
        <v>0</v>
      </c>
      <c r="BQ144" s="70">
        <f t="shared" ref="BQ144" si="2547">SUM(BO144:BP144)</f>
        <v>0</v>
      </c>
      <c r="BR144" s="73">
        <v>0</v>
      </c>
      <c r="BS144" s="74">
        <f t="shared" si="2502"/>
        <v>0</v>
      </c>
      <c r="BT144" s="303">
        <f t="shared" si="2503"/>
        <v>0</v>
      </c>
      <c r="BU144" s="58">
        <v>0</v>
      </c>
      <c r="BV144" s="68" t="s">
        <v>182</v>
      </c>
      <c r="BW144" s="28">
        <f t="shared" si="2504"/>
        <v>0</v>
      </c>
      <c r="BX144" s="69">
        <v>0</v>
      </c>
      <c r="BY144" s="28">
        <f>BX144*BY$6</f>
        <v>0</v>
      </c>
      <c r="BZ144" s="28">
        <f>BX144*BZ$6</f>
        <v>0</v>
      </c>
      <c r="CA144" s="28">
        <f>BX144/CA$6</f>
        <v>0</v>
      </c>
      <c r="CB144" s="72">
        <f>CA144/CB$6</f>
        <v>0</v>
      </c>
      <c r="CC144" s="72">
        <f>BX144/CC$6</f>
        <v>0</v>
      </c>
      <c r="CD144" s="70">
        <f>SUM(BX144:CC144)</f>
        <v>0</v>
      </c>
      <c r="CE144" s="71">
        <v>0</v>
      </c>
      <c r="CF144" s="71">
        <v>0</v>
      </c>
      <c r="CG144" s="72">
        <f t="shared" si="2505"/>
        <v>0</v>
      </c>
      <c r="CH144" s="72">
        <f t="shared" si="2506"/>
        <v>0</v>
      </c>
      <c r="CI144" s="70">
        <f t="shared" ref="CI144" si="2548">SUM(CG144:CH144)</f>
        <v>0</v>
      </c>
      <c r="CJ144" s="73">
        <v>0</v>
      </c>
      <c r="CK144" s="74">
        <f t="shared" si="2507"/>
        <v>0</v>
      </c>
      <c r="CL144" s="303">
        <f t="shared" si="2508"/>
        <v>0</v>
      </c>
      <c r="CM144" s="58">
        <v>0</v>
      </c>
      <c r="CN144" s="68" t="s">
        <v>182</v>
      </c>
      <c r="CO144" s="28">
        <f t="shared" si="2509"/>
        <v>0</v>
      </c>
      <c r="CP144" s="69">
        <v>0</v>
      </c>
      <c r="CQ144" s="28">
        <f>CP144*CQ$6</f>
        <v>0</v>
      </c>
      <c r="CR144" s="28">
        <f>CP144*CR$6</f>
        <v>0</v>
      </c>
      <c r="CS144" s="28">
        <f>CP144/CS$6</f>
        <v>0</v>
      </c>
      <c r="CT144" s="72">
        <f>CS144/CT$6</f>
        <v>0</v>
      </c>
      <c r="CU144" s="72">
        <f>CP144/CU$6</f>
        <v>0</v>
      </c>
      <c r="CV144" s="70">
        <f>SUM(CP144:CU144)</f>
        <v>0</v>
      </c>
      <c r="CW144" s="71">
        <v>0</v>
      </c>
      <c r="CX144" s="71">
        <v>0</v>
      </c>
      <c r="CY144" s="72">
        <f t="shared" si="2510"/>
        <v>0</v>
      </c>
      <c r="CZ144" s="72">
        <f t="shared" si="2511"/>
        <v>0</v>
      </c>
      <c r="DA144" s="70">
        <f t="shared" ref="DA144" si="2549">SUM(CY144:CZ144)</f>
        <v>0</v>
      </c>
      <c r="DB144" s="73">
        <v>0</v>
      </c>
      <c r="DC144" s="74">
        <f t="shared" si="2512"/>
        <v>0</v>
      </c>
      <c r="DD144" s="303">
        <f t="shared" si="2513"/>
        <v>0</v>
      </c>
      <c r="DE144" s="58">
        <v>0</v>
      </c>
      <c r="DF144" s="68" t="s">
        <v>182</v>
      </c>
      <c r="DG144" s="28">
        <f t="shared" si="2514"/>
        <v>0</v>
      </c>
      <c r="DH144" s="69">
        <v>0</v>
      </c>
      <c r="DI144" s="28">
        <f>DH144*DI$6</f>
        <v>0</v>
      </c>
      <c r="DJ144" s="28">
        <f>DH144*DJ$6</f>
        <v>0</v>
      </c>
      <c r="DK144" s="28">
        <f>DH144/DK$6</f>
        <v>0</v>
      </c>
      <c r="DL144" s="72">
        <f>DK144/DL$6</f>
        <v>0</v>
      </c>
      <c r="DM144" s="72">
        <f>DH144/DM$6</f>
        <v>0</v>
      </c>
      <c r="DN144" s="70">
        <f>SUM(DH144:DM144)</f>
        <v>0</v>
      </c>
      <c r="DO144" s="71">
        <v>0</v>
      </c>
      <c r="DP144" s="71">
        <v>0</v>
      </c>
      <c r="DQ144" s="72">
        <f t="shared" si="2515"/>
        <v>0</v>
      </c>
      <c r="DR144" s="72">
        <f t="shared" si="2516"/>
        <v>0</v>
      </c>
      <c r="DS144" s="70">
        <f t="shared" ref="DS144" si="2550">SUM(DQ144:DR144)</f>
        <v>0</v>
      </c>
      <c r="DT144" s="73">
        <v>0</v>
      </c>
      <c r="DU144" s="74">
        <f t="shared" si="2517"/>
        <v>0</v>
      </c>
      <c r="DV144" s="303">
        <f t="shared" si="2518"/>
        <v>0</v>
      </c>
      <c r="DW144" s="58">
        <v>0</v>
      </c>
      <c r="DX144" s="68" t="s">
        <v>182</v>
      </c>
      <c r="DY144" s="28">
        <f t="shared" si="2519"/>
        <v>0</v>
      </c>
      <c r="DZ144" s="69">
        <v>0</v>
      </c>
      <c r="EA144" s="28">
        <f>DZ144*EA$6</f>
        <v>0</v>
      </c>
      <c r="EB144" s="28">
        <f>DZ144*EB$6</f>
        <v>0</v>
      </c>
      <c r="EC144" s="28">
        <f>DZ144/EC$6</f>
        <v>0</v>
      </c>
      <c r="ED144" s="72">
        <f>EC144/ED$6</f>
        <v>0</v>
      </c>
      <c r="EE144" s="72">
        <f>DZ144/EE$6</f>
        <v>0</v>
      </c>
      <c r="EF144" s="70">
        <f>SUM(DZ144:EE144)</f>
        <v>0</v>
      </c>
      <c r="EG144" s="71">
        <v>0</v>
      </c>
      <c r="EH144" s="71">
        <v>0</v>
      </c>
      <c r="EI144" s="72">
        <f t="shared" si="2520"/>
        <v>0</v>
      </c>
      <c r="EJ144" s="72">
        <f t="shared" si="2521"/>
        <v>0</v>
      </c>
      <c r="EK144" s="70">
        <f t="shared" ref="EK144" si="2551">SUM(EI144:EJ144)</f>
        <v>0</v>
      </c>
      <c r="EL144" s="73">
        <v>0</v>
      </c>
      <c r="EM144" s="74">
        <f t="shared" si="2522"/>
        <v>0</v>
      </c>
      <c r="EN144" s="303">
        <f t="shared" si="2523"/>
        <v>0</v>
      </c>
      <c r="EO144" s="58">
        <v>0</v>
      </c>
      <c r="EP144" s="68" t="s">
        <v>182</v>
      </c>
      <c r="EQ144" s="28">
        <f t="shared" si="2524"/>
        <v>0</v>
      </c>
      <c r="ER144" s="69">
        <v>0</v>
      </c>
      <c r="ES144" s="28">
        <f>ER144*ES$6</f>
        <v>0</v>
      </c>
      <c r="ET144" s="28">
        <f>ER144*ET$6</f>
        <v>0</v>
      </c>
      <c r="EU144" s="28">
        <f>ER144/EU$6</f>
        <v>0</v>
      </c>
      <c r="EV144" s="72">
        <f>EU144/EV$6</f>
        <v>0</v>
      </c>
      <c r="EW144" s="72">
        <f>ER144/EW$6</f>
        <v>0</v>
      </c>
      <c r="EX144" s="70">
        <f>SUM(ER144:EW144)</f>
        <v>0</v>
      </c>
      <c r="EY144" s="71">
        <v>0</v>
      </c>
      <c r="EZ144" s="71">
        <v>0</v>
      </c>
      <c r="FA144" s="72">
        <f t="shared" si="2525"/>
        <v>0</v>
      </c>
      <c r="FB144" s="72">
        <f t="shared" si="2526"/>
        <v>0</v>
      </c>
      <c r="FC144" s="70">
        <f t="shared" ref="FC144" si="2552">SUM(FA144:FB144)</f>
        <v>0</v>
      </c>
      <c r="FD144" s="73">
        <v>0</v>
      </c>
      <c r="FE144" s="74">
        <f t="shared" si="2527"/>
        <v>0</v>
      </c>
      <c r="FF144" s="303">
        <f t="shared" si="2528"/>
        <v>0</v>
      </c>
      <c r="FG144" s="58">
        <v>0</v>
      </c>
      <c r="FH144" s="68" t="s">
        <v>182</v>
      </c>
      <c r="FI144" s="28">
        <f t="shared" si="2529"/>
        <v>0</v>
      </c>
      <c r="FJ144" s="69">
        <v>0</v>
      </c>
      <c r="FK144" s="28">
        <f>FJ144*FK$6</f>
        <v>0</v>
      </c>
      <c r="FL144" s="28">
        <f>FJ144*FL$6</f>
        <v>0</v>
      </c>
      <c r="FM144" s="28">
        <f>FJ144/FM$6</f>
        <v>0</v>
      </c>
      <c r="FN144" s="72">
        <f>FM144/FN$6</f>
        <v>0</v>
      </c>
      <c r="FO144" s="72">
        <f>FJ144/FO$6</f>
        <v>0</v>
      </c>
      <c r="FP144" s="70">
        <f>SUM(FJ144:FO144)</f>
        <v>0</v>
      </c>
      <c r="FQ144" s="71">
        <v>0</v>
      </c>
      <c r="FR144" s="71">
        <v>0</v>
      </c>
      <c r="FS144" s="72">
        <f t="shared" si="2530"/>
        <v>0</v>
      </c>
      <c r="FT144" s="72">
        <f t="shared" si="2531"/>
        <v>0</v>
      </c>
      <c r="FU144" s="70">
        <f t="shared" ref="FU144" si="2553">SUM(FS144:FT144)</f>
        <v>0</v>
      </c>
      <c r="FV144" s="73">
        <v>0</v>
      </c>
      <c r="FW144" s="74">
        <f t="shared" si="2532"/>
        <v>0</v>
      </c>
      <c r="FX144" s="303">
        <f t="shared" si="2533"/>
        <v>0</v>
      </c>
      <c r="FY144" s="58">
        <v>0</v>
      </c>
      <c r="FZ144" s="68" t="s">
        <v>182</v>
      </c>
      <c r="GA144" s="28">
        <f t="shared" si="2534"/>
        <v>0</v>
      </c>
      <c r="GB144" s="69">
        <v>0</v>
      </c>
      <c r="GC144" s="28">
        <f>GB144*GC$6</f>
        <v>0</v>
      </c>
      <c r="GD144" s="28">
        <f>GB144*GD$6</f>
        <v>0</v>
      </c>
      <c r="GE144" s="28">
        <f>GB144/GE$6</f>
        <v>0</v>
      </c>
      <c r="GF144" s="72">
        <f>GE144/GF$6</f>
        <v>0</v>
      </c>
      <c r="GG144" s="72">
        <f>GB144/GG$6</f>
        <v>0</v>
      </c>
      <c r="GH144" s="70">
        <f>SUM(GB144:GG144)</f>
        <v>0</v>
      </c>
      <c r="GI144" s="71">
        <v>0</v>
      </c>
      <c r="GJ144" s="71">
        <v>0</v>
      </c>
      <c r="GK144" s="72">
        <f t="shared" si="2535"/>
        <v>0</v>
      </c>
      <c r="GL144" s="72">
        <f t="shared" si="2536"/>
        <v>0</v>
      </c>
      <c r="GM144" s="70">
        <f t="shared" ref="GM144" si="2554">SUM(GK144:GL144)</f>
        <v>0</v>
      </c>
      <c r="GN144" s="73">
        <v>0</v>
      </c>
      <c r="GO144" s="74">
        <f t="shared" si="2537"/>
        <v>0</v>
      </c>
      <c r="GP144" s="303">
        <f t="shared" si="2538"/>
        <v>0</v>
      </c>
      <c r="GQ144" s="58">
        <v>0</v>
      </c>
      <c r="GR144" s="68" t="s">
        <v>182</v>
      </c>
      <c r="GS144" s="28">
        <f t="shared" si="2539"/>
        <v>0</v>
      </c>
      <c r="GT144" s="69">
        <v>0</v>
      </c>
      <c r="GU144" s="28">
        <f>GT144*GU$6</f>
        <v>0</v>
      </c>
      <c r="GV144" s="28">
        <f>GT144*GV$6</f>
        <v>0</v>
      </c>
      <c r="GW144" s="28">
        <f>GT144/GW$6</f>
        <v>0</v>
      </c>
      <c r="GX144" s="72">
        <f>GW144/GX$6</f>
        <v>0</v>
      </c>
      <c r="GY144" s="72">
        <f>GT144/GY$6</f>
        <v>0</v>
      </c>
      <c r="GZ144" s="70">
        <f>SUM(GT144:GY144)</f>
        <v>0</v>
      </c>
      <c r="HA144" s="71">
        <v>0</v>
      </c>
      <c r="HB144" s="71">
        <v>0</v>
      </c>
      <c r="HC144" s="72">
        <f t="shared" si="2540"/>
        <v>0</v>
      </c>
      <c r="HD144" s="72">
        <f t="shared" si="2541"/>
        <v>0</v>
      </c>
      <c r="HE144" s="70">
        <f t="shared" ref="HE144" si="2555">SUM(HC144:HD144)</f>
        <v>0</v>
      </c>
      <c r="HF144" s="73">
        <v>0</v>
      </c>
      <c r="HG144" s="74">
        <f t="shared" si="2542"/>
        <v>0</v>
      </c>
      <c r="HH144" s="303">
        <f t="shared" si="2543"/>
        <v>0</v>
      </c>
      <c r="HJ144" s="37"/>
      <c r="HK144" s="37"/>
      <c r="HL144" s="37"/>
      <c r="HM144" s="37"/>
      <c r="HN144" s="37"/>
      <c r="HO144" s="37"/>
      <c r="HP144" s="37"/>
      <c r="HQ144" s="37"/>
      <c r="HR144" s="37"/>
      <c r="HS144" s="37"/>
      <c r="HT144" s="37"/>
      <c r="HU144" s="37"/>
      <c r="HV144" s="37"/>
      <c r="HW144" s="37"/>
      <c r="HX144" s="37"/>
      <c r="HY144" s="37"/>
      <c r="HZ144" s="37"/>
      <c r="IA144" s="37"/>
      <c r="IB144" s="37"/>
      <c r="IC144" s="37"/>
      <c r="ID144" s="37"/>
      <c r="IE144" s="37"/>
      <c r="IF144" s="37"/>
      <c r="IG144" s="37"/>
      <c r="IH144" s="37"/>
      <c r="II144" s="37"/>
      <c r="IJ144" s="37"/>
      <c r="IK144" s="37"/>
      <c r="IL144" s="37"/>
      <c r="IM144" s="37"/>
      <c r="IN144" s="37"/>
      <c r="IO144" s="37"/>
      <c r="IP144" s="37"/>
    </row>
    <row r="145" spans="1:250" ht="15" customHeight="1" x14ac:dyDescent="0.3">
      <c r="A145" s="541"/>
      <c r="B145" s="537"/>
      <c r="C145" s="537"/>
      <c r="D145" s="537"/>
      <c r="E145" s="537"/>
      <c r="F145" s="537"/>
      <c r="G145" s="537"/>
      <c r="H145" s="537"/>
      <c r="I145" s="537"/>
      <c r="J145" s="537"/>
      <c r="K145" s="537"/>
      <c r="L145" s="537"/>
      <c r="M145" s="537"/>
      <c r="N145" s="537"/>
      <c r="O145" s="537"/>
      <c r="P145" s="538"/>
      <c r="Q145" s="307" t="s">
        <v>8</v>
      </c>
      <c r="R145" s="304">
        <f>SUM(R142:R144)</f>
        <v>0</v>
      </c>
      <c r="S145" s="541"/>
      <c r="T145" s="537"/>
      <c r="U145" s="537"/>
      <c r="V145" s="537"/>
      <c r="W145" s="537"/>
      <c r="X145" s="537"/>
      <c r="Y145" s="537"/>
      <c r="Z145" s="537"/>
      <c r="AA145" s="537"/>
      <c r="AB145" s="537"/>
      <c r="AC145" s="537"/>
      <c r="AD145" s="537"/>
      <c r="AE145" s="537"/>
      <c r="AF145" s="537"/>
      <c r="AG145" s="537"/>
      <c r="AH145" s="538"/>
      <c r="AI145" s="307" t="s">
        <v>8</v>
      </c>
      <c r="AJ145" s="304">
        <f>SUM(AJ142:AJ144)</f>
        <v>0</v>
      </c>
      <c r="AK145" s="541"/>
      <c r="AL145" s="537"/>
      <c r="AM145" s="537"/>
      <c r="AN145" s="537"/>
      <c r="AO145" s="537"/>
      <c r="AP145" s="537"/>
      <c r="AQ145" s="537"/>
      <c r="AR145" s="537"/>
      <c r="AS145" s="537"/>
      <c r="AT145" s="537"/>
      <c r="AU145" s="537"/>
      <c r="AV145" s="537"/>
      <c r="AW145" s="537"/>
      <c r="AX145" s="537"/>
      <c r="AY145" s="537"/>
      <c r="AZ145" s="538"/>
      <c r="BA145" s="307" t="s">
        <v>8</v>
      </c>
      <c r="BB145" s="304">
        <f>SUM(BB142:BB144)</f>
        <v>0</v>
      </c>
      <c r="BC145" s="541"/>
      <c r="BD145" s="537"/>
      <c r="BE145" s="537"/>
      <c r="BF145" s="537"/>
      <c r="BG145" s="537"/>
      <c r="BH145" s="537"/>
      <c r="BI145" s="537"/>
      <c r="BJ145" s="537"/>
      <c r="BK145" s="537"/>
      <c r="BL145" s="537"/>
      <c r="BM145" s="537"/>
      <c r="BN145" s="537"/>
      <c r="BO145" s="537"/>
      <c r="BP145" s="537"/>
      <c r="BQ145" s="537"/>
      <c r="BR145" s="538"/>
      <c r="BS145" s="307" t="s">
        <v>8</v>
      </c>
      <c r="BT145" s="304">
        <f>SUM(BT142:BT144)</f>
        <v>0</v>
      </c>
      <c r="BU145" s="541"/>
      <c r="BV145" s="537"/>
      <c r="BW145" s="537"/>
      <c r="BX145" s="537"/>
      <c r="BY145" s="537"/>
      <c r="BZ145" s="537"/>
      <c r="CA145" s="537"/>
      <c r="CB145" s="537"/>
      <c r="CC145" s="537"/>
      <c r="CD145" s="537"/>
      <c r="CE145" s="537"/>
      <c r="CF145" s="537"/>
      <c r="CG145" s="537"/>
      <c r="CH145" s="537"/>
      <c r="CI145" s="537"/>
      <c r="CJ145" s="538"/>
      <c r="CK145" s="307" t="s">
        <v>8</v>
      </c>
      <c r="CL145" s="304">
        <f>SUM(CL142:CL144)</f>
        <v>0</v>
      </c>
      <c r="CM145" s="541"/>
      <c r="CN145" s="537"/>
      <c r="CO145" s="537"/>
      <c r="CP145" s="537"/>
      <c r="CQ145" s="537"/>
      <c r="CR145" s="537"/>
      <c r="CS145" s="537"/>
      <c r="CT145" s="537"/>
      <c r="CU145" s="537"/>
      <c r="CV145" s="537"/>
      <c r="CW145" s="537"/>
      <c r="CX145" s="537"/>
      <c r="CY145" s="537"/>
      <c r="CZ145" s="537"/>
      <c r="DA145" s="537"/>
      <c r="DB145" s="538"/>
      <c r="DC145" s="307" t="s">
        <v>8</v>
      </c>
      <c r="DD145" s="304">
        <f>SUM(DD142:DD144)</f>
        <v>0</v>
      </c>
      <c r="DE145" s="541"/>
      <c r="DF145" s="537"/>
      <c r="DG145" s="537"/>
      <c r="DH145" s="537"/>
      <c r="DI145" s="537"/>
      <c r="DJ145" s="537"/>
      <c r="DK145" s="537"/>
      <c r="DL145" s="537"/>
      <c r="DM145" s="537"/>
      <c r="DN145" s="537"/>
      <c r="DO145" s="537"/>
      <c r="DP145" s="537"/>
      <c r="DQ145" s="537"/>
      <c r="DR145" s="537"/>
      <c r="DS145" s="537"/>
      <c r="DT145" s="538"/>
      <c r="DU145" s="307" t="s">
        <v>8</v>
      </c>
      <c r="DV145" s="304">
        <f>SUM(DV142:DV144)</f>
        <v>0</v>
      </c>
      <c r="DW145" s="541"/>
      <c r="DX145" s="537"/>
      <c r="DY145" s="537"/>
      <c r="DZ145" s="537"/>
      <c r="EA145" s="537"/>
      <c r="EB145" s="537"/>
      <c r="EC145" s="537"/>
      <c r="ED145" s="537"/>
      <c r="EE145" s="537"/>
      <c r="EF145" s="537"/>
      <c r="EG145" s="537"/>
      <c r="EH145" s="537"/>
      <c r="EI145" s="537"/>
      <c r="EJ145" s="537"/>
      <c r="EK145" s="537"/>
      <c r="EL145" s="538"/>
      <c r="EM145" s="307" t="s">
        <v>8</v>
      </c>
      <c r="EN145" s="304">
        <f>SUM(EN142:EN144)</f>
        <v>0</v>
      </c>
      <c r="EO145" s="541"/>
      <c r="EP145" s="537"/>
      <c r="EQ145" s="537"/>
      <c r="ER145" s="537"/>
      <c r="ES145" s="537"/>
      <c r="ET145" s="537"/>
      <c r="EU145" s="537"/>
      <c r="EV145" s="537"/>
      <c r="EW145" s="537"/>
      <c r="EX145" s="537"/>
      <c r="EY145" s="537"/>
      <c r="EZ145" s="537"/>
      <c r="FA145" s="537"/>
      <c r="FB145" s="537"/>
      <c r="FC145" s="537"/>
      <c r="FD145" s="538"/>
      <c r="FE145" s="307" t="s">
        <v>8</v>
      </c>
      <c r="FF145" s="304">
        <f>SUM(FF142:FF144)</f>
        <v>0</v>
      </c>
      <c r="FG145" s="541"/>
      <c r="FH145" s="537"/>
      <c r="FI145" s="537"/>
      <c r="FJ145" s="537"/>
      <c r="FK145" s="537"/>
      <c r="FL145" s="537"/>
      <c r="FM145" s="537"/>
      <c r="FN145" s="537"/>
      <c r="FO145" s="537"/>
      <c r="FP145" s="537"/>
      <c r="FQ145" s="537"/>
      <c r="FR145" s="537"/>
      <c r="FS145" s="537"/>
      <c r="FT145" s="537"/>
      <c r="FU145" s="537"/>
      <c r="FV145" s="538"/>
      <c r="FW145" s="307" t="s">
        <v>8</v>
      </c>
      <c r="FX145" s="304">
        <f>SUM(FX142:FX144)</f>
        <v>0</v>
      </c>
      <c r="FY145" s="541"/>
      <c r="FZ145" s="537"/>
      <c r="GA145" s="537"/>
      <c r="GB145" s="537"/>
      <c r="GC145" s="537"/>
      <c r="GD145" s="537"/>
      <c r="GE145" s="537"/>
      <c r="GF145" s="537"/>
      <c r="GG145" s="537"/>
      <c r="GH145" s="537"/>
      <c r="GI145" s="537"/>
      <c r="GJ145" s="537"/>
      <c r="GK145" s="537"/>
      <c r="GL145" s="537"/>
      <c r="GM145" s="537"/>
      <c r="GN145" s="538"/>
      <c r="GO145" s="307" t="s">
        <v>8</v>
      </c>
      <c r="GP145" s="304">
        <f>SUM(GP142:GP144)</f>
        <v>0</v>
      </c>
      <c r="GQ145" s="541"/>
      <c r="GR145" s="537"/>
      <c r="GS145" s="537"/>
      <c r="GT145" s="537"/>
      <c r="GU145" s="537"/>
      <c r="GV145" s="537"/>
      <c r="GW145" s="537"/>
      <c r="GX145" s="537"/>
      <c r="GY145" s="537"/>
      <c r="GZ145" s="537"/>
      <c r="HA145" s="537"/>
      <c r="HB145" s="537"/>
      <c r="HC145" s="537"/>
      <c r="HD145" s="537"/>
      <c r="HE145" s="537"/>
      <c r="HF145" s="538"/>
      <c r="HG145" s="307" t="s">
        <v>8</v>
      </c>
      <c r="HH145" s="304">
        <f>SUM(HH142:HH144)</f>
        <v>0</v>
      </c>
      <c r="HJ145" s="37"/>
      <c r="HK145" s="37"/>
      <c r="HL145" s="37"/>
      <c r="HM145" s="37"/>
      <c r="HN145" s="37"/>
      <c r="HO145" s="37"/>
      <c r="HP145" s="37"/>
      <c r="HQ145" s="37"/>
      <c r="HR145" s="37"/>
      <c r="HS145" s="37"/>
      <c r="HT145" s="37"/>
      <c r="HU145" s="37"/>
      <c r="HV145" s="37"/>
      <c r="HW145" s="37"/>
      <c r="HX145" s="37"/>
      <c r="HY145" s="37"/>
      <c r="HZ145" s="37"/>
      <c r="IA145" s="37"/>
      <c r="IB145" s="37"/>
      <c r="IC145" s="37"/>
      <c r="ID145" s="37"/>
      <c r="IE145" s="37"/>
      <c r="IF145" s="37"/>
      <c r="IG145" s="37"/>
      <c r="IH145" s="37"/>
      <c r="II145" s="37"/>
      <c r="IJ145" s="37"/>
      <c r="IK145" s="37"/>
      <c r="IL145" s="37"/>
      <c r="IM145" s="37"/>
      <c r="IN145" s="37"/>
      <c r="IO145" s="37"/>
      <c r="IP145" s="37"/>
    </row>
    <row r="146" spans="1:250" ht="15.6" x14ac:dyDescent="0.3">
      <c r="A146" s="543"/>
      <c r="B146" s="544"/>
      <c r="C146" s="544"/>
      <c r="D146" s="544"/>
      <c r="E146" s="743" t="s">
        <v>139</v>
      </c>
      <c r="F146" s="743"/>
      <c r="G146" s="743"/>
      <c r="H146" s="743"/>
      <c r="I146" s="743"/>
      <c r="J146" s="743"/>
      <c r="K146" s="743"/>
      <c r="L146" s="743"/>
      <c r="M146" s="743"/>
      <c r="N146" s="544"/>
      <c r="O146" s="544"/>
      <c r="P146" s="544"/>
      <c r="Q146" s="544"/>
      <c r="R146" s="545"/>
      <c r="S146" s="543"/>
      <c r="T146" s="544"/>
      <c r="U146" s="544"/>
      <c r="V146" s="544"/>
      <c r="W146" s="743" t="s">
        <v>139</v>
      </c>
      <c r="X146" s="743"/>
      <c r="Y146" s="743"/>
      <c r="Z146" s="743"/>
      <c r="AA146" s="743"/>
      <c r="AB146" s="743"/>
      <c r="AC146" s="743"/>
      <c r="AD146" s="743"/>
      <c r="AE146" s="743"/>
      <c r="AF146" s="544"/>
      <c r="AG146" s="544"/>
      <c r="AH146" s="544"/>
      <c r="AI146" s="544"/>
      <c r="AJ146" s="545"/>
      <c r="AK146" s="543"/>
      <c r="AL146" s="544"/>
      <c r="AM146" s="544"/>
      <c r="AN146" s="544"/>
      <c r="AO146" s="743" t="s">
        <v>139</v>
      </c>
      <c r="AP146" s="743"/>
      <c r="AQ146" s="743"/>
      <c r="AR146" s="743"/>
      <c r="AS146" s="743"/>
      <c r="AT146" s="743"/>
      <c r="AU146" s="743"/>
      <c r="AV146" s="743"/>
      <c r="AW146" s="743"/>
      <c r="AX146" s="544"/>
      <c r="AY146" s="544"/>
      <c r="AZ146" s="544"/>
      <c r="BA146" s="544"/>
      <c r="BB146" s="545"/>
      <c r="BC146" s="543"/>
      <c r="BD146" s="544"/>
      <c r="BE146" s="544"/>
      <c r="BF146" s="544"/>
      <c r="BG146" s="743" t="s">
        <v>139</v>
      </c>
      <c r="BH146" s="743"/>
      <c r="BI146" s="743"/>
      <c r="BJ146" s="743"/>
      <c r="BK146" s="743"/>
      <c r="BL146" s="743"/>
      <c r="BM146" s="743"/>
      <c r="BN146" s="743"/>
      <c r="BO146" s="743"/>
      <c r="BP146" s="544"/>
      <c r="BQ146" s="544"/>
      <c r="BR146" s="544"/>
      <c r="BS146" s="544"/>
      <c r="BT146" s="545"/>
      <c r="BU146" s="543"/>
      <c r="BV146" s="544"/>
      <c r="BW146" s="544"/>
      <c r="BX146" s="544"/>
      <c r="BY146" s="743" t="s">
        <v>139</v>
      </c>
      <c r="BZ146" s="743"/>
      <c r="CA146" s="743"/>
      <c r="CB146" s="743"/>
      <c r="CC146" s="743"/>
      <c r="CD146" s="743"/>
      <c r="CE146" s="743"/>
      <c r="CF146" s="743"/>
      <c r="CG146" s="743"/>
      <c r="CH146" s="544"/>
      <c r="CI146" s="544"/>
      <c r="CJ146" s="544"/>
      <c r="CK146" s="544"/>
      <c r="CL146" s="545"/>
      <c r="CM146" s="543"/>
      <c r="CN146" s="544"/>
      <c r="CO146" s="544"/>
      <c r="CP146" s="544"/>
      <c r="CQ146" s="743" t="s">
        <v>139</v>
      </c>
      <c r="CR146" s="743"/>
      <c r="CS146" s="743"/>
      <c r="CT146" s="743"/>
      <c r="CU146" s="743"/>
      <c r="CV146" s="743"/>
      <c r="CW146" s="743"/>
      <c r="CX146" s="743"/>
      <c r="CY146" s="743"/>
      <c r="CZ146" s="544"/>
      <c r="DA146" s="544"/>
      <c r="DB146" s="544"/>
      <c r="DC146" s="544"/>
      <c r="DD146" s="545"/>
      <c r="DE146" s="543"/>
      <c r="DF146" s="544"/>
      <c r="DG146" s="544"/>
      <c r="DH146" s="544"/>
      <c r="DI146" s="743" t="s">
        <v>139</v>
      </c>
      <c r="DJ146" s="743"/>
      <c r="DK146" s="743"/>
      <c r="DL146" s="743"/>
      <c r="DM146" s="743"/>
      <c r="DN146" s="743"/>
      <c r="DO146" s="743"/>
      <c r="DP146" s="743"/>
      <c r="DQ146" s="743"/>
      <c r="DR146" s="544"/>
      <c r="DS146" s="544"/>
      <c r="DT146" s="544"/>
      <c r="DU146" s="544"/>
      <c r="DV146" s="545"/>
      <c r="DW146" s="543"/>
      <c r="DX146" s="544"/>
      <c r="DY146" s="544"/>
      <c r="DZ146" s="544"/>
      <c r="EA146" s="743" t="s">
        <v>139</v>
      </c>
      <c r="EB146" s="743"/>
      <c r="EC146" s="743"/>
      <c r="ED146" s="743"/>
      <c r="EE146" s="743"/>
      <c r="EF146" s="743"/>
      <c r="EG146" s="743"/>
      <c r="EH146" s="743"/>
      <c r="EI146" s="743"/>
      <c r="EJ146" s="544"/>
      <c r="EK146" s="544"/>
      <c r="EL146" s="544"/>
      <c r="EM146" s="544"/>
      <c r="EN146" s="545"/>
      <c r="EO146" s="543"/>
      <c r="EP146" s="544"/>
      <c r="EQ146" s="544"/>
      <c r="ER146" s="544"/>
      <c r="ES146" s="743" t="s">
        <v>139</v>
      </c>
      <c r="ET146" s="743"/>
      <c r="EU146" s="743"/>
      <c r="EV146" s="743"/>
      <c r="EW146" s="743"/>
      <c r="EX146" s="743"/>
      <c r="EY146" s="743"/>
      <c r="EZ146" s="743"/>
      <c r="FA146" s="743"/>
      <c r="FB146" s="544"/>
      <c r="FC146" s="544"/>
      <c r="FD146" s="544"/>
      <c r="FE146" s="544"/>
      <c r="FF146" s="545"/>
      <c r="FG146" s="543"/>
      <c r="FH146" s="544"/>
      <c r="FI146" s="544"/>
      <c r="FJ146" s="544"/>
      <c r="FK146" s="743" t="s">
        <v>139</v>
      </c>
      <c r="FL146" s="743"/>
      <c r="FM146" s="743"/>
      <c r="FN146" s="743"/>
      <c r="FO146" s="743"/>
      <c r="FP146" s="743"/>
      <c r="FQ146" s="743"/>
      <c r="FR146" s="743"/>
      <c r="FS146" s="743"/>
      <c r="FT146" s="544"/>
      <c r="FU146" s="544"/>
      <c r="FV146" s="544"/>
      <c r="FW146" s="544"/>
      <c r="FX146" s="545"/>
      <c r="FY146" s="543"/>
      <c r="FZ146" s="544"/>
      <c r="GA146" s="544"/>
      <c r="GB146" s="544"/>
      <c r="GC146" s="743" t="s">
        <v>139</v>
      </c>
      <c r="GD146" s="743"/>
      <c r="GE146" s="743"/>
      <c r="GF146" s="743"/>
      <c r="GG146" s="743"/>
      <c r="GH146" s="743"/>
      <c r="GI146" s="743"/>
      <c r="GJ146" s="743"/>
      <c r="GK146" s="743"/>
      <c r="GL146" s="544"/>
      <c r="GM146" s="544"/>
      <c r="GN146" s="544"/>
      <c r="GO146" s="544"/>
      <c r="GP146" s="545"/>
      <c r="GQ146" s="543"/>
      <c r="GR146" s="544"/>
      <c r="GS146" s="544"/>
      <c r="GT146" s="544"/>
      <c r="GU146" s="743" t="s">
        <v>139</v>
      </c>
      <c r="GV146" s="743"/>
      <c r="GW146" s="743"/>
      <c r="GX146" s="743"/>
      <c r="GY146" s="743"/>
      <c r="GZ146" s="743"/>
      <c r="HA146" s="743"/>
      <c r="HB146" s="743"/>
      <c r="HC146" s="743"/>
      <c r="HD146" s="544"/>
      <c r="HE146" s="544"/>
      <c r="HF146" s="544"/>
      <c r="HG146" s="544"/>
      <c r="HH146" s="545"/>
      <c r="HJ146" s="37"/>
      <c r="HK146" s="37"/>
      <c r="HL146" s="37"/>
      <c r="HM146" s="37"/>
      <c r="HN146" s="37"/>
      <c r="HO146" s="37"/>
      <c r="HP146" s="37"/>
      <c r="HQ146" s="37"/>
      <c r="HR146" s="37"/>
      <c r="HS146" s="37"/>
      <c r="HT146" s="37"/>
      <c r="HU146" s="37"/>
      <c r="HV146" s="37"/>
      <c r="HW146" s="37"/>
      <c r="HX146" s="37"/>
      <c r="HY146" s="37"/>
      <c r="HZ146" s="37"/>
      <c r="IA146" s="37"/>
      <c r="IB146" s="37"/>
      <c r="IC146" s="37"/>
      <c r="ID146" s="37"/>
      <c r="IE146" s="37"/>
      <c r="IF146" s="37"/>
      <c r="IG146" s="37"/>
      <c r="IH146" s="37"/>
      <c r="II146" s="37"/>
      <c r="IJ146" s="37"/>
      <c r="IK146" s="37"/>
      <c r="IL146" s="37"/>
      <c r="IM146" s="37"/>
      <c r="IN146" s="37"/>
      <c r="IO146" s="37"/>
      <c r="IP146" s="37"/>
    </row>
    <row r="147" spans="1:250" x14ac:dyDescent="0.3">
      <c r="A147" s="58">
        <v>1</v>
      </c>
      <c r="B147" s="76" t="s">
        <v>290</v>
      </c>
      <c r="C147" s="28">
        <f t="shared" ref="C147:C149" si="2556">D147/$AM$4</f>
        <v>16.326909090909091</v>
      </c>
      <c r="D147" s="28">
        <v>3591.92</v>
      </c>
      <c r="E147" s="28">
        <f>D147*E$6</f>
        <v>359.19200000000001</v>
      </c>
      <c r="F147" s="28">
        <f>D147*F$6</f>
        <v>287.35360000000003</v>
      </c>
      <c r="G147" s="28">
        <f>D147/G$6</f>
        <v>299.32666666666665</v>
      </c>
      <c r="H147" s="72">
        <f>G147/H$6</f>
        <v>99.775555555555556</v>
      </c>
      <c r="I147" s="72">
        <f>D147/I$6</f>
        <v>299.32666666666665</v>
      </c>
      <c r="J147" s="70">
        <f>SUM(D147:I147)</f>
        <v>4936.89448888889</v>
      </c>
      <c r="K147" s="71">
        <v>0</v>
      </c>
      <c r="L147" s="71">
        <v>0</v>
      </c>
      <c r="M147" s="72">
        <f t="shared" ref="M147:M149" si="2557">((C147*M$6)+(C147*$AO$6)+(C147*$AP$6))*K147</f>
        <v>0</v>
      </c>
      <c r="N147" s="72">
        <f t="shared" ref="N147:N149" si="2558">((C147*N$6)+(C147*$AO$6)+(C147*$AP$6))*L147</f>
        <v>0</v>
      </c>
      <c r="O147" s="70">
        <f>SUM(M147:N147)</f>
        <v>0</v>
      </c>
      <c r="P147" s="73">
        <v>4078.89</v>
      </c>
      <c r="Q147" s="74">
        <f t="shared" ref="Q147:Q149" si="2559">IF(A147=1,($C$1*$Q$6),0)</f>
        <v>282.40000000000003</v>
      </c>
      <c r="R147" s="303">
        <f t="shared" ref="R147:R149" si="2560">J147+O147+P147+Q147</f>
        <v>9298.18448888889</v>
      </c>
      <c r="S147" s="58">
        <v>1</v>
      </c>
      <c r="T147" s="76" t="s">
        <v>290</v>
      </c>
      <c r="U147" s="28">
        <f t="shared" ref="U147:U149" si="2561">V147/$AM$4</f>
        <v>16.326909090909091</v>
      </c>
      <c r="V147" s="28">
        <v>3591.92</v>
      </c>
      <c r="W147" s="28">
        <f>V147*W$6</f>
        <v>359.19200000000001</v>
      </c>
      <c r="X147" s="28">
        <f>V147*X$6</f>
        <v>287.35360000000003</v>
      </c>
      <c r="Y147" s="28">
        <f>V147/Y$6</f>
        <v>299.32666666666665</v>
      </c>
      <c r="Z147" s="72">
        <f>Y147/Z$6</f>
        <v>99.775555555555556</v>
      </c>
      <c r="AA147" s="72">
        <f>V147/AA$6</f>
        <v>299.32666666666665</v>
      </c>
      <c r="AB147" s="70">
        <f>SUM(V147:AA147)</f>
        <v>4936.89448888889</v>
      </c>
      <c r="AC147" s="71">
        <v>0</v>
      </c>
      <c r="AD147" s="71">
        <v>0</v>
      </c>
      <c r="AE147" s="72">
        <f t="shared" ref="AE147:AE149" si="2562">((U147*AE$6)+(U147*$AO$6)+(U147*$AP$6))*AC147</f>
        <v>0</v>
      </c>
      <c r="AF147" s="72">
        <f t="shared" ref="AF147:AF149" si="2563">((U147*AF$6)+(U147*$AO$6)+(U147*$AP$6))*AD147</f>
        <v>0</v>
      </c>
      <c r="AG147" s="70">
        <f>SUM(AE147:AF147)</f>
        <v>0</v>
      </c>
      <c r="AH147" s="73">
        <v>4078.89</v>
      </c>
      <c r="AI147" s="74">
        <f t="shared" ref="AI147:AI149" si="2564">IF(S147=1,($C$1*$Q$6),0)</f>
        <v>282.40000000000003</v>
      </c>
      <c r="AJ147" s="303">
        <f t="shared" ref="AJ147:AJ149" si="2565">AB147+AG147+AH147+AI147</f>
        <v>9298.18448888889</v>
      </c>
      <c r="AK147" s="58">
        <v>1</v>
      </c>
      <c r="AL147" s="76" t="s">
        <v>290</v>
      </c>
      <c r="AM147" s="28">
        <f t="shared" ref="AM147:AM149" si="2566">AN147/$AM$4</f>
        <v>16.326909090909091</v>
      </c>
      <c r="AN147" s="28">
        <v>3591.92</v>
      </c>
      <c r="AO147" s="28">
        <f>AN147*AO$6</f>
        <v>359.19200000000001</v>
      </c>
      <c r="AP147" s="28">
        <f>AN147*AP$6</f>
        <v>287.35360000000003</v>
      </c>
      <c r="AQ147" s="28">
        <f>AN147/AQ$6</f>
        <v>299.32666666666665</v>
      </c>
      <c r="AR147" s="72">
        <f>AQ147/AR$6</f>
        <v>99.775555555555556</v>
      </c>
      <c r="AS147" s="72">
        <f>AN147/AS$6</f>
        <v>299.32666666666665</v>
      </c>
      <c r="AT147" s="70">
        <f>SUM(AN147:AS147)</f>
        <v>4936.89448888889</v>
      </c>
      <c r="AU147" s="71">
        <v>0</v>
      </c>
      <c r="AV147" s="71">
        <v>0</v>
      </c>
      <c r="AW147" s="72">
        <f t="shared" ref="AW147:AW149" si="2567">((AM147*AW$6)+(AM147*$AO$6)+(AM147*$AP$6))*AU147</f>
        <v>0</v>
      </c>
      <c r="AX147" s="72">
        <f t="shared" ref="AX147:AX149" si="2568">((AM147*AX$6)+(AM147*$AO$6)+(AM147*$AP$6))*AV147</f>
        <v>0</v>
      </c>
      <c r="AY147" s="70">
        <f>SUM(AW147:AX147)</f>
        <v>0</v>
      </c>
      <c r="AZ147" s="73">
        <v>4078.89</v>
      </c>
      <c r="BA147" s="74">
        <f t="shared" ref="BA147:BA149" si="2569">IF(AK147=1,($C$1*$Q$6),0)</f>
        <v>282.40000000000003</v>
      </c>
      <c r="BB147" s="303">
        <f t="shared" ref="BB147:BB149" si="2570">AT147+AY147+AZ147+BA147</f>
        <v>9298.18448888889</v>
      </c>
      <c r="BC147" s="58">
        <v>1</v>
      </c>
      <c r="BD147" s="76" t="s">
        <v>290</v>
      </c>
      <c r="BE147" s="28">
        <f t="shared" ref="BE147:BE149" si="2571">BF147/$AM$4</f>
        <v>16.326909090909091</v>
      </c>
      <c r="BF147" s="28">
        <v>3591.92</v>
      </c>
      <c r="BG147" s="28">
        <f>BF147*BG$6</f>
        <v>359.19200000000001</v>
      </c>
      <c r="BH147" s="28">
        <f>BF147*BH$6</f>
        <v>287.35360000000003</v>
      </c>
      <c r="BI147" s="28">
        <f>BF147/BI$6</f>
        <v>299.32666666666665</v>
      </c>
      <c r="BJ147" s="72">
        <f>BI147/BJ$6</f>
        <v>99.775555555555556</v>
      </c>
      <c r="BK147" s="72">
        <f>BF147/BK$6</f>
        <v>299.32666666666665</v>
      </c>
      <c r="BL147" s="70">
        <f>SUM(BF147:BK147)</f>
        <v>4936.89448888889</v>
      </c>
      <c r="BM147" s="71">
        <v>0</v>
      </c>
      <c r="BN147" s="71">
        <v>0</v>
      </c>
      <c r="BO147" s="72">
        <f t="shared" ref="BO147:BO149" si="2572">((BE147*BO$6)+(BE147*$AO$6)+(BE147*$AP$6))*BM147</f>
        <v>0</v>
      </c>
      <c r="BP147" s="72">
        <f t="shared" ref="BP147:BP149" si="2573">((BE147*BP$6)+(BE147*$AO$6)+(BE147*$AP$6))*BN147</f>
        <v>0</v>
      </c>
      <c r="BQ147" s="70">
        <f>SUM(BO147:BP147)</f>
        <v>0</v>
      </c>
      <c r="BR147" s="73">
        <v>4078.89</v>
      </c>
      <c r="BS147" s="74">
        <f t="shared" ref="BS147:BS149" si="2574">IF(BC147=1,($C$1*$Q$6),0)</f>
        <v>282.40000000000003</v>
      </c>
      <c r="BT147" s="303">
        <f t="shared" ref="BT147:BT149" si="2575">BL147+BQ147+BR147+BS147</f>
        <v>9298.18448888889</v>
      </c>
      <c r="BU147" s="58">
        <v>1</v>
      </c>
      <c r="BV147" s="76" t="s">
        <v>290</v>
      </c>
      <c r="BW147" s="28">
        <f t="shared" ref="BW147:BW149" si="2576">BX147/$AM$4</f>
        <v>16.326909090909091</v>
      </c>
      <c r="BX147" s="28">
        <v>3591.92</v>
      </c>
      <c r="BY147" s="28">
        <f>BX147*BY$6</f>
        <v>359.19200000000001</v>
      </c>
      <c r="BZ147" s="28">
        <f>BX147*BZ$6</f>
        <v>287.35360000000003</v>
      </c>
      <c r="CA147" s="28">
        <f>BX147/CA$6</f>
        <v>299.32666666666665</v>
      </c>
      <c r="CB147" s="72">
        <f>CA147/CB$6</f>
        <v>99.775555555555556</v>
      </c>
      <c r="CC147" s="72">
        <f>BX147/CC$6</f>
        <v>299.32666666666665</v>
      </c>
      <c r="CD147" s="70">
        <f>SUM(BX147:CC147)</f>
        <v>4936.89448888889</v>
      </c>
      <c r="CE147" s="71">
        <v>0</v>
      </c>
      <c r="CF147" s="71">
        <v>0</v>
      </c>
      <c r="CG147" s="72">
        <f t="shared" ref="CG147:CG149" si="2577">((BW147*CG$6)+(BW147*$AO$6)+(BW147*$AP$6))*CE147</f>
        <v>0</v>
      </c>
      <c r="CH147" s="72">
        <f t="shared" ref="CH147:CH149" si="2578">((BW147*CH$6)+(BW147*$AO$6)+(BW147*$AP$6))*CF147</f>
        <v>0</v>
      </c>
      <c r="CI147" s="70">
        <f>SUM(CG147:CH147)</f>
        <v>0</v>
      </c>
      <c r="CJ147" s="73">
        <v>4078.89</v>
      </c>
      <c r="CK147" s="74">
        <f t="shared" ref="CK147:CK149" si="2579">IF(BU147=1,($C$1*$Q$6),0)</f>
        <v>282.40000000000003</v>
      </c>
      <c r="CL147" s="303">
        <f t="shared" ref="CL147:CL149" si="2580">CD147+CI147+CJ147+CK147</f>
        <v>9298.18448888889</v>
      </c>
      <c r="CM147" s="58">
        <v>1</v>
      </c>
      <c r="CN147" s="76" t="s">
        <v>290</v>
      </c>
      <c r="CO147" s="28">
        <f t="shared" ref="CO147:CO149" si="2581">CP147/$AM$4</f>
        <v>16.326909090909091</v>
      </c>
      <c r="CP147" s="28">
        <v>3591.92</v>
      </c>
      <c r="CQ147" s="28">
        <f>CP147*CQ$6</f>
        <v>359.19200000000001</v>
      </c>
      <c r="CR147" s="28">
        <f>CP147*CR$6</f>
        <v>287.35360000000003</v>
      </c>
      <c r="CS147" s="28">
        <f>CP147/CS$6</f>
        <v>299.32666666666665</v>
      </c>
      <c r="CT147" s="72">
        <f>CS147/CT$6</f>
        <v>99.775555555555556</v>
      </c>
      <c r="CU147" s="72">
        <f>CP147/CU$6</f>
        <v>299.32666666666665</v>
      </c>
      <c r="CV147" s="70">
        <f>SUM(CP147:CU147)</f>
        <v>4936.89448888889</v>
      </c>
      <c r="CW147" s="71">
        <v>0</v>
      </c>
      <c r="CX147" s="71">
        <v>0</v>
      </c>
      <c r="CY147" s="72">
        <f t="shared" ref="CY147:CY149" si="2582">((CO147*CY$6)+(CO147*$AO$6)+(CO147*$AP$6))*CW147</f>
        <v>0</v>
      </c>
      <c r="CZ147" s="72">
        <f t="shared" ref="CZ147:CZ149" si="2583">((CO147*CZ$6)+(CO147*$AO$6)+(CO147*$AP$6))*CX147</f>
        <v>0</v>
      </c>
      <c r="DA147" s="70">
        <f>SUM(CY147:CZ147)</f>
        <v>0</v>
      </c>
      <c r="DB147" s="73">
        <v>4078.89</v>
      </c>
      <c r="DC147" s="74">
        <f t="shared" ref="DC147:DC149" si="2584">IF(CM147=1,($C$1*$Q$6),0)</f>
        <v>282.40000000000003</v>
      </c>
      <c r="DD147" s="303">
        <f t="shared" ref="DD147:DD149" si="2585">CV147+DA147+DB147+DC147</f>
        <v>9298.18448888889</v>
      </c>
      <c r="DE147" s="58">
        <v>1</v>
      </c>
      <c r="DF147" s="76" t="s">
        <v>290</v>
      </c>
      <c r="DG147" s="28">
        <f t="shared" ref="DG147:DG149" si="2586">DH147/$AM$4</f>
        <v>16.326909090909091</v>
      </c>
      <c r="DH147" s="28">
        <v>3591.92</v>
      </c>
      <c r="DI147" s="28">
        <f>DH147*DI$6</f>
        <v>359.19200000000001</v>
      </c>
      <c r="DJ147" s="28">
        <f>DH147*DJ$6</f>
        <v>287.35360000000003</v>
      </c>
      <c r="DK147" s="28">
        <f>DH147/DK$6</f>
        <v>299.32666666666665</v>
      </c>
      <c r="DL147" s="72">
        <f>DK147/DL$6</f>
        <v>99.775555555555556</v>
      </c>
      <c r="DM147" s="72">
        <f>DH147/DM$6</f>
        <v>299.32666666666665</v>
      </c>
      <c r="DN147" s="70">
        <f>SUM(DH147:DM147)</f>
        <v>4936.89448888889</v>
      </c>
      <c r="DO147" s="71">
        <v>0</v>
      </c>
      <c r="DP147" s="71">
        <v>0</v>
      </c>
      <c r="DQ147" s="72">
        <f t="shared" ref="DQ147:DQ149" si="2587">((DG147*DQ$6)+(DG147*$AO$6)+(DG147*$AP$6))*DO147</f>
        <v>0</v>
      </c>
      <c r="DR147" s="72">
        <f t="shared" ref="DR147:DR149" si="2588">((DG147*DR$6)+(DG147*$AO$6)+(DG147*$AP$6))*DP147</f>
        <v>0</v>
      </c>
      <c r="DS147" s="70">
        <f>SUM(DQ147:DR147)</f>
        <v>0</v>
      </c>
      <c r="DT147" s="73">
        <v>4078.89</v>
      </c>
      <c r="DU147" s="74">
        <f t="shared" ref="DU147:DU149" si="2589">IF(DE147=1,($C$1*$Q$6),0)</f>
        <v>282.40000000000003</v>
      </c>
      <c r="DV147" s="303">
        <f t="shared" ref="DV147:DV149" si="2590">DN147+DS147+DT147+DU147</f>
        <v>9298.18448888889</v>
      </c>
      <c r="DW147" s="58">
        <v>1</v>
      </c>
      <c r="DX147" s="76" t="s">
        <v>290</v>
      </c>
      <c r="DY147" s="28">
        <f t="shared" ref="DY147:DY149" si="2591">DZ147/$AM$4</f>
        <v>16.326909090909091</v>
      </c>
      <c r="DZ147" s="28">
        <v>3591.92</v>
      </c>
      <c r="EA147" s="28">
        <f>DZ147*EA$6</f>
        <v>359.19200000000001</v>
      </c>
      <c r="EB147" s="28">
        <f>DZ147*EB$6</f>
        <v>287.35360000000003</v>
      </c>
      <c r="EC147" s="28">
        <f>DZ147/EC$6</f>
        <v>299.32666666666665</v>
      </c>
      <c r="ED147" s="72">
        <f>EC147/ED$6</f>
        <v>99.775555555555556</v>
      </c>
      <c r="EE147" s="72">
        <f>DZ147/EE$6</f>
        <v>299.32666666666665</v>
      </c>
      <c r="EF147" s="70">
        <f>SUM(DZ147:EE147)</f>
        <v>4936.89448888889</v>
      </c>
      <c r="EG147" s="71">
        <v>0</v>
      </c>
      <c r="EH147" s="71">
        <v>0</v>
      </c>
      <c r="EI147" s="72">
        <f t="shared" ref="EI147:EI149" si="2592">((DY147*EI$6)+(DY147*$AO$6)+(DY147*$AP$6))*EG147</f>
        <v>0</v>
      </c>
      <c r="EJ147" s="72">
        <f t="shared" ref="EJ147:EJ149" si="2593">((DY147*EJ$6)+(DY147*$AO$6)+(DY147*$AP$6))*EH147</f>
        <v>0</v>
      </c>
      <c r="EK147" s="70">
        <f>SUM(EI147:EJ147)</f>
        <v>0</v>
      </c>
      <c r="EL147" s="73">
        <v>4078.89</v>
      </c>
      <c r="EM147" s="74">
        <f t="shared" ref="EM147:EM149" si="2594">IF(DW147=1,($C$1*$Q$6),0)</f>
        <v>282.40000000000003</v>
      </c>
      <c r="EN147" s="303">
        <f t="shared" ref="EN147:EN149" si="2595">EF147+EK147+EL147+EM147</f>
        <v>9298.18448888889</v>
      </c>
      <c r="EO147" s="58">
        <v>1</v>
      </c>
      <c r="EP147" s="76" t="s">
        <v>290</v>
      </c>
      <c r="EQ147" s="28">
        <f t="shared" ref="EQ147:EQ149" si="2596">ER147/$AM$4</f>
        <v>16.326909090909091</v>
      </c>
      <c r="ER147" s="28">
        <v>3591.92</v>
      </c>
      <c r="ES147" s="28">
        <f>ER147*ES$6</f>
        <v>359.19200000000001</v>
      </c>
      <c r="ET147" s="28">
        <f>ER147*ET$6</f>
        <v>287.35360000000003</v>
      </c>
      <c r="EU147" s="28">
        <f>ER147/EU$6</f>
        <v>299.32666666666665</v>
      </c>
      <c r="EV147" s="72">
        <f>EU147/EV$6</f>
        <v>99.775555555555556</v>
      </c>
      <c r="EW147" s="72">
        <f>ER147/EW$6</f>
        <v>299.32666666666665</v>
      </c>
      <c r="EX147" s="70">
        <f>SUM(ER147:EW147)</f>
        <v>4936.89448888889</v>
      </c>
      <c r="EY147" s="71">
        <v>0</v>
      </c>
      <c r="EZ147" s="71">
        <v>0</v>
      </c>
      <c r="FA147" s="72">
        <f t="shared" ref="FA147:FA149" si="2597">((EQ147*FA$6)+(EQ147*$AO$6)+(EQ147*$AP$6))*EY147</f>
        <v>0</v>
      </c>
      <c r="FB147" s="72">
        <f t="shared" ref="FB147:FB149" si="2598">((EQ147*FB$6)+(EQ147*$AO$6)+(EQ147*$AP$6))*EZ147</f>
        <v>0</v>
      </c>
      <c r="FC147" s="70">
        <f>SUM(FA147:FB147)</f>
        <v>0</v>
      </c>
      <c r="FD147" s="73">
        <v>4078.89</v>
      </c>
      <c r="FE147" s="74">
        <f t="shared" ref="FE147:FE149" si="2599">IF(EO147=1,($C$1*$Q$6),0)</f>
        <v>282.40000000000003</v>
      </c>
      <c r="FF147" s="303">
        <f t="shared" ref="FF147:FF149" si="2600">EX147+FC147+FD147+FE147</f>
        <v>9298.18448888889</v>
      </c>
      <c r="FG147" s="58">
        <v>1</v>
      </c>
      <c r="FH147" s="76" t="s">
        <v>290</v>
      </c>
      <c r="FI147" s="28">
        <f t="shared" ref="FI147:FI149" si="2601">FJ147/$AM$4</f>
        <v>16.326909090909091</v>
      </c>
      <c r="FJ147" s="28">
        <v>3591.92</v>
      </c>
      <c r="FK147" s="28">
        <f>FJ147*FK$6</f>
        <v>359.19200000000001</v>
      </c>
      <c r="FL147" s="28">
        <f>FJ147*FL$6</f>
        <v>287.35360000000003</v>
      </c>
      <c r="FM147" s="28">
        <f>FJ147/FM$6</f>
        <v>299.32666666666665</v>
      </c>
      <c r="FN147" s="72">
        <f>FM147/FN$6</f>
        <v>99.775555555555556</v>
      </c>
      <c r="FO147" s="72">
        <f>FJ147/FO$6</f>
        <v>299.32666666666665</v>
      </c>
      <c r="FP147" s="70">
        <f>SUM(FJ147:FO147)</f>
        <v>4936.89448888889</v>
      </c>
      <c r="FQ147" s="71">
        <v>0</v>
      </c>
      <c r="FR147" s="71">
        <v>0</v>
      </c>
      <c r="FS147" s="72">
        <f t="shared" ref="FS147:FS149" si="2602">((FI147*FS$6)+(FI147*$AO$6)+(FI147*$AP$6))*FQ147</f>
        <v>0</v>
      </c>
      <c r="FT147" s="72">
        <f t="shared" ref="FT147:FT149" si="2603">((FI147*FT$6)+(FI147*$AO$6)+(FI147*$AP$6))*FR147</f>
        <v>0</v>
      </c>
      <c r="FU147" s="70">
        <f>SUM(FS147:FT147)</f>
        <v>0</v>
      </c>
      <c r="FV147" s="73">
        <v>4078.89</v>
      </c>
      <c r="FW147" s="74">
        <f t="shared" ref="FW147:FW149" si="2604">IF(FG147=1,($C$1*$Q$6),0)</f>
        <v>282.40000000000003</v>
      </c>
      <c r="FX147" s="303">
        <f t="shared" ref="FX147:FX149" si="2605">FP147+FU147+FV147+FW147</f>
        <v>9298.18448888889</v>
      </c>
      <c r="FY147" s="58">
        <v>1</v>
      </c>
      <c r="FZ147" s="76" t="s">
        <v>290</v>
      </c>
      <c r="GA147" s="28">
        <f t="shared" ref="GA147:GA149" si="2606">GB147/$AM$4</f>
        <v>16.326909090909091</v>
      </c>
      <c r="GB147" s="28">
        <v>3591.92</v>
      </c>
      <c r="GC147" s="28">
        <f>GB147*GC$6</f>
        <v>359.19200000000001</v>
      </c>
      <c r="GD147" s="28">
        <f>GB147*GD$6</f>
        <v>287.35360000000003</v>
      </c>
      <c r="GE147" s="28">
        <f>GB147/GE$6</f>
        <v>299.32666666666665</v>
      </c>
      <c r="GF147" s="72">
        <f>GE147/GF$6</f>
        <v>99.775555555555556</v>
      </c>
      <c r="GG147" s="72">
        <f>GB147/GG$6</f>
        <v>299.32666666666665</v>
      </c>
      <c r="GH147" s="70">
        <f>SUM(GB147:GG147)</f>
        <v>4936.89448888889</v>
      </c>
      <c r="GI147" s="71">
        <v>0</v>
      </c>
      <c r="GJ147" s="71">
        <v>0</v>
      </c>
      <c r="GK147" s="72">
        <f t="shared" ref="GK147:GK149" si="2607">((GA147*GK$6)+(GA147*$AO$6)+(GA147*$AP$6))*GI147</f>
        <v>0</v>
      </c>
      <c r="GL147" s="72">
        <f t="shared" ref="GL147:GL149" si="2608">((GA147*GL$6)+(GA147*$AO$6)+(GA147*$AP$6))*GJ147</f>
        <v>0</v>
      </c>
      <c r="GM147" s="70">
        <f>SUM(GK147:GL147)</f>
        <v>0</v>
      </c>
      <c r="GN147" s="73">
        <v>4078.89</v>
      </c>
      <c r="GO147" s="74">
        <f t="shared" ref="GO147:GO149" si="2609">IF(FY147=1,($C$1*$Q$6),0)</f>
        <v>282.40000000000003</v>
      </c>
      <c r="GP147" s="303">
        <f t="shared" ref="GP147:GP149" si="2610">GH147+GM147+GN147+GO147</f>
        <v>9298.18448888889</v>
      </c>
      <c r="GQ147" s="58">
        <v>1</v>
      </c>
      <c r="GR147" s="76" t="s">
        <v>290</v>
      </c>
      <c r="GS147" s="28">
        <f t="shared" ref="GS147:GS149" si="2611">GT147/$AM$4</f>
        <v>16.326909090909091</v>
      </c>
      <c r="GT147" s="28">
        <v>3591.92</v>
      </c>
      <c r="GU147" s="28">
        <f>GT147*GU$6</f>
        <v>359.19200000000001</v>
      </c>
      <c r="GV147" s="28">
        <f>GT147*GV$6</f>
        <v>287.35360000000003</v>
      </c>
      <c r="GW147" s="28">
        <f>GT147/GW$6</f>
        <v>299.32666666666665</v>
      </c>
      <c r="GX147" s="72">
        <f>GW147/GX$6</f>
        <v>99.775555555555556</v>
      </c>
      <c r="GY147" s="72">
        <f>GT147/GY$6</f>
        <v>299.32666666666665</v>
      </c>
      <c r="GZ147" s="70">
        <f>SUM(GT147:GY147)</f>
        <v>4936.89448888889</v>
      </c>
      <c r="HA147" s="71">
        <v>0</v>
      </c>
      <c r="HB147" s="71">
        <v>0</v>
      </c>
      <c r="HC147" s="72">
        <f t="shared" ref="HC147:HC149" si="2612">((GS147*HC$6)+(GS147*$AO$6)+(GS147*$AP$6))*HA147</f>
        <v>0</v>
      </c>
      <c r="HD147" s="72">
        <f t="shared" ref="HD147:HD149" si="2613">((GS147*HD$6)+(GS147*$AO$6)+(GS147*$AP$6))*HB147</f>
        <v>0</v>
      </c>
      <c r="HE147" s="70">
        <f>SUM(HC147:HD147)</f>
        <v>0</v>
      </c>
      <c r="HF147" s="73">
        <v>4078.89</v>
      </c>
      <c r="HG147" s="74">
        <f t="shared" ref="HG147:HG149" si="2614">IF(GQ147=1,($C$1*$Q$6),0)</f>
        <v>282.40000000000003</v>
      </c>
      <c r="HH147" s="303">
        <f t="shared" ref="HH147:HH149" si="2615">GZ147+HE147+HF147+HG147</f>
        <v>9298.18448888889</v>
      </c>
      <c r="HJ147" s="37"/>
      <c r="HK147" s="37"/>
      <c r="HL147" s="37"/>
      <c r="HM147" s="37"/>
      <c r="HN147" s="37"/>
      <c r="HO147" s="37"/>
      <c r="HP147" s="37"/>
      <c r="HQ147" s="37"/>
      <c r="HR147" s="37"/>
      <c r="HS147" s="37"/>
      <c r="HT147" s="37"/>
      <c r="HU147" s="37"/>
      <c r="HV147" s="37"/>
      <c r="HW147" s="37"/>
      <c r="HX147" s="37"/>
      <c r="HY147" s="37"/>
      <c r="HZ147" s="37"/>
      <c r="IA147" s="37"/>
      <c r="IB147" s="37"/>
      <c r="IC147" s="37"/>
      <c r="ID147" s="37"/>
      <c r="IE147" s="37"/>
      <c r="IF147" s="37"/>
      <c r="IG147" s="37"/>
      <c r="IH147" s="37"/>
      <c r="II147" s="37"/>
      <c r="IJ147" s="37"/>
      <c r="IK147" s="37"/>
      <c r="IL147" s="37"/>
      <c r="IM147" s="37"/>
      <c r="IN147" s="37"/>
      <c r="IO147" s="37"/>
      <c r="IP147" s="37"/>
    </row>
    <row r="148" spans="1:250" x14ac:dyDescent="0.3">
      <c r="A148" s="58">
        <v>1</v>
      </c>
      <c r="B148" s="68" t="s">
        <v>291</v>
      </c>
      <c r="C148" s="28">
        <f t="shared" si="2556"/>
        <v>16.634545454545453</v>
      </c>
      <c r="D148" s="28">
        <v>3659.6</v>
      </c>
      <c r="E148" s="28">
        <f>D148*E$6</f>
        <v>365.96000000000004</v>
      </c>
      <c r="F148" s="28">
        <f>D148*F$6</f>
        <v>292.76799999999997</v>
      </c>
      <c r="G148" s="28">
        <f>D148/G$6</f>
        <v>304.96666666666664</v>
      </c>
      <c r="H148" s="72">
        <f>G148/H$6</f>
        <v>101.65555555555555</v>
      </c>
      <c r="I148" s="72">
        <f>D148/I$6</f>
        <v>304.96666666666664</v>
      </c>
      <c r="J148" s="70">
        <f>SUM(D148:I148)</f>
        <v>5029.9168888888871</v>
      </c>
      <c r="K148" s="71">
        <v>0</v>
      </c>
      <c r="L148" s="71">
        <v>0</v>
      </c>
      <c r="M148" s="72">
        <f t="shared" si="2557"/>
        <v>0</v>
      </c>
      <c r="N148" s="72">
        <f t="shared" si="2558"/>
        <v>0</v>
      </c>
      <c r="O148" s="70">
        <f>SUM(M148:N148)</f>
        <v>0</v>
      </c>
      <c r="P148" s="73">
        <v>0</v>
      </c>
      <c r="Q148" s="74">
        <f t="shared" si="2559"/>
        <v>282.40000000000003</v>
      </c>
      <c r="R148" s="303">
        <f t="shared" si="2560"/>
        <v>5312.3168888888868</v>
      </c>
      <c r="S148" s="58">
        <v>1</v>
      </c>
      <c r="T148" s="68" t="s">
        <v>291</v>
      </c>
      <c r="U148" s="28">
        <f t="shared" si="2561"/>
        <v>16.634545454545453</v>
      </c>
      <c r="V148" s="28">
        <v>3659.6</v>
      </c>
      <c r="W148" s="28">
        <f>V148*W$6</f>
        <v>365.96000000000004</v>
      </c>
      <c r="X148" s="28">
        <f>V148*X$6</f>
        <v>292.76799999999997</v>
      </c>
      <c r="Y148" s="28">
        <f>V148/Y$6</f>
        <v>304.96666666666664</v>
      </c>
      <c r="Z148" s="72">
        <f>Y148/Z$6</f>
        <v>101.65555555555555</v>
      </c>
      <c r="AA148" s="72">
        <f>V148/AA$6</f>
        <v>304.96666666666664</v>
      </c>
      <c r="AB148" s="70">
        <f>SUM(V148:AA148)</f>
        <v>5029.9168888888871</v>
      </c>
      <c r="AC148" s="71">
        <v>0</v>
      </c>
      <c r="AD148" s="71">
        <v>0</v>
      </c>
      <c r="AE148" s="72">
        <f t="shared" si="2562"/>
        <v>0</v>
      </c>
      <c r="AF148" s="72">
        <f t="shared" si="2563"/>
        <v>0</v>
      </c>
      <c r="AG148" s="70">
        <f>SUM(AE148:AF148)</f>
        <v>0</v>
      </c>
      <c r="AH148" s="73">
        <v>0</v>
      </c>
      <c r="AI148" s="74">
        <f t="shared" si="2564"/>
        <v>282.40000000000003</v>
      </c>
      <c r="AJ148" s="303">
        <f t="shared" si="2565"/>
        <v>5312.3168888888868</v>
      </c>
      <c r="AK148" s="58">
        <v>1</v>
      </c>
      <c r="AL148" s="68" t="s">
        <v>291</v>
      </c>
      <c r="AM148" s="28">
        <f t="shared" si="2566"/>
        <v>16.634545454545453</v>
      </c>
      <c r="AN148" s="28">
        <v>3659.6</v>
      </c>
      <c r="AO148" s="28">
        <f>AN148*AO$6</f>
        <v>365.96000000000004</v>
      </c>
      <c r="AP148" s="28">
        <f>AN148*AP$6</f>
        <v>292.76799999999997</v>
      </c>
      <c r="AQ148" s="28">
        <f>AN148/AQ$6</f>
        <v>304.96666666666664</v>
      </c>
      <c r="AR148" s="72">
        <f>AQ148/AR$6</f>
        <v>101.65555555555555</v>
      </c>
      <c r="AS148" s="72">
        <f>AN148/AS$6</f>
        <v>304.96666666666664</v>
      </c>
      <c r="AT148" s="70">
        <f>SUM(AN148:AS148)</f>
        <v>5029.9168888888871</v>
      </c>
      <c r="AU148" s="71">
        <v>0</v>
      </c>
      <c r="AV148" s="71">
        <v>0</v>
      </c>
      <c r="AW148" s="72">
        <f t="shared" si="2567"/>
        <v>0</v>
      </c>
      <c r="AX148" s="72">
        <f t="shared" si="2568"/>
        <v>0</v>
      </c>
      <c r="AY148" s="70">
        <f>SUM(AW148:AX148)</f>
        <v>0</v>
      </c>
      <c r="AZ148" s="73">
        <v>0</v>
      </c>
      <c r="BA148" s="74">
        <f t="shared" si="2569"/>
        <v>282.40000000000003</v>
      </c>
      <c r="BB148" s="303">
        <f t="shared" si="2570"/>
        <v>5312.3168888888868</v>
      </c>
      <c r="BC148" s="58">
        <v>1</v>
      </c>
      <c r="BD148" s="68" t="s">
        <v>291</v>
      </c>
      <c r="BE148" s="28">
        <f t="shared" si="2571"/>
        <v>16.634545454545453</v>
      </c>
      <c r="BF148" s="28">
        <v>3659.6</v>
      </c>
      <c r="BG148" s="28">
        <f>BF148*BG$6</f>
        <v>365.96000000000004</v>
      </c>
      <c r="BH148" s="28">
        <f>BF148*BH$6</f>
        <v>292.76799999999997</v>
      </c>
      <c r="BI148" s="28">
        <f>BF148/BI$6</f>
        <v>304.96666666666664</v>
      </c>
      <c r="BJ148" s="72">
        <f>BI148/BJ$6</f>
        <v>101.65555555555555</v>
      </c>
      <c r="BK148" s="72">
        <f>BF148/BK$6</f>
        <v>304.96666666666664</v>
      </c>
      <c r="BL148" s="70">
        <f>SUM(BF148:BK148)</f>
        <v>5029.9168888888871</v>
      </c>
      <c r="BM148" s="71">
        <v>0</v>
      </c>
      <c r="BN148" s="71">
        <v>0</v>
      </c>
      <c r="BO148" s="72">
        <f t="shared" si="2572"/>
        <v>0</v>
      </c>
      <c r="BP148" s="72">
        <f t="shared" si="2573"/>
        <v>0</v>
      </c>
      <c r="BQ148" s="70">
        <f>SUM(BO148:BP148)</f>
        <v>0</v>
      </c>
      <c r="BR148" s="73">
        <v>0</v>
      </c>
      <c r="BS148" s="74">
        <f t="shared" si="2574"/>
        <v>282.40000000000003</v>
      </c>
      <c r="BT148" s="303">
        <f t="shared" si="2575"/>
        <v>5312.3168888888868</v>
      </c>
      <c r="BU148" s="58">
        <v>1</v>
      </c>
      <c r="BV148" s="68" t="s">
        <v>291</v>
      </c>
      <c r="BW148" s="28">
        <f t="shared" si="2576"/>
        <v>16.634545454545453</v>
      </c>
      <c r="BX148" s="28">
        <v>3659.6</v>
      </c>
      <c r="BY148" s="28">
        <f>BX148*BY$6</f>
        <v>365.96000000000004</v>
      </c>
      <c r="BZ148" s="28">
        <f>BX148*BZ$6</f>
        <v>292.76799999999997</v>
      </c>
      <c r="CA148" s="28">
        <f>BX148/CA$6</f>
        <v>304.96666666666664</v>
      </c>
      <c r="CB148" s="72">
        <f>CA148/CB$6</f>
        <v>101.65555555555555</v>
      </c>
      <c r="CC148" s="72">
        <f>BX148/CC$6</f>
        <v>304.96666666666664</v>
      </c>
      <c r="CD148" s="70">
        <f>SUM(BX148:CC148)</f>
        <v>5029.9168888888871</v>
      </c>
      <c r="CE148" s="71">
        <v>0</v>
      </c>
      <c r="CF148" s="71">
        <v>0</v>
      </c>
      <c r="CG148" s="72">
        <f t="shared" si="2577"/>
        <v>0</v>
      </c>
      <c r="CH148" s="72">
        <f t="shared" si="2578"/>
        <v>0</v>
      </c>
      <c r="CI148" s="70">
        <f>SUM(CG148:CH148)</f>
        <v>0</v>
      </c>
      <c r="CJ148" s="73">
        <v>0</v>
      </c>
      <c r="CK148" s="74">
        <f t="shared" si="2579"/>
        <v>282.40000000000003</v>
      </c>
      <c r="CL148" s="303">
        <f t="shared" si="2580"/>
        <v>5312.3168888888868</v>
      </c>
      <c r="CM148" s="58">
        <v>1</v>
      </c>
      <c r="CN148" s="68" t="s">
        <v>291</v>
      </c>
      <c r="CO148" s="28">
        <f t="shared" si="2581"/>
        <v>16.634545454545453</v>
      </c>
      <c r="CP148" s="28">
        <v>3659.6</v>
      </c>
      <c r="CQ148" s="28">
        <f>CP148*CQ$6</f>
        <v>365.96000000000004</v>
      </c>
      <c r="CR148" s="28">
        <f>CP148*CR$6</f>
        <v>292.76799999999997</v>
      </c>
      <c r="CS148" s="28">
        <f>CP148/CS$6</f>
        <v>304.96666666666664</v>
      </c>
      <c r="CT148" s="72">
        <f>CS148/CT$6</f>
        <v>101.65555555555555</v>
      </c>
      <c r="CU148" s="72">
        <f>CP148/CU$6</f>
        <v>304.96666666666664</v>
      </c>
      <c r="CV148" s="70">
        <f>SUM(CP148:CU148)</f>
        <v>5029.9168888888871</v>
      </c>
      <c r="CW148" s="71">
        <v>0</v>
      </c>
      <c r="CX148" s="71">
        <v>0</v>
      </c>
      <c r="CY148" s="72">
        <f t="shared" si="2582"/>
        <v>0</v>
      </c>
      <c r="CZ148" s="72">
        <f t="shared" si="2583"/>
        <v>0</v>
      </c>
      <c r="DA148" s="70">
        <f>SUM(CY148:CZ148)</f>
        <v>0</v>
      </c>
      <c r="DB148" s="73">
        <v>0</v>
      </c>
      <c r="DC148" s="74">
        <f t="shared" si="2584"/>
        <v>282.40000000000003</v>
      </c>
      <c r="DD148" s="303">
        <f t="shared" si="2585"/>
        <v>5312.3168888888868</v>
      </c>
      <c r="DE148" s="58">
        <v>1</v>
      </c>
      <c r="DF148" s="68" t="s">
        <v>291</v>
      </c>
      <c r="DG148" s="28">
        <f t="shared" si="2586"/>
        <v>16.634545454545453</v>
      </c>
      <c r="DH148" s="28">
        <v>3659.6</v>
      </c>
      <c r="DI148" s="28">
        <f>DH148*DI$6</f>
        <v>365.96000000000004</v>
      </c>
      <c r="DJ148" s="28">
        <f>DH148*DJ$6</f>
        <v>292.76799999999997</v>
      </c>
      <c r="DK148" s="28">
        <f>DH148/DK$6</f>
        <v>304.96666666666664</v>
      </c>
      <c r="DL148" s="72">
        <f>DK148/DL$6</f>
        <v>101.65555555555555</v>
      </c>
      <c r="DM148" s="72">
        <f>DH148/DM$6</f>
        <v>304.96666666666664</v>
      </c>
      <c r="DN148" s="70">
        <f>SUM(DH148:DM148)</f>
        <v>5029.9168888888871</v>
      </c>
      <c r="DO148" s="71">
        <v>0</v>
      </c>
      <c r="DP148" s="71">
        <v>0</v>
      </c>
      <c r="DQ148" s="72">
        <f t="shared" si="2587"/>
        <v>0</v>
      </c>
      <c r="DR148" s="72">
        <f t="shared" si="2588"/>
        <v>0</v>
      </c>
      <c r="DS148" s="70">
        <f>SUM(DQ148:DR148)</f>
        <v>0</v>
      </c>
      <c r="DT148" s="73">
        <v>0</v>
      </c>
      <c r="DU148" s="74">
        <f t="shared" si="2589"/>
        <v>282.40000000000003</v>
      </c>
      <c r="DV148" s="303">
        <f t="shared" si="2590"/>
        <v>5312.3168888888868</v>
      </c>
      <c r="DW148" s="58">
        <v>1</v>
      </c>
      <c r="DX148" s="68" t="s">
        <v>291</v>
      </c>
      <c r="DY148" s="28">
        <f t="shared" si="2591"/>
        <v>16.634545454545453</v>
      </c>
      <c r="DZ148" s="28">
        <v>3659.6</v>
      </c>
      <c r="EA148" s="28">
        <f>DZ148*EA$6</f>
        <v>365.96000000000004</v>
      </c>
      <c r="EB148" s="28">
        <f>DZ148*EB$6</f>
        <v>292.76799999999997</v>
      </c>
      <c r="EC148" s="28">
        <f>DZ148/EC$6</f>
        <v>304.96666666666664</v>
      </c>
      <c r="ED148" s="72">
        <f>EC148/ED$6</f>
        <v>101.65555555555555</v>
      </c>
      <c r="EE148" s="72">
        <f>DZ148/EE$6</f>
        <v>304.96666666666664</v>
      </c>
      <c r="EF148" s="70">
        <f>SUM(DZ148:EE148)</f>
        <v>5029.9168888888871</v>
      </c>
      <c r="EG148" s="71">
        <v>0</v>
      </c>
      <c r="EH148" s="71">
        <v>0</v>
      </c>
      <c r="EI148" s="72">
        <f t="shared" si="2592"/>
        <v>0</v>
      </c>
      <c r="EJ148" s="72">
        <f t="shared" si="2593"/>
        <v>0</v>
      </c>
      <c r="EK148" s="70">
        <f>SUM(EI148:EJ148)</f>
        <v>0</v>
      </c>
      <c r="EL148" s="73">
        <v>0</v>
      </c>
      <c r="EM148" s="74">
        <f t="shared" si="2594"/>
        <v>282.40000000000003</v>
      </c>
      <c r="EN148" s="303">
        <f t="shared" si="2595"/>
        <v>5312.3168888888868</v>
      </c>
      <c r="EO148" s="58">
        <v>1</v>
      </c>
      <c r="EP148" s="68" t="s">
        <v>291</v>
      </c>
      <c r="EQ148" s="28">
        <f t="shared" si="2596"/>
        <v>16.634545454545453</v>
      </c>
      <c r="ER148" s="28">
        <v>3659.6</v>
      </c>
      <c r="ES148" s="28">
        <f>ER148*ES$6</f>
        <v>365.96000000000004</v>
      </c>
      <c r="ET148" s="28">
        <f>ER148*ET$6</f>
        <v>292.76799999999997</v>
      </c>
      <c r="EU148" s="28">
        <f>ER148/EU$6</f>
        <v>304.96666666666664</v>
      </c>
      <c r="EV148" s="72">
        <f>EU148/EV$6</f>
        <v>101.65555555555555</v>
      </c>
      <c r="EW148" s="72">
        <f>ER148/EW$6</f>
        <v>304.96666666666664</v>
      </c>
      <c r="EX148" s="70">
        <f>SUM(ER148:EW148)</f>
        <v>5029.9168888888871</v>
      </c>
      <c r="EY148" s="71">
        <v>0</v>
      </c>
      <c r="EZ148" s="71">
        <v>0</v>
      </c>
      <c r="FA148" s="72">
        <f t="shared" si="2597"/>
        <v>0</v>
      </c>
      <c r="FB148" s="72">
        <f t="shared" si="2598"/>
        <v>0</v>
      </c>
      <c r="FC148" s="70">
        <f>SUM(FA148:FB148)</f>
        <v>0</v>
      </c>
      <c r="FD148" s="73">
        <v>0</v>
      </c>
      <c r="FE148" s="74">
        <f t="shared" si="2599"/>
        <v>282.40000000000003</v>
      </c>
      <c r="FF148" s="303">
        <f t="shared" si="2600"/>
        <v>5312.3168888888868</v>
      </c>
      <c r="FG148" s="58">
        <v>1</v>
      </c>
      <c r="FH148" s="68" t="s">
        <v>291</v>
      </c>
      <c r="FI148" s="28">
        <f t="shared" si="2601"/>
        <v>16.634545454545453</v>
      </c>
      <c r="FJ148" s="28">
        <v>3659.6</v>
      </c>
      <c r="FK148" s="28">
        <f>FJ148*FK$6</f>
        <v>365.96000000000004</v>
      </c>
      <c r="FL148" s="28">
        <f>FJ148*FL$6</f>
        <v>292.76799999999997</v>
      </c>
      <c r="FM148" s="28">
        <f>FJ148/FM$6</f>
        <v>304.96666666666664</v>
      </c>
      <c r="FN148" s="72">
        <f>FM148/FN$6</f>
        <v>101.65555555555555</v>
      </c>
      <c r="FO148" s="72">
        <f>FJ148/FO$6</f>
        <v>304.96666666666664</v>
      </c>
      <c r="FP148" s="70">
        <f>SUM(FJ148:FO148)</f>
        <v>5029.9168888888871</v>
      </c>
      <c r="FQ148" s="71">
        <v>0</v>
      </c>
      <c r="FR148" s="71">
        <v>0</v>
      </c>
      <c r="FS148" s="72">
        <f t="shared" si="2602"/>
        <v>0</v>
      </c>
      <c r="FT148" s="72">
        <f t="shared" si="2603"/>
        <v>0</v>
      </c>
      <c r="FU148" s="70">
        <f>SUM(FS148:FT148)</f>
        <v>0</v>
      </c>
      <c r="FV148" s="73">
        <v>0</v>
      </c>
      <c r="FW148" s="74">
        <f t="shared" si="2604"/>
        <v>282.40000000000003</v>
      </c>
      <c r="FX148" s="303">
        <f t="shared" si="2605"/>
        <v>5312.3168888888868</v>
      </c>
      <c r="FY148" s="58">
        <v>1</v>
      </c>
      <c r="FZ148" s="68" t="s">
        <v>291</v>
      </c>
      <c r="GA148" s="28">
        <f t="shared" si="2606"/>
        <v>16.634545454545453</v>
      </c>
      <c r="GB148" s="28">
        <v>3659.6</v>
      </c>
      <c r="GC148" s="28">
        <f>GB148*GC$6</f>
        <v>365.96000000000004</v>
      </c>
      <c r="GD148" s="28">
        <f>GB148*GD$6</f>
        <v>292.76799999999997</v>
      </c>
      <c r="GE148" s="28">
        <f>GB148/GE$6</f>
        <v>304.96666666666664</v>
      </c>
      <c r="GF148" s="72">
        <f>GE148/GF$6</f>
        <v>101.65555555555555</v>
      </c>
      <c r="GG148" s="72">
        <f>GB148/GG$6</f>
        <v>304.96666666666664</v>
      </c>
      <c r="GH148" s="70">
        <f>SUM(GB148:GG148)</f>
        <v>5029.9168888888871</v>
      </c>
      <c r="GI148" s="71">
        <v>0</v>
      </c>
      <c r="GJ148" s="71">
        <v>0</v>
      </c>
      <c r="GK148" s="72">
        <f t="shared" si="2607"/>
        <v>0</v>
      </c>
      <c r="GL148" s="72">
        <f t="shared" si="2608"/>
        <v>0</v>
      </c>
      <c r="GM148" s="70">
        <f>SUM(GK148:GL148)</f>
        <v>0</v>
      </c>
      <c r="GN148" s="73">
        <v>0</v>
      </c>
      <c r="GO148" s="74">
        <f t="shared" si="2609"/>
        <v>282.40000000000003</v>
      </c>
      <c r="GP148" s="303">
        <f t="shared" si="2610"/>
        <v>5312.3168888888868</v>
      </c>
      <c r="GQ148" s="58">
        <v>1</v>
      </c>
      <c r="GR148" s="68" t="s">
        <v>291</v>
      </c>
      <c r="GS148" s="28">
        <f t="shared" si="2611"/>
        <v>16.634545454545453</v>
      </c>
      <c r="GT148" s="28">
        <v>3659.6</v>
      </c>
      <c r="GU148" s="28">
        <f>GT148*GU$6</f>
        <v>365.96000000000004</v>
      </c>
      <c r="GV148" s="28">
        <f>GT148*GV$6</f>
        <v>292.76799999999997</v>
      </c>
      <c r="GW148" s="28">
        <f>GT148/GW$6</f>
        <v>304.96666666666664</v>
      </c>
      <c r="GX148" s="72">
        <f>GW148/GX$6</f>
        <v>101.65555555555555</v>
      </c>
      <c r="GY148" s="72">
        <f>GT148/GY$6</f>
        <v>304.96666666666664</v>
      </c>
      <c r="GZ148" s="70">
        <f>SUM(GT148:GY148)</f>
        <v>5029.9168888888871</v>
      </c>
      <c r="HA148" s="71">
        <v>0</v>
      </c>
      <c r="HB148" s="71">
        <v>0</v>
      </c>
      <c r="HC148" s="72">
        <f t="shared" si="2612"/>
        <v>0</v>
      </c>
      <c r="HD148" s="72">
        <f t="shared" si="2613"/>
        <v>0</v>
      </c>
      <c r="HE148" s="70">
        <f>SUM(HC148:HD148)</f>
        <v>0</v>
      </c>
      <c r="HF148" s="73">
        <v>0</v>
      </c>
      <c r="HG148" s="74">
        <f t="shared" si="2614"/>
        <v>282.40000000000003</v>
      </c>
      <c r="HH148" s="303">
        <f t="shared" si="2615"/>
        <v>5312.3168888888868</v>
      </c>
      <c r="HJ148" s="37"/>
      <c r="HK148" s="37"/>
      <c r="HL148" s="37"/>
      <c r="HM148" s="37"/>
      <c r="HN148" s="37"/>
      <c r="HO148" s="37"/>
      <c r="HP148" s="37"/>
      <c r="HQ148" s="37"/>
      <c r="HR148" s="37"/>
      <c r="HS148" s="37"/>
      <c r="HT148" s="37"/>
      <c r="HU148" s="37"/>
      <c r="HV148" s="37"/>
      <c r="HW148" s="37"/>
      <c r="HX148" s="37"/>
      <c r="HY148" s="37"/>
      <c r="HZ148" s="37"/>
      <c r="IA148" s="37"/>
      <c r="IB148" s="37"/>
      <c r="IC148" s="37"/>
      <c r="ID148" s="37"/>
      <c r="IE148" s="37"/>
      <c r="IF148" s="37"/>
      <c r="IG148" s="37"/>
      <c r="IH148" s="37"/>
      <c r="II148" s="37"/>
      <c r="IJ148" s="37"/>
      <c r="IK148" s="37"/>
      <c r="IL148" s="37"/>
      <c r="IM148" s="37"/>
      <c r="IN148" s="37"/>
      <c r="IO148" s="37"/>
      <c r="IP148" s="37"/>
    </row>
    <row r="149" spans="1:250" x14ac:dyDescent="0.3">
      <c r="A149" s="58">
        <v>1</v>
      </c>
      <c r="B149" s="68" t="s">
        <v>292</v>
      </c>
      <c r="C149" s="28">
        <f t="shared" si="2556"/>
        <v>10.677999999999999</v>
      </c>
      <c r="D149" s="69">
        <v>2349.16</v>
      </c>
      <c r="E149" s="28">
        <f>D149*E$6</f>
        <v>234.916</v>
      </c>
      <c r="F149" s="28">
        <f>D149*F$6</f>
        <v>187.93279999999999</v>
      </c>
      <c r="G149" s="28">
        <f>D149/G$6</f>
        <v>195.76333333333332</v>
      </c>
      <c r="H149" s="72">
        <f>G149/H$6</f>
        <v>65.254444444444445</v>
      </c>
      <c r="I149" s="72">
        <f>D149/I$6</f>
        <v>195.76333333333332</v>
      </c>
      <c r="J149" s="70">
        <f>SUM(D149:I149)</f>
        <v>3228.789911111111</v>
      </c>
      <c r="K149" s="71">
        <v>0</v>
      </c>
      <c r="L149" s="71">
        <v>0</v>
      </c>
      <c r="M149" s="72">
        <f t="shared" si="2557"/>
        <v>0</v>
      </c>
      <c r="N149" s="72">
        <f t="shared" si="2558"/>
        <v>0</v>
      </c>
      <c r="O149" s="70">
        <f t="shared" ref="O149" si="2616">SUM(M149:N149)</f>
        <v>0</v>
      </c>
      <c r="P149" s="73">
        <v>0</v>
      </c>
      <c r="Q149" s="74">
        <f t="shared" si="2559"/>
        <v>282.40000000000003</v>
      </c>
      <c r="R149" s="303">
        <f t="shared" si="2560"/>
        <v>3511.1899111111111</v>
      </c>
      <c r="S149" s="58">
        <v>1</v>
      </c>
      <c r="T149" s="68" t="s">
        <v>292</v>
      </c>
      <c r="U149" s="28">
        <f t="shared" si="2561"/>
        <v>10.677999999999999</v>
      </c>
      <c r="V149" s="69">
        <v>2349.16</v>
      </c>
      <c r="W149" s="28">
        <f>V149*W$6</f>
        <v>234.916</v>
      </c>
      <c r="X149" s="28">
        <f>V149*X$6</f>
        <v>187.93279999999999</v>
      </c>
      <c r="Y149" s="28">
        <f>V149/Y$6</f>
        <v>195.76333333333332</v>
      </c>
      <c r="Z149" s="72">
        <f>Y149/Z$6</f>
        <v>65.254444444444445</v>
      </c>
      <c r="AA149" s="72">
        <f>V149/AA$6</f>
        <v>195.76333333333332</v>
      </c>
      <c r="AB149" s="70">
        <f>SUM(V149:AA149)</f>
        <v>3228.789911111111</v>
      </c>
      <c r="AC149" s="71">
        <v>0</v>
      </c>
      <c r="AD149" s="71">
        <v>0</v>
      </c>
      <c r="AE149" s="72">
        <f t="shared" si="2562"/>
        <v>0</v>
      </c>
      <c r="AF149" s="72">
        <f t="shared" si="2563"/>
        <v>0</v>
      </c>
      <c r="AG149" s="70">
        <f t="shared" ref="AG149" si="2617">SUM(AE149:AF149)</f>
        <v>0</v>
      </c>
      <c r="AH149" s="73">
        <v>0</v>
      </c>
      <c r="AI149" s="74">
        <f t="shared" si="2564"/>
        <v>282.40000000000003</v>
      </c>
      <c r="AJ149" s="303">
        <f t="shared" si="2565"/>
        <v>3511.1899111111111</v>
      </c>
      <c r="AK149" s="58">
        <v>1</v>
      </c>
      <c r="AL149" s="68" t="s">
        <v>292</v>
      </c>
      <c r="AM149" s="28">
        <f t="shared" si="2566"/>
        <v>10.677999999999999</v>
      </c>
      <c r="AN149" s="69">
        <v>2349.16</v>
      </c>
      <c r="AO149" s="28">
        <f>AN149*AO$6</f>
        <v>234.916</v>
      </c>
      <c r="AP149" s="28">
        <f>AN149*AP$6</f>
        <v>187.93279999999999</v>
      </c>
      <c r="AQ149" s="28">
        <f>AN149/AQ$6</f>
        <v>195.76333333333332</v>
      </c>
      <c r="AR149" s="72">
        <f>AQ149/AR$6</f>
        <v>65.254444444444445</v>
      </c>
      <c r="AS149" s="72">
        <f>AN149/AS$6</f>
        <v>195.76333333333332</v>
      </c>
      <c r="AT149" s="70">
        <f>SUM(AN149:AS149)</f>
        <v>3228.789911111111</v>
      </c>
      <c r="AU149" s="71">
        <v>0</v>
      </c>
      <c r="AV149" s="71">
        <v>0</v>
      </c>
      <c r="AW149" s="72">
        <f t="shared" si="2567"/>
        <v>0</v>
      </c>
      <c r="AX149" s="72">
        <f t="shared" si="2568"/>
        <v>0</v>
      </c>
      <c r="AY149" s="70">
        <f t="shared" ref="AY149" si="2618">SUM(AW149:AX149)</f>
        <v>0</v>
      </c>
      <c r="AZ149" s="73">
        <v>0</v>
      </c>
      <c r="BA149" s="74">
        <f t="shared" si="2569"/>
        <v>282.40000000000003</v>
      </c>
      <c r="BB149" s="303">
        <f t="shared" si="2570"/>
        <v>3511.1899111111111</v>
      </c>
      <c r="BC149" s="58">
        <v>1</v>
      </c>
      <c r="BD149" s="68" t="s">
        <v>292</v>
      </c>
      <c r="BE149" s="28">
        <f t="shared" si="2571"/>
        <v>10.677999999999999</v>
      </c>
      <c r="BF149" s="69">
        <v>2349.16</v>
      </c>
      <c r="BG149" s="28">
        <f>BF149*BG$6</f>
        <v>234.916</v>
      </c>
      <c r="BH149" s="28">
        <f>BF149*BH$6</f>
        <v>187.93279999999999</v>
      </c>
      <c r="BI149" s="28">
        <f>BF149/BI$6</f>
        <v>195.76333333333332</v>
      </c>
      <c r="BJ149" s="72">
        <f>BI149/BJ$6</f>
        <v>65.254444444444445</v>
      </c>
      <c r="BK149" s="72">
        <f>BF149/BK$6</f>
        <v>195.76333333333332</v>
      </c>
      <c r="BL149" s="70">
        <f>SUM(BF149:BK149)</f>
        <v>3228.789911111111</v>
      </c>
      <c r="BM149" s="71">
        <v>0</v>
      </c>
      <c r="BN149" s="71">
        <v>0</v>
      </c>
      <c r="BO149" s="72">
        <f t="shared" si="2572"/>
        <v>0</v>
      </c>
      <c r="BP149" s="72">
        <f t="shared" si="2573"/>
        <v>0</v>
      </c>
      <c r="BQ149" s="70">
        <f t="shared" ref="BQ149" si="2619">SUM(BO149:BP149)</f>
        <v>0</v>
      </c>
      <c r="BR149" s="73">
        <v>0</v>
      </c>
      <c r="BS149" s="74">
        <f t="shared" si="2574"/>
        <v>282.40000000000003</v>
      </c>
      <c r="BT149" s="303">
        <f t="shared" si="2575"/>
        <v>3511.1899111111111</v>
      </c>
      <c r="BU149" s="58">
        <v>1</v>
      </c>
      <c r="BV149" s="68" t="s">
        <v>292</v>
      </c>
      <c r="BW149" s="28">
        <f t="shared" si="2576"/>
        <v>10.677999999999999</v>
      </c>
      <c r="BX149" s="69">
        <v>2349.16</v>
      </c>
      <c r="BY149" s="28">
        <f>BX149*BY$6</f>
        <v>234.916</v>
      </c>
      <c r="BZ149" s="28">
        <f>BX149*BZ$6</f>
        <v>187.93279999999999</v>
      </c>
      <c r="CA149" s="28">
        <f>BX149/CA$6</f>
        <v>195.76333333333332</v>
      </c>
      <c r="CB149" s="72">
        <f>CA149/CB$6</f>
        <v>65.254444444444445</v>
      </c>
      <c r="CC149" s="72">
        <f>BX149/CC$6</f>
        <v>195.76333333333332</v>
      </c>
      <c r="CD149" s="70">
        <f>SUM(BX149:CC149)</f>
        <v>3228.789911111111</v>
      </c>
      <c r="CE149" s="71">
        <v>0</v>
      </c>
      <c r="CF149" s="71">
        <v>0</v>
      </c>
      <c r="CG149" s="72">
        <f t="shared" si="2577"/>
        <v>0</v>
      </c>
      <c r="CH149" s="72">
        <f t="shared" si="2578"/>
        <v>0</v>
      </c>
      <c r="CI149" s="70">
        <f t="shared" ref="CI149" si="2620">SUM(CG149:CH149)</f>
        <v>0</v>
      </c>
      <c r="CJ149" s="73">
        <v>0</v>
      </c>
      <c r="CK149" s="74">
        <f t="shared" si="2579"/>
        <v>282.40000000000003</v>
      </c>
      <c r="CL149" s="303">
        <f t="shared" si="2580"/>
        <v>3511.1899111111111</v>
      </c>
      <c r="CM149" s="58">
        <v>1</v>
      </c>
      <c r="CN149" s="68" t="s">
        <v>292</v>
      </c>
      <c r="CO149" s="28">
        <f t="shared" si="2581"/>
        <v>10.677999999999999</v>
      </c>
      <c r="CP149" s="69">
        <v>2349.16</v>
      </c>
      <c r="CQ149" s="28">
        <f>CP149*CQ$6</f>
        <v>234.916</v>
      </c>
      <c r="CR149" s="28">
        <f>CP149*CR$6</f>
        <v>187.93279999999999</v>
      </c>
      <c r="CS149" s="28">
        <f>CP149/CS$6</f>
        <v>195.76333333333332</v>
      </c>
      <c r="CT149" s="72">
        <f>CS149/CT$6</f>
        <v>65.254444444444445</v>
      </c>
      <c r="CU149" s="72">
        <f>CP149/CU$6</f>
        <v>195.76333333333332</v>
      </c>
      <c r="CV149" s="70">
        <f>SUM(CP149:CU149)</f>
        <v>3228.789911111111</v>
      </c>
      <c r="CW149" s="71">
        <v>0</v>
      </c>
      <c r="CX149" s="71">
        <v>0</v>
      </c>
      <c r="CY149" s="72">
        <f t="shared" si="2582"/>
        <v>0</v>
      </c>
      <c r="CZ149" s="72">
        <f t="shared" si="2583"/>
        <v>0</v>
      </c>
      <c r="DA149" s="70">
        <f t="shared" ref="DA149" si="2621">SUM(CY149:CZ149)</f>
        <v>0</v>
      </c>
      <c r="DB149" s="73">
        <v>0</v>
      </c>
      <c r="DC149" s="74">
        <f t="shared" si="2584"/>
        <v>282.40000000000003</v>
      </c>
      <c r="DD149" s="303">
        <f t="shared" si="2585"/>
        <v>3511.1899111111111</v>
      </c>
      <c r="DE149" s="58">
        <v>1</v>
      </c>
      <c r="DF149" s="68" t="s">
        <v>292</v>
      </c>
      <c r="DG149" s="28">
        <f t="shared" si="2586"/>
        <v>10.677999999999999</v>
      </c>
      <c r="DH149" s="69">
        <v>2349.16</v>
      </c>
      <c r="DI149" s="28">
        <f>DH149*DI$6</f>
        <v>234.916</v>
      </c>
      <c r="DJ149" s="28">
        <f>DH149*DJ$6</f>
        <v>187.93279999999999</v>
      </c>
      <c r="DK149" s="28">
        <f>DH149/DK$6</f>
        <v>195.76333333333332</v>
      </c>
      <c r="DL149" s="72">
        <f>DK149/DL$6</f>
        <v>65.254444444444445</v>
      </c>
      <c r="DM149" s="72">
        <f>DH149/DM$6</f>
        <v>195.76333333333332</v>
      </c>
      <c r="DN149" s="70">
        <f>SUM(DH149:DM149)</f>
        <v>3228.789911111111</v>
      </c>
      <c r="DO149" s="71">
        <v>0</v>
      </c>
      <c r="DP149" s="71">
        <v>0</v>
      </c>
      <c r="DQ149" s="72">
        <f t="shared" si="2587"/>
        <v>0</v>
      </c>
      <c r="DR149" s="72">
        <f t="shared" si="2588"/>
        <v>0</v>
      </c>
      <c r="DS149" s="70">
        <f t="shared" ref="DS149" si="2622">SUM(DQ149:DR149)</f>
        <v>0</v>
      </c>
      <c r="DT149" s="73">
        <v>0</v>
      </c>
      <c r="DU149" s="74">
        <f t="shared" si="2589"/>
        <v>282.40000000000003</v>
      </c>
      <c r="DV149" s="303">
        <f t="shared" si="2590"/>
        <v>3511.1899111111111</v>
      </c>
      <c r="DW149" s="58">
        <v>1</v>
      </c>
      <c r="DX149" s="68" t="s">
        <v>292</v>
      </c>
      <c r="DY149" s="28">
        <f t="shared" si="2591"/>
        <v>10.677999999999999</v>
      </c>
      <c r="DZ149" s="69">
        <v>2349.16</v>
      </c>
      <c r="EA149" s="28">
        <f>DZ149*EA$6</f>
        <v>234.916</v>
      </c>
      <c r="EB149" s="28">
        <f>DZ149*EB$6</f>
        <v>187.93279999999999</v>
      </c>
      <c r="EC149" s="28">
        <f>DZ149/EC$6</f>
        <v>195.76333333333332</v>
      </c>
      <c r="ED149" s="72">
        <f>EC149/ED$6</f>
        <v>65.254444444444445</v>
      </c>
      <c r="EE149" s="72">
        <f>DZ149/EE$6</f>
        <v>195.76333333333332</v>
      </c>
      <c r="EF149" s="70">
        <f>SUM(DZ149:EE149)</f>
        <v>3228.789911111111</v>
      </c>
      <c r="EG149" s="71">
        <v>0</v>
      </c>
      <c r="EH149" s="71">
        <v>0</v>
      </c>
      <c r="EI149" s="72">
        <f t="shared" si="2592"/>
        <v>0</v>
      </c>
      <c r="EJ149" s="72">
        <f t="shared" si="2593"/>
        <v>0</v>
      </c>
      <c r="EK149" s="70">
        <f t="shared" ref="EK149" si="2623">SUM(EI149:EJ149)</f>
        <v>0</v>
      </c>
      <c r="EL149" s="73">
        <v>0</v>
      </c>
      <c r="EM149" s="74">
        <f t="shared" si="2594"/>
        <v>282.40000000000003</v>
      </c>
      <c r="EN149" s="303">
        <f t="shared" si="2595"/>
        <v>3511.1899111111111</v>
      </c>
      <c r="EO149" s="58">
        <v>1</v>
      </c>
      <c r="EP149" s="68" t="s">
        <v>292</v>
      </c>
      <c r="EQ149" s="28">
        <f t="shared" si="2596"/>
        <v>10.677999999999999</v>
      </c>
      <c r="ER149" s="69">
        <v>2349.16</v>
      </c>
      <c r="ES149" s="28">
        <f>ER149*ES$6</f>
        <v>234.916</v>
      </c>
      <c r="ET149" s="28">
        <f>ER149*ET$6</f>
        <v>187.93279999999999</v>
      </c>
      <c r="EU149" s="28">
        <f>ER149/EU$6</f>
        <v>195.76333333333332</v>
      </c>
      <c r="EV149" s="72">
        <f>EU149/EV$6</f>
        <v>65.254444444444445</v>
      </c>
      <c r="EW149" s="72">
        <f>ER149/EW$6</f>
        <v>195.76333333333332</v>
      </c>
      <c r="EX149" s="70">
        <f>SUM(ER149:EW149)</f>
        <v>3228.789911111111</v>
      </c>
      <c r="EY149" s="71">
        <v>0</v>
      </c>
      <c r="EZ149" s="71">
        <v>0</v>
      </c>
      <c r="FA149" s="72">
        <f t="shared" si="2597"/>
        <v>0</v>
      </c>
      <c r="FB149" s="72">
        <f t="shared" si="2598"/>
        <v>0</v>
      </c>
      <c r="FC149" s="70">
        <f t="shared" ref="FC149" si="2624">SUM(FA149:FB149)</f>
        <v>0</v>
      </c>
      <c r="FD149" s="73">
        <v>0</v>
      </c>
      <c r="FE149" s="74">
        <f t="shared" si="2599"/>
        <v>282.40000000000003</v>
      </c>
      <c r="FF149" s="303">
        <f t="shared" si="2600"/>
        <v>3511.1899111111111</v>
      </c>
      <c r="FG149" s="58">
        <v>1</v>
      </c>
      <c r="FH149" s="68" t="s">
        <v>292</v>
      </c>
      <c r="FI149" s="28">
        <f t="shared" si="2601"/>
        <v>10.677999999999999</v>
      </c>
      <c r="FJ149" s="69">
        <v>2349.16</v>
      </c>
      <c r="FK149" s="28">
        <f>FJ149*FK$6</f>
        <v>234.916</v>
      </c>
      <c r="FL149" s="28">
        <f>FJ149*FL$6</f>
        <v>187.93279999999999</v>
      </c>
      <c r="FM149" s="28">
        <f>FJ149/FM$6</f>
        <v>195.76333333333332</v>
      </c>
      <c r="FN149" s="72">
        <f>FM149/FN$6</f>
        <v>65.254444444444445</v>
      </c>
      <c r="FO149" s="72">
        <f>FJ149/FO$6</f>
        <v>195.76333333333332</v>
      </c>
      <c r="FP149" s="70">
        <f>SUM(FJ149:FO149)</f>
        <v>3228.789911111111</v>
      </c>
      <c r="FQ149" s="71">
        <v>0</v>
      </c>
      <c r="FR149" s="71">
        <v>0</v>
      </c>
      <c r="FS149" s="72">
        <f t="shared" si="2602"/>
        <v>0</v>
      </c>
      <c r="FT149" s="72">
        <f t="shared" si="2603"/>
        <v>0</v>
      </c>
      <c r="FU149" s="70">
        <f t="shared" ref="FU149" si="2625">SUM(FS149:FT149)</f>
        <v>0</v>
      </c>
      <c r="FV149" s="73">
        <v>0</v>
      </c>
      <c r="FW149" s="74">
        <f t="shared" si="2604"/>
        <v>282.40000000000003</v>
      </c>
      <c r="FX149" s="303">
        <f t="shared" si="2605"/>
        <v>3511.1899111111111</v>
      </c>
      <c r="FY149" s="58">
        <v>1</v>
      </c>
      <c r="FZ149" s="68" t="s">
        <v>292</v>
      </c>
      <c r="GA149" s="28">
        <f t="shared" si="2606"/>
        <v>10.677999999999999</v>
      </c>
      <c r="GB149" s="69">
        <v>2349.16</v>
      </c>
      <c r="GC149" s="28">
        <f>GB149*GC$6</f>
        <v>234.916</v>
      </c>
      <c r="GD149" s="28">
        <f>GB149*GD$6</f>
        <v>187.93279999999999</v>
      </c>
      <c r="GE149" s="28">
        <f>GB149/GE$6</f>
        <v>195.76333333333332</v>
      </c>
      <c r="GF149" s="72">
        <f>GE149/GF$6</f>
        <v>65.254444444444445</v>
      </c>
      <c r="GG149" s="72">
        <f>GB149/GG$6</f>
        <v>195.76333333333332</v>
      </c>
      <c r="GH149" s="70">
        <f>SUM(GB149:GG149)</f>
        <v>3228.789911111111</v>
      </c>
      <c r="GI149" s="71">
        <v>0</v>
      </c>
      <c r="GJ149" s="71">
        <v>0</v>
      </c>
      <c r="GK149" s="72">
        <f t="shared" si="2607"/>
        <v>0</v>
      </c>
      <c r="GL149" s="72">
        <f t="shared" si="2608"/>
        <v>0</v>
      </c>
      <c r="GM149" s="70">
        <f t="shared" ref="GM149" si="2626">SUM(GK149:GL149)</f>
        <v>0</v>
      </c>
      <c r="GN149" s="73">
        <v>0</v>
      </c>
      <c r="GO149" s="74">
        <f t="shared" si="2609"/>
        <v>282.40000000000003</v>
      </c>
      <c r="GP149" s="303">
        <f t="shared" si="2610"/>
        <v>3511.1899111111111</v>
      </c>
      <c r="GQ149" s="58">
        <v>1</v>
      </c>
      <c r="GR149" s="68" t="s">
        <v>292</v>
      </c>
      <c r="GS149" s="28">
        <f t="shared" si="2611"/>
        <v>10.677999999999999</v>
      </c>
      <c r="GT149" s="69">
        <v>2349.16</v>
      </c>
      <c r="GU149" s="28">
        <f>GT149*GU$6</f>
        <v>234.916</v>
      </c>
      <c r="GV149" s="28">
        <f>GT149*GV$6</f>
        <v>187.93279999999999</v>
      </c>
      <c r="GW149" s="28">
        <f>GT149/GW$6</f>
        <v>195.76333333333332</v>
      </c>
      <c r="GX149" s="72">
        <f>GW149/GX$6</f>
        <v>65.254444444444445</v>
      </c>
      <c r="GY149" s="72">
        <f>GT149/GY$6</f>
        <v>195.76333333333332</v>
      </c>
      <c r="GZ149" s="70">
        <f>SUM(GT149:GY149)</f>
        <v>3228.789911111111</v>
      </c>
      <c r="HA149" s="71">
        <v>0</v>
      </c>
      <c r="HB149" s="71">
        <v>0</v>
      </c>
      <c r="HC149" s="72">
        <f t="shared" si="2612"/>
        <v>0</v>
      </c>
      <c r="HD149" s="72">
        <f t="shared" si="2613"/>
        <v>0</v>
      </c>
      <c r="HE149" s="70">
        <f t="shared" ref="HE149" si="2627">SUM(HC149:HD149)</f>
        <v>0</v>
      </c>
      <c r="HF149" s="73">
        <v>0</v>
      </c>
      <c r="HG149" s="74">
        <f t="shared" si="2614"/>
        <v>282.40000000000003</v>
      </c>
      <c r="HH149" s="303">
        <f t="shared" si="2615"/>
        <v>3511.1899111111111</v>
      </c>
      <c r="HJ149" s="37"/>
      <c r="HK149" s="37"/>
      <c r="HL149" s="37"/>
      <c r="HM149" s="37"/>
      <c r="HN149" s="37"/>
      <c r="HO149" s="37"/>
      <c r="HP149" s="37"/>
      <c r="HQ149" s="37"/>
      <c r="HR149" s="37"/>
      <c r="HS149" s="37"/>
      <c r="HT149" s="37"/>
      <c r="HU149" s="37"/>
      <c r="HV149" s="37"/>
      <c r="HW149" s="37"/>
      <c r="HX149" s="37"/>
      <c r="HY149" s="37"/>
      <c r="HZ149" s="37"/>
      <c r="IA149" s="37"/>
      <c r="IB149" s="37"/>
      <c r="IC149" s="37"/>
      <c r="ID149" s="37"/>
      <c r="IE149" s="37"/>
      <c r="IF149" s="37"/>
      <c r="IG149" s="37"/>
      <c r="IH149" s="37"/>
      <c r="II149" s="37"/>
      <c r="IJ149" s="37"/>
      <c r="IK149" s="37"/>
      <c r="IL149" s="37"/>
      <c r="IM149" s="37"/>
      <c r="IN149" s="37"/>
      <c r="IO149" s="37"/>
      <c r="IP149" s="37"/>
    </row>
    <row r="150" spans="1:250" ht="15.6" x14ac:dyDescent="0.3">
      <c r="A150" s="541"/>
      <c r="B150" s="537"/>
      <c r="C150" s="537"/>
      <c r="D150" s="537"/>
      <c r="E150" s="537"/>
      <c r="F150" s="537"/>
      <c r="G150" s="537"/>
      <c r="H150" s="537"/>
      <c r="I150" s="537"/>
      <c r="J150" s="537"/>
      <c r="K150" s="537"/>
      <c r="L150" s="537"/>
      <c r="M150" s="537"/>
      <c r="N150" s="537"/>
      <c r="O150" s="537"/>
      <c r="P150" s="538"/>
      <c r="Q150" s="307" t="s">
        <v>8</v>
      </c>
      <c r="R150" s="304">
        <f>SUM(R147:R149)</f>
        <v>18121.691288888887</v>
      </c>
      <c r="S150" s="541"/>
      <c r="T150" s="537"/>
      <c r="U150" s="537"/>
      <c r="V150" s="537"/>
      <c r="W150" s="537"/>
      <c r="X150" s="537"/>
      <c r="Y150" s="537"/>
      <c r="Z150" s="537"/>
      <c r="AA150" s="537"/>
      <c r="AB150" s="537"/>
      <c r="AC150" s="537"/>
      <c r="AD150" s="537"/>
      <c r="AE150" s="537"/>
      <c r="AF150" s="537"/>
      <c r="AG150" s="537"/>
      <c r="AH150" s="538"/>
      <c r="AI150" s="307" t="s">
        <v>8</v>
      </c>
      <c r="AJ150" s="304">
        <f>SUM(AJ147:AJ149)</f>
        <v>18121.691288888887</v>
      </c>
      <c r="AK150" s="541"/>
      <c r="AL150" s="537"/>
      <c r="AM150" s="537"/>
      <c r="AN150" s="537"/>
      <c r="AO150" s="537"/>
      <c r="AP150" s="537"/>
      <c r="AQ150" s="537"/>
      <c r="AR150" s="537"/>
      <c r="AS150" s="537"/>
      <c r="AT150" s="537"/>
      <c r="AU150" s="537"/>
      <c r="AV150" s="537"/>
      <c r="AW150" s="537"/>
      <c r="AX150" s="537"/>
      <c r="AY150" s="537"/>
      <c r="AZ150" s="538"/>
      <c r="BA150" s="307" t="s">
        <v>8</v>
      </c>
      <c r="BB150" s="304">
        <f>SUM(BB147:BB149)</f>
        <v>18121.691288888887</v>
      </c>
      <c r="BC150" s="541"/>
      <c r="BD150" s="537"/>
      <c r="BE150" s="537"/>
      <c r="BF150" s="537"/>
      <c r="BG150" s="537"/>
      <c r="BH150" s="537"/>
      <c r="BI150" s="537"/>
      <c r="BJ150" s="537"/>
      <c r="BK150" s="537"/>
      <c r="BL150" s="537"/>
      <c r="BM150" s="537"/>
      <c r="BN150" s="537"/>
      <c r="BO150" s="537"/>
      <c r="BP150" s="537"/>
      <c r="BQ150" s="537"/>
      <c r="BR150" s="538"/>
      <c r="BS150" s="307" t="s">
        <v>8</v>
      </c>
      <c r="BT150" s="304">
        <f>SUM(BT147:BT149)</f>
        <v>18121.691288888887</v>
      </c>
      <c r="BU150" s="541"/>
      <c r="BV150" s="537"/>
      <c r="BW150" s="537"/>
      <c r="BX150" s="537"/>
      <c r="BY150" s="537"/>
      <c r="BZ150" s="537"/>
      <c r="CA150" s="537"/>
      <c r="CB150" s="537"/>
      <c r="CC150" s="537"/>
      <c r="CD150" s="537"/>
      <c r="CE150" s="537"/>
      <c r="CF150" s="537"/>
      <c r="CG150" s="537"/>
      <c r="CH150" s="537"/>
      <c r="CI150" s="537"/>
      <c r="CJ150" s="538"/>
      <c r="CK150" s="307" t="s">
        <v>8</v>
      </c>
      <c r="CL150" s="304">
        <f>SUM(CL147:CL149)</f>
        <v>18121.691288888887</v>
      </c>
      <c r="CM150" s="541"/>
      <c r="CN150" s="537"/>
      <c r="CO150" s="537"/>
      <c r="CP150" s="537"/>
      <c r="CQ150" s="537"/>
      <c r="CR150" s="537"/>
      <c r="CS150" s="537"/>
      <c r="CT150" s="537"/>
      <c r="CU150" s="537"/>
      <c r="CV150" s="537"/>
      <c r="CW150" s="537"/>
      <c r="CX150" s="537"/>
      <c r="CY150" s="537"/>
      <c r="CZ150" s="537"/>
      <c r="DA150" s="537"/>
      <c r="DB150" s="538"/>
      <c r="DC150" s="307" t="s">
        <v>8</v>
      </c>
      <c r="DD150" s="304">
        <f>SUM(DD147:DD149)</f>
        <v>18121.691288888887</v>
      </c>
      <c r="DE150" s="541"/>
      <c r="DF150" s="537"/>
      <c r="DG150" s="537"/>
      <c r="DH150" s="537"/>
      <c r="DI150" s="537"/>
      <c r="DJ150" s="537"/>
      <c r="DK150" s="537"/>
      <c r="DL150" s="537"/>
      <c r="DM150" s="537"/>
      <c r="DN150" s="537"/>
      <c r="DO150" s="537"/>
      <c r="DP150" s="537"/>
      <c r="DQ150" s="537"/>
      <c r="DR150" s="537"/>
      <c r="DS150" s="537"/>
      <c r="DT150" s="538"/>
      <c r="DU150" s="307" t="s">
        <v>8</v>
      </c>
      <c r="DV150" s="304">
        <f>SUM(DV147:DV149)</f>
        <v>18121.691288888887</v>
      </c>
      <c r="DW150" s="541"/>
      <c r="DX150" s="537"/>
      <c r="DY150" s="537"/>
      <c r="DZ150" s="537"/>
      <c r="EA150" s="537"/>
      <c r="EB150" s="537"/>
      <c r="EC150" s="537"/>
      <c r="ED150" s="537"/>
      <c r="EE150" s="537"/>
      <c r="EF150" s="537"/>
      <c r="EG150" s="537"/>
      <c r="EH150" s="537"/>
      <c r="EI150" s="537"/>
      <c r="EJ150" s="537"/>
      <c r="EK150" s="537"/>
      <c r="EL150" s="538"/>
      <c r="EM150" s="307" t="s">
        <v>8</v>
      </c>
      <c r="EN150" s="304">
        <f>SUM(EN147:EN149)</f>
        <v>18121.691288888887</v>
      </c>
      <c r="EO150" s="541"/>
      <c r="EP150" s="537"/>
      <c r="EQ150" s="537"/>
      <c r="ER150" s="537"/>
      <c r="ES150" s="537"/>
      <c r="ET150" s="537"/>
      <c r="EU150" s="537"/>
      <c r="EV150" s="537"/>
      <c r="EW150" s="537"/>
      <c r="EX150" s="537"/>
      <c r="EY150" s="537"/>
      <c r="EZ150" s="537"/>
      <c r="FA150" s="537"/>
      <c r="FB150" s="537"/>
      <c r="FC150" s="537"/>
      <c r="FD150" s="538"/>
      <c r="FE150" s="307" t="s">
        <v>8</v>
      </c>
      <c r="FF150" s="304">
        <f>SUM(FF147:FF149)</f>
        <v>18121.691288888887</v>
      </c>
      <c r="FG150" s="541"/>
      <c r="FH150" s="537"/>
      <c r="FI150" s="537"/>
      <c r="FJ150" s="537"/>
      <c r="FK150" s="537"/>
      <c r="FL150" s="537"/>
      <c r="FM150" s="537"/>
      <c r="FN150" s="537"/>
      <c r="FO150" s="537"/>
      <c r="FP150" s="537"/>
      <c r="FQ150" s="537"/>
      <c r="FR150" s="537"/>
      <c r="FS150" s="537"/>
      <c r="FT150" s="537"/>
      <c r="FU150" s="537"/>
      <c r="FV150" s="538"/>
      <c r="FW150" s="307" t="s">
        <v>8</v>
      </c>
      <c r="FX150" s="304">
        <f>SUM(FX147:FX149)</f>
        <v>18121.691288888887</v>
      </c>
      <c r="FY150" s="541"/>
      <c r="FZ150" s="537"/>
      <c r="GA150" s="537"/>
      <c r="GB150" s="537"/>
      <c r="GC150" s="537"/>
      <c r="GD150" s="537"/>
      <c r="GE150" s="537"/>
      <c r="GF150" s="537"/>
      <c r="GG150" s="537"/>
      <c r="GH150" s="537"/>
      <c r="GI150" s="537"/>
      <c r="GJ150" s="537"/>
      <c r="GK150" s="537"/>
      <c r="GL150" s="537"/>
      <c r="GM150" s="537"/>
      <c r="GN150" s="538"/>
      <c r="GO150" s="307" t="s">
        <v>8</v>
      </c>
      <c r="GP150" s="304">
        <f>SUM(GP147:GP149)</f>
        <v>18121.691288888887</v>
      </c>
      <c r="GQ150" s="541"/>
      <c r="GR150" s="537"/>
      <c r="GS150" s="537"/>
      <c r="GT150" s="537"/>
      <c r="GU150" s="537"/>
      <c r="GV150" s="537"/>
      <c r="GW150" s="537"/>
      <c r="GX150" s="537"/>
      <c r="GY150" s="537"/>
      <c r="GZ150" s="537"/>
      <c r="HA150" s="537"/>
      <c r="HB150" s="537"/>
      <c r="HC150" s="537"/>
      <c r="HD150" s="537"/>
      <c r="HE150" s="537"/>
      <c r="HF150" s="538"/>
      <c r="HG150" s="307" t="s">
        <v>8</v>
      </c>
      <c r="HH150" s="304">
        <f>SUM(HH147:HH149)</f>
        <v>18121.691288888887</v>
      </c>
      <c r="HJ150" s="37"/>
      <c r="HK150" s="37"/>
      <c r="HL150" s="37"/>
      <c r="HM150" s="37"/>
      <c r="HN150" s="37"/>
      <c r="HO150" s="37"/>
      <c r="HP150" s="37"/>
      <c r="HQ150" s="37"/>
      <c r="HR150" s="37"/>
      <c r="HS150" s="37"/>
      <c r="HT150" s="37"/>
      <c r="HU150" s="37"/>
      <c r="HV150" s="37"/>
      <c r="HW150" s="37"/>
      <c r="HX150" s="37"/>
      <c r="HY150" s="37"/>
      <c r="HZ150" s="37"/>
      <c r="IA150" s="37"/>
      <c r="IB150" s="37"/>
      <c r="IC150" s="37"/>
      <c r="ID150" s="37"/>
      <c r="IE150" s="37"/>
      <c r="IF150" s="37"/>
      <c r="IG150" s="37"/>
      <c r="IH150" s="37"/>
      <c r="II150" s="37"/>
      <c r="IJ150" s="37"/>
      <c r="IK150" s="37"/>
      <c r="IL150" s="37"/>
      <c r="IM150" s="37"/>
      <c r="IN150" s="37"/>
      <c r="IO150" s="37"/>
      <c r="IP150" s="37"/>
    </row>
    <row r="151" spans="1:250" ht="15.6" x14ac:dyDescent="0.3">
      <c r="A151" s="543"/>
      <c r="B151" s="544"/>
      <c r="C151" s="544"/>
      <c r="D151" s="544"/>
      <c r="E151" s="743" t="s">
        <v>140</v>
      </c>
      <c r="F151" s="743"/>
      <c r="G151" s="743"/>
      <c r="H151" s="743"/>
      <c r="I151" s="743"/>
      <c r="J151" s="743"/>
      <c r="K151" s="743"/>
      <c r="L151" s="743"/>
      <c r="M151" s="743"/>
      <c r="N151" s="544"/>
      <c r="O151" s="544"/>
      <c r="P151" s="544"/>
      <c r="Q151" s="544"/>
      <c r="R151" s="545"/>
      <c r="S151" s="543"/>
      <c r="T151" s="544"/>
      <c r="U151" s="544"/>
      <c r="V151" s="544"/>
      <c r="W151" s="743" t="s">
        <v>140</v>
      </c>
      <c r="X151" s="743"/>
      <c r="Y151" s="743"/>
      <c r="Z151" s="743"/>
      <c r="AA151" s="743"/>
      <c r="AB151" s="743"/>
      <c r="AC151" s="743"/>
      <c r="AD151" s="743"/>
      <c r="AE151" s="743"/>
      <c r="AF151" s="544"/>
      <c r="AG151" s="544"/>
      <c r="AH151" s="544"/>
      <c r="AI151" s="544"/>
      <c r="AJ151" s="545"/>
      <c r="AK151" s="543"/>
      <c r="AL151" s="544"/>
      <c r="AM151" s="544"/>
      <c r="AN151" s="544"/>
      <c r="AO151" s="743" t="s">
        <v>140</v>
      </c>
      <c r="AP151" s="743"/>
      <c r="AQ151" s="743"/>
      <c r="AR151" s="743"/>
      <c r="AS151" s="743"/>
      <c r="AT151" s="743"/>
      <c r="AU151" s="743"/>
      <c r="AV151" s="743"/>
      <c r="AW151" s="743"/>
      <c r="AX151" s="544"/>
      <c r="AY151" s="544"/>
      <c r="AZ151" s="544"/>
      <c r="BA151" s="544"/>
      <c r="BB151" s="545"/>
      <c r="BC151" s="543"/>
      <c r="BD151" s="544"/>
      <c r="BE151" s="544"/>
      <c r="BF151" s="544"/>
      <c r="BG151" s="743" t="s">
        <v>140</v>
      </c>
      <c r="BH151" s="743"/>
      <c r="BI151" s="743"/>
      <c r="BJ151" s="743"/>
      <c r="BK151" s="743"/>
      <c r="BL151" s="743"/>
      <c r="BM151" s="743"/>
      <c r="BN151" s="743"/>
      <c r="BO151" s="743"/>
      <c r="BP151" s="544"/>
      <c r="BQ151" s="544"/>
      <c r="BR151" s="544"/>
      <c r="BS151" s="544"/>
      <c r="BT151" s="545"/>
      <c r="BU151" s="543"/>
      <c r="BV151" s="544"/>
      <c r="BW151" s="544"/>
      <c r="BX151" s="544"/>
      <c r="BY151" s="743" t="s">
        <v>140</v>
      </c>
      <c r="BZ151" s="743"/>
      <c r="CA151" s="743"/>
      <c r="CB151" s="743"/>
      <c r="CC151" s="743"/>
      <c r="CD151" s="743"/>
      <c r="CE151" s="743"/>
      <c r="CF151" s="743"/>
      <c r="CG151" s="743"/>
      <c r="CH151" s="544"/>
      <c r="CI151" s="544"/>
      <c r="CJ151" s="544"/>
      <c r="CK151" s="544"/>
      <c r="CL151" s="545"/>
      <c r="CM151" s="543"/>
      <c r="CN151" s="544"/>
      <c r="CO151" s="544"/>
      <c r="CP151" s="544"/>
      <c r="CQ151" s="743" t="s">
        <v>140</v>
      </c>
      <c r="CR151" s="743"/>
      <c r="CS151" s="743"/>
      <c r="CT151" s="743"/>
      <c r="CU151" s="743"/>
      <c r="CV151" s="743"/>
      <c r="CW151" s="743"/>
      <c r="CX151" s="743"/>
      <c r="CY151" s="743"/>
      <c r="CZ151" s="544"/>
      <c r="DA151" s="544"/>
      <c r="DB151" s="544"/>
      <c r="DC151" s="544"/>
      <c r="DD151" s="545"/>
      <c r="DE151" s="543"/>
      <c r="DF151" s="544"/>
      <c r="DG151" s="544"/>
      <c r="DH151" s="544"/>
      <c r="DI151" s="743" t="s">
        <v>140</v>
      </c>
      <c r="DJ151" s="743"/>
      <c r="DK151" s="743"/>
      <c r="DL151" s="743"/>
      <c r="DM151" s="743"/>
      <c r="DN151" s="743"/>
      <c r="DO151" s="743"/>
      <c r="DP151" s="743"/>
      <c r="DQ151" s="743"/>
      <c r="DR151" s="544"/>
      <c r="DS151" s="544"/>
      <c r="DT151" s="544"/>
      <c r="DU151" s="544"/>
      <c r="DV151" s="545"/>
      <c r="DW151" s="543"/>
      <c r="DX151" s="544"/>
      <c r="DY151" s="544"/>
      <c r="DZ151" s="544"/>
      <c r="EA151" s="743" t="s">
        <v>140</v>
      </c>
      <c r="EB151" s="743"/>
      <c r="EC151" s="743"/>
      <c r="ED151" s="743"/>
      <c r="EE151" s="743"/>
      <c r="EF151" s="743"/>
      <c r="EG151" s="743"/>
      <c r="EH151" s="743"/>
      <c r="EI151" s="743"/>
      <c r="EJ151" s="544"/>
      <c r="EK151" s="544"/>
      <c r="EL151" s="544"/>
      <c r="EM151" s="544"/>
      <c r="EN151" s="545"/>
      <c r="EO151" s="543"/>
      <c r="EP151" s="544"/>
      <c r="EQ151" s="544"/>
      <c r="ER151" s="544"/>
      <c r="ES151" s="743" t="s">
        <v>140</v>
      </c>
      <c r="ET151" s="743"/>
      <c r="EU151" s="743"/>
      <c r="EV151" s="743"/>
      <c r="EW151" s="743"/>
      <c r="EX151" s="743"/>
      <c r="EY151" s="743"/>
      <c r="EZ151" s="743"/>
      <c r="FA151" s="743"/>
      <c r="FB151" s="544"/>
      <c r="FC151" s="544"/>
      <c r="FD151" s="544"/>
      <c r="FE151" s="544"/>
      <c r="FF151" s="545"/>
      <c r="FG151" s="543"/>
      <c r="FH151" s="544"/>
      <c r="FI151" s="544"/>
      <c r="FJ151" s="544"/>
      <c r="FK151" s="743" t="s">
        <v>140</v>
      </c>
      <c r="FL151" s="743"/>
      <c r="FM151" s="743"/>
      <c r="FN151" s="743"/>
      <c r="FO151" s="743"/>
      <c r="FP151" s="743"/>
      <c r="FQ151" s="743"/>
      <c r="FR151" s="743"/>
      <c r="FS151" s="743"/>
      <c r="FT151" s="544"/>
      <c r="FU151" s="544"/>
      <c r="FV151" s="544"/>
      <c r="FW151" s="544"/>
      <c r="FX151" s="545"/>
      <c r="FY151" s="543"/>
      <c r="FZ151" s="544"/>
      <c r="GA151" s="544"/>
      <c r="GB151" s="544"/>
      <c r="GC151" s="743" t="s">
        <v>140</v>
      </c>
      <c r="GD151" s="743"/>
      <c r="GE151" s="743"/>
      <c r="GF151" s="743"/>
      <c r="GG151" s="743"/>
      <c r="GH151" s="743"/>
      <c r="GI151" s="743"/>
      <c r="GJ151" s="743"/>
      <c r="GK151" s="743"/>
      <c r="GL151" s="544"/>
      <c r="GM151" s="544"/>
      <c r="GN151" s="544"/>
      <c r="GO151" s="544"/>
      <c r="GP151" s="545"/>
      <c r="GQ151" s="543"/>
      <c r="GR151" s="544"/>
      <c r="GS151" s="544"/>
      <c r="GT151" s="544"/>
      <c r="GU151" s="743" t="s">
        <v>140</v>
      </c>
      <c r="GV151" s="743"/>
      <c r="GW151" s="743"/>
      <c r="GX151" s="743"/>
      <c r="GY151" s="743"/>
      <c r="GZ151" s="743"/>
      <c r="HA151" s="743"/>
      <c r="HB151" s="743"/>
      <c r="HC151" s="743"/>
      <c r="HD151" s="544"/>
      <c r="HE151" s="544"/>
      <c r="HF151" s="544"/>
      <c r="HG151" s="544"/>
      <c r="HH151" s="545"/>
      <c r="HJ151" s="37"/>
      <c r="HK151" s="37"/>
      <c r="HL151" s="37"/>
      <c r="HM151" s="37"/>
      <c r="HN151" s="37"/>
      <c r="HO151" s="37"/>
      <c r="HP151" s="37"/>
      <c r="HQ151" s="37"/>
      <c r="HR151" s="37"/>
      <c r="HS151" s="37"/>
      <c r="HT151" s="37"/>
      <c r="HU151" s="37"/>
      <c r="HV151" s="37"/>
      <c r="HW151" s="37"/>
      <c r="HX151" s="37"/>
      <c r="HY151" s="37"/>
      <c r="HZ151" s="37"/>
      <c r="IA151" s="37"/>
      <c r="IB151" s="37"/>
      <c r="IC151" s="37"/>
      <c r="ID151" s="37"/>
      <c r="IE151" s="37"/>
      <c r="IF151" s="37"/>
      <c r="IG151" s="37"/>
      <c r="IH151" s="37"/>
      <c r="II151" s="37"/>
      <c r="IJ151" s="37"/>
      <c r="IK151" s="37"/>
      <c r="IL151" s="37"/>
      <c r="IM151" s="37"/>
      <c r="IN151" s="37"/>
      <c r="IO151" s="37"/>
      <c r="IP151" s="37"/>
    </row>
    <row r="152" spans="1:250" x14ac:dyDescent="0.3">
      <c r="A152" s="58">
        <v>1</v>
      </c>
      <c r="B152" s="68" t="s">
        <v>132</v>
      </c>
      <c r="C152" s="28">
        <f t="shared" ref="C152:C154" si="2628">D152/$AM$4</f>
        <v>21.441636363636363</v>
      </c>
      <c r="D152" s="69">
        <v>4717.16</v>
      </c>
      <c r="E152" s="28">
        <f t="shared" ref="E152:E154" si="2629">D152*E$6</f>
        <v>471.71600000000001</v>
      </c>
      <c r="F152" s="28">
        <f t="shared" ref="F152:F154" si="2630">D152*F$6</f>
        <v>377.37279999999998</v>
      </c>
      <c r="G152" s="28">
        <f t="shared" ref="G152:G154" si="2631">D152/G$6</f>
        <v>393.09666666666664</v>
      </c>
      <c r="H152" s="72">
        <f t="shared" ref="H152:H154" si="2632">G152/H$6</f>
        <v>131.0322222222222</v>
      </c>
      <c r="I152" s="72">
        <f t="shared" ref="I152:I154" si="2633">D152/I$6</f>
        <v>393.09666666666664</v>
      </c>
      <c r="J152" s="70">
        <f t="shared" ref="J152:J154" si="2634">SUM(D152:I152)</f>
        <v>6483.4743555555551</v>
      </c>
      <c r="K152" s="71">
        <v>0</v>
      </c>
      <c r="L152" s="71">
        <v>0</v>
      </c>
      <c r="M152" s="72">
        <f t="shared" ref="M152:M154" si="2635">((C152*M$6)+(C152*$AO$6)+(C152*$AP$6))*K152</f>
        <v>0</v>
      </c>
      <c r="N152" s="72">
        <f t="shared" ref="N152:N154" si="2636">((C152*N$6)+(C152*$AO$6)+(C152*$AP$6))*L152</f>
        <v>0</v>
      </c>
      <c r="O152" s="70">
        <f t="shared" ref="O152:O154" si="2637">SUM(M152:N152)</f>
        <v>0</v>
      </c>
      <c r="P152" s="73">
        <v>0</v>
      </c>
      <c r="Q152" s="74">
        <f t="shared" ref="Q152:Q154" si="2638">IF(A152=1,($C$1*$Q$6),0)</f>
        <v>282.40000000000003</v>
      </c>
      <c r="R152" s="303">
        <f t="shared" ref="R152:R154" si="2639">J152+O152+P152+Q152</f>
        <v>6765.8743555555548</v>
      </c>
      <c r="S152" s="58">
        <v>1</v>
      </c>
      <c r="T152" s="68" t="s">
        <v>132</v>
      </c>
      <c r="U152" s="28">
        <f t="shared" ref="U152:U154" si="2640">V152/$AM$4</f>
        <v>21.441636363636363</v>
      </c>
      <c r="V152" s="69">
        <v>4717.16</v>
      </c>
      <c r="W152" s="28">
        <f t="shared" ref="W152:W154" si="2641">V152*W$6</f>
        <v>471.71600000000001</v>
      </c>
      <c r="X152" s="28">
        <f t="shared" ref="X152:X154" si="2642">V152*X$6</f>
        <v>377.37279999999998</v>
      </c>
      <c r="Y152" s="28">
        <f t="shared" ref="Y152:Y154" si="2643">V152/Y$6</f>
        <v>393.09666666666664</v>
      </c>
      <c r="Z152" s="72">
        <f t="shared" ref="Z152:Z154" si="2644">Y152/Z$6</f>
        <v>131.0322222222222</v>
      </c>
      <c r="AA152" s="72">
        <f t="shared" ref="AA152:AA154" si="2645">V152/AA$6</f>
        <v>393.09666666666664</v>
      </c>
      <c r="AB152" s="70">
        <f t="shared" ref="AB152:AB154" si="2646">SUM(V152:AA152)</f>
        <v>6483.4743555555551</v>
      </c>
      <c r="AC152" s="71">
        <v>0</v>
      </c>
      <c r="AD152" s="71">
        <v>0</v>
      </c>
      <c r="AE152" s="72">
        <f t="shared" ref="AE152:AE154" si="2647">((U152*AE$6)+(U152*$AO$6)+(U152*$AP$6))*AC152</f>
        <v>0</v>
      </c>
      <c r="AF152" s="72">
        <f t="shared" ref="AF152:AF154" si="2648">((U152*AF$6)+(U152*$AO$6)+(U152*$AP$6))*AD152</f>
        <v>0</v>
      </c>
      <c r="AG152" s="70">
        <f t="shared" ref="AG152:AG154" si="2649">SUM(AE152:AF152)</f>
        <v>0</v>
      </c>
      <c r="AH152" s="73">
        <v>0</v>
      </c>
      <c r="AI152" s="74">
        <f t="shared" ref="AI152:AI154" si="2650">IF(S152=1,($C$1*$Q$6),0)</f>
        <v>282.40000000000003</v>
      </c>
      <c r="AJ152" s="303">
        <f t="shared" ref="AJ152:AJ154" si="2651">AB152+AG152+AH152+AI152</f>
        <v>6765.8743555555548</v>
      </c>
      <c r="AK152" s="58">
        <v>1</v>
      </c>
      <c r="AL152" s="68" t="s">
        <v>132</v>
      </c>
      <c r="AM152" s="28">
        <f t="shared" ref="AM152:AM154" si="2652">AN152/$AM$4</f>
        <v>21.441636363636363</v>
      </c>
      <c r="AN152" s="69">
        <v>4717.16</v>
      </c>
      <c r="AO152" s="28">
        <f t="shared" ref="AO152:AO154" si="2653">AN152*AO$6</f>
        <v>471.71600000000001</v>
      </c>
      <c r="AP152" s="28">
        <f t="shared" ref="AP152:AP154" si="2654">AN152*AP$6</f>
        <v>377.37279999999998</v>
      </c>
      <c r="AQ152" s="28">
        <f t="shared" ref="AQ152:AQ154" si="2655">AN152/AQ$6</f>
        <v>393.09666666666664</v>
      </c>
      <c r="AR152" s="72">
        <f t="shared" ref="AR152:AR154" si="2656">AQ152/AR$6</f>
        <v>131.0322222222222</v>
      </c>
      <c r="AS152" s="72">
        <f t="shared" ref="AS152:AS154" si="2657">AN152/AS$6</f>
        <v>393.09666666666664</v>
      </c>
      <c r="AT152" s="70">
        <f t="shared" ref="AT152:AT154" si="2658">SUM(AN152:AS152)</f>
        <v>6483.4743555555551</v>
      </c>
      <c r="AU152" s="71">
        <v>0</v>
      </c>
      <c r="AV152" s="71">
        <v>0</v>
      </c>
      <c r="AW152" s="72">
        <f t="shared" ref="AW152:AW154" si="2659">((AM152*AW$6)+(AM152*$AO$6)+(AM152*$AP$6))*AU152</f>
        <v>0</v>
      </c>
      <c r="AX152" s="72">
        <f t="shared" ref="AX152:AX154" si="2660">((AM152*AX$6)+(AM152*$AO$6)+(AM152*$AP$6))*AV152</f>
        <v>0</v>
      </c>
      <c r="AY152" s="70">
        <f t="shared" ref="AY152:AY154" si="2661">SUM(AW152:AX152)</f>
        <v>0</v>
      </c>
      <c r="AZ152" s="73">
        <v>0</v>
      </c>
      <c r="BA152" s="74">
        <f t="shared" ref="BA152:BA154" si="2662">IF(AK152=1,($C$1*$Q$6),0)</f>
        <v>282.40000000000003</v>
      </c>
      <c r="BB152" s="303">
        <f t="shared" ref="BB152:BB154" si="2663">AT152+AY152+AZ152+BA152</f>
        <v>6765.8743555555548</v>
      </c>
      <c r="BC152" s="58">
        <v>1</v>
      </c>
      <c r="BD152" s="68" t="s">
        <v>132</v>
      </c>
      <c r="BE152" s="28">
        <f t="shared" ref="BE152:BE154" si="2664">BF152/$AM$4</f>
        <v>21.441636363636363</v>
      </c>
      <c r="BF152" s="69">
        <v>4717.16</v>
      </c>
      <c r="BG152" s="28">
        <f t="shared" ref="BG152:BG154" si="2665">BF152*BG$6</f>
        <v>471.71600000000001</v>
      </c>
      <c r="BH152" s="28">
        <f t="shared" ref="BH152:BH154" si="2666">BF152*BH$6</f>
        <v>377.37279999999998</v>
      </c>
      <c r="BI152" s="28">
        <f t="shared" ref="BI152:BI154" si="2667">BF152/BI$6</f>
        <v>393.09666666666664</v>
      </c>
      <c r="BJ152" s="72">
        <f t="shared" ref="BJ152:BJ154" si="2668">BI152/BJ$6</f>
        <v>131.0322222222222</v>
      </c>
      <c r="BK152" s="72">
        <f t="shared" ref="BK152:BK154" si="2669">BF152/BK$6</f>
        <v>393.09666666666664</v>
      </c>
      <c r="BL152" s="70">
        <f t="shared" ref="BL152:BL154" si="2670">SUM(BF152:BK152)</f>
        <v>6483.4743555555551</v>
      </c>
      <c r="BM152" s="71">
        <v>0</v>
      </c>
      <c r="BN152" s="71">
        <v>0</v>
      </c>
      <c r="BO152" s="72">
        <f t="shared" ref="BO152:BO154" si="2671">((BE152*BO$6)+(BE152*$AO$6)+(BE152*$AP$6))*BM152</f>
        <v>0</v>
      </c>
      <c r="BP152" s="72">
        <f t="shared" ref="BP152:BP154" si="2672">((BE152*BP$6)+(BE152*$AO$6)+(BE152*$AP$6))*BN152</f>
        <v>0</v>
      </c>
      <c r="BQ152" s="70">
        <f t="shared" ref="BQ152:BQ154" si="2673">SUM(BO152:BP152)</f>
        <v>0</v>
      </c>
      <c r="BR152" s="73">
        <v>0</v>
      </c>
      <c r="BS152" s="74">
        <f t="shared" ref="BS152:BS154" si="2674">IF(BC152=1,($C$1*$Q$6),0)</f>
        <v>282.40000000000003</v>
      </c>
      <c r="BT152" s="303">
        <f t="shared" ref="BT152:BT154" si="2675">BL152+BQ152+BR152+BS152</f>
        <v>6765.8743555555548</v>
      </c>
      <c r="BU152" s="58">
        <v>1</v>
      </c>
      <c r="BV152" s="68" t="s">
        <v>132</v>
      </c>
      <c r="BW152" s="28">
        <f t="shared" ref="BW152:BW154" si="2676">BX152/$AM$4</f>
        <v>21.441636363636363</v>
      </c>
      <c r="BX152" s="69">
        <v>4717.16</v>
      </c>
      <c r="BY152" s="28">
        <f t="shared" ref="BY152:BY154" si="2677">BX152*BY$6</f>
        <v>471.71600000000001</v>
      </c>
      <c r="BZ152" s="28">
        <f t="shared" ref="BZ152:BZ154" si="2678">BX152*BZ$6</f>
        <v>377.37279999999998</v>
      </c>
      <c r="CA152" s="28">
        <f t="shared" ref="CA152:CA154" si="2679">BX152/CA$6</f>
        <v>393.09666666666664</v>
      </c>
      <c r="CB152" s="72">
        <f t="shared" ref="CB152:CB154" si="2680">CA152/CB$6</f>
        <v>131.0322222222222</v>
      </c>
      <c r="CC152" s="72">
        <f t="shared" ref="CC152:CC154" si="2681">BX152/CC$6</f>
        <v>393.09666666666664</v>
      </c>
      <c r="CD152" s="70">
        <f t="shared" ref="CD152:CD154" si="2682">SUM(BX152:CC152)</f>
        <v>6483.4743555555551</v>
      </c>
      <c r="CE152" s="71">
        <v>0</v>
      </c>
      <c r="CF152" s="71">
        <v>0</v>
      </c>
      <c r="CG152" s="72">
        <f t="shared" ref="CG152:CG154" si="2683">((BW152*CG$6)+(BW152*$AO$6)+(BW152*$AP$6))*CE152</f>
        <v>0</v>
      </c>
      <c r="CH152" s="72">
        <f t="shared" ref="CH152:CH154" si="2684">((BW152*CH$6)+(BW152*$AO$6)+(BW152*$AP$6))*CF152</f>
        <v>0</v>
      </c>
      <c r="CI152" s="70">
        <f t="shared" ref="CI152:CI154" si="2685">SUM(CG152:CH152)</f>
        <v>0</v>
      </c>
      <c r="CJ152" s="73">
        <v>0</v>
      </c>
      <c r="CK152" s="74">
        <f t="shared" ref="CK152:CK154" si="2686">IF(BU152=1,($C$1*$Q$6),0)</f>
        <v>282.40000000000003</v>
      </c>
      <c r="CL152" s="303">
        <f t="shared" ref="CL152:CL154" si="2687">CD152+CI152+CJ152+CK152</f>
        <v>6765.8743555555548</v>
      </c>
      <c r="CM152" s="58">
        <v>1</v>
      </c>
      <c r="CN152" s="68" t="s">
        <v>132</v>
      </c>
      <c r="CO152" s="28">
        <f t="shared" ref="CO152:CO154" si="2688">CP152/$AM$4</f>
        <v>21.441636363636363</v>
      </c>
      <c r="CP152" s="69">
        <v>4717.16</v>
      </c>
      <c r="CQ152" s="28">
        <f t="shared" ref="CQ152:CQ154" si="2689">CP152*CQ$6</f>
        <v>471.71600000000001</v>
      </c>
      <c r="CR152" s="28">
        <f t="shared" ref="CR152:CR154" si="2690">CP152*CR$6</f>
        <v>377.37279999999998</v>
      </c>
      <c r="CS152" s="28">
        <f t="shared" ref="CS152:CS154" si="2691">CP152/CS$6</f>
        <v>393.09666666666664</v>
      </c>
      <c r="CT152" s="72">
        <f t="shared" ref="CT152:CT154" si="2692">CS152/CT$6</f>
        <v>131.0322222222222</v>
      </c>
      <c r="CU152" s="72">
        <f t="shared" ref="CU152:CU154" si="2693">CP152/CU$6</f>
        <v>393.09666666666664</v>
      </c>
      <c r="CV152" s="70">
        <f t="shared" ref="CV152:CV154" si="2694">SUM(CP152:CU152)</f>
        <v>6483.4743555555551</v>
      </c>
      <c r="CW152" s="71">
        <v>0</v>
      </c>
      <c r="CX152" s="71">
        <v>0</v>
      </c>
      <c r="CY152" s="72">
        <f t="shared" ref="CY152:CY154" si="2695">((CO152*CY$6)+(CO152*$AO$6)+(CO152*$AP$6))*CW152</f>
        <v>0</v>
      </c>
      <c r="CZ152" s="72">
        <f t="shared" ref="CZ152:CZ154" si="2696">((CO152*CZ$6)+(CO152*$AO$6)+(CO152*$AP$6))*CX152</f>
        <v>0</v>
      </c>
      <c r="DA152" s="70">
        <f t="shared" ref="DA152:DA154" si="2697">SUM(CY152:CZ152)</f>
        <v>0</v>
      </c>
      <c r="DB152" s="73">
        <v>0</v>
      </c>
      <c r="DC152" s="74">
        <f t="shared" ref="DC152:DC154" si="2698">IF(CM152=1,($C$1*$Q$6),0)</f>
        <v>282.40000000000003</v>
      </c>
      <c r="DD152" s="303">
        <f t="shared" ref="DD152:DD154" si="2699">CV152+DA152+DB152+DC152</f>
        <v>6765.8743555555548</v>
      </c>
      <c r="DE152" s="58">
        <v>1</v>
      </c>
      <c r="DF152" s="68" t="s">
        <v>132</v>
      </c>
      <c r="DG152" s="28">
        <f t="shared" ref="DG152:DG154" si="2700">DH152/$AM$4</f>
        <v>21.441636363636363</v>
      </c>
      <c r="DH152" s="69">
        <v>4717.16</v>
      </c>
      <c r="DI152" s="28">
        <f t="shared" ref="DI152:DI154" si="2701">DH152*DI$6</f>
        <v>471.71600000000001</v>
      </c>
      <c r="DJ152" s="28">
        <f t="shared" ref="DJ152:DJ154" si="2702">DH152*DJ$6</f>
        <v>377.37279999999998</v>
      </c>
      <c r="DK152" s="28">
        <f t="shared" ref="DK152:DK154" si="2703">DH152/DK$6</f>
        <v>393.09666666666664</v>
      </c>
      <c r="DL152" s="72">
        <f t="shared" ref="DL152:DL154" si="2704">DK152/DL$6</f>
        <v>131.0322222222222</v>
      </c>
      <c r="DM152" s="72">
        <f t="shared" ref="DM152:DM154" si="2705">DH152/DM$6</f>
        <v>393.09666666666664</v>
      </c>
      <c r="DN152" s="70">
        <f t="shared" ref="DN152:DN154" si="2706">SUM(DH152:DM152)</f>
        <v>6483.4743555555551</v>
      </c>
      <c r="DO152" s="71">
        <v>0</v>
      </c>
      <c r="DP152" s="71">
        <v>0</v>
      </c>
      <c r="DQ152" s="72">
        <f t="shared" ref="DQ152:DQ154" si="2707">((DG152*DQ$6)+(DG152*$AO$6)+(DG152*$AP$6))*DO152</f>
        <v>0</v>
      </c>
      <c r="DR152" s="72">
        <f t="shared" ref="DR152:DR154" si="2708">((DG152*DR$6)+(DG152*$AO$6)+(DG152*$AP$6))*DP152</f>
        <v>0</v>
      </c>
      <c r="DS152" s="70">
        <f t="shared" ref="DS152:DS154" si="2709">SUM(DQ152:DR152)</f>
        <v>0</v>
      </c>
      <c r="DT152" s="73">
        <v>0</v>
      </c>
      <c r="DU152" s="74">
        <f t="shared" ref="DU152:DU154" si="2710">IF(DE152=1,($C$1*$Q$6),0)</f>
        <v>282.40000000000003</v>
      </c>
      <c r="DV152" s="303">
        <f t="shared" ref="DV152:DV154" si="2711">DN152+DS152+DT152+DU152</f>
        <v>6765.8743555555548</v>
      </c>
      <c r="DW152" s="58">
        <v>1</v>
      </c>
      <c r="DX152" s="68" t="s">
        <v>132</v>
      </c>
      <c r="DY152" s="28">
        <f t="shared" ref="DY152:DY154" si="2712">DZ152/$AM$4</f>
        <v>21.441636363636363</v>
      </c>
      <c r="DZ152" s="69">
        <v>4717.16</v>
      </c>
      <c r="EA152" s="28">
        <f t="shared" ref="EA152:EA154" si="2713">DZ152*EA$6</f>
        <v>471.71600000000001</v>
      </c>
      <c r="EB152" s="28">
        <f t="shared" ref="EB152:EB154" si="2714">DZ152*EB$6</f>
        <v>377.37279999999998</v>
      </c>
      <c r="EC152" s="28">
        <f t="shared" ref="EC152:EC154" si="2715">DZ152/EC$6</f>
        <v>393.09666666666664</v>
      </c>
      <c r="ED152" s="72">
        <f t="shared" ref="ED152:ED154" si="2716">EC152/ED$6</f>
        <v>131.0322222222222</v>
      </c>
      <c r="EE152" s="72">
        <f t="shared" ref="EE152:EE154" si="2717">DZ152/EE$6</f>
        <v>393.09666666666664</v>
      </c>
      <c r="EF152" s="70">
        <f t="shared" ref="EF152:EF154" si="2718">SUM(DZ152:EE152)</f>
        <v>6483.4743555555551</v>
      </c>
      <c r="EG152" s="71">
        <v>0</v>
      </c>
      <c r="EH152" s="71">
        <v>0</v>
      </c>
      <c r="EI152" s="72">
        <f t="shared" ref="EI152:EI154" si="2719">((DY152*EI$6)+(DY152*$AO$6)+(DY152*$AP$6))*EG152</f>
        <v>0</v>
      </c>
      <c r="EJ152" s="72">
        <f t="shared" ref="EJ152:EJ154" si="2720">((DY152*EJ$6)+(DY152*$AO$6)+(DY152*$AP$6))*EH152</f>
        <v>0</v>
      </c>
      <c r="EK152" s="70">
        <f t="shared" ref="EK152:EK154" si="2721">SUM(EI152:EJ152)</f>
        <v>0</v>
      </c>
      <c r="EL152" s="73">
        <v>0</v>
      </c>
      <c r="EM152" s="74">
        <f t="shared" ref="EM152:EM154" si="2722">IF(DW152=1,($C$1*$Q$6),0)</f>
        <v>282.40000000000003</v>
      </c>
      <c r="EN152" s="303">
        <f t="shared" ref="EN152:EN154" si="2723">EF152+EK152+EL152+EM152</f>
        <v>6765.8743555555548</v>
      </c>
      <c r="EO152" s="58">
        <v>1</v>
      </c>
      <c r="EP152" s="68" t="s">
        <v>132</v>
      </c>
      <c r="EQ152" s="28">
        <f t="shared" ref="EQ152:EQ154" si="2724">ER152/$AM$4</f>
        <v>21.441636363636363</v>
      </c>
      <c r="ER152" s="69">
        <v>4717.16</v>
      </c>
      <c r="ES152" s="28">
        <f t="shared" ref="ES152:ES154" si="2725">ER152*ES$6</f>
        <v>471.71600000000001</v>
      </c>
      <c r="ET152" s="28">
        <f t="shared" ref="ET152:ET154" si="2726">ER152*ET$6</f>
        <v>377.37279999999998</v>
      </c>
      <c r="EU152" s="28">
        <f t="shared" ref="EU152:EU154" si="2727">ER152/EU$6</f>
        <v>393.09666666666664</v>
      </c>
      <c r="EV152" s="72">
        <f t="shared" ref="EV152:EV154" si="2728">EU152/EV$6</f>
        <v>131.0322222222222</v>
      </c>
      <c r="EW152" s="72">
        <f t="shared" ref="EW152:EW154" si="2729">ER152/EW$6</f>
        <v>393.09666666666664</v>
      </c>
      <c r="EX152" s="70">
        <f t="shared" ref="EX152:EX154" si="2730">SUM(ER152:EW152)</f>
        <v>6483.4743555555551</v>
      </c>
      <c r="EY152" s="71">
        <v>0</v>
      </c>
      <c r="EZ152" s="71">
        <v>0</v>
      </c>
      <c r="FA152" s="72">
        <f t="shared" ref="FA152:FA154" si="2731">((EQ152*FA$6)+(EQ152*$AO$6)+(EQ152*$AP$6))*EY152</f>
        <v>0</v>
      </c>
      <c r="FB152" s="72">
        <f t="shared" ref="FB152:FB154" si="2732">((EQ152*FB$6)+(EQ152*$AO$6)+(EQ152*$AP$6))*EZ152</f>
        <v>0</v>
      </c>
      <c r="FC152" s="70">
        <f t="shared" ref="FC152:FC154" si="2733">SUM(FA152:FB152)</f>
        <v>0</v>
      </c>
      <c r="FD152" s="73">
        <v>0</v>
      </c>
      <c r="FE152" s="74">
        <f t="shared" ref="FE152:FE154" si="2734">IF(EO152=1,($C$1*$Q$6),0)</f>
        <v>282.40000000000003</v>
      </c>
      <c r="FF152" s="303">
        <f t="shared" ref="FF152:FF154" si="2735">EX152+FC152+FD152+FE152</f>
        <v>6765.8743555555548</v>
      </c>
      <c r="FG152" s="58">
        <v>1</v>
      </c>
      <c r="FH152" s="68" t="s">
        <v>132</v>
      </c>
      <c r="FI152" s="28">
        <f t="shared" ref="FI152:FI154" si="2736">FJ152/$AM$4</f>
        <v>21.441636363636363</v>
      </c>
      <c r="FJ152" s="69">
        <v>4717.16</v>
      </c>
      <c r="FK152" s="28">
        <f t="shared" ref="FK152:FK154" si="2737">FJ152*FK$6</f>
        <v>471.71600000000001</v>
      </c>
      <c r="FL152" s="28">
        <f t="shared" ref="FL152:FL154" si="2738">FJ152*FL$6</f>
        <v>377.37279999999998</v>
      </c>
      <c r="FM152" s="28">
        <f t="shared" ref="FM152:FM154" si="2739">FJ152/FM$6</f>
        <v>393.09666666666664</v>
      </c>
      <c r="FN152" s="72">
        <f t="shared" ref="FN152:FN154" si="2740">FM152/FN$6</f>
        <v>131.0322222222222</v>
      </c>
      <c r="FO152" s="72">
        <f t="shared" ref="FO152:FO154" si="2741">FJ152/FO$6</f>
        <v>393.09666666666664</v>
      </c>
      <c r="FP152" s="70">
        <f t="shared" ref="FP152:FP154" si="2742">SUM(FJ152:FO152)</f>
        <v>6483.4743555555551</v>
      </c>
      <c r="FQ152" s="71">
        <v>0</v>
      </c>
      <c r="FR152" s="71">
        <v>0</v>
      </c>
      <c r="FS152" s="72">
        <f t="shared" ref="FS152:FS154" si="2743">((FI152*FS$6)+(FI152*$AO$6)+(FI152*$AP$6))*FQ152</f>
        <v>0</v>
      </c>
      <c r="FT152" s="72">
        <f t="shared" ref="FT152:FT154" si="2744">((FI152*FT$6)+(FI152*$AO$6)+(FI152*$AP$6))*FR152</f>
        <v>0</v>
      </c>
      <c r="FU152" s="70">
        <f t="shared" ref="FU152:FU154" si="2745">SUM(FS152:FT152)</f>
        <v>0</v>
      </c>
      <c r="FV152" s="73">
        <v>0</v>
      </c>
      <c r="FW152" s="74">
        <f t="shared" ref="FW152:FW154" si="2746">IF(FG152=1,($C$1*$Q$6),0)</f>
        <v>282.40000000000003</v>
      </c>
      <c r="FX152" s="303">
        <f t="shared" ref="FX152:FX154" si="2747">FP152+FU152+FV152+FW152</f>
        <v>6765.8743555555548</v>
      </c>
      <c r="FY152" s="58">
        <v>1</v>
      </c>
      <c r="FZ152" s="68" t="s">
        <v>132</v>
      </c>
      <c r="GA152" s="28">
        <f t="shared" ref="GA152:GA154" si="2748">GB152/$AM$4</f>
        <v>21.441636363636363</v>
      </c>
      <c r="GB152" s="69">
        <v>4717.16</v>
      </c>
      <c r="GC152" s="28">
        <f t="shared" ref="GC152:GC154" si="2749">GB152*GC$6</f>
        <v>471.71600000000001</v>
      </c>
      <c r="GD152" s="28">
        <f t="shared" ref="GD152:GD154" si="2750">GB152*GD$6</f>
        <v>377.37279999999998</v>
      </c>
      <c r="GE152" s="28">
        <f t="shared" ref="GE152:GE154" si="2751">GB152/GE$6</f>
        <v>393.09666666666664</v>
      </c>
      <c r="GF152" s="72">
        <f t="shared" ref="GF152:GF154" si="2752">GE152/GF$6</f>
        <v>131.0322222222222</v>
      </c>
      <c r="GG152" s="72">
        <f t="shared" ref="GG152:GG154" si="2753">GB152/GG$6</f>
        <v>393.09666666666664</v>
      </c>
      <c r="GH152" s="70">
        <f t="shared" ref="GH152:GH154" si="2754">SUM(GB152:GG152)</f>
        <v>6483.4743555555551</v>
      </c>
      <c r="GI152" s="71">
        <v>0</v>
      </c>
      <c r="GJ152" s="71">
        <v>0</v>
      </c>
      <c r="GK152" s="72">
        <f t="shared" ref="GK152:GK154" si="2755">((GA152*GK$6)+(GA152*$AO$6)+(GA152*$AP$6))*GI152</f>
        <v>0</v>
      </c>
      <c r="GL152" s="72">
        <f t="shared" ref="GL152:GL154" si="2756">((GA152*GL$6)+(GA152*$AO$6)+(GA152*$AP$6))*GJ152</f>
        <v>0</v>
      </c>
      <c r="GM152" s="70">
        <f t="shared" ref="GM152:GM154" si="2757">SUM(GK152:GL152)</f>
        <v>0</v>
      </c>
      <c r="GN152" s="73">
        <v>0</v>
      </c>
      <c r="GO152" s="74">
        <f t="shared" ref="GO152:GO154" si="2758">IF(FY152=1,($C$1*$Q$6),0)</f>
        <v>282.40000000000003</v>
      </c>
      <c r="GP152" s="303">
        <f t="shared" ref="GP152:GP154" si="2759">GH152+GM152+GN152+GO152</f>
        <v>6765.8743555555548</v>
      </c>
      <c r="GQ152" s="58">
        <v>1</v>
      </c>
      <c r="GR152" s="68" t="s">
        <v>132</v>
      </c>
      <c r="GS152" s="28">
        <f t="shared" ref="GS152:GS154" si="2760">GT152/$AM$4</f>
        <v>21.441636363636363</v>
      </c>
      <c r="GT152" s="69">
        <v>4717.16</v>
      </c>
      <c r="GU152" s="28">
        <f t="shared" ref="GU152:GU154" si="2761">GT152*GU$6</f>
        <v>471.71600000000001</v>
      </c>
      <c r="GV152" s="28">
        <f t="shared" ref="GV152:GV154" si="2762">GT152*GV$6</f>
        <v>377.37279999999998</v>
      </c>
      <c r="GW152" s="28">
        <f t="shared" ref="GW152:GW154" si="2763">GT152/GW$6</f>
        <v>393.09666666666664</v>
      </c>
      <c r="GX152" s="72">
        <f t="shared" ref="GX152:GX154" si="2764">GW152/GX$6</f>
        <v>131.0322222222222</v>
      </c>
      <c r="GY152" s="72">
        <f t="shared" ref="GY152:GY154" si="2765">GT152/GY$6</f>
        <v>393.09666666666664</v>
      </c>
      <c r="GZ152" s="70">
        <f t="shared" ref="GZ152:GZ154" si="2766">SUM(GT152:GY152)</f>
        <v>6483.4743555555551</v>
      </c>
      <c r="HA152" s="71">
        <v>0</v>
      </c>
      <c r="HB152" s="71">
        <v>0</v>
      </c>
      <c r="HC152" s="72">
        <f t="shared" ref="HC152:HC154" si="2767">((GS152*HC$6)+(GS152*$AO$6)+(GS152*$AP$6))*HA152</f>
        <v>0</v>
      </c>
      <c r="HD152" s="72">
        <f t="shared" ref="HD152:HD154" si="2768">((GS152*HD$6)+(GS152*$AO$6)+(GS152*$AP$6))*HB152</f>
        <v>0</v>
      </c>
      <c r="HE152" s="70">
        <f t="shared" ref="HE152:HE154" si="2769">SUM(HC152:HD152)</f>
        <v>0</v>
      </c>
      <c r="HF152" s="73">
        <v>0</v>
      </c>
      <c r="HG152" s="74">
        <f t="shared" ref="HG152:HG154" si="2770">IF(GQ152=1,($C$1*$Q$6),0)</f>
        <v>282.40000000000003</v>
      </c>
      <c r="HH152" s="303">
        <f t="shared" ref="HH152:HH154" si="2771">GZ152+HE152+HF152+HG152</f>
        <v>6765.8743555555548</v>
      </c>
      <c r="HJ152" s="37"/>
      <c r="HK152" s="37"/>
      <c r="HL152" s="37"/>
      <c r="HM152" s="37"/>
      <c r="HN152" s="37"/>
      <c r="HO152" s="37"/>
      <c r="HP152" s="37"/>
      <c r="HQ152" s="37"/>
      <c r="HR152" s="37"/>
      <c r="HS152" s="37"/>
      <c r="HT152" s="37"/>
      <c r="HU152" s="37"/>
      <c r="HV152" s="37"/>
      <c r="HW152" s="37"/>
      <c r="HX152" s="37"/>
      <c r="HY152" s="37"/>
      <c r="HZ152" s="37"/>
      <c r="IA152" s="37"/>
      <c r="IB152" s="37"/>
      <c r="IC152" s="37"/>
      <c r="ID152" s="37"/>
      <c r="IE152" s="37"/>
      <c r="IF152" s="37"/>
      <c r="IG152" s="37"/>
      <c r="IH152" s="37"/>
      <c r="II152" s="37"/>
      <c r="IJ152" s="37"/>
      <c r="IK152" s="37"/>
      <c r="IL152" s="37"/>
      <c r="IM152" s="37"/>
      <c r="IN152" s="37"/>
      <c r="IO152" s="37"/>
      <c r="IP152" s="37"/>
    </row>
    <row r="153" spans="1:250" x14ac:dyDescent="0.3">
      <c r="A153" s="58">
        <v>1</v>
      </c>
      <c r="B153" s="68" t="s">
        <v>301</v>
      </c>
      <c r="C153" s="28">
        <f t="shared" si="2628"/>
        <v>10.593181818181819</v>
      </c>
      <c r="D153" s="69">
        <v>2330.5</v>
      </c>
      <c r="E153" s="28">
        <f t="shared" si="2629"/>
        <v>233.05</v>
      </c>
      <c r="F153" s="28">
        <f t="shared" si="2630"/>
        <v>186.44</v>
      </c>
      <c r="G153" s="28">
        <f t="shared" si="2631"/>
        <v>194.20833333333334</v>
      </c>
      <c r="H153" s="72">
        <f t="shared" si="2632"/>
        <v>64.736111111111114</v>
      </c>
      <c r="I153" s="72">
        <f t="shared" si="2633"/>
        <v>194.20833333333334</v>
      </c>
      <c r="J153" s="70">
        <f t="shared" si="2634"/>
        <v>3203.1427777777785</v>
      </c>
      <c r="K153" s="71">
        <v>0</v>
      </c>
      <c r="L153" s="71">
        <v>0</v>
      </c>
      <c r="M153" s="72">
        <f t="shared" si="2635"/>
        <v>0</v>
      </c>
      <c r="N153" s="72">
        <f t="shared" si="2636"/>
        <v>0</v>
      </c>
      <c r="O153" s="70">
        <f t="shared" si="2637"/>
        <v>0</v>
      </c>
      <c r="P153" s="73">
        <v>0</v>
      </c>
      <c r="Q153" s="74">
        <f t="shared" si="2638"/>
        <v>282.40000000000003</v>
      </c>
      <c r="R153" s="303">
        <f t="shared" si="2639"/>
        <v>3485.5427777777786</v>
      </c>
      <c r="S153" s="58">
        <v>1</v>
      </c>
      <c r="T153" s="68" t="s">
        <v>301</v>
      </c>
      <c r="U153" s="28">
        <f t="shared" si="2640"/>
        <v>10.593181818181819</v>
      </c>
      <c r="V153" s="69">
        <v>2330.5</v>
      </c>
      <c r="W153" s="28">
        <f t="shared" si="2641"/>
        <v>233.05</v>
      </c>
      <c r="X153" s="28">
        <f t="shared" si="2642"/>
        <v>186.44</v>
      </c>
      <c r="Y153" s="28">
        <f t="shared" si="2643"/>
        <v>194.20833333333334</v>
      </c>
      <c r="Z153" s="72">
        <f t="shared" si="2644"/>
        <v>64.736111111111114</v>
      </c>
      <c r="AA153" s="72">
        <f t="shared" si="2645"/>
        <v>194.20833333333334</v>
      </c>
      <c r="AB153" s="70">
        <f t="shared" si="2646"/>
        <v>3203.1427777777785</v>
      </c>
      <c r="AC153" s="71">
        <v>0</v>
      </c>
      <c r="AD153" s="71">
        <v>0</v>
      </c>
      <c r="AE153" s="72">
        <f t="shared" si="2647"/>
        <v>0</v>
      </c>
      <c r="AF153" s="72">
        <f t="shared" si="2648"/>
        <v>0</v>
      </c>
      <c r="AG153" s="70">
        <f t="shared" si="2649"/>
        <v>0</v>
      </c>
      <c r="AH153" s="73">
        <v>0</v>
      </c>
      <c r="AI153" s="74">
        <f t="shared" si="2650"/>
        <v>282.40000000000003</v>
      </c>
      <c r="AJ153" s="303">
        <f t="shared" si="2651"/>
        <v>3485.5427777777786</v>
      </c>
      <c r="AK153" s="58">
        <v>1</v>
      </c>
      <c r="AL153" s="68" t="s">
        <v>301</v>
      </c>
      <c r="AM153" s="28">
        <f t="shared" si="2652"/>
        <v>10.593181818181819</v>
      </c>
      <c r="AN153" s="69">
        <v>2330.5</v>
      </c>
      <c r="AO153" s="28">
        <f t="shared" si="2653"/>
        <v>233.05</v>
      </c>
      <c r="AP153" s="28">
        <f t="shared" si="2654"/>
        <v>186.44</v>
      </c>
      <c r="AQ153" s="28">
        <f t="shared" si="2655"/>
        <v>194.20833333333334</v>
      </c>
      <c r="AR153" s="72">
        <f t="shared" si="2656"/>
        <v>64.736111111111114</v>
      </c>
      <c r="AS153" s="72">
        <f t="shared" si="2657"/>
        <v>194.20833333333334</v>
      </c>
      <c r="AT153" s="70">
        <f t="shared" si="2658"/>
        <v>3203.1427777777785</v>
      </c>
      <c r="AU153" s="71">
        <v>0</v>
      </c>
      <c r="AV153" s="71">
        <v>0</v>
      </c>
      <c r="AW153" s="72">
        <f t="shared" si="2659"/>
        <v>0</v>
      </c>
      <c r="AX153" s="72">
        <f t="shared" si="2660"/>
        <v>0</v>
      </c>
      <c r="AY153" s="70">
        <f t="shared" si="2661"/>
        <v>0</v>
      </c>
      <c r="AZ153" s="73">
        <v>0</v>
      </c>
      <c r="BA153" s="74">
        <f t="shared" si="2662"/>
        <v>282.40000000000003</v>
      </c>
      <c r="BB153" s="303">
        <f t="shared" si="2663"/>
        <v>3485.5427777777786</v>
      </c>
      <c r="BC153" s="58">
        <v>1</v>
      </c>
      <c r="BD153" s="68" t="s">
        <v>301</v>
      </c>
      <c r="BE153" s="28">
        <f t="shared" si="2664"/>
        <v>10.593181818181819</v>
      </c>
      <c r="BF153" s="69">
        <v>2330.5</v>
      </c>
      <c r="BG153" s="28">
        <f t="shared" si="2665"/>
        <v>233.05</v>
      </c>
      <c r="BH153" s="28">
        <f t="shared" si="2666"/>
        <v>186.44</v>
      </c>
      <c r="BI153" s="28">
        <f t="shared" si="2667"/>
        <v>194.20833333333334</v>
      </c>
      <c r="BJ153" s="72">
        <f t="shared" si="2668"/>
        <v>64.736111111111114</v>
      </c>
      <c r="BK153" s="72">
        <f t="shared" si="2669"/>
        <v>194.20833333333334</v>
      </c>
      <c r="BL153" s="70">
        <f t="shared" si="2670"/>
        <v>3203.1427777777785</v>
      </c>
      <c r="BM153" s="71">
        <v>0</v>
      </c>
      <c r="BN153" s="71">
        <v>0</v>
      </c>
      <c r="BO153" s="72">
        <f t="shared" si="2671"/>
        <v>0</v>
      </c>
      <c r="BP153" s="72">
        <f t="shared" si="2672"/>
        <v>0</v>
      </c>
      <c r="BQ153" s="70">
        <f t="shared" si="2673"/>
        <v>0</v>
      </c>
      <c r="BR153" s="73">
        <v>0</v>
      </c>
      <c r="BS153" s="74">
        <f t="shared" si="2674"/>
        <v>282.40000000000003</v>
      </c>
      <c r="BT153" s="303">
        <f t="shared" si="2675"/>
        <v>3485.5427777777786</v>
      </c>
      <c r="BU153" s="58">
        <v>1</v>
      </c>
      <c r="BV153" s="68" t="s">
        <v>301</v>
      </c>
      <c r="BW153" s="28">
        <f t="shared" si="2676"/>
        <v>10.593181818181819</v>
      </c>
      <c r="BX153" s="69">
        <v>2330.5</v>
      </c>
      <c r="BY153" s="28">
        <f t="shared" si="2677"/>
        <v>233.05</v>
      </c>
      <c r="BZ153" s="28">
        <f t="shared" si="2678"/>
        <v>186.44</v>
      </c>
      <c r="CA153" s="28">
        <f t="shared" si="2679"/>
        <v>194.20833333333334</v>
      </c>
      <c r="CB153" s="72">
        <f t="shared" si="2680"/>
        <v>64.736111111111114</v>
      </c>
      <c r="CC153" s="72">
        <f t="shared" si="2681"/>
        <v>194.20833333333334</v>
      </c>
      <c r="CD153" s="70">
        <f t="shared" si="2682"/>
        <v>3203.1427777777785</v>
      </c>
      <c r="CE153" s="71">
        <v>0</v>
      </c>
      <c r="CF153" s="71">
        <v>0</v>
      </c>
      <c r="CG153" s="72">
        <f t="shared" si="2683"/>
        <v>0</v>
      </c>
      <c r="CH153" s="72">
        <f t="shared" si="2684"/>
        <v>0</v>
      </c>
      <c r="CI153" s="70">
        <f t="shared" si="2685"/>
        <v>0</v>
      </c>
      <c r="CJ153" s="73">
        <v>0</v>
      </c>
      <c r="CK153" s="74">
        <f t="shared" si="2686"/>
        <v>282.40000000000003</v>
      </c>
      <c r="CL153" s="303">
        <f t="shared" si="2687"/>
        <v>3485.5427777777786</v>
      </c>
      <c r="CM153" s="58">
        <v>1</v>
      </c>
      <c r="CN153" s="68" t="s">
        <v>301</v>
      </c>
      <c r="CO153" s="28">
        <f t="shared" si="2688"/>
        <v>10.593181818181819</v>
      </c>
      <c r="CP153" s="69">
        <v>2330.5</v>
      </c>
      <c r="CQ153" s="28">
        <f t="shared" si="2689"/>
        <v>233.05</v>
      </c>
      <c r="CR153" s="28">
        <f t="shared" si="2690"/>
        <v>186.44</v>
      </c>
      <c r="CS153" s="28">
        <f t="shared" si="2691"/>
        <v>194.20833333333334</v>
      </c>
      <c r="CT153" s="72">
        <f t="shared" si="2692"/>
        <v>64.736111111111114</v>
      </c>
      <c r="CU153" s="72">
        <f t="shared" si="2693"/>
        <v>194.20833333333334</v>
      </c>
      <c r="CV153" s="70">
        <f t="shared" si="2694"/>
        <v>3203.1427777777785</v>
      </c>
      <c r="CW153" s="71">
        <v>0</v>
      </c>
      <c r="CX153" s="71">
        <v>0</v>
      </c>
      <c r="CY153" s="72">
        <f t="shared" si="2695"/>
        <v>0</v>
      </c>
      <c r="CZ153" s="72">
        <f t="shared" si="2696"/>
        <v>0</v>
      </c>
      <c r="DA153" s="70">
        <f t="shared" si="2697"/>
        <v>0</v>
      </c>
      <c r="DB153" s="73">
        <v>0</v>
      </c>
      <c r="DC153" s="74">
        <f t="shared" si="2698"/>
        <v>282.40000000000003</v>
      </c>
      <c r="DD153" s="303">
        <f t="shared" si="2699"/>
        <v>3485.5427777777786</v>
      </c>
      <c r="DE153" s="58">
        <v>1</v>
      </c>
      <c r="DF153" s="68" t="s">
        <v>301</v>
      </c>
      <c r="DG153" s="28">
        <f t="shared" si="2700"/>
        <v>10.593181818181819</v>
      </c>
      <c r="DH153" s="69">
        <v>2330.5</v>
      </c>
      <c r="DI153" s="28">
        <f t="shared" si="2701"/>
        <v>233.05</v>
      </c>
      <c r="DJ153" s="28">
        <f t="shared" si="2702"/>
        <v>186.44</v>
      </c>
      <c r="DK153" s="28">
        <f t="shared" si="2703"/>
        <v>194.20833333333334</v>
      </c>
      <c r="DL153" s="72">
        <f t="shared" si="2704"/>
        <v>64.736111111111114</v>
      </c>
      <c r="DM153" s="72">
        <f t="shared" si="2705"/>
        <v>194.20833333333334</v>
      </c>
      <c r="DN153" s="70">
        <f t="shared" si="2706"/>
        <v>3203.1427777777785</v>
      </c>
      <c r="DO153" s="71">
        <v>0</v>
      </c>
      <c r="DP153" s="71">
        <v>0</v>
      </c>
      <c r="DQ153" s="72">
        <f t="shared" si="2707"/>
        <v>0</v>
      </c>
      <c r="DR153" s="72">
        <f t="shared" si="2708"/>
        <v>0</v>
      </c>
      <c r="DS153" s="70">
        <f t="shared" si="2709"/>
        <v>0</v>
      </c>
      <c r="DT153" s="73">
        <v>0</v>
      </c>
      <c r="DU153" s="74">
        <f t="shared" si="2710"/>
        <v>282.40000000000003</v>
      </c>
      <c r="DV153" s="303">
        <f t="shared" si="2711"/>
        <v>3485.5427777777786</v>
      </c>
      <c r="DW153" s="58">
        <v>1</v>
      </c>
      <c r="DX153" s="68" t="s">
        <v>301</v>
      </c>
      <c r="DY153" s="28">
        <f t="shared" si="2712"/>
        <v>10.593181818181819</v>
      </c>
      <c r="DZ153" s="69">
        <v>2330.5</v>
      </c>
      <c r="EA153" s="28">
        <f t="shared" si="2713"/>
        <v>233.05</v>
      </c>
      <c r="EB153" s="28">
        <f t="shared" si="2714"/>
        <v>186.44</v>
      </c>
      <c r="EC153" s="28">
        <f t="shared" si="2715"/>
        <v>194.20833333333334</v>
      </c>
      <c r="ED153" s="72">
        <f t="shared" si="2716"/>
        <v>64.736111111111114</v>
      </c>
      <c r="EE153" s="72">
        <f t="shared" si="2717"/>
        <v>194.20833333333334</v>
      </c>
      <c r="EF153" s="70">
        <f t="shared" si="2718"/>
        <v>3203.1427777777785</v>
      </c>
      <c r="EG153" s="71">
        <v>0</v>
      </c>
      <c r="EH153" s="71">
        <v>0</v>
      </c>
      <c r="EI153" s="72">
        <f t="shared" si="2719"/>
        <v>0</v>
      </c>
      <c r="EJ153" s="72">
        <f t="shared" si="2720"/>
        <v>0</v>
      </c>
      <c r="EK153" s="70">
        <f t="shared" si="2721"/>
        <v>0</v>
      </c>
      <c r="EL153" s="73">
        <v>0</v>
      </c>
      <c r="EM153" s="74">
        <f t="shared" si="2722"/>
        <v>282.40000000000003</v>
      </c>
      <c r="EN153" s="303">
        <f t="shared" si="2723"/>
        <v>3485.5427777777786</v>
      </c>
      <c r="EO153" s="58">
        <v>1</v>
      </c>
      <c r="EP153" s="68" t="s">
        <v>301</v>
      </c>
      <c r="EQ153" s="28">
        <f t="shared" si="2724"/>
        <v>10.593181818181819</v>
      </c>
      <c r="ER153" s="69">
        <v>2330.5</v>
      </c>
      <c r="ES153" s="28">
        <f t="shared" si="2725"/>
        <v>233.05</v>
      </c>
      <c r="ET153" s="28">
        <f t="shared" si="2726"/>
        <v>186.44</v>
      </c>
      <c r="EU153" s="28">
        <f t="shared" si="2727"/>
        <v>194.20833333333334</v>
      </c>
      <c r="EV153" s="72">
        <f t="shared" si="2728"/>
        <v>64.736111111111114</v>
      </c>
      <c r="EW153" s="72">
        <f t="shared" si="2729"/>
        <v>194.20833333333334</v>
      </c>
      <c r="EX153" s="70">
        <f t="shared" si="2730"/>
        <v>3203.1427777777785</v>
      </c>
      <c r="EY153" s="71">
        <v>0</v>
      </c>
      <c r="EZ153" s="71">
        <v>0</v>
      </c>
      <c r="FA153" s="72">
        <f t="shared" si="2731"/>
        <v>0</v>
      </c>
      <c r="FB153" s="72">
        <f t="shared" si="2732"/>
        <v>0</v>
      </c>
      <c r="FC153" s="70">
        <f t="shared" si="2733"/>
        <v>0</v>
      </c>
      <c r="FD153" s="73">
        <v>0</v>
      </c>
      <c r="FE153" s="74">
        <f t="shared" si="2734"/>
        <v>282.40000000000003</v>
      </c>
      <c r="FF153" s="303">
        <f t="shared" si="2735"/>
        <v>3485.5427777777786</v>
      </c>
      <c r="FG153" s="58">
        <v>1</v>
      </c>
      <c r="FH153" s="68" t="s">
        <v>301</v>
      </c>
      <c r="FI153" s="28">
        <f t="shared" si="2736"/>
        <v>10.593181818181819</v>
      </c>
      <c r="FJ153" s="69">
        <v>2330.5</v>
      </c>
      <c r="FK153" s="28">
        <f t="shared" si="2737"/>
        <v>233.05</v>
      </c>
      <c r="FL153" s="28">
        <f t="shared" si="2738"/>
        <v>186.44</v>
      </c>
      <c r="FM153" s="28">
        <f t="shared" si="2739"/>
        <v>194.20833333333334</v>
      </c>
      <c r="FN153" s="72">
        <f t="shared" si="2740"/>
        <v>64.736111111111114</v>
      </c>
      <c r="FO153" s="72">
        <f t="shared" si="2741"/>
        <v>194.20833333333334</v>
      </c>
      <c r="FP153" s="70">
        <f t="shared" si="2742"/>
        <v>3203.1427777777785</v>
      </c>
      <c r="FQ153" s="71">
        <v>0</v>
      </c>
      <c r="FR153" s="71">
        <v>0</v>
      </c>
      <c r="FS153" s="72">
        <f t="shared" si="2743"/>
        <v>0</v>
      </c>
      <c r="FT153" s="72">
        <f t="shared" si="2744"/>
        <v>0</v>
      </c>
      <c r="FU153" s="70">
        <f t="shared" si="2745"/>
        <v>0</v>
      </c>
      <c r="FV153" s="73">
        <v>0</v>
      </c>
      <c r="FW153" s="74">
        <f t="shared" si="2746"/>
        <v>282.40000000000003</v>
      </c>
      <c r="FX153" s="303">
        <f t="shared" si="2747"/>
        <v>3485.5427777777786</v>
      </c>
      <c r="FY153" s="58">
        <v>1</v>
      </c>
      <c r="FZ153" s="68" t="s">
        <v>301</v>
      </c>
      <c r="GA153" s="28">
        <f t="shared" si="2748"/>
        <v>10.593181818181819</v>
      </c>
      <c r="GB153" s="69">
        <v>2330.5</v>
      </c>
      <c r="GC153" s="28">
        <f t="shared" si="2749"/>
        <v>233.05</v>
      </c>
      <c r="GD153" s="28">
        <f t="shared" si="2750"/>
        <v>186.44</v>
      </c>
      <c r="GE153" s="28">
        <f t="shared" si="2751"/>
        <v>194.20833333333334</v>
      </c>
      <c r="GF153" s="72">
        <f t="shared" si="2752"/>
        <v>64.736111111111114</v>
      </c>
      <c r="GG153" s="72">
        <f t="shared" si="2753"/>
        <v>194.20833333333334</v>
      </c>
      <c r="GH153" s="70">
        <f t="shared" si="2754"/>
        <v>3203.1427777777785</v>
      </c>
      <c r="GI153" s="71">
        <v>0</v>
      </c>
      <c r="GJ153" s="71">
        <v>0</v>
      </c>
      <c r="GK153" s="72">
        <f t="shared" si="2755"/>
        <v>0</v>
      </c>
      <c r="GL153" s="72">
        <f t="shared" si="2756"/>
        <v>0</v>
      </c>
      <c r="GM153" s="70">
        <f t="shared" si="2757"/>
        <v>0</v>
      </c>
      <c r="GN153" s="73">
        <v>0</v>
      </c>
      <c r="GO153" s="74">
        <f t="shared" si="2758"/>
        <v>282.40000000000003</v>
      </c>
      <c r="GP153" s="303">
        <f t="shared" si="2759"/>
        <v>3485.5427777777786</v>
      </c>
      <c r="GQ153" s="58">
        <v>1</v>
      </c>
      <c r="GR153" s="68" t="s">
        <v>301</v>
      </c>
      <c r="GS153" s="28">
        <f t="shared" si="2760"/>
        <v>10.593181818181819</v>
      </c>
      <c r="GT153" s="69">
        <v>2330.5</v>
      </c>
      <c r="GU153" s="28">
        <f t="shared" si="2761"/>
        <v>233.05</v>
      </c>
      <c r="GV153" s="28">
        <f t="shared" si="2762"/>
        <v>186.44</v>
      </c>
      <c r="GW153" s="28">
        <f t="shared" si="2763"/>
        <v>194.20833333333334</v>
      </c>
      <c r="GX153" s="72">
        <f t="shared" si="2764"/>
        <v>64.736111111111114</v>
      </c>
      <c r="GY153" s="72">
        <f t="shared" si="2765"/>
        <v>194.20833333333334</v>
      </c>
      <c r="GZ153" s="70">
        <f t="shared" si="2766"/>
        <v>3203.1427777777785</v>
      </c>
      <c r="HA153" s="71">
        <v>0</v>
      </c>
      <c r="HB153" s="71">
        <v>0</v>
      </c>
      <c r="HC153" s="72">
        <f t="shared" si="2767"/>
        <v>0</v>
      </c>
      <c r="HD153" s="72">
        <f t="shared" si="2768"/>
        <v>0</v>
      </c>
      <c r="HE153" s="70">
        <f t="shared" si="2769"/>
        <v>0</v>
      </c>
      <c r="HF153" s="73">
        <v>0</v>
      </c>
      <c r="HG153" s="74">
        <f t="shared" si="2770"/>
        <v>282.40000000000003</v>
      </c>
      <c r="HH153" s="303">
        <f t="shared" si="2771"/>
        <v>3485.5427777777786</v>
      </c>
      <c r="HJ153" s="37"/>
      <c r="HK153" s="37"/>
      <c r="HL153" s="37"/>
      <c r="HM153" s="37"/>
      <c r="HN153" s="37"/>
      <c r="HO153" s="37"/>
      <c r="HP153" s="37"/>
      <c r="HQ153" s="37"/>
      <c r="HR153" s="37"/>
      <c r="HS153" s="37"/>
      <c r="HT153" s="37"/>
      <c r="HU153" s="37"/>
      <c r="HV153" s="37"/>
      <c r="HW153" s="37"/>
      <c r="HX153" s="37"/>
      <c r="HY153" s="37"/>
      <c r="HZ153" s="37"/>
      <c r="IA153" s="37"/>
      <c r="IB153" s="37"/>
      <c r="IC153" s="37"/>
      <c r="ID153" s="37"/>
      <c r="IE153" s="37"/>
      <c r="IF153" s="37"/>
      <c r="IG153" s="37"/>
      <c r="IH153" s="37"/>
      <c r="II153" s="37"/>
      <c r="IJ153" s="37"/>
      <c r="IK153" s="37"/>
      <c r="IL153" s="37"/>
      <c r="IM153" s="37"/>
      <c r="IN153" s="37"/>
      <c r="IO153" s="37"/>
      <c r="IP153" s="37"/>
    </row>
    <row r="154" spans="1:250" x14ac:dyDescent="0.3">
      <c r="A154" s="58">
        <v>1</v>
      </c>
      <c r="B154" s="68" t="s">
        <v>293</v>
      </c>
      <c r="C154" s="28">
        <f t="shared" si="2628"/>
        <v>10.593181818181819</v>
      </c>
      <c r="D154" s="69">
        <v>2330.5</v>
      </c>
      <c r="E154" s="28">
        <f t="shared" si="2629"/>
        <v>233.05</v>
      </c>
      <c r="F154" s="28">
        <f t="shared" si="2630"/>
        <v>186.44</v>
      </c>
      <c r="G154" s="28">
        <f t="shared" si="2631"/>
        <v>194.20833333333334</v>
      </c>
      <c r="H154" s="72">
        <f t="shared" si="2632"/>
        <v>64.736111111111114</v>
      </c>
      <c r="I154" s="72">
        <f t="shared" si="2633"/>
        <v>194.20833333333334</v>
      </c>
      <c r="J154" s="70">
        <f t="shared" si="2634"/>
        <v>3203.1427777777785</v>
      </c>
      <c r="K154" s="71">
        <v>0</v>
      </c>
      <c r="L154" s="71">
        <v>0</v>
      </c>
      <c r="M154" s="72">
        <f t="shared" si="2635"/>
        <v>0</v>
      </c>
      <c r="N154" s="72">
        <f t="shared" si="2636"/>
        <v>0</v>
      </c>
      <c r="O154" s="70">
        <f t="shared" si="2637"/>
        <v>0</v>
      </c>
      <c r="P154" s="73">
        <v>0</v>
      </c>
      <c r="Q154" s="74">
        <f t="shared" si="2638"/>
        <v>282.40000000000003</v>
      </c>
      <c r="R154" s="303">
        <f t="shared" si="2639"/>
        <v>3485.5427777777786</v>
      </c>
      <c r="S154" s="58">
        <v>1</v>
      </c>
      <c r="T154" s="68" t="s">
        <v>293</v>
      </c>
      <c r="U154" s="28">
        <f t="shared" si="2640"/>
        <v>10.593181818181819</v>
      </c>
      <c r="V154" s="69">
        <v>2330.5</v>
      </c>
      <c r="W154" s="28">
        <f t="shared" si="2641"/>
        <v>233.05</v>
      </c>
      <c r="X154" s="28">
        <f t="shared" si="2642"/>
        <v>186.44</v>
      </c>
      <c r="Y154" s="28">
        <f t="shared" si="2643"/>
        <v>194.20833333333334</v>
      </c>
      <c r="Z154" s="72">
        <f t="shared" si="2644"/>
        <v>64.736111111111114</v>
      </c>
      <c r="AA154" s="72">
        <f t="shared" si="2645"/>
        <v>194.20833333333334</v>
      </c>
      <c r="AB154" s="70">
        <f t="shared" si="2646"/>
        <v>3203.1427777777785</v>
      </c>
      <c r="AC154" s="71">
        <v>0</v>
      </c>
      <c r="AD154" s="71">
        <v>0</v>
      </c>
      <c r="AE154" s="72">
        <f t="shared" si="2647"/>
        <v>0</v>
      </c>
      <c r="AF154" s="72">
        <f t="shared" si="2648"/>
        <v>0</v>
      </c>
      <c r="AG154" s="70">
        <f t="shared" si="2649"/>
        <v>0</v>
      </c>
      <c r="AH154" s="73">
        <v>0</v>
      </c>
      <c r="AI154" s="74">
        <f t="shared" si="2650"/>
        <v>282.40000000000003</v>
      </c>
      <c r="AJ154" s="303">
        <f t="shared" si="2651"/>
        <v>3485.5427777777786</v>
      </c>
      <c r="AK154" s="58">
        <v>1</v>
      </c>
      <c r="AL154" s="68" t="s">
        <v>293</v>
      </c>
      <c r="AM154" s="28">
        <f t="shared" si="2652"/>
        <v>10.593181818181819</v>
      </c>
      <c r="AN154" s="69">
        <v>2330.5</v>
      </c>
      <c r="AO154" s="28">
        <f t="shared" si="2653"/>
        <v>233.05</v>
      </c>
      <c r="AP154" s="28">
        <f t="shared" si="2654"/>
        <v>186.44</v>
      </c>
      <c r="AQ154" s="28">
        <f t="shared" si="2655"/>
        <v>194.20833333333334</v>
      </c>
      <c r="AR154" s="72">
        <f t="shared" si="2656"/>
        <v>64.736111111111114</v>
      </c>
      <c r="AS154" s="72">
        <f t="shared" si="2657"/>
        <v>194.20833333333334</v>
      </c>
      <c r="AT154" s="70">
        <f t="shared" si="2658"/>
        <v>3203.1427777777785</v>
      </c>
      <c r="AU154" s="71">
        <v>0</v>
      </c>
      <c r="AV154" s="71">
        <v>0</v>
      </c>
      <c r="AW154" s="72">
        <f t="shared" si="2659"/>
        <v>0</v>
      </c>
      <c r="AX154" s="72">
        <f t="shared" si="2660"/>
        <v>0</v>
      </c>
      <c r="AY154" s="70">
        <f t="shared" si="2661"/>
        <v>0</v>
      </c>
      <c r="AZ154" s="73">
        <v>0</v>
      </c>
      <c r="BA154" s="74">
        <f t="shared" si="2662"/>
        <v>282.40000000000003</v>
      </c>
      <c r="BB154" s="303">
        <f t="shared" si="2663"/>
        <v>3485.5427777777786</v>
      </c>
      <c r="BC154" s="58">
        <v>1</v>
      </c>
      <c r="BD154" s="68" t="s">
        <v>293</v>
      </c>
      <c r="BE154" s="28">
        <f t="shared" si="2664"/>
        <v>10.593181818181819</v>
      </c>
      <c r="BF154" s="69">
        <v>2330.5</v>
      </c>
      <c r="BG154" s="28">
        <f t="shared" si="2665"/>
        <v>233.05</v>
      </c>
      <c r="BH154" s="28">
        <f t="shared" si="2666"/>
        <v>186.44</v>
      </c>
      <c r="BI154" s="28">
        <f t="shared" si="2667"/>
        <v>194.20833333333334</v>
      </c>
      <c r="BJ154" s="72">
        <f t="shared" si="2668"/>
        <v>64.736111111111114</v>
      </c>
      <c r="BK154" s="72">
        <f t="shared" si="2669"/>
        <v>194.20833333333334</v>
      </c>
      <c r="BL154" s="70">
        <f t="shared" si="2670"/>
        <v>3203.1427777777785</v>
      </c>
      <c r="BM154" s="71">
        <v>0</v>
      </c>
      <c r="BN154" s="71">
        <v>0</v>
      </c>
      <c r="BO154" s="72">
        <f t="shared" si="2671"/>
        <v>0</v>
      </c>
      <c r="BP154" s="72">
        <f t="shared" si="2672"/>
        <v>0</v>
      </c>
      <c r="BQ154" s="70">
        <f t="shared" si="2673"/>
        <v>0</v>
      </c>
      <c r="BR154" s="73">
        <v>0</v>
      </c>
      <c r="BS154" s="74">
        <f t="shared" si="2674"/>
        <v>282.40000000000003</v>
      </c>
      <c r="BT154" s="303">
        <f t="shared" si="2675"/>
        <v>3485.5427777777786</v>
      </c>
      <c r="BU154" s="58">
        <v>1</v>
      </c>
      <c r="BV154" s="68" t="s">
        <v>293</v>
      </c>
      <c r="BW154" s="28">
        <f t="shared" si="2676"/>
        <v>10.593181818181819</v>
      </c>
      <c r="BX154" s="69">
        <v>2330.5</v>
      </c>
      <c r="BY154" s="28">
        <f t="shared" si="2677"/>
        <v>233.05</v>
      </c>
      <c r="BZ154" s="28">
        <f t="shared" si="2678"/>
        <v>186.44</v>
      </c>
      <c r="CA154" s="28">
        <f t="shared" si="2679"/>
        <v>194.20833333333334</v>
      </c>
      <c r="CB154" s="72">
        <f t="shared" si="2680"/>
        <v>64.736111111111114</v>
      </c>
      <c r="CC154" s="72">
        <f t="shared" si="2681"/>
        <v>194.20833333333334</v>
      </c>
      <c r="CD154" s="70">
        <f t="shared" si="2682"/>
        <v>3203.1427777777785</v>
      </c>
      <c r="CE154" s="71">
        <v>0</v>
      </c>
      <c r="CF154" s="71">
        <v>0</v>
      </c>
      <c r="CG154" s="72">
        <f t="shared" si="2683"/>
        <v>0</v>
      </c>
      <c r="CH154" s="72">
        <f t="shared" si="2684"/>
        <v>0</v>
      </c>
      <c r="CI154" s="70">
        <f t="shared" si="2685"/>
        <v>0</v>
      </c>
      <c r="CJ154" s="73">
        <v>0</v>
      </c>
      <c r="CK154" s="74">
        <f t="shared" si="2686"/>
        <v>282.40000000000003</v>
      </c>
      <c r="CL154" s="303">
        <f t="shared" si="2687"/>
        <v>3485.5427777777786</v>
      </c>
      <c r="CM154" s="58">
        <v>1</v>
      </c>
      <c r="CN154" s="68" t="s">
        <v>293</v>
      </c>
      <c r="CO154" s="28">
        <f t="shared" si="2688"/>
        <v>10.593181818181819</v>
      </c>
      <c r="CP154" s="69">
        <v>2330.5</v>
      </c>
      <c r="CQ154" s="28">
        <f t="shared" si="2689"/>
        <v>233.05</v>
      </c>
      <c r="CR154" s="28">
        <f t="shared" si="2690"/>
        <v>186.44</v>
      </c>
      <c r="CS154" s="28">
        <f t="shared" si="2691"/>
        <v>194.20833333333334</v>
      </c>
      <c r="CT154" s="72">
        <f t="shared" si="2692"/>
        <v>64.736111111111114</v>
      </c>
      <c r="CU154" s="72">
        <f t="shared" si="2693"/>
        <v>194.20833333333334</v>
      </c>
      <c r="CV154" s="70">
        <f t="shared" si="2694"/>
        <v>3203.1427777777785</v>
      </c>
      <c r="CW154" s="71">
        <v>0</v>
      </c>
      <c r="CX154" s="71">
        <v>0</v>
      </c>
      <c r="CY154" s="72">
        <f t="shared" si="2695"/>
        <v>0</v>
      </c>
      <c r="CZ154" s="72">
        <f t="shared" si="2696"/>
        <v>0</v>
      </c>
      <c r="DA154" s="70">
        <f t="shared" si="2697"/>
        <v>0</v>
      </c>
      <c r="DB154" s="73">
        <v>0</v>
      </c>
      <c r="DC154" s="74">
        <f t="shared" si="2698"/>
        <v>282.40000000000003</v>
      </c>
      <c r="DD154" s="303">
        <f t="shared" si="2699"/>
        <v>3485.5427777777786</v>
      </c>
      <c r="DE154" s="58">
        <v>1</v>
      </c>
      <c r="DF154" s="68" t="s">
        <v>293</v>
      </c>
      <c r="DG154" s="28">
        <f t="shared" si="2700"/>
        <v>10.593181818181819</v>
      </c>
      <c r="DH154" s="69">
        <v>2330.5</v>
      </c>
      <c r="DI154" s="28">
        <f t="shared" si="2701"/>
        <v>233.05</v>
      </c>
      <c r="DJ154" s="28">
        <f t="shared" si="2702"/>
        <v>186.44</v>
      </c>
      <c r="DK154" s="28">
        <f t="shared" si="2703"/>
        <v>194.20833333333334</v>
      </c>
      <c r="DL154" s="72">
        <f t="shared" si="2704"/>
        <v>64.736111111111114</v>
      </c>
      <c r="DM154" s="72">
        <f t="shared" si="2705"/>
        <v>194.20833333333334</v>
      </c>
      <c r="DN154" s="70">
        <f t="shared" si="2706"/>
        <v>3203.1427777777785</v>
      </c>
      <c r="DO154" s="71">
        <v>0</v>
      </c>
      <c r="DP154" s="71">
        <v>0</v>
      </c>
      <c r="DQ154" s="72">
        <f t="shared" si="2707"/>
        <v>0</v>
      </c>
      <c r="DR154" s="72">
        <f t="shared" si="2708"/>
        <v>0</v>
      </c>
      <c r="DS154" s="70">
        <f t="shared" si="2709"/>
        <v>0</v>
      </c>
      <c r="DT154" s="73">
        <v>0</v>
      </c>
      <c r="DU154" s="74">
        <f t="shared" si="2710"/>
        <v>282.40000000000003</v>
      </c>
      <c r="DV154" s="303">
        <f t="shared" si="2711"/>
        <v>3485.5427777777786</v>
      </c>
      <c r="DW154" s="58">
        <v>1</v>
      </c>
      <c r="DX154" s="68" t="s">
        <v>293</v>
      </c>
      <c r="DY154" s="28">
        <f t="shared" si="2712"/>
        <v>10.593181818181819</v>
      </c>
      <c r="DZ154" s="69">
        <v>2330.5</v>
      </c>
      <c r="EA154" s="28">
        <f t="shared" si="2713"/>
        <v>233.05</v>
      </c>
      <c r="EB154" s="28">
        <f t="shared" si="2714"/>
        <v>186.44</v>
      </c>
      <c r="EC154" s="28">
        <f t="shared" si="2715"/>
        <v>194.20833333333334</v>
      </c>
      <c r="ED154" s="72">
        <f t="shared" si="2716"/>
        <v>64.736111111111114</v>
      </c>
      <c r="EE154" s="72">
        <f t="shared" si="2717"/>
        <v>194.20833333333334</v>
      </c>
      <c r="EF154" s="70">
        <f t="shared" si="2718"/>
        <v>3203.1427777777785</v>
      </c>
      <c r="EG154" s="71">
        <v>0</v>
      </c>
      <c r="EH154" s="71">
        <v>0</v>
      </c>
      <c r="EI154" s="72">
        <f t="shared" si="2719"/>
        <v>0</v>
      </c>
      <c r="EJ154" s="72">
        <f t="shared" si="2720"/>
        <v>0</v>
      </c>
      <c r="EK154" s="70">
        <f t="shared" si="2721"/>
        <v>0</v>
      </c>
      <c r="EL154" s="73">
        <v>0</v>
      </c>
      <c r="EM154" s="74">
        <f t="shared" si="2722"/>
        <v>282.40000000000003</v>
      </c>
      <c r="EN154" s="303">
        <f t="shared" si="2723"/>
        <v>3485.5427777777786</v>
      </c>
      <c r="EO154" s="58">
        <v>1</v>
      </c>
      <c r="EP154" s="68" t="s">
        <v>293</v>
      </c>
      <c r="EQ154" s="28">
        <f t="shared" si="2724"/>
        <v>10.593181818181819</v>
      </c>
      <c r="ER154" s="69">
        <v>2330.5</v>
      </c>
      <c r="ES154" s="28">
        <f t="shared" si="2725"/>
        <v>233.05</v>
      </c>
      <c r="ET154" s="28">
        <f t="shared" si="2726"/>
        <v>186.44</v>
      </c>
      <c r="EU154" s="28">
        <f t="shared" si="2727"/>
        <v>194.20833333333334</v>
      </c>
      <c r="EV154" s="72">
        <f t="shared" si="2728"/>
        <v>64.736111111111114</v>
      </c>
      <c r="EW154" s="72">
        <f t="shared" si="2729"/>
        <v>194.20833333333334</v>
      </c>
      <c r="EX154" s="70">
        <f t="shared" si="2730"/>
        <v>3203.1427777777785</v>
      </c>
      <c r="EY154" s="71">
        <v>0</v>
      </c>
      <c r="EZ154" s="71">
        <v>0</v>
      </c>
      <c r="FA154" s="72">
        <f t="shared" si="2731"/>
        <v>0</v>
      </c>
      <c r="FB154" s="72">
        <f t="shared" si="2732"/>
        <v>0</v>
      </c>
      <c r="FC154" s="70">
        <f t="shared" si="2733"/>
        <v>0</v>
      </c>
      <c r="FD154" s="73">
        <v>0</v>
      </c>
      <c r="FE154" s="74">
        <f t="shared" si="2734"/>
        <v>282.40000000000003</v>
      </c>
      <c r="FF154" s="303">
        <f t="shared" si="2735"/>
        <v>3485.5427777777786</v>
      </c>
      <c r="FG154" s="58">
        <v>1</v>
      </c>
      <c r="FH154" s="68" t="s">
        <v>293</v>
      </c>
      <c r="FI154" s="28">
        <f t="shared" si="2736"/>
        <v>10.593181818181819</v>
      </c>
      <c r="FJ154" s="69">
        <v>2330.5</v>
      </c>
      <c r="FK154" s="28">
        <f t="shared" si="2737"/>
        <v>233.05</v>
      </c>
      <c r="FL154" s="28">
        <f t="shared" si="2738"/>
        <v>186.44</v>
      </c>
      <c r="FM154" s="28">
        <f t="shared" si="2739"/>
        <v>194.20833333333334</v>
      </c>
      <c r="FN154" s="72">
        <f t="shared" si="2740"/>
        <v>64.736111111111114</v>
      </c>
      <c r="FO154" s="72">
        <f t="shared" si="2741"/>
        <v>194.20833333333334</v>
      </c>
      <c r="FP154" s="70">
        <f t="shared" si="2742"/>
        <v>3203.1427777777785</v>
      </c>
      <c r="FQ154" s="71">
        <v>0</v>
      </c>
      <c r="FR154" s="71">
        <v>0</v>
      </c>
      <c r="FS154" s="72">
        <f t="shared" si="2743"/>
        <v>0</v>
      </c>
      <c r="FT154" s="72">
        <f t="shared" si="2744"/>
        <v>0</v>
      </c>
      <c r="FU154" s="70">
        <f t="shared" si="2745"/>
        <v>0</v>
      </c>
      <c r="FV154" s="73">
        <v>0</v>
      </c>
      <c r="FW154" s="74">
        <f t="shared" si="2746"/>
        <v>282.40000000000003</v>
      </c>
      <c r="FX154" s="303">
        <f t="shared" si="2747"/>
        <v>3485.5427777777786</v>
      </c>
      <c r="FY154" s="58">
        <v>1</v>
      </c>
      <c r="FZ154" s="68" t="s">
        <v>293</v>
      </c>
      <c r="GA154" s="28">
        <f t="shared" si="2748"/>
        <v>10.593181818181819</v>
      </c>
      <c r="GB154" s="69">
        <v>2330.5</v>
      </c>
      <c r="GC154" s="28">
        <f t="shared" si="2749"/>
        <v>233.05</v>
      </c>
      <c r="GD154" s="28">
        <f t="shared" si="2750"/>
        <v>186.44</v>
      </c>
      <c r="GE154" s="28">
        <f t="shared" si="2751"/>
        <v>194.20833333333334</v>
      </c>
      <c r="GF154" s="72">
        <f t="shared" si="2752"/>
        <v>64.736111111111114</v>
      </c>
      <c r="GG154" s="72">
        <f t="shared" si="2753"/>
        <v>194.20833333333334</v>
      </c>
      <c r="GH154" s="70">
        <f t="shared" si="2754"/>
        <v>3203.1427777777785</v>
      </c>
      <c r="GI154" s="71">
        <v>0</v>
      </c>
      <c r="GJ154" s="71">
        <v>0</v>
      </c>
      <c r="GK154" s="72">
        <f t="shared" si="2755"/>
        <v>0</v>
      </c>
      <c r="GL154" s="72">
        <f t="shared" si="2756"/>
        <v>0</v>
      </c>
      <c r="GM154" s="70">
        <f t="shared" si="2757"/>
        <v>0</v>
      </c>
      <c r="GN154" s="73">
        <v>0</v>
      </c>
      <c r="GO154" s="74">
        <f t="shared" si="2758"/>
        <v>282.40000000000003</v>
      </c>
      <c r="GP154" s="303">
        <f t="shared" si="2759"/>
        <v>3485.5427777777786</v>
      </c>
      <c r="GQ154" s="58">
        <v>1</v>
      </c>
      <c r="GR154" s="68" t="s">
        <v>293</v>
      </c>
      <c r="GS154" s="28">
        <f t="shared" si="2760"/>
        <v>10.593181818181819</v>
      </c>
      <c r="GT154" s="69">
        <v>2330.5</v>
      </c>
      <c r="GU154" s="28">
        <f t="shared" si="2761"/>
        <v>233.05</v>
      </c>
      <c r="GV154" s="28">
        <f t="shared" si="2762"/>
        <v>186.44</v>
      </c>
      <c r="GW154" s="28">
        <f t="shared" si="2763"/>
        <v>194.20833333333334</v>
      </c>
      <c r="GX154" s="72">
        <f t="shared" si="2764"/>
        <v>64.736111111111114</v>
      </c>
      <c r="GY154" s="72">
        <f t="shared" si="2765"/>
        <v>194.20833333333334</v>
      </c>
      <c r="GZ154" s="70">
        <f t="shared" si="2766"/>
        <v>3203.1427777777785</v>
      </c>
      <c r="HA154" s="71">
        <v>0</v>
      </c>
      <c r="HB154" s="71">
        <v>0</v>
      </c>
      <c r="HC154" s="72">
        <f t="shared" si="2767"/>
        <v>0</v>
      </c>
      <c r="HD154" s="72">
        <f t="shared" si="2768"/>
        <v>0</v>
      </c>
      <c r="HE154" s="70">
        <f t="shared" si="2769"/>
        <v>0</v>
      </c>
      <c r="HF154" s="73">
        <v>0</v>
      </c>
      <c r="HG154" s="74">
        <f t="shared" si="2770"/>
        <v>282.40000000000003</v>
      </c>
      <c r="HH154" s="303">
        <f t="shared" si="2771"/>
        <v>3485.5427777777786</v>
      </c>
      <c r="HJ154" s="37"/>
      <c r="HK154" s="37"/>
      <c r="HL154" s="37"/>
      <c r="HM154" s="37"/>
      <c r="HN154" s="37"/>
      <c r="HO154" s="37"/>
      <c r="HP154" s="37"/>
      <c r="HQ154" s="37"/>
      <c r="HR154" s="37"/>
      <c r="HS154" s="37"/>
      <c r="HT154" s="37"/>
      <c r="HU154" s="37"/>
      <c r="HV154" s="37"/>
      <c r="HW154" s="37"/>
      <c r="HX154" s="37"/>
      <c r="HY154" s="37"/>
      <c r="HZ154" s="37"/>
      <c r="IA154" s="37"/>
      <c r="IB154" s="37"/>
      <c r="IC154" s="37"/>
      <c r="ID154" s="37"/>
      <c r="IE154" s="37"/>
      <c r="IF154" s="37"/>
      <c r="IG154" s="37"/>
      <c r="IH154" s="37"/>
      <c r="II154" s="37"/>
      <c r="IJ154" s="37"/>
      <c r="IK154" s="37"/>
      <c r="IL154" s="37"/>
      <c r="IM154" s="37"/>
      <c r="IN154" s="37"/>
      <c r="IO154" s="37"/>
      <c r="IP154" s="37"/>
    </row>
    <row r="155" spans="1:250" ht="15.6" x14ac:dyDescent="0.3">
      <c r="A155" s="541"/>
      <c r="B155" s="537"/>
      <c r="C155" s="537"/>
      <c r="D155" s="537"/>
      <c r="E155" s="537"/>
      <c r="F155" s="537"/>
      <c r="G155" s="537"/>
      <c r="H155" s="537"/>
      <c r="I155" s="537"/>
      <c r="J155" s="537"/>
      <c r="K155" s="537"/>
      <c r="L155" s="537"/>
      <c r="M155" s="537"/>
      <c r="N155" s="537"/>
      <c r="O155" s="537"/>
      <c r="P155" s="538"/>
      <c r="Q155" s="307" t="s">
        <v>8</v>
      </c>
      <c r="R155" s="304">
        <f>SUM(R152:R154)</f>
        <v>13736.959911111111</v>
      </c>
      <c r="S155" s="541"/>
      <c r="T155" s="537"/>
      <c r="U155" s="537"/>
      <c r="V155" s="537"/>
      <c r="W155" s="537"/>
      <c r="X155" s="537"/>
      <c r="Y155" s="537"/>
      <c r="Z155" s="537"/>
      <c r="AA155" s="537"/>
      <c r="AB155" s="537"/>
      <c r="AC155" s="537"/>
      <c r="AD155" s="537"/>
      <c r="AE155" s="537"/>
      <c r="AF155" s="537"/>
      <c r="AG155" s="537"/>
      <c r="AH155" s="538"/>
      <c r="AI155" s="307" t="s">
        <v>8</v>
      </c>
      <c r="AJ155" s="304">
        <f>SUM(AJ152:AJ154)</f>
        <v>13736.959911111111</v>
      </c>
      <c r="AK155" s="541"/>
      <c r="AL155" s="537"/>
      <c r="AM155" s="537"/>
      <c r="AN155" s="537"/>
      <c r="AO155" s="537"/>
      <c r="AP155" s="537"/>
      <c r="AQ155" s="537"/>
      <c r="AR155" s="537"/>
      <c r="AS155" s="537"/>
      <c r="AT155" s="537"/>
      <c r="AU155" s="537"/>
      <c r="AV155" s="537"/>
      <c r="AW155" s="537"/>
      <c r="AX155" s="537"/>
      <c r="AY155" s="537"/>
      <c r="AZ155" s="538"/>
      <c r="BA155" s="307" t="s">
        <v>8</v>
      </c>
      <c r="BB155" s="304">
        <f>SUM(BB152:BB154)</f>
        <v>13736.959911111111</v>
      </c>
      <c r="BC155" s="541"/>
      <c r="BD155" s="537"/>
      <c r="BE155" s="537"/>
      <c r="BF155" s="537"/>
      <c r="BG155" s="537"/>
      <c r="BH155" s="537"/>
      <c r="BI155" s="537"/>
      <c r="BJ155" s="537"/>
      <c r="BK155" s="537"/>
      <c r="BL155" s="537"/>
      <c r="BM155" s="537"/>
      <c r="BN155" s="537"/>
      <c r="BO155" s="537"/>
      <c r="BP155" s="537"/>
      <c r="BQ155" s="537"/>
      <c r="BR155" s="538"/>
      <c r="BS155" s="307" t="s">
        <v>8</v>
      </c>
      <c r="BT155" s="304">
        <f>SUM(BT152:BT154)</f>
        <v>13736.959911111111</v>
      </c>
      <c r="BU155" s="541"/>
      <c r="BV155" s="537"/>
      <c r="BW155" s="537"/>
      <c r="BX155" s="537"/>
      <c r="BY155" s="537"/>
      <c r="BZ155" s="537"/>
      <c r="CA155" s="537"/>
      <c r="CB155" s="537"/>
      <c r="CC155" s="537"/>
      <c r="CD155" s="537"/>
      <c r="CE155" s="537"/>
      <c r="CF155" s="537"/>
      <c r="CG155" s="537"/>
      <c r="CH155" s="537"/>
      <c r="CI155" s="537"/>
      <c r="CJ155" s="538"/>
      <c r="CK155" s="307" t="s">
        <v>8</v>
      </c>
      <c r="CL155" s="304">
        <f>SUM(CL152:CL154)</f>
        <v>13736.959911111111</v>
      </c>
      <c r="CM155" s="541"/>
      <c r="CN155" s="537"/>
      <c r="CO155" s="537"/>
      <c r="CP155" s="537"/>
      <c r="CQ155" s="537"/>
      <c r="CR155" s="537"/>
      <c r="CS155" s="537"/>
      <c r="CT155" s="537"/>
      <c r="CU155" s="537"/>
      <c r="CV155" s="537"/>
      <c r="CW155" s="537"/>
      <c r="CX155" s="537"/>
      <c r="CY155" s="537"/>
      <c r="CZ155" s="537"/>
      <c r="DA155" s="537"/>
      <c r="DB155" s="538"/>
      <c r="DC155" s="307" t="s">
        <v>8</v>
      </c>
      <c r="DD155" s="304">
        <f>SUM(DD152:DD154)</f>
        <v>13736.959911111111</v>
      </c>
      <c r="DE155" s="541"/>
      <c r="DF155" s="537"/>
      <c r="DG155" s="537"/>
      <c r="DH155" s="537"/>
      <c r="DI155" s="537"/>
      <c r="DJ155" s="537"/>
      <c r="DK155" s="537"/>
      <c r="DL155" s="537"/>
      <c r="DM155" s="537"/>
      <c r="DN155" s="537"/>
      <c r="DO155" s="537"/>
      <c r="DP155" s="537"/>
      <c r="DQ155" s="537"/>
      <c r="DR155" s="537"/>
      <c r="DS155" s="537"/>
      <c r="DT155" s="538"/>
      <c r="DU155" s="307" t="s">
        <v>8</v>
      </c>
      <c r="DV155" s="304">
        <f>SUM(DV152:DV154)</f>
        <v>13736.959911111111</v>
      </c>
      <c r="DW155" s="541"/>
      <c r="DX155" s="537"/>
      <c r="DY155" s="537"/>
      <c r="DZ155" s="537"/>
      <c r="EA155" s="537"/>
      <c r="EB155" s="537"/>
      <c r="EC155" s="537"/>
      <c r="ED155" s="537"/>
      <c r="EE155" s="537"/>
      <c r="EF155" s="537"/>
      <c r="EG155" s="537"/>
      <c r="EH155" s="537"/>
      <c r="EI155" s="537"/>
      <c r="EJ155" s="537"/>
      <c r="EK155" s="537"/>
      <c r="EL155" s="538"/>
      <c r="EM155" s="307" t="s">
        <v>8</v>
      </c>
      <c r="EN155" s="304">
        <f>SUM(EN152:EN154)</f>
        <v>13736.959911111111</v>
      </c>
      <c r="EO155" s="541"/>
      <c r="EP155" s="537"/>
      <c r="EQ155" s="537"/>
      <c r="ER155" s="537"/>
      <c r="ES155" s="537"/>
      <c r="ET155" s="537"/>
      <c r="EU155" s="537"/>
      <c r="EV155" s="537"/>
      <c r="EW155" s="537"/>
      <c r="EX155" s="537"/>
      <c r="EY155" s="537"/>
      <c r="EZ155" s="537"/>
      <c r="FA155" s="537"/>
      <c r="FB155" s="537"/>
      <c r="FC155" s="537"/>
      <c r="FD155" s="538"/>
      <c r="FE155" s="307" t="s">
        <v>8</v>
      </c>
      <c r="FF155" s="304">
        <f>SUM(FF152:FF154)</f>
        <v>13736.959911111111</v>
      </c>
      <c r="FG155" s="541"/>
      <c r="FH155" s="537"/>
      <c r="FI155" s="537"/>
      <c r="FJ155" s="537"/>
      <c r="FK155" s="537"/>
      <c r="FL155" s="537"/>
      <c r="FM155" s="537"/>
      <c r="FN155" s="537"/>
      <c r="FO155" s="537"/>
      <c r="FP155" s="537"/>
      <c r="FQ155" s="537"/>
      <c r="FR155" s="537"/>
      <c r="FS155" s="537"/>
      <c r="FT155" s="537"/>
      <c r="FU155" s="537"/>
      <c r="FV155" s="538"/>
      <c r="FW155" s="307" t="s">
        <v>8</v>
      </c>
      <c r="FX155" s="304">
        <f>SUM(FX152:FX154)</f>
        <v>13736.959911111111</v>
      </c>
      <c r="FY155" s="541"/>
      <c r="FZ155" s="537"/>
      <c r="GA155" s="537"/>
      <c r="GB155" s="537"/>
      <c r="GC155" s="537"/>
      <c r="GD155" s="537"/>
      <c r="GE155" s="537"/>
      <c r="GF155" s="537"/>
      <c r="GG155" s="537"/>
      <c r="GH155" s="537"/>
      <c r="GI155" s="537"/>
      <c r="GJ155" s="537"/>
      <c r="GK155" s="537"/>
      <c r="GL155" s="537"/>
      <c r="GM155" s="537"/>
      <c r="GN155" s="538"/>
      <c r="GO155" s="307" t="s">
        <v>8</v>
      </c>
      <c r="GP155" s="304">
        <f>SUM(GP152:GP154)</f>
        <v>13736.959911111111</v>
      </c>
      <c r="GQ155" s="541"/>
      <c r="GR155" s="537"/>
      <c r="GS155" s="537"/>
      <c r="GT155" s="537"/>
      <c r="GU155" s="537"/>
      <c r="GV155" s="537"/>
      <c r="GW155" s="537"/>
      <c r="GX155" s="537"/>
      <c r="GY155" s="537"/>
      <c r="GZ155" s="537"/>
      <c r="HA155" s="537"/>
      <c r="HB155" s="537"/>
      <c r="HC155" s="537"/>
      <c r="HD155" s="537"/>
      <c r="HE155" s="537"/>
      <c r="HF155" s="538"/>
      <c r="HG155" s="307" t="s">
        <v>8</v>
      </c>
      <c r="HH155" s="304">
        <f>SUM(HH152:HH154)</f>
        <v>13736.959911111111</v>
      </c>
      <c r="HJ155" s="37"/>
      <c r="HK155" s="37"/>
      <c r="HL155" s="37"/>
      <c r="HM155" s="37"/>
      <c r="HN155" s="37"/>
      <c r="HO155" s="37"/>
      <c r="HP155" s="37"/>
      <c r="HQ155" s="37"/>
      <c r="HR155" s="37"/>
      <c r="HS155" s="37"/>
      <c r="HT155" s="37"/>
      <c r="HU155" s="37"/>
      <c r="HV155" s="37"/>
      <c r="HW155" s="37"/>
      <c r="HX155" s="37"/>
      <c r="HY155" s="37"/>
      <c r="HZ155" s="37"/>
      <c r="IA155" s="37"/>
      <c r="IB155" s="37"/>
      <c r="IC155" s="37"/>
      <c r="ID155" s="37"/>
      <c r="IE155" s="37"/>
      <c r="IF155" s="37"/>
      <c r="IG155" s="37"/>
      <c r="IH155" s="37"/>
      <c r="II155" s="37"/>
      <c r="IJ155" s="37"/>
      <c r="IK155" s="37"/>
      <c r="IL155" s="37"/>
      <c r="IM155" s="37"/>
      <c r="IN155" s="37"/>
      <c r="IO155" s="37"/>
      <c r="IP155" s="37"/>
    </row>
    <row r="156" spans="1:250" x14ac:dyDescent="0.3">
      <c r="A156" s="39"/>
      <c r="R156" s="555"/>
      <c r="S156" s="39"/>
      <c r="AJ156" s="555"/>
      <c r="BB156" s="555"/>
      <c r="BT156" s="555"/>
      <c r="CL156" s="555"/>
      <c r="DD156" s="555"/>
      <c r="DE156" s="39"/>
      <c r="DV156" s="555"/>
      <c r="DW156" s="39"/>
      <c r="EN156" s="555"/>
      <c r="EO156" s="39"/>
      <c r="FF156" s="555"/>
      <c r="FG156" s="39"/>
      <c r="FX156" s="555"/>
      <c r="FY156" s="39"/>
      <c r="GP156" s="555"/>
      <c r="GQ156" s="39"/>
      <c r="HH156" s="555"/>
      <c r="HJ156" s="37"/>
      <c r="HK156" s="37"/>
      <c r="HL156" s="37"/>
      <c r="HM156" s="37"/>
      <c r="HN156" s="37"/>
      <c r="HO156" s="37"/>
      <c r="HP156" s="37"/>
      <c r="HQ156" s="37"/>
      <c r="HR156" s="37"/>
      <c r="HS156" s="37"/>
      <c r="HT156" s="37"/>
      <c r="HU156" s="37"/>
      <c r="HV156" s="37"/>
      <c r="HW156" s="37"/>
      <c r="HX156" s="37"/>
      <c r="HY156" s="37"/>
      <c r="HZ156" s="37"/>
      <c r="IA156" s="37"/>
      <c r="IB156" s="37"/>
      <c r="IC156" s="37"/>
      <c r="ID156" s="37"/>
      <c r="IE156" s="37"/>
      <c r="IF156" s="37"/>
      <c r="IG156" s="37"/>
      <c r="IH156" s="37"/>
      <c r="II156" s="37"/>
      <c r="IJ156" s="37"/>
      <c r="IK156" s="37"/>
      <c r="IL156" s="37"/>
      <c r="IM156" s="37"/>
      <c r="IN156" s="37"/>
      <c r="IO156" s="37"/>
      <c r="IP156" s="37"/>
    </row>
    <row r="157" spans="1:250" x14ac:dyDescent="0.3">
      <c r="A157" s="39"/>
      <c r="B157" s="68"/>
      <c r="C157" s="28">
        <f t="shared" ref="C157:C164" si="2772">D157/$AM$4</f>
        <v>0</v>
      </c>
      <c r="D157" s="28">
        <v>0</v>
      </c>
      <c r="E157" s="28">
        <f t="shared" ref="E157:E164" si="2773">D157*E$6</f>
        <v>0</v>
      </c>
      <c r="F157" s="28">
        <f t="shared" ref="F157:F164" si="2774">D157*F$6</f>
        <v>0</v>
      </c>
      <c r="G157" s="28">
        <f t="shared" ref="G157:G164" si="2775">D157/G$6</f>
        <v>0</v>
      </c>
      <c r="H157" s="72">
        <f t="shared" ref="H157:H164" si="2776">G157/H$6</f>
        <v>0</v>
      </c>
      <c r="I157" s="72">
        <f t="shared" ref="I157:I164" si="2777">D157/I$6</f>
        <v>0</v>
      </c>
      <c r="J157" s="70">
        <f t="shared" ref="J157:J164" si="2778">SUM(D157:I157)</f>
        <v>0</v>
      </c>
      <c r="K157" s="71">
        <v>0</v>
      </c>
      <c r="L157" s="71">
        <v>0</v>
      </c>
      <c r="M157" s="72">
        <f t="shared" ref="M157:M164" si="2779">((C157*M$6)+(C157*$AO$6)+(C157*$AP$6))*K157</f>
        <v>0</v>
      </c>
      <c r="N157" s="72">
        <f t="shared" ref="N157:N164" si="2780">((C157*N$6)+(C157*$AO$6)+(C157*$AP$6))*L157</f>
        <v>0</v>
      </c>
      <c r="O157" s="70">
        <f t="shared" ref="O157:O164" si="2781">SUM(M157:N157)</f>
        <v>0</v>
      </c>
      <c r="P157" s="73">
        <v>0</v>
      </c>
      <c r="Q157" s="74">
        <f t="shared" ref="Q157:Q164" si="2782">IF(A157=1,($C$1*$Q$6),0)</f>
        <v>0</v>
      </c>
      <c r="R157" s="303">
        <f t="shared" ref="R157:R164" si="2783">J157+O157+P157+Q157</f>
        <v>0</v>
      </c>
      <c r="S157" s="39"/>
      <c r="T157" s="68"/>
      <c r="U157" s="28">
        <f t="shared" ref="U157:U164" si="2784">V157/$AM$4</f>
        <v>0</v>
      </c>
      <c r="V157" s="28">
        <v>0</v>
      </c>
      <c r="W157" s="28">
        <f t="shared" ref="W157:W164" si="2785">V157*W$6</f>
        <v>0</v>
      </c>
      <c r="X157" s="28">
        <f t="shared" ref="X157:X164" si="2786">V157*X$6</f>
        <v>0</v>
      </c>
      <c r="Y157" s="28">
        <f t="shared" ref="Y157:Y164" si="2787">V157/Y$6</f>
        <v>0</v>
      </c>
      <c r="Z157" s="72">
        <f t="shared" ref="Z157:Z164" si="2788">Y157/Z$6</f>
        <v>0</v>
      </c>
      <c r="AA157" s="72">
        <f t="shared" ref="AA157:AA164" si="2789">V157/AA$6</f>
        <v>0</v>
      </c>
      <c r="AB157" s="70">
        <f t="shared" ref="AB157:AB164" si="2790">SUM(V157:AA157)</f>
        <v>0</v>
      </c>
      <c r="AC157" s="71">
        <v>0</v>
      </c>
      <c r="AD157" s="71">
        <v>0</v>
      </c>
      <c r="AE157" s="72">
        <f t="shared" ref="AE157:AE164" si="2791">((U157*AE$6)+(U157*$AO$6)+(U157*$AP$6))*AC157</f>
        <v>0</v>
      </c>
      <c r="AF157" s="72">
        <f t="shared" ref="AF157:AF164" si="2792">((U157*AF$6)+(U157*$AO$6)+(U157*$AP$6))*AD157</f>
        <v>0</v>
      </c>
      <c r="AG157" s="70">
        <f t="shared" ref="AG157:AG164" si="2793">SUM(AE157:AF157)</f>
        <v>0</v>
      </c>
      <c r="AH157" s="73">
        <v>0</v>
      </c>
      <c r="AI157" s="74">
        <f t="shared" ref="AI157:AI164" si="2794">IF(S157=1,($C$1*$Q$6),0)</f>
        <v>0</v>
      </c>
      <c r="AJ157" s="303">
        <f t="shared" ref="AJ157:AJ164" si="2795">AB157+AG157+AH157+AI157</f>
        <v>0</v>
      </c>
      <c r="AL157" s="68"/>
      <c r="AM157" s="28">
        <f t="shared" ref="AM157:AM164" si="2796">AN157/$AM$4</f>
        <v>0</v>
      </c>
      <c r="AN157" s="28">
        <v>0</v>
      </c>
      <c r="AO157" s="28">
        <f t="shared" ref="AO157:AO164" si="2797">AN157*AO$6</f>
        <v>0</v>
      </c>
      <c r="AP157" s="28">
        <f t="shared" ref="AP157:AP164" si="2798">AN157*AP$6</f>
        <v>0</v>
      </c>
      <c r="AQ157" s="28">
        <f t="shared" ref="AQ157:AQ164" si="2799">AN157/AQ$6</f>
        <v>0</v>
      </c>
      <c r="AR157" s="72">
        <f t="shared" ref="AR157:AR164" si="2800">AQ157/AR$6</f>
        <v>0</v>
      </c>
      <c r="AS157" s="72">
        <f t="shared" ref="AS157:AS164" si="2801">AN157/AS$6</f>
        <v>0</v>
      </c>
      <c r="AT157" s="70">
        <f t="shared" ref="AT157:AT164" si="2802">SUM(AN157:AS157)</f>
        <v>0</v>
      </c>
      <c r="AU157" s="71">
        <v>0</v>
      </c>
      <c r="AV157" s="71">
        <v>0</v>
      </c>
      <c r="AW157" s="72">
        <f t="shared" ref="AW157:AW164" si="2803">((AM157*AW$6)+(AM157*$AO$6)+(AM157*$AP$6))*AU157</f>
        <v>0</v>
      </c>
      <c r="AX157" s="72">
        <f t="shared" ref="AX157:AX164" si="2804">((AM157*AX$6)+(AM157*$AO$6)+(AM157*$AP$6))*AV157</f>
        <v>0</v>
      </c>
      <c r="AY157" s="70">
        <f t="shared" ref="AY157:AY164" si="2805">SUM(AW157:AX157)</f>
        <v>0</v>
      </c>
      <c r="AZ157" s="73">
        <v>0</v>
      </c>
      <c r="BA157" s="74">
        <f t="shared" ref="BA157:BA164" si="2806">IF(AK157=1,($C$1*$Q$6),0)</f>
        <v>0</v>
      </c>
      <c r="BB157" s="303">
        <f t="shared" ref="BB157:BB164" si="2807">AT157+AY157+AZ157+BA157</f>
        <v>0</v>
      </c>
      <c r="BD157" s="68"/>
      <c r="BE157" s="28">
        <f t="shared" ref="BE157:BE164" si="2808">BF157/$AM$4</f>
        <v>0</v>
      </c>
      <c r="BF157" s="28">
        <v>0</v>
      </c>
      <c r="BG157" s="28">
        <f t="shared" ref="BG157:BG164" si="2809">BF157*BG$6</f>
        <v>0</v>
      </c>
      <c r="BH157" s="28">
        <f t="shared" ref="BH157:BH164" si="2810">BF157*BH$6</f>
        <v>0</v>
      </c>
      <c r="BI157" s="28">
        <f t="shared" ref="BI157:BI164" si="2811">BF157/BI$6</f>
        <v>0</v>
      </c>
      <c r="BJ157" s="72">
        <f t="shared" ref="BJ157:BJ164" si="2812">BI157/BJ$6</f>
        <v>0</v>
      </c>
      <c r="BK157" s="72">
        <f t="shared" ref="BK157:BK164" si="2813">BF157/BK$6</f>
        <v>0</v>
      </c>
      <c r="BL157" s="70">
        <f t="shared" ref="BL157:BL164" si="2814">SUM(BF157:BK157)</f>
        <v>0</v>
      </c>
      <c r="BM157" s="71">
        <v>0</v>
      </c>
      <c r="BN157" s="71">
        <v>0</v>
      </c>
      <c r="BO157" s="72">
        <f t="shared" ref="BO157:BO164" si="2815">((BE157*BO$6)+(BE157*$AO$6)+(BE157*$AP$6))*BM157</f>
        <v>0</v>
      </c>
      <c r="BP157" s="72">
        <f t="shared" ref="BP157:BP164" si="2816">((BE157*BP$6)+(BE157*$AO$6)+(BE157*$AP$6))*BN157</f>
        <v>0</v>
      </c>
      <c r="BQ157" s="70">
        <f t="shared" ref="BQ157:BQ164" si="2817">SUM(BO157:BP157)</f>
        <v>0</v>
      </c>
      <c r="BR157" s="73">
        <v>0</v>
      </c>
      <c r="BS157" s="74">
        <f t="shared" ref="BS157:BS164" si="2818">IF(BC157=1,($C$1*$Q$6),0)</f>
        <v>0</v>
      </c>
      <c r="BT157" s="303">
        <f t="shared" ref="BT157:BT164" si="2819">BL157+BQ157+BR157+BS157</f>
        <v>0</v>
      </c>
      <c r="BV157" s="68"/>
      <c r="BW157" s="28">
        <f t="shared" ref="BW157:BW164" si="2820">BX157/$AM$4</f>
        <v>0</v>
      </c>
      <c r="BX157" s="28">
        <v>0</v>
      </c>
      <c r="BY157" s="28">
        <f t="shared" ref="BY157:BY164" si="2821">BX157*BY$6</f>
        <v>0</v>
      </c>
      <c r="BZ157" s="28">
        <f t="shared" ref="BZ157:BZ164" si="2822">BX157*BZ$6</f>
        <v>0</v>
      </c>
      <c r="CA157" s="28">
        <f t="shared" ref="CA157:CA164" si="2823">BX157/CA$6</f>
        <v>0</v>
      </c>
      <c r="CB157" s="72">
        <f t="shared" ref="CB157:CB164" si="2824">CA157/CB$6</f>
        <v>0</v>
      </c>
      <c r="CC157" s="72">
        <f t="shared" ref="CC157:CC164" si="2825">BX157/CC$6</f>
        <v>0</v>
      </c>
      <c r="CD157" s="70">
        <f t="shared" ref="CD157:CD164" si="2826">SUM(BX157:CC157)</f>
        <v>0</v>
      </c>
      <c r="CE157" s="71">
        <v>0</v>
      </c>
      <c r="CF157" s="71">
        <v>0</v>
      </c>
      <c r="CG157" s="72">
        <f t="shared" ref="CG157:CG164" si="2827">((BW157*CG$6)+(BW157*$AO$6)+(BW157*$AP$6))*CE157</f>
        <v>0</v>
      </c>
      <c r="CH157" s="72">
        <f t="shared" ref="CH157:CH164" si="2828">((BW157*CH$6)+(BW157*$AO$6)+(BW157*$AP$6))*CF157</f>
        <v>0</v>
      </c>
      <c r="CI157" s="70">
        <f t="shared" ref="CI157:CI164" si="2829">SUM(CG157:CH157)</f>
        <v>0</v>
      </c>
      <c r="CJ157" s="73">
        <v>0</v>
      </c>
      <c r="CK157" s="74">
        <f t="shared" ref="CK157:CK164" si="2830">IF(BU157=1,($C$1*$Q$6),0)</f>
        <v>0</v>
      </c>
      <c r="CL157" s="303">
        <f t="shared" ref="CL157:CL164" si="2831">CD157+CI157+CJ157+CK157</f>
        <v>0</v>
      </c>
      <c r="CN157" s="68"/>
      <c r="CO157" s="28">
        <f t="shared" ref="CO157:CO164" si="2832">CP157/$AM$4</f>
        <v>0</v>
      </c>
      <c r="CP157" s="28">
        <v>0</v>
      </c>
      <c r="CQ157" s="28">
        <f t="shared" ref="CQ157:CQ164" si="2833">CP157*CQ$6</f>
        <v>0</v>
      </c>
      <c r="CR157" s="28">
        <f t="shared" ref="CR157:CR164" si="2834">CP157*CR$6</f>
        <v>0</v>
      </c>
      <c r="CS157" s="28">
        <f t="shared" ref="CS157:CS164" si="2835">CP157/CS$6</f>
        <v>0</v>
      </c>
      <c r="CT157" s="72">
        <f t="shared" ref="CT157:CT164" si="2836">CS157/CT$6</f>
        <v>0</v>
      </c>
      <c r="CU157" s="72">
        <f t="shared" ref="CU157:CU164" si="2837">CP157/CU$6</f>
        <v>0</v>
      </c>
      <c r="CV157" s="70">
        <f t="shared" ref="CV157:CV164" si="2838">SUM(CP157:CU157)</f>
        <v>0</v>
      </c>
      <c r="CW157" s="71">
        <v>0</v>
      </c>
      <c r="CX157" s="71">
        <v>0</v>
      </c>
      <c r="CY157" s="72">
        <f t="shared" ref="CY157:CY164" si="2839">((CO157*CY$6)+(CO157*$AO$6)+(CO157*$AP$6))*CW157</f>
        <v>0</v>
      </c>
      <c r="CZ157" s="72">
        <f t="shared" ref="CZ157:CZ164" si="2840">((CO157*CZ$6)+(CO157*$AO$6)+(CO157*$AP$6))*CX157</f>
        <v>0</v>
      </c>
      <c r="DA157" s="70">
        <f t="shared" ref="DA157:DA164" si="2841">SUM(CY157:CZ157)</f>
        <v>0</v>
      </c>
      <c r="DB157" s="73">
        <v>0</v>
      </c>
      <c r="DC157" s="74">
        <f t="shared" ref="DC157:DC164" si="2842">IF(CM157=1,($C$1*$Q$6),0)</f>
        <v>0</v>
      </c>
      <c r="DD157" s="303">
        <f t="shared" ref="DD157:DD164" si="2843">CV157+DA157+DB157+DC157</f>
        <v>0</v>
      </c>
      <c r="DE157" s="39"/>
      <c r="DF157" s="68"/>
      <c r="DG157" s="28">
        <f t="shared" ref="DG157:DG164" si="2844">DH157/$AM$4</f>
        <v>0</v>
      </c>
      <c r="DH157" s="28">
        <v>0</v>
      </c>
      <c r="DI157" s="28">
        <f t="shared" ref="DI157:DI164" si="2845">DH157*DI$6</f>
        <v>0</v>
      </c>
      <c r="DJ157" s="28">
        <f t="shared" ref="DJ157:DJ164" si="2846">DH157*DJ$6</f>
        <v>0</v>
      </c>
      <c r="DK157" s="28">
        <f t="shared" ref="DK157:DK164" si="2847">DH157/DK$6</f>
        <v>0</v>
      </c>
      <c r="DL157" s="72">
        <f t="shared" ref="DL157:DL164" si="2848">DK157/DL$6</f>
        <v>0</v>
      </c>
      <c r="DM157" s="72">
        <f t="shared" ref="DM157:DM164" si="2849">DH157/DM$6</f>
        <v>0</v>
      </c>
      <c r="DN157" s="70">
        <f t="shared" ref="DN157:DN164" si="2850">SUM(DH157:DM157)</f>
        <v>0</v>
      </c>
      <c r="DO157" s="71">
        <v>0</v>
      </c>
      <c r="DP157" s="71">
        <v>0</v>
      </c>
      <c r="DQ157" s="72">
        <f t="shared" ref="DQ157:DQ164" si="2851">((DG157*DQ$6)+(DG157*$AO$6)+(DG157*$AP$6))*DO157</f>
        <v>0</v>
      </c>
      <c r="DR157" s="72">
        <f t="shared" ref="DR157:DR164" si="2852">((DG157*DR$6)+(DG157*$AO$6)+(DG157*$AP$6))*DP157</f>
        <v>0</v>
      </c>
      <c r="DS157" s="70">
        <f t="shared" ref="DS157:DS164" si="2853">SUM(DQ157:DR157)</f>
        <v>0</v>
      </c>
      <c r="DT157" s="73">
        <v>0</v>
      </c>
      <c r="DU157" s="74">
        <f t="shared" ref="DU157:DU164" si="2854">IF(DE157=1,($C$1*$Q$6),0)</f>
        <v>0</v>
      </c>
      <c r="DV157" s="303">
        <f t="shared" ref="DV157:DV164" si="2855">DN157+DS157+DT157+DU157</f>
        <v>0</v>
      </c>
      <c r="DW157" s="39"/>
      <c r="DX157" s="68"/>
      <c r="DY157" s="28">
        <f t="shared" ref="DY157:DY164" si="2856">DZ157/$AM$4</f>
        <v>0</v>
      </c>
      <c r="DZ157" s="28">
        <v>0</v>
      </c>
      <c r="EA157" s="28">
        <f t="shared" ref="EA157:EA164" si="2857">DZ157*EA$6</f>
        <v>0</v>
      </c>
      <c r="EB157" s="28">
        <f t="shared" ref="EB157:EB164" si="2858">DZ157*EB$6</f>
        <v>0</v>
      </c>
      <c r="EC157" s="28">
        <f t="shared" ref="EC157:EC164" si="2859">DZ157/EC$6</f>
        <v>0</v>
      </c>
      <c r="ED157" s="72">
        <f t="shared" ref="ED157:ED164" si="2860">EC157/ED$6</f>
        <v>0</v>
      </c>
      <c r="EE157" s="72">
        <f t="shared" ref="EE157:EE164" si="2861">DZ157/EE$6</f>
        <v>0</v>
      </c>
      <c r="EF157" s="70">
        <f t="shared" ref="EF157:EF164" si="2862">SUM(DZ157:EE157)</f>
        <v>0</v>
      </c>
      <c r="EG157" s="71">
        <v>0</v>
      </c>
      <c r="EH157" s="71">
        <v>0</v>
      </c>
      <c r="EI157" s="72">
        <f t="shared" ref="EI157:EI164" si="2863">((DY157*EI$6)+(DY157*$AO$6)+(DY157*$AP$6))*EG157</f>
        <v>0</v>
      </c>
      <c r="EJ157" s="72">
        <f t="shared" ref="EJ157:EJ164" si="2864">((DY157*EJ$6)+(DY157*$AO$6)+(DY157*$AP$6))*EH157</f>
        <v>0</v>
      </c>
      <c r="EK157" s="70">
        <f t="shared" ref="EK157:EK164" si="2865">SUM(EI157:EJ157)</f>
        <v>0</v>
      </c>
      <c r="EL157" s="73">
        <v>0</v>
      </c>
      <c r="EM157" s="74">
        <f t="shared" ref="EM157:EM164" si="2866">IF(DW157=1,($C$1*$Q$6),0)</f>
        <v>0</v>
      </c>
      <c r="EN157" s="303">
        <f t="shared" ref="EN157:EN164" si="2867">EF157+EK157+EL157+EM157</f>
        <v>0</v>
      </c>
      <c r="EO157" s="39"/>
      <c r="EP157" s="68"/>
      <c r="EQ157" s="28">
        <f t="shared" ref="EQ157:EQ164" si="2868">ER157/$AM$4</f>
        <v>0</v>
      </c>
      <c r="ER157" s="28">
        <v>0</v>
      </c>
      <c r="ES157" s="28">
        <f t="shared" ref="ES157:ES164" si="2869">ER157*ES$6</f>
        <v>0</v>
      </c>
      <c r="ET157" s="28">
        <f t="shared" ref="ET157:ET164" si="2870">ER157*ET$6</f>
        <v>0</v>
      </c>
      <c r="EU157" s="28">
        <f t="shared" ref="EU157:EU164" si="2871">ER157/EU$6</f>
        <v>0</v>
      </c>
      <c r="EV157" s="72">
        <f t="shared" ref="EV157:EV164" si="2872">EU157/EV$6</f>
        <v>0</v>
      </c>
      <c r="EW157" s="72">
        <f t="shared" ref="EW157:EW164" si="2873">ER157/EW$6</f>
        <v>0</v>
      </c>
      <c r="EX157" s="70">
        <f t="shared" ref="EX157:EX164" si="2874">SUM(ER157:EW157)</f>
        <v>0</v>
      </c>
      <c r="EY157" s="71">
        <v>0</v>
      </c>
      <c r="EZ157" s="71">
        <v>0</v>
      </c>
      <c r="FA157" s="72">
        <f t="shared" ref="FA157:FA164" si="2875">((EQ157*FA$6)+(EQ157*$AO$6)+(EQ157*$AP$6))*EY157</f>
        <v>0</v>
      </c>
      <c r="FB157" s="72">
        <f t="shared" ref="FB157:FB164" si="2876">((EQ157*FB$6)+(EQ157*$AO$6)+(EQ157*$AP$6))*EZ157</f>
        <v>0</v>
      </c>
      <c r="FC157" s="70">
        <f t="shared" ref="FC157:FC164" si="2877">SUM(FA157:FB157)</f>
        <v>0</v>
      </c>
      <c r="FD157" s="73">
        <v>0</v>
      </c>
      <c r="FE157" s="74">
        <f t="shared" ref="FE157:FE164" si="2878">IF(EO157=1,($C$1*$Q$6),0)</f>
        <v>0</v>
      </c>
      <c r="FF157" s="303">
        <f t="shared" ref="FF157:FF164" si="2879">EX157+FC157+FD157+FE157</f>
        <v>0</v>
      </c>
      <c r="FG157" s="39"/>
      <c r="FH157" s="68"/>
      <c r="FI157" s="28">
        <f t="shared" ref="FI157:FI164" si="2880">FJ157/$AM$4</f>
        <v>0</v>
      </c>
      <c r="FJ157" s="28">
        <v>0</v>
      </c>
      <c r="FK157" s="28">
        <f t="shared" ref="FK157:FK164" si="2881">FJ157*FK$6</f>
        <v>0</v>
      </c>
      <c r="FL157" s="28">
        <f t="shared" ref="FL157:FL164" si="2882">FJ157*FL$6</f>
        <v>0</v>
      </c>
      <c r="FM157" s="28">
        <f t="shared" ref="FM157:FM164" si="2883">FJ157/FM$6</f>
        <v>0</v>
      </c>
      <c r="FN157" s="72">
        <f t="shared" ref="FN157:FN164" si="2884">FM157/FN$6</f>
        <v>0</v>
      </c>
      <c r="FO157" s="72">
        <f t="shared" ref="FO157:FO164" si="2885">FJ157/FO$6</f>
        <v>0</v>
      </c>
      <c r="FP157" s="70">
        <f t="shared" ref="FP157:FP164" si="2886">SUM(FJ157:FO157)</f>
        <v>0</v>
      </c>
      <c r="FQ157" s="71">
        <v>0</v>
      </c>
      <c r="FR157" s="71">
        <v>0</v>
      </c>
      <c r="FS157" s="72">
        <f t="shared" ref="FS157:FS164" si="2887">((FI157*FS$6)+(FI157*$AO$6)+(FI157*$AP$6))*FQ157</f>
        <v>0</v>
      </c>
      <c r="FT157" s="72">
        <f t="shared" ref="FT157:FT164" si="2888">((FI157*FT$6)+(FI157*$AO$6)+(FI157*$AP$6))*FR157</f>
        <v>0</v>
      </c>
      <c r="FU157" s="70">
        <f t="shared" ref="FU157:FU164" si="2889">SUM(FS157:FT157)</f>
        <v>0</v>
      </c>
      <c r="FV157" s="73">
        <v>0</v>
      </c>
      <c r="FW157" s="74">
        <f t="shared" ref="FW157:FW164" si="2890">IF(FG157=1,($C$1*$Q$6),0)</f>
        <v>0</v>
      </c>
      <c r="FX157" s="303">
        <f t="shared" ref="FX157:FX164" si="2891">FP157+FU157+FV157+FW157</f>
        <v>0</v>
      </c>
      <c r="FY157" s="39"/>
      <c r="FZ157" s="68"/>
      <c r="GA157" s="28">
        <f t="shared" ref="GA157:GA164" si="2892">GB157/$AM$4</f>
        <v>0</v>
      </c>
      <c r="GB157" s="28">
        <v>0</v>
      </c>
      <c r="GC157" s="28">
        <f t="shared" ref="GC157:GC164" si="2893">GB157*GC$6</f>
        <v>0</v>
      </c>
      <c r="GD157" s="28">
        <f t="shared" ref="GD157:GD164" si="2894">GB157*GD$6</f>
        <v>0</v>
      </c>
      <c r="GE157" s="28">
        <f t="shared" ref="GE157:GE164" si="2895">GB157/GE$6</f>
        <v>0</v>
      </c>
      <c r="GF157" s="72">
        <f t="shared" ref="GF157:GF164" si="2896">GE157/GF$6</f>
        <v>0</v>
      </c>
      <c r="GG157" s="72">
        <f t="shared" ref="GG157:GG164" si="2897">GB157/GG$6</f>
        <v>0</v>
      </c>
      <c r="GH157" s="70">
        <f t="shared" ref="GH157:GH164" si="2898">SUM(GB157:GG157)</f>
        <v>0</v>
      </c>
      <c r="GI157" s="71">
        <v>0</v>
      </c>
      <c r="GJ157" s="71">
        <v>0</v>
      </c>
      <c r="GK157" s="72">
        <f t="shared" ref="GK157:GK164" si="2899">((GA157*GK$6)+(GA157*$AO$6)+(GA157*$AP$6))*GI157</f>
        <v>0</v>
      </c>
      <c r="GL157" s="72">
        <f t="shared" ref="GL157:GL164" si="2900">((GA157*GL$6)+(GA157*$AO$6)+(GA157*$AP$6))*GJ157</f>
        <v>0</v>
      </c>
      <c r="GM157" s="70">
        <f t="shared" ref="GM157:GM164" si="2901">SUM(GK157:GL157)</f>
        <v>0</v>
      </c>
      <c r="GN157" s="73">
        <v>0</v>
      </c>
      <c r="GO157" s="74">
        <f t="shared" ref="GO157:GO164" si="2902">IF(FY157=1,($C$1*$Q$6),0)</f>
        <v>0</v>
      </c>
      <c r="GP157" s="303">
        <f t="shared" ref="GP157:GP164" si="2903">GH157+GM157+GN157+GO157</f>
        <v>0</v>
      </c>
      <c r="GQ157" s="39"/>
      <c r="GR157" s="68"/>
      <c r="GS157" s="28">
        <f t="shared" ref="GS157:GS164" si="2904">GT157/$AM$4</f>
        <v>0</v>
      </c>
      <c r="GT157" s="28">
        <v>0</v>
      </c>
      <c r="GU157" s="28">
        <f t="shared" ref="GU157:GU164" si="2905">GT157*GU$6</f>
        <v>0</v>
      </c>
      <c r="GV157" s="28">
        <f t="shared" ref="GV157:GV164" si="2906">GT157*GV$6</f>
        <v>0</v>
      </c>
      <c r="GW157" s="28">
        <f t="shared" ref="GW157:GW164" si="2907">GT157/GW$6</f>
        <v>0</v>
      </c>
      <c r="GX157" s="72">
        <f t="shared" ref="GX157:GX164" si="2908">GW157/GX$6</f>
        <v>0</v>
      </c>
      <c r="GY157" s="72">
        <f t="shared" ref="GY157:GY164" si="2909">GT157/GY$6</f>
        <v>0</v>
      </c>
      <c r="GZ157" s="70">
        <f t="shared" ref="GZ157:GZ164" si="2910">SUM(GT157:GY157)</f>
        <v>0</v>
      </c>
      <c r="HA157" s="71">
        <v>0</v>
      </c>
      <c r="HB157" s="71">
        <v>0</v>
      </c>
      <c r="HC157" s="72">
        <f t="shared" ref="HC157:HC164" si="2911">((GS157*HC$6)+(GS157*$AO$6)+(GS157*$AP$6))*HA157</f>
        <v>0</v>
      </c>
      <c r="HD157" s="72">
        <f t="shared" ref="HD157:HD164" si="2912">((GS157*HD$6)+(GS157*$AO$6)+(GS157*$AP$6))*HB157</f>
        <v>0</v>
      </c>
      <c r="HE157" s="70">
        <f t="shared" ref="HE157:HE164" si="2913">SUM(HC157:HD157)</f>
        <v>0</v>
      </c>
      <c r="HF157" s="73">
        <v>0</v>
      </c>
      <c r="HG157" s="74">
        <f t="shared" ref="HG157:HG164" si="2914">IF(GQ157=1,($C$1*$Q$6),0)</f>
        <v>0</v>
      </c>
      <c r="HH157" s="303">
        <f t="shared" ref="HH157:HH164" si="2915">GZ157+HE157+HF157+HG157</f>
        <v>0</v>
      </c>
      <c r="HJ157" s="37"/>
      <c r="HK157" s="37"/>
      <c r="HL157" s="37"/>
      <c r="HM157" s="37"/>
      <c r="HN157" s="37"/>
      <c r="HO157" s="37"/>
      <c r="HP157" s="37"/>
      <c r="HQ157" s="37"/>
      <c r="HR157" s="37"/>
      <c r="HS157" s="37"/>
      <c r="HT157" s="37"/>
      <c r="HU157" s="37"/>
      <c r="HV157" s="37"/>
      <c r="HW157" s="37"/>
      <c r="HX157" s="37"/>
      <c r="HY157" s="37"/>
      <c r="HZ157" s="37"/>
      <c r="IA157" s="37"/>
      <c r="IB157" s="37"/>
      <c r="IC157" s="37"/>
      <c r="ID157" s="37"/>
      <c r="IE157" s="37"/>
      <c r="IF157" s="37"/>
      <c r="IG157" s="37"/>
      <c r="IH157" s="37"/>
      <c r="II157" s="37"/>
      <c r="IJ157" s="37"/>
      <c r="IK157" s="37"/>
      <c r="IL157" s="37"/>
      <c r="IM157" s="37"/>
      <c r="IN157" s="37"/>
      <c r="IO157" s="37"/>
      <c r="IP157" s="37"/>
    </row>
    <row r="158" spans="1:250" x14ac:dyDescent="0.3">
      <c r="A158" s="39"/>
      <c r="B158" s="68"/>
      <c r="C158" s="28">
        <f t="shared" si="2772"/>
        <v>0</v>
      </c>
      <c r="D158" s="28">
        <v>0</v>
      </c>
      <c r="E158" s="28">
        <f t="shared" si="2773"/>
        <v>0</v>
      </c>
      <c r="F158" s="28">
        <f t="shared" si="2774"/>
        <v>0</v>
      </c>
      <c r="G158" s="28">
        <f t="shared" si="2775"/>
        <v>0</v>
      </c>
      <c r="H158" s="72">
        <f t="shared" si="2776"/>
        <v>0</v>
      </c>
      <c r="I158" s="72">
        <f t="shared" si="2777"/>
        <v>0</v>
      </c>
      <c r="J158" s="70">
        <f t="shared" si="2778"/>
        <v>0</v>
      </c>
      <c r="K158" s="71">
        <v>0</v>
      </c>
      <c r="L158" s="71">
        <v>0</v>
      </c>
      <c r="M158" s="72">
        <f t="shared" si="2779"/>
        <v>0</v>
      </c>
      <c r="N158" s="72">
        <f t="shared" si="2780"/>
        <v>0</v>
      </c>
      <c r="O158" s="70">
        <f t="shared" si="2781"/>
        <v>0</v>
      </c>
      <c r="P158" s="73">
        <v>0</v>
      </c>
      <c r="Q158" s="74">
        <f t="shared" si="2782"/>
        <v>0</v>
      </c>
      <c r="R158" s="303">
        <f t="shared" si="2783"/>
        <v>0</v>
      </c>
      <c r="S158" s="39"/>
      <c r="T158" s="68"/>
      <c r="U158" s="28">
        <f t="shared" si="2784"/>
        <v>0</v>
      </c>
      <c r="V158" s="28">
        <v>0</v>
      </c>
      <c r="W158" s="28">
        <f t="shared" si="2785"/>
        <v>0</v>
      </c>
      <c r="X158" s="28">
        <f t="shared" si="2786"/>
        <v>0</v>
      </c>
      <c r="Y158" s="28">
        <f t="shared" si="2787"/>
        <v>0</v>
      </c>
      <c r="Z158" s="72">
        <f t="shared" si="2788"/>
        <v>0</v>
      </c>
      <c r="AA158" s="72">
        <f t="shared" si="2789"/>
        <v>0</v>
      </c>
      <c r="AB158" s="70">
        <f t="shared" si="2790"/>
        <v>0</v>
      </c>
      <c r="AC158" s="71">
        <v>0</v>
      </c>
      <c r="AD158" s="71">
        <v>0</v>
      </c>
      <c r="AE158" s="72">
        <f t="shared" si="2791"/>
        <v>0</v>
      </c>
      <c r="AF158" s="72">
        <f t="shared" si="2792"/>
        <v>0</v>
      </c>
      <c r="AG158" s="70">
        <f t="shared" si="2793"/>
        <v>0</v>
      </c>
      <c r="AH158" s="73">
        <v>0</v>
      </c>
      <c r="AI158" s="74">
        <f t="shared" si="2794"/>
        <v>0</v>
      </c>
      <c r="AJ158" s="303">
        <f t="shared" si="2795"/>
        <v>0</v>
      </c>
      <c r="AL158" s="68"/>
      <c r="AM158" s="28">
        <f t="shared" si="2796"/>
        <v>0</v>
      </c>
      <c r="AN158" s="28">
        <v>0</v>
      </c>
      <c r="AO158" s="28">
        <f t="shared" si="2797"/>
        <v>0</v>
      </c>
      <c r="AP158" s="28">
        <f t="shared" si="2798"/>
        <v>0</v>
      </c>
      <c r="AQ158" s="28">
        <f t="shared" si="2799"/>
        <v>0</v>
      </c>
      <c r="AR158" s="72">
        <f t="shared" si="2800"/>
        <v>0</v>
      </c>
      <c r="AS158" s="72">
        <f t="shared" si="2801"/>
        <v>0</v>
      </c>
      <c r="AT158" s="70">
        <f t="shared" si="2802"/>
        <v>0</v>
      </c>
      <c r="AU158" s="71">
        <v>0</v>
      </c>
      <c r="AV158" s="71">
        <v>0</v>
      </c>
      <c r="AW158" s="72">
        <f t="shared" si="2803"/>
        <v>0</v>
      </c>
      <c r="AX158" s="72">
        <f t="shared" si="2804"/>
        <v>0</v>
      </c>
      <c r="AY158" s="70">
        <f t="shared" si="2805"/>
        <v>0</v>
      </c>
      <c r="AZ158" s="73">
        <v>0</v>
      </c>
      <c r="BA158" s="74">
        <f t="shared" si="2806"/>
        <v>0</v>
      </c>
      <c r="BB158" s="303">
        <f t="shared" si="2807"/>
        <v>0</v>
      </c>
      <c r="BD158" s="68"/>
      <c r="BE158" s="28">
        <f t="shared" si="2808"/>
        <v>0</v>
      </c>
      <c r="BF158" s="28">
        <v>0</v>
      </c>
      <c r="BG158" s="28">
        <f t="shared" si="2809"/>
        <v>0</v>
      </c>
      <c r="BH158" s="28">
        <f t="shared" si="2810"/>
        <v>0</v>
      </c>
      <c r="BI158" s="28">
        <f t="shared" si="2811"/>
        <v>0</v>
      </c>
      <c r="BJ158" s="72">
        <f t="shared" si="2812"/>
        <v>0</v>
      </c>
      <c r="BK158" s="72">
        <f t="shared" si="2813"/>
        <v>0</v>
      </c>
      <c r="BL158" s="70">
        <f t="shared" si="2814"/>
        <v>0</v>
      </c>
      <c r="BM158" s="71">
        <v>0</v>
      </c>
      <c r="BN158" s="71">
        <v>0</v>
      </c>
      <c r="BO158" s="72">
        <f t="shared" si="2815"/>
        <v>0</v>
      </c>
      <c r="BP158" s="72">
        <f t="shared" si="2816"/>
        <v>0</v>
      </c>
      <c r="BQ158" s="70">
        <f t="shared" si="2817"/>
        <v>0</v>
      </c>
      <c r="BR158" s="73">
        <v>0</v>
      </c>
      <c r="BS158" s="74">
        <f t="shared" si="2818"/>
        <v>0</v>
      </c>
      <c r="BT158" s="303">
        <f t="shared" si="2819"/>
        <v>0</v>
      </c>
      <c r="BV158" s="68"/>
      <c r="BW158" s="28">
        <f t="shared" si="2820"/>
        <v>0</v>
      </c>
      <c r="BX158" s="28">
        <v>0</v>
      </c>
      <c r="BY158" s="28">
        <f t="shared" si="2821"/>
        <v>0</v>
      </c>
      <c r="BZ158" s="28">
        <f t="shared" si="2822"/>
        <v>0</v>
      </c>
      <c r="CA158" s="28">
        <f t="shared" si="2823"/>
        <v>0</v>
      </c>
      <c r="CB158" s="72">
        <f t="shared" si="2824"/>
        <v>0</v>
      </c>
      <c r="CC158" s="72">
        <f t="shared" si="2825"/>
        <v>0</v>
      </c>
      <c r="CD158" s="70">
        <f t="shared" si="2826"/>
        <v>0</v>
      </c>
      <c r="CE158" s="71">
        <v>0</v>
      </c>
      <c r="CF158" s="71">
        <v>0</v>
      </c>
      <c r="CG158" s="72">
        <f t="shared" si="2827"/>
        <v>0</v>
      </c>
      <c r="CH158" s="72">
        <f t="shared" si="2828"/>
        <v>0</v>
      </c>
      <c r="CI158" s="70">
        <f t="shared" si="2829"/>
        <v>0</v>
      </c>
      <c r="CJ158" s="73">
        <v>0</v>
      </c>
      <c r="CK158" s="74">
        <f t="shared" si="2830"/>
        <v>0</v>
      </c>
      <c r="CL158" s="303">
        <f t="shared" si="2831"/>
        <v>0</v>
      </c>
      <c r="CN158" s="68"/>
      <c r="CO158" s="28">
        <f t="shared" si="2832"/>
        <v>0</v>
      </c>
      <c r="CP158" s="28">
        <v>0</v>
      </c>
      <c r="CQ158" s="28">
        <f t="shared" si="2833"/>
        <v>0</v>
      </c>
      <c r="CR158" s="28">
        <f t="shared" si="2834"/>
        <v>0</v>
      </c>
      <c r="CS158" s="28">
        <f t="shared" si="2835"/>
        <v>0</v>
      </c>
      <c r="CT158" s="72">
        <f t="shared" si="2836"/>
        <v>0</v>
      </c>
      <c r="CU158" s="72">
        <f t="shared" si="2837"/>
        <v>0</v>
      </c>
      <c r="CV158" s="70">
        <f t="shared" si="2838"/>
        <v>0</v>
      </c>
      <c r="CW158" s="71">
        <v>0</v>
      </c>
      <c r="CX158" s="71">
        <v>0</v>
      </c>
      <c r="CY158" s="72">
        <f t="shared" si="2839"/>
        <v>0</v>
      </c>
      <c r="CZ158" s="72">
        <f t="shared" si="2840"/>
        <v>0</v>
      </c>
      <c r="DA158" s="70">
        <f t="shared" si="2841"/>
        <v>0</v>
      </c>
      <c r="DB158" s="73">
        <v>0</v>
      </c>
      <c r="DC158" s="74">
        <f t="shared" si="2842"/>
        <v>0</v>
      </c>
      <c r="DD158" s="303">
        <f t="shared" si="2843"/>
        <v>0</v>
      </c>
      <c r="DE158" s="39"/>
      <c r="DF158" s="68"/>
      <c r="DG158" s="28">
        <f t="shared" si="2844"/>
        <v>0</v>
      </c>
      <c r="DH158" s="28">
        <v>0</v>
      </c>
      <c r="DI158" s="28">
        <f t="shared" si="2845"/>
        <v>0</v>
      </c>
      <c r="DJ158" s="28">
        <f t="shared" si="2846"/>
        <v>0</v>
      </c>
      <c r="DK158" s="28">
        <f t="shared" si="2847"/>
        <v>0</v>
      </c>
      <c r="DL158" s="72">
        <f t="shared" si="2848"/>
        <v>0</v>
      </c>
      <c r="DM158" s="72">
        <f t="shared" si="2849"/>
        <v>0</v>
      </c>
      <c r="DN158" s="70">
        <f t="shared" si="2850"/>
        <v>0</v>
      </c>
      <c r="DO158" s="71">
        <v>0</v>
      </c>
      <c r="DP158" s="71">
        <v>0</v>
      </c>
      <c r="DQ158" s="72">
        <f t="shared" si="2851"/>
        <v>0</v>
      </c>
      <c r="DR158" s="72">
        <f t="shared" si="2852"/>
        <v>0</v>
      </c>
      <c r="DS158" s="70">
        <f t="shared" si="2853"/>
        <v>0</v>
      </c>
      <c r="DT158" s="73">
        <v>0</v>
      </c>
      <c r="DU158" s="74">
        <f t="shared" si="2854"/>
        <v>0</v>
      </c>
      <c r="DV158" s="303">
        <f t="shared" si="2855"/>
        <v>0</v>
      </c>
      <c r="DW158" s="39"/>
      <c r="DX158" s="68"/>
      <c r="DY158" s="28">
        <f t="shared" si="2856"/>
        <v>0</v>
      </c>
      <c r="DZ158" s="28">
        <v>0</v>
      </c>
      <c r="EA158" s="28">
        <f t="shared" si="2857"/>
        <v>0</v>
      </c>
      <c r="EB158" s="28">
        <f t="shared" si="2858"/>
        <v>0</v>
      </c>
      <c r="EC158" s="28">
        <f t="shared" si="2859"/>
        <v>0</v>
      </c>
      <c r="ED158" s="72">
        <f t="shared" si="2860"/>
        <v>0</v>
      </c>
      <c r="EE158" s="72">
        <f t="shared" si="2861"/>
        <v>0</v>
      </c>
      <c r="EF158" s="70">
        <f t="shared" si="2862"/>
        <v>0</v>
      </c>
      <c r="EG158" s="71">
        <v>0</v>
      </c>
      <c r="EH158" s="71">
        <v>0</v>
      </c>
      <c r="EI158" s="72">
        <f t="shared" si="2863"/>
        <v>0</v>
      </c>
      <c r="EJ158" s="72">
        <f t="shared" si="2864"/>
        <v>0</v>
      </c>
      <c r="EK158" s="70">
        <f t="shared" si="2865"/>
        <v>0</v>
      </c>
      <c r="EL158" s="73">
        <v>0</v>
      </c>
      <c r="EM158" s="74">
        <f t="shared" si="2866"/>
        <v>0</v>
      </c>
      <c r="EN158" s="303">
        <f t="shared" si="2867"/>
        <v>0</v>
      </c>
      <c r="EO158" s="39"/>
      <c r="EP158" s="68"/>
      <c r="EQ158" s="28">
        <f t="shared" si="2868"/>
        <v>0</v>
      </c>
      <c r="ER158" s="28">
        <v>0</v>
      </c>
      <c r="ES158" s="28">
        <f t="shared" si="2869"/>
        <v>0</v>
      </c>
      <c r="ET158" s="28">
        <f t="shared" si="2870"/>
        <v>0</v>
      </c>
      <c r="EU158" s="28">
        <f t="shared" si="2871"/>
        <v>0</v>
      </c>
      <c r="EV158" s="72">
        <f t="shared" si="2872"/>
        <v>0</v>
      </c>
      <c r="EW158" s="72">
        <f t="shared" si="2873"/>
        <v>0</v>
      </c>
      <c r="EX158" s="70">
        <f t="shared" si="2874"/>
        <v>0</v>
      </c>
      <c r="EY158" s="71">
        <v>0</v>
      </c>
      <c r="EZ158" s="71">
        <v>0</v>
      </c>
      <c r="FA158" s="72">
        <f t="shared" si="2875"/>
        <v>0</v>
      </c>
      <c r="FB158" s="72">
        <f t="shared" si="2876"/>
        <v>0</v>
      </c>
      <c r="FC158" s="70">
        <f t="shared" si="2877"/>
        <v>0</v>
      </c>
      <c r="FD158" s="73">
        <v>0</v>
      </c>
      <c r="FE158" s="74">
        <f t="shared" si="2878"/>
        <v>0</v>
      </c>
      <c r="FF158" s="303">
        <f t="shared" si="2879"/>
        <v>0</v>
      </c>
      <c r="FG158" s="39"/>
      <c r="FH158" s="68"/>
      <c r="FI158" s="28">
        <f t="shared" si="2880"/>
        <v>0</v>
      </c>
      <c r="FJ158" s="28">
        <v>0</v>
      </c>
      <c r="FK158" s="28">
        <f t="shared" si="2881"/>
        <v>0</v>
      </c>
      <c r="FL158" s="28">
        <f t="shared" si="2882"/>
        <v>0</v>
      </c>
      <c r="FM158" s="28">
        <f t="shared" si="2883"/>
        <v>0</v>
      </c>
      <c r="FN158" s="72">
        <f t="shared" si="2884"/>
        <v>0</v>
      </c>
      <c r="FO158" s="72">
        <f t="shared" si="2885"/>
        <v>0</v>
      </c>
      <c r="FP158" s="70">
        <f t="shared" si="2886"/>
        <v>0</v>
      </c>
      <c r="FQ158" s="71">
        <v>0</v>
      </c>
      <c r="FR158" s="71">
        <v>0</v>
      </c>
      <c r="FS158" s="72">
        <f t="shared" si="2887"/>
        <v>0</v>
      </c>
      <c r="FT158" s="72">
        <f t="shared" si="2888"/>
        <v>0</v>
      </c>
      <c r="FU158" s="70">
        <f t="shared" si="2889"/>
        <v>0</v>
      </c>
      <c r="FV158" s="73">
        <v>0</v>
      </c>
      <c r="FW158" s="74">
        <f t="shared" si="2890"/>
        <v>0</v>
      </c>
      <c r="FX158" s="303">
        <f t="shared" si="2891"/>
        <v>0</v>
      </c>
      <c r="FY158" s="39"/>
      <c r="FZ158" s="68"/>
      <c r="GA158" s="28">
        <f t="shared" si="2892"/>
        <v>0</v>
      </c>
      <c r="GB158" s="28">
        <v>0</v>
      </c>
      <c r="GC158" s="28">
        <f t="shared" si="2893"/>
        <v>0</v>
      </c>
      <c r="GD158" s="28">
        <f t="shared" si="2894"/>
        <v>0</v>
      </c>
      <c r="GE158" s="28">
        <f t="shared" si="2895"/>
        <v>0</v>
      </c>
      <c r="GF158" s="72">
        <f t="shared" si="2896"/>
        <v>0</v>
      </c>
      <c r="GG158" s="72">
        <f t="shared" si="2897"/>
        <v>0</v>
      </c>
      <c r="GH158" s="70">
        <f t="shared" si="2898"/>
        <v>0</v>
      </c>
      <c r="GI158" s="71">
        <v>0</v>
      </c>
      <c r="GJ158" s="71">
        <v>0</v>
      </c>
      <c r="GK158" s="72">
        <f t="shared" si="2899"/>
        <v>0</v>
      </c>
      <c r="GL158" s="72">
        <f t="shared" si="2900"/>
        <v>0</v>
      </c>
      <c r="GM158" s="70">
        <f t="shared" si="2901"/>
        <v>0</v>
      </c>
      <c r="GN158" s="73">
        <v>0</v>
      </c>
      <c r="GO158" s="74">
        <f t="shared" si="2902"/>
        <v>0</v>
      </c>
      <c r="GP158" s="303">
        <f t="shared" si="2903"/>
        <v>0</v>
      </c>
      <c r="GQ158" s="39"/>
      <c r="GR158" s="68"/>
      <c r="GS158" s="28">
        <f t="shared" si="2904"/>
        <v>0</v>
      </c>
      <c r="GT158" s="28">
        <v>0</v>
      </c>
      <c r="GU158" s="28">
        <f t="shared" si="2905"/>
        <v>0</v>
      </c>
      <c r="GV158" s="28">
        <f t="shared" si="2906"/>
        <v>0</v>
      </c>
      <c r="GW158" s="28">
        <f t="shared" si="2907"/>
        <v>0</v>
      </c>
      <c r="GX158" s="72">
        <f t="shared" si="2908"/>
        <v>0</v>
      </c>
      <c r="GY158" s="72">
        <f t="shared" si="2909"/>
        <v>0</v>
      </c>
      <c r="GZ158" s="70">
        <f t="shared" si="2910"/>
        <v>0</v>
      </c>
      <c r="HA158" s="71">
        <v>0</v>
      </c>
      <c r="HB158" s="71">
        <v>0</v>
      </c>
      <c r="HC158" s="72">
        <f t="shared" si="2911"/>
        <v>0</v>
      </c>
      <c r="HD158" s="72">
        <f t="shared" si="2912"/>
        <v>0</v>
      </c>
      <c r="HE158" s="70">
        <f t="shared" si="2913"/>
        <v>0</v>
      </c>
      <c r="HF158" s="73">
        <v>0</v>
      </c>
      <c r="HG158" s="74">
        <f t="shared" si="2914"/>
        <v>0</v>
      </c>
      <c r="HH158" s="303">
        <f t="shared" si="2915"/>
        <v>0</v>
      </c>
      <c r="HJ158" s="37"/>
      <c r="HK158" s="37"/>
      <c r="HL158" s="37"/>
      <c r="HM158" s="37"/>
      <c r="HN158" s="37"/>
      <c r="HO158" s="37"/>
      <c r="HP158" s="37"/>
      <c r="HQ158" s="37"/>
      <c r="HR158" s="37"/>
      <c r="HS158" s="37"/>
      <c r="HT158" s="37"/>
      <c r="HU158" s="37"/>
      <c r="HV158" s="37"/>
      <c r="HW158" s="37"/>
      <c r="HX158" s="37"/>
      <c r="HY158" s="37"/>
      <c r="HZ158" s="37"/>
      <c r="IA158" s="37"/>
      <c r="IB158" s="37"/>
      <c r="IC158" s="37"/>
      <c r="ID158" s="37"/>
      <c r="IE158" s="37"/>
      <c r="IF158" s="37"/>
      <c r="IG158" s="37"/>
      <c r="IH158" s="37"/>
      <c r="II158" s="37"/>
      <c r="IJ158" s="37"/>
      <c r="IK158" s="37"/>
      <c r="IL158" s="37"/>
      <c r="IM158" s="37"/>
      <c r="IN158" s="37"/>
      <c r="IO158" s="37"/>
      <c r="IP158" s="37"/>
    </row>
    <row r="159" spans="1:250" ht="15.6" x14ac:dyDescent="0.3">
      <c r="A159" s="39"/>
      <c r="B159" s="77"/>
      <c r="C159" s="28">
        <f t="shared" si="2772"/>
        <v>0</v>
      </c>
      <c r="D159" s="28">
        <v>0</v>
      </c>
      <c r="E159" s="28">
        <f t="shared" si="2773"/>
        <v>0</v>
      </c>
      <c r="F159" s="28">
        <f t="shared" si="2774"/>
        <v>0</v>
      </c>
      <c r="G159" s="28">
        <f t="shared" si="2775"/>
        <v>0</v>
      </c>
      <c r="H159" s="72">
        <f t="shared" si="2776"/>
        <v>0</v>
      </c>
      <c r="I159" s="72">
        <f t="shared" si="2777"/>
        <v>0</v>
      </c>
      <c r="J159" s="70">
        <f t="shared" si="2778"/>
        <v>0</v>
      </c>
      <c r="K159" s="71">
        <v>0</v>
      </c>
      <c r="L159" s="71">
        <v>0</v>
      </c>
      <c r="M159" s="72">
        <f t="shared" si="2779"/>
        <v>0</v>
      </c>
      <c r="N159" s="72">
        <f t="shared" si="2780"/>
        <v>0</v>
      </c>
      <c r="O159" s="70">
        <f t="shared" si="2781"/>
        <v>0</v>
      </c>
      <c r="P159" s="73">
        <v>0</v>
      </c>
      <c r="Q159" s="74">
        <f t="shared" si="2782"/>
        <v>0</v>
      </c>
      <c r="R159" s="303">
        <f t="shared" si="2783"/>
        <v>0</v>
      </c>
      <c r="S159" s="39"/>
      <c r="T159" s="77"/>
      <c r="U159" s="28">
        <f t="shared" si="2784"/>
        <v>0</v>
      </c>
      <c r="V159" s="28">
        <v>0</v>
      </c>
      <c r="W159" s="28">
        <f t="shared" si="2785"/>
        <v>0</v>
      </c>
      <c r="X159" s="28">
        <f t="shared" si="2786"/>
        <v>0</v>
      </c>
      <c r="Y159" s="28">
        <f t="shared" si="2787"/>
        <v>0</v>
      </c>
      <c r="Z159" s="72">
        <f t="shared" si="2788"/>
        <v>0</v>
      </c>
      <c r="AA159" s="72">
        <f t="shared" si="2789"/>
        <v>0</v>
      </c>
      <c r="AB159" s="70">
        <f t="shared" si="2790"/>
        <v>0</v>
      </c>
      <c r="AC159" s="71">
        <v>0</v>
      </c>
      <c r="AD159" s="71">
        <v>0</v>
      </c>
      <c r="AE159" s="72">
        <f t="shared" si="2791"/>
        <v>0</v>
      </c>
      <c r="AF159" s="72">
        <f t="shared" si="2792"/>
        <v>0</v>
      </c>
      <c r="AG159" s="70">
        <f t="shared" si="2793"/>
        <v>0</v>
      </c>
      <c r="AH159" s="73">
        <v>0</v>
      </c>
      <c r="AI159" s="74">
        <f t="shared" si="2794"/>
        <v>0</v>
      </c>
      <c r="AJ159" s="303">
        <f t="shared" si="2795"/>
        <v>0</v>
      </c>
      <c r="AL159" s="77"/>
      <c r="AM159" s="28">
        <f t="shared" si="2796"/>
        <v>0</v>
      </c>
      <c r="AN159" s="28">
        <v>0</v>
      </c>
      <c r="AO159" s="28">
        <f t="shared" si="2797"/>
        <v>0</v>
      </c>
      <c r="AP159" s="28">
        <f t="shared" si="2798"/>
        <v>0</v>
      </c>
      <c r="AQ159" s="28">
        <f t="shared" si="2799"/>
        <v>0</v>
      </c>
      <c r="AR159" s="72">
        <f t="shared" si="2800"/>
        <v>0</v>
      </c>
      <c r="AS159" s="72">
        <f t="shared" si="2801"/>
        <v>0</v>
      </c>
      <c r="AT159" s="70">
        <f t="shared" si="2802"/>
        <v>0</v>
      </c>
      <c r="AU159" s="71">
        <v>0</v>
      </c>
      <c r="AV159" s="71">
        <v>0</v>
      </c>
      <c r="AW159" s="72">
        <f t="shared" si="2803"/>
        <v>0</v>
      </c>
      <c r="AX159" s="72">
        <f t="shared" si="2804"/>
        <v>0</v>
      </c>
      <c r="AY159" s="70">
        <f t="shared" si="2805"/>
        <v>0</v>
      </c>
      <c r="AZ159" s="73">
        <v>0</v>
      </c>
      <c r="BA159" s="74">
        <f t="shared" si="2806"/>
        <v>0</v>
      </c>
      <c r="BB159" s="303">
        <f t="shared" si="2807"/>
        <v>0</v>
      </c>
      <c r="BD159" s="77"/>
      <c r="BE159" s="28">
        <f t="shared" si="2808"/>
        <v>0</v>
      </c>
      <c r="BF159" s="28">
        <v>0</v>
      </c>
      <c r="BG159" s="28">
        <f t="shared" si="2809"/>
        <v>0</v>
      </c>
      <c r="BH159" s="28">
        <f t="shared" si="2810"/>
        <v>0</v>
      </c>
      <c r="BI159" s="28">
        <f t="shared" si="2811"/>
        <v>0</v>
      </c>
      <c r="BJ159" s="72">
        <f t="shared" si="2812"/>
        <v>0</v>
      </c>
      <c r="BK159" s="72">
        <f t="shared" si="2813"/>
        <v>0</v>
      </c>
      <c r="BL159" s="70">
        <f t="shared" si="2814"/>
        <v>0</v>
      </c>
      <c r="BM159" s="71">
        <v>0</v>
      </c>
      <c r="BN159" s="71">
        <v>0</v>
      </c>
      <c r="BO159" s="72">
        <f t="shared" si="2815"/>
        <v>0</v>
      </c>
      <c r="BP159" s="72">
        <f t="shared" si="2816"/>
        <v>0</v>
      </c>
      <c r="BQ159" s="70">
        <f t="shared" si="2817"/>
        <v>0</v>
      </c>
      <c r="BR159" s="73">
        <v>0</v>
      </c>
      <c r="BS159" s="74">
        <f t="shared" si="2818"/>
        <v>0</v>
      </c>
      <c r="BT159" s="303">
        <f t="shared" si="2819"/>
        <v>0</v>
      </c>
      <c r="BV159" s="77"/>
      <c r="BW159" s="28">
        <f t="shared" si="2820"/>
        <v>0</v>
      </c>
      <c r="BX159" s="28">
        <v>0</v>
      </c>
      <c r="BY159" s="28">
        <f t="shared" si="2821"/>
        <v>0</v>
      </c>
      <c r="BZ159" s="28">
        <f t="shared" si="2822"/>
        <v>0</v>
      </c>
      <c r="CA159" s="28">
        <f t="shared" si="2823"/>
        <v>0</v>
      </c>
      <c r="CB159" s="72">
        <f t="shared" si="2824"/>
        <v>0</v>
      </c>
      <c r="CC159" s="72">
        <f t="shared" si="2825"/>
        <v>0</v>
      </c>
      <c r="CD159" s="70">
        <f t="shared" si="2826"/>
        <v>0</v>
      </c>
      <c r="CE159" s="71">
        <v>0</v>
      </c>
      <c r="CF159" s="71">
        <v>0</v>
      </c>
      <c r="CG159" s="72">
        <f t="shared" si="2827"/>
        <v>0</v>
      </c>
      <c r="CH159" s="72">
        <f t="shared" si="2828"/>
        <v>0</v>
      </c>
      <c r="CI159" s="70">
        <f t="shared" si="2829"/>
        <v>0</v>
      </c>
      <c r="CJ159" s="73">
        <v>0</v>
      </c>
      <c r="CK159" s="74">
        <f t="shared" si="2830"/>
        <v>0</v>
      </c>
      <c r="CL159" s="303">
        <f t="shared" si="2831"/>
        <v>0</v>
      </c>
      <c r="CN159" s="77"/>
      <c r="CO159" s="28">
        <f t="shared" si="2832"/>
        <v>0</v>
      </c>
      <c r="CP159" s="28">
        <v>0</v>
      </c>
      <c r="CQ159" s="28">
        <f t="shared" si="2833"/>
        <v>0</v>
      </c>
      <c r="CR159" s="28">
        <f t="shared" si="2834"/>
        <v>0</v>
      </c>
      <c r="CS159" s="28">
        <f t="shared" si="2835"/>
        <v>0</v>
      </c>
      <c r="CT159" s="72">
        <f t="shared" si="2836"/>
        <v>0</v>
      </c>
      <c r="CU159" s="72">
        <f t="shared" si="2837"/>
        <v>0</v>
      </c>
      <c r="CV159" s="70">
        <f t="shared" si="2838"/>
        <v>0</v>
      </c>
      <c r="CW159" s="71">
        <v>0</v>
      </c>
      <c r="CX159" s="71">
        <v>0</v>
      </c>
      <c r="CY159" s="72">
        <f t="shared" si="2839"/>
        <v>0</v>
      </c>
      <c r="CZ159" s="72">
        <f t="shared" si="2840"/>
        <v>0</v>
      </c>
      <c r="DA159" s="70">
        <f t="shared" si="2841"/>
        <v>0</v>
      </c>
      <c r="DB159" s="73">
        <v>0</v>
      </c>
      <c r="DC159" s="74">
        <f t="shared" si="2842"/>
        <v>0</v>
      </c>
      <c r="DD159" s="303">
        <f t="shared" si="2843"/>
        <v>0</v>
      </c>
      <c r="DE159" s="39"/>
      <c r="DF159" s="77"/>
      <c r="DG159" s="28">
        <f t="shared" si="2844"/>
        <v>0</v>
      </c>
      <c r="DH159" s="28">
        <v>0</v>
      </c>
      <c r="DI159" s="28">
        <f t="shared" si="2845"/>
        <v>0</v>
      </c>
      <c r="DJ159" s="28">
        <f t="shared" si="2846"/>
        <v>0</v>
      </c>
      <c r="DK159" s="28">
        <f t="shared" si="2847"/>
        <v>0</v>
      </c>
      <c r="DL159" s="72">
        <f t="shared" si="2848"/>
        <v>0</v>
      </c>
      <c r="DM159" s="72">
        <f t="shared" si="2849"/>
        <v>0</v>
      </c>
      <c r="DN159" s="70">
        <f t="shared" si="2850"/>
        <v>0</v>
      </c>
      <c r="DO159" s="71">
        <v>0</v>
      </c>
      <c r="DP159" s="71">
        <v>0</v>
      </c>
      <c r="DQ159" s="72">
        <f t="shared" si="2851"/>
        <v>0</v>
      </c>
      <c r="DR159" s="72">
        <f t="shared" si="2852"/>
        <v>0</v>
      </c>
      <c r="DS159" s="70">
        <f t="shared" si="2853"/>
        <v>0</v>
      </c>
      <c r="DT159" s="73">
        <v>0</v>
      </c>
      <c r="DU159" s="74">
        <f t="shared" si="2854"/>
        <v>0</v>
      </c>
      <c r="DV159" s="303">
        <f t="shared" si="2855"/>
        <v>0</v>
      </c>
      <c r="DW159" s="39"/>
      <c r="DX159" s="77"/>
      <c r="DY159" s="28">
        <f t="shared" si="2856"/>
        <v>0</v>
      </c>
      <c r="DZ159" s="28">
        <v>0</v>
      </c>
      <c r="EA159" s="28">
        <f t="shared" si="2857"/>
        <v>0</v>
      </c>
      <c r="EB159" s="28">
        <f t="shared" si="2858"/>
        <v>0</v>
      </c>
      <c r="EC159" s="28">
        <f t="shared" si="2859"/>
        <v>0</v>
      </c>
      <c r="ED159" s="72">
        <f t="shared" si="2860"/>
        <v>0</v>
      </c>
      <c r="EE159" s="72">
        <f t="shared" si="2861"/>
        <v>0</v>
      </c>
      <c r="EF159" s="70">
        <f t="shared" si="2862"/>
        <v>0</v>
      </c>
      <c r="EG159" s="71">
        <v>0</v>
      </c>
      <c r="EH159" s="71">
        <v>0</v>
      </c>
      <c r="EI159" s="72">
        <f t="shared" si="2863"/>
        <v>0</v>
      </c>
      <c r="EJ159" s="72">
        <f t="shared" si="2864"/>
        <v>0</v>
      </c>
      <c r="EK159" s="70">
        <f t="shared" si="2865"/>
        <v>0</v>
      </c>
      <c r="EL159" s="73">
        <v>0</v>
      </c>
      <c r="EM159" s="74">
        <f t="shared" si="2866"/>
        <v>0</v>
      </c>
      <c r="EN159" s="303">
        <f t="shared" si="2867"/>
        <v>0</v>
      </c>
      <c r="EO159" s="39"/>
      <c r="EP159" s="77"/>
      <c r="EQ159" s="28">
        <f t="shared" si="2868"/>
        <v>0</v>
      </c>
      <c r="ER159" s="28">
        <v>0</v>
      </c>
      <c r="ES159" s="28">
        <f t="shared" si="2869"/>
        <v>0</v>
      </c>
      <c r="ET159" s="28">
        <f t="shared" si="2870"/>
        <v>0</v>
      </c>
      <c r="EU159" s="28">
        <f t="shared" si="2871"/>
        <v>0</v>
      </c>
      <c r="EV159" s="72">
        <f t="shared" si="2872"/>
        <v>0</v>
      </c>
      <c r="EW159" s="72">
        <f t="shared" si="2873"/>
        <v>0</v>
      </c>
      <c r="EX159" s="70">
        <f t="shared" si="2874"/>
        <v>0</v>
      </c>
      <c r="EY159" s="71">
        <v>0</v>
      </c>
      <c r="EZ159" s="71">
        <v>0</v>
      </c>
      <c r="FA159" s="72">
        <f t="shared" si="2875"/>
        <v>0</v>
      </c>
      <c r="FB159" s="72">
        <f t="shared" si="2876"/>
        <v>0</v>
      </c>
      <c r="FC159" s="70">
        <f t="shared" si="2877"/>
        <v>0</v>
      </c>
      <c r="FD159" s="73">
        <v>0</v>
      </c>
      <c r="FE159" s="74">
        <f t="shared" si="2878"/>
        <v>0</v>
      </c>
      <c r="FF159" s="303">
        <f t="shared" si="2879"/>
        <v>0</v>
      </c>
      <c r="FG159" s="39"/>
      <c r="FH159" s="77"/>
      <c r="FI159" s="28">
        <f t="shared" si="2880"/>
        <v>0</v>
      </c>
      <c r="FJ159" s="28">
        <v>0</v>
      </c>
      <c r="FK159" s="28">
        <f t="shared" si="2881"/>
        <v>0</v>
      </c>
      <c r="FL159" s="28">
        <f t="shared" si="2882"/>
        <v>0</v>
      </c>
      <c r="FM159" s="28">
        <f t="shared" si="2883"/>
        <v>0</v>
      </c>
      <c r="FN159" s="72">
        <f t="shared" si="2884"/>
        <v>0</v>
      </c>
      <c r="FO159" s="72">
        <f t="shared" si="2885"/>
        <v>0</v>
      </c>
      <c r="FP159" s="70">
        <f t="shared" si="2886"/>
        <v>0</v>
      </c>
      <c r="FQ159" s="71">
        <v>0</v>
      </c>
      <c r="FR159" s="71">
        <v>0</v>
      </c>
      <c r="FS159" s="72">
        <f t="shared" si="2887"/>
        <v>0</v>
      </c>
      <c r="FT159" s="72">
        <f t="shared" si="2888"/>
        <v>0</v>
      </c>
      <c r="FU159" s="70">
        <f t="shared" si="2889"/>
        <v>0</v>
      </c>
      <c r="FV159" s="73">
        <v>0</v>
      </c>
      <c r="FW159" s="74">
        <f t="shared" si="2890"/>
        <v>0</v>
      </c>
      <c r="FX159" s="303">
        <f t="shared" si="2891"/>
        <v>0</v>
      </c>
      <c r="FY159" s="39"/>
      <c r="FZ159" s="77"/>
      <c r="GA159" s="28">
        <f t="shared" si="2892"/>
        <v>0</v>
      </c>
      <c r="GB159" s="28">
        <v>0</v>
      </c>
      <c r="GC159" s="28">
        <f t="shared" si="2893"/>
        <v>0</v>
      </c>
      <c r="GD159" s="28">
        <f t="shared" si="2894"/>
        <v>0</v>
      </c>
      <c r="GE159" s="28">
        <f t="shared" si="2895"/>
        <v>0</v>
      </c>
      <c r="GF159" s="72">
        <f t="shared" si="2896"/>
        <v>0</v>
      </c>
      <c r="GG159" s="72">
        <f t="shared" si="2897"/>
        <v>0</v>
      </c>
      <c r="GH159" s="70">
        <f t="shared" si="2898"/>
        <v>0</v>
      </c>
      <c r="GI159" s="71">
        <v>0</v>
      </c>
      <c r="GJ159" s="71">
        <v>0</v>
      </c>
      <c r="GK159" s="72">
        <f t="shared" si="2899"/>
        <v>0</v>
      </c>
      <c r="GL159" s="72">
        <f t="shared" si="2900"/>
        <v>0</v>
      </c>
      <c r="GM159" s="70">
        <f t="shared" si="2901"/>
        <v>0</v>
      </c>
      <c r="GN159" s="73">
        <v>0</v>
      </c>
      <c r="GO159" s="74">
        <f t="shared" si="2902"/>
        <v>0</v>
      </c>
      <c r="GP159" s="303">
        <f t="shared" si="2903"/>
        <v>0</v>
      </c>
      <c r="GQ159" s="39"/>
      <c r="GR159" s="77"/>
      <c r="GS159" s="28">
        <f t="shared" si="2904"/>
        <v>0</v>
      </c>
      <c r="GT159" s="28">
        <v>0</v>
      </c>
      <c r="GU159" s="28">
        <f t="shared" si="2905"/>
        <v>0</v>
      </c>
      <c r="GV159" s="28">
        <f t="shared" si="2906"/>
        <v>0</v>
      </c>
      <c r="GW159" s="28">
        <f t="shared" si="2907"/>
        <v>0</v>
      </c>
      <c r="GX159" s="72">
        <f t="shared" si="2908"/>
        <v>0</v>
      </c>
      <c r="GY159" s="72">
        <f t="shared" si="2909"/>
        <v>0</v>
      </c>
      <c r="GZ159" s="70">
        <f t="shared" si="2910"/>
        <v>0</v>
      </c>
      <c r="HA159" s="71">
        <v>0</v>
      </c>
      <c r="HB159" s="71">
        <v>0</v>
      </c>
      <c r="HC159" s="72">
        <f t="shared" si="2911"/>
        <v>0</v>
      </c>
      <c r="HD159" s="72">
        <f t="shared" si="2912"/>
        <v>0</v>
      </c>
      <c r="HE159" s="70">
        <f t="shared" si="2913"/>
        <v>0</v>
      </c>
      <c r="HF159" s="73">
        <v>0</v>
      </c>
      <c r="HG159" s="74">
        <f t="shared" si="2914"/>
        <v>0</v>
      </c>
      <c r="HH159" s="303">
        <f t="shared" si="2915"/>
        <v>0</v>
      </c>
      <c r="HJ159" s="37"/>
      <c r="HK159" s="37"/>
      <c r="HL159" s="37"/>
      <c r="HM159" s="37"/>
      <c r="HN159" s="37"/>
      <c r="HO159" s="37"/>
      <c r="HP159" s="37"/>
      <c r="HQ159" s="37"/>
      <c r="HR159" s="37"/>
      <c r="HS159" s="37"/>
      <c r="HT159" s="37"/>
      <c r="HU159" s="37"/>
      <c r="HV159" s="37"/>
      <c r="HW159" s="37"/>
      <c r="HX159" s="37"/>
      <c r="HY159" s="37"/>
      <c r="HZ159" s="37"/>
      <c r="IA159" s="37"/>
      <c r="IB159" s="37"/>
      <c r="IC159" s="37"/>
      <c r="ID159" s="37"/>
      <c r="IE159" s="37"/>
      <c r="IF159" s="37"/>
      <c r="IG159" s="37"/>
      <c r="IH159" s="37"/>
      <c r="II159" s="37"/>
      <c r="IJ159" s="37"/>
      <c r="IK159" s="37"/>
      <c r="IL159" s="37"/>
      <c r="IM159" s="37"/>
      <c r="IN159" s="37"/>
      <c r="IO159" s="37"/>
      <c r="IP159" s="37"/>
    </row>
    <row r="160" spans="1:250" ht="15.6" x14ac:dyDescent="0.3">
      <c r="A160" s="39"/>
      <c r="B160" s="77"/>
      <c r="C160" s="28">
        <f t="shared" si="2772"/>
        <v>0</v>
      </c>
      <c r="D160" s="28">
        <v>0</v>
      </c>
      <c r="E160" s="28">
        <f t="shared" si="2773"/>
        <v>0</v>
      </c>
      <c r="F160" s="28">
        <f t="shared" si="2774"/>
        <v>0</v>
      </c>
      <c r="G160" s="28">
        <f t="shared" si="2775"/>
        <v>0</v>
      </c>
      <c r="H160" s="72">
        <f t="shared" si="2776"/>
        <v>0</v>
      </c>
      <c r="I160" s="72">
        <f t="shared" si="2777"/>
        <v>0</v>
      </c>
      <c r="J160" s="70">
        <f t="shared" si="2778"/>
        <v>0</v>
      </c>
      <c r="K160" s="71">
        <v>0</v>
      </c>
      <c r="L160" s="71">
        <v>0</v>
      </c>
      <c r="M160" s="72">
        <f t="shared" si="2779"/>
        <v>0</v>
      </c>
      <c r="N160" s="72">
        <f t="shared" si="2780"/>
        <v>0</v>
      </c>
      <c r="O160" s="70">
        <f t="shared" si="2781"/>
        <v>0</v>
      </c>
      <c r="P160" s="73">
        <v>0</v>
      </c>
      <c r="Q160" s="74">
        <f t="shared" si="2782"/>
        <v>0</v>
      </c>
      <c r="R160" s="303">
        <f t="shared" si="2783"/>
        <v>0</v>
      </c>
      <c r="S160" s="39"/>
      <c r="T160" s="77"/>
      <c r="U160" s="28">
        <f t="shared" si="2784"/>
        <v>0</v>
      </c>
      <c r="V160" s="28">
        <v>0</v>
      </c>
      <c r="W160" s="28">
        <f t="shared" si="2785"/>
        <v>0</v>
      </c>
      <c r="X160" s="28">
        <f t="shared" si="2786"/>
        <v>0</v>
      </c>
      <c r="Y160" s="28">
        <f t="shared" si="2787"/>
        <v>0</v>
      </c>
      <c r="Z160" s="72">
        <f t="shared" si="2788"/>
        <v>0</v>
      </c>
      <c r="AA160" s="72">
        <f t="shared" si="2789"/>
        <v>0</v>
      </c>
      <c r="AB160" s="70">
        <f t="shared" si="2790"/>
        <v>0</v>
      </c>
      <c r="AC160" s="71">
        <v>0</v>
      </c>
      <c r="AD160" s="71">
        <v>0</v>
      </c>
      <c r="AE160" s="72">
        <f t="shared" si="2791"/>
        <v>0</v>
      </c>
      <c r="AF160" s="72">
        <f t="shared" si="2792"/>
        <v>0</v>
      </c>
      <c r="AG160" s="70">
        <f t="shared" si="2793"/>
        <v>0</v>
      </c>
      <c r="AH160" s="73">
        <v>0</v>
      </c>
      <c r="AI160" s="74">
        <f t="shared" si="2794"/>
        <v>0</v>
      </c>
      <c r="AJ160" s="303">
        <f t="shared" si="2795"/>
        <v>0</v>
      </c>
      <c r="AL160" s="77"/>
      <c r="AM160" s="28">
        <f t="shared" si="2796"/>
        <v>0</v>
      </c>
      <c r="AN160" s="28">
        <v>0</v>
      </c>
      <c r="AO160" s="28">
        <f t="shared" si="2797"/>
        <v>0</v>
      </c>
      <c r="AP160" s="28">
        <f t="shared" si="2798"/>
        <v>0</v>
      </c>
      <c r="AQ160" s="28">
        <f t="shared" si="2799"/>
        <v>0</v>
      </c>
      <c r="AR160" s="72">
        <f t="shared" si="2800"/>
        <v>0</v>
      </c>
      <c r="AS160" s="72">
        <f t="shared" si="2801"/>
        <v>0</v>
      </c>
      <c r="AT160" s="70">
        <f t="shared" si="2802"/>
        <v>0</v>
      </c>
      <c r="AU160" s="71">
        <v>0</v>
      </c>
      <c r="AV160" s="71">
        <v>0</v>
      </c>
      <c r="AW160" s="72">
        <f t="shared" si="2803"/>
        <v>0</v>
      </c>
      <c r="AX160" s="72">
        <f t="shared" si="2804"/>
        <v>0</v>
      </c>
      <c r="AY160" s="70">
        <f t="shared" si="2805"/>
        <v>0</v>
      </c>
      <c r="AZ160" s="73">
        <v>0</v>
      </c>
      <c r="BA160" s="74">
        <f t="shared" si="2806"/>
        <v>0</v>
      </c>
      <c r="BB160" s="303">
        <f t="shared" si="2807"/>
        <v>0</v>
      </c>
      <c r="BD160" s="77"/>
      <c r="BE160" s="28">
        <f t="shared" si="2808"/>
        <v>0</v>
      </c>
      <c r="BF160" s="28">
        <v>0</v>
      </c>
      <c r="BG160" s="28">
        <f t="shared" si="2809"/>
        <v>0</v>
      </c>
      <c r="BH160" s="28">
        <f t="shared" si="2810"/>
        <v>0</v>
      </c>
      <c r="BI160" s="28">
        <f t="shared" si="2811"/>
        <v>0</v>
      </c>
      <c r="BJ160" s="72">
        <f t="shared" si="2812"/>
        <v>0</v>
      </c>
      <c r="BK160" s="72">
        <f t="shared" si="2813"/>
        <v>0</v>
      </c>
      <c r="BL160" s="70">
        <f t="shared" si="2814"/>
        <v>0</v>
      </c>
      <c r="BM160" s="71">
        <v>0</v>
      </c>
      <c r="BN160" s="71">
        <v>0</v>
      </c>
      <c r="BO160" s="72">
        <f t="shared" si="2815"/>
        <v>0</v>
      </c>
      <c r="BP160" s="72">
        <f t="shared" si="2816"/>
        <v>0</v>
      </c>
      <c r="BQ160" s="70">
        <f t="shared" si="2817"/>
        <v>0</v>
      </c>
      <c r="BR160" s="73">
        <v>0</v>
      </c>
      <c r="BS160" s="74">
        <f t="shared" si="2818"/>
        <v>0</v>
      </c>
      <c r="BT160" s="303">
        <f t="shared" si="2819"/>
        <v>0</v>
      </c>
      <c r="BV160" s="77"/>
      <c r="BW160" s="28">
        <f t="shared" si="2820"/>
        <v>0</v>
      </c>
      <c r="BX160" s="28">
        <v>0</v>
      </c>
      <c r="BY160" s="28">
        <f t="shared" si="2821"/>
        <v>0</v>
      </c>
      <c r="BZ160" s="28">
        <f t="shared" si="2822"/>
        <v>0</v>
      </c>
      <c r="CA160" s="28">
        <f t="shared" si="2823"/>
        <v>0</v>
      </c>
      <c r="CB160" s="72">
        <f t="shared" si="2824"/>
        <v>0</v>
      </c>
      <c r="CC160" s="72">
        <f t="shared" si="2825"/>
        <v>0</v>
      </c>
      <c r="CD160" s="70">
        <f t="shared" si="2826"/>
        <v>0</v>
      </c>
      <c r="CE160" s="71">
        <v>0</v>
      </c>
      <c r="CF160" s="71">
        <v>0</v>
      </c>
      <c r="CG160" s="72">
        <f t="shared" si="2827"/>
        <v>0</v>
      </c>
      <c r="CH160" s="72">
        <f t="shared" si="2828"/>
        <v>0</v>
      </c>
      <c r="CI160" s="70">
        <f t="shared" si="2829"/>
        <v>0</v>
      </c>
      <c r="CJ160" s="73">
        <v>0</v>
      </c>
      <c r="CK160" s="74">
        <f t="shared" si="2830"/>
        <v>0</v>
      </c>
      <c r="CL160" s="303">
        <f t="shared" si="2831"/>
        <v>0</v>
      </c>
      <c r="CN160" s="77"/>
      <c r="CO160" s="28">
        <f t="shared" si="2832"/>
        <v>0</v>
      </c>
      <c r="CP160" s="28">
        <v>0</v>
      </c>
      <c r="CQ160" s="28">
        <f t="shared" si="2833"/>
        <v>0</v>
      </c>
      <c r="CR160" s="28">
        <f t="shared" si="2834"/>
        <v>0</v>
      </c>
      <c r="CS160" s="28">
        <f t="shared" si="2835"/>
        <v>0</v>
      </c>
      <c r="CT160" s="72">
        <f t="shared" si="2836"/>
        <v>0</v>
      </c>
      <c r="CU160" s="72">
        <f t="shared" si="2837"/>
        <v>0</v>
      </c>
      <c r="CV160" s="70">
        <f t="shared" si="2838"/>
        <v>0</v>
      </c>
      <c r="CW160" s="71">
        <v>0</v>
      </c>
      <c r="CX160" s="71">
        <v>0</v>
      </c>
      <c r="CY160" s="72">
        <f t="shared" si="2839"/>
        <v>0</v>
      </c>
      <c r="CZ160" s="72">
        <f t="shared" si="2840"/>
        <v>0</v>
      </c>
      <c r="DA160" s="70">
        <f t="shared" si="2841"/>
        <v>0</v>
      </c>
      <c r="DB160" s="73">
        <v>0</v>
      </c>
      <c r="DC160" s="74">
        <f t="shared" si="2842"/>
        <v>0</v>
      </c>
      <c r="DD160" s="303">
        <f t="shared" si="2843"/>
        <v>0</v>
      </c>
      <c r="DE160" s="39"/>
      <c r="DF160" s="77"/>
      <c r="DG160" s="28">
        <f t="shared" si="2844"/>
        <v>0</v>
      </c>
      <c r="DH160" s="28">
        <v>0</v>
      </c>
      <c r="DI160" s="28">
        <f t="shared" si="2845"/>
        <v>0</v>
      </c>
      <c r="DJ160" s="28">
        <f t="shared" si="2846"/>
        <v>0</v>
      </c>
      <c r="DK160" s="28">
        <f t="shared" si="2847"/>
        <v>0</v>
      </c>
      <c r="DL160" s="72">
        <f t="shared" si="2848"/>
        <v>0</v>
      </c>
      <c r="DM160" s="72">
        <f t="shared" si="2849"/>
        <v>0</v>
      </c>
      <c r="DN160" s="70">
        <f t="shared" si="2850"/>
        <v>0</v>
      </c>
      <c r="DO160" s="71">
        <v>0</v>
      </c>
      <c r="DP160" s="71">
        <v>0</v>
      </c>
      <c r="DQ160" s="72">
        <f t="shared" si="2851"/>
        <v>0</v>
      </c>
      <c r="DR160" s="72">
        <f t="shared" si="2852"/>
        <v>0</v>
      </c>
      <c r="DS160" s="70">
        <f t="shared" si="2853"/>
        <v>0</v>
      </c>
      <c r="DT160" s="73">
        <v>0</v>
      </c>
      <c r="DU160" s="74">
        <f t="shared" si="2854"/>
        <v>0</v>
      </c>
      <c r="DV160" s="303">
        <f t="shared" si="2855"/>
        <v>0</v>
      </c>
      <c r="DW160" s="39"/>
      <c r="DX160" s="77"/>
      <c r="DY160" s="28">
        <f t="shared" si="2856"/>
        <v>0</v>
      </c>
      <c r="DZ160" s="28">
        <v>0</v>
      </c>
      <c r="EA160" s="28">
        <f t="shared" si="2857"/>
        <v>0</v>
      </c>
      <c r="EB160" s="28">
        <f t="shared" si="2858"/>
        <v>0</v>
      </c>
      <c r="EC160" s="28">
        <f t="shared" si="2859"/>
        <v>0</v>
      </c>
      <c r="ED160" s="72">
        <f t="shared" si="2860"/>
        <v>0</v>
      </c>
      <c r="EE160" s="72">
        <f t="shared" si="2861"/>
        <v>0</v>
      </c>
      <c r="EF160" s="70">
        <f t="shared" si="2862"/>
        <v>0</v>
      </c>
      <c r="EG160" s="71">
        <v>0</v>
      </c>
      <c r="EH160" s="71">
        <v>0</v>
      </c>
      <c r="EI160" s="72">
        <f t="shared" si="2863"/>
        <v>0</v>
      </c>
      <c r="EJ160" s="72">
        <f t="shared" si="2864"/>
        <v>0</v>
      </c>
      <c r="EK160" s="70">
        <f t="shared" si="2865"/>
        <v>0</v>
      </c>
      <c r="EL160" s="73">
        <v>0</v>
      </c>
      <c r="EM160" s="74">
        <f t="shared" si="2866"/>
        <v>0</v>
      </c>
      <c r="EN160" s="303">
        <f t="shared" si="2867"/>
        <v>0</v>
      </c>
      <c r="EO160" s="39"/>
      <c r="EP160" s="77"/>
      <c r="EQ160" s="28">
        <f t="shared" si="2868"/>
        <v>0</v>
      </c>
      <c r="ER160" s="28">
        <v>0</v>
      </c>
      <c r="ES160" s="28">
        <f t="shared" si="2869"/>
        <v>0</v>
      </c>
      <c r="ET160" s="28">
        <f t="shared" si="2870"/>
        <v>0</v>
      </c>
      <c r="EU160" s="28">
        <f t="shared" si="2871"/>
        <v>0</v>
      </c>
      <c r="EV160" s="72">
        <f t="shared" si="2872"/>
        <v>0</v>
      </c>
      <c r="EW160" s="72">
        <f t="shared" si="2873"/>
        <v>0</v>
      </c>
      <c r="EX160" s="70">
        <f t="shared" si="2874"/>
        <v>0</v>
      </c>
      <c r="EY160" s="71">
        <v>0</v>
      </c>
      <c r="EZ160" s="71">
        <v>0</v>
      </c>
      <c r="FA160" s="72">
        <f t="shared" si="2875"/>
        <v>0</v>
      </c>
      <c r="FB160" s="72">
        <f t="shared" si="2876"/>
        <v>0</v>
      </c>
      <c r="FC160" s="70">
        <f t="shared" si="2877"/>
        <v>0</v>
      </c>
      <c r="FD160" s="73">
        <v>0</v>
      </c>
      <c r="FE160" s="74">
        <f t="shared" si="2878"/>
        <v>0</v>
      </c>
      <c r="FF160" s="303">
        <f t="shared" si="2879"/>
        <v>0</v>
      </c>
      <c r="FG160" s="39"/>
      <c r="FH160" s="77"/>
      <c r="FI160" s="28">
        <f t="shared" si="2880"/>
        <v>0</v>
      </c>
      <c r="FJ160" s="28">
        <v>0</v>
      </c>
      <c r="FK160" s="28">
        <f t="shared" si="2881"/>
        <v>0</v>
      </c>
      <c r="FL160" s="28">
        <f t="shared" si="2882"/>
        <v>0</v>
      </c>
      <c r="FM160" s="28">
        <f t="shared" si="2883"/>
        <v>0</v>
      </c>
      <c r="FN160" s="72">
        <f t="shared" si="2884"/>
        <v>0</v>
      </c>
      <c r="FO160" s="72">
        <f t="shared" si="2885"/>
        <v>0</v>
      </c>
      <c r="FP160" s="70">
        <f t="shared" si="2886"/>
        <v>0</v>
      </c>
      <c r="FQ160" s="71">
        <v>0</v>
      </c>
      <c r="FR160" s="71">
        <v>0</v>
      </c>
      <c r="FS160" s="72">
        <f t="shared" si="2887"/>
        <v>0</v>
      </c>
      <c r="FT160" s="72">
        <f t="shared" si="2888"/>
        <v>0</v>
      </c>
      <c r="FU160" s="70">
        <f t="shared" si="2889"/>
        <v>0</v>
      </c>
      <c r="FV160" s="73">
        <v>0</v>
      </c>
      <c r="FW160" s="74">
        <f t="shared" si="2890"/>
        <v>0</v>
      </c>
      <c r="FX160" s="303">
        <f t="shared" si="2891"/>
        <v>0</v>
      </c>
      <c r="FY160" s="39"/>
      <c r="FZ160" s="77"/>
      <c r="GA160" s="28">
        <f t="shared" si="2892"/>
        <v>0</v>
      </c>
      <c r="GB160" s="28">
        <v>0</v>
      </c>
      <c r="GC160" s="28">
        <f t="shared" si="2893"/>
        <v>0</v>
      </c>
      <c r="GD160" s="28">
        <f t="shared" si="2894"/>
        <v>0</v>
      </c>
      <c r="GE160" s="28">
        <f t="shared" si="2895"/>
        <v>0</v>
      </c>
      <c r="GF160" s="72">
        <f t="shared" si="2896"/>
        <v>0</v>
      </c>
      <c r="GG160" s="72">
        <f t="shared" si="2897"/>
        <v>0</v>
      </c>
      <c r="GH160" s="70">
        <f t="shared" si="2898"/>
        <v>0</v>
      </c>
      <c r="GI160" s="71">
        <v>0</v>
      </c>
      <c r="GJ160" s="71">
        <v>0</v>
      </c>
      <c r="GK160" s="72">
        <f t="shared" si="2899"/>
        <v>0</v>
      </c>
      <c r="GL160" s="72">
        <f t="shared" si="2900"/>
        <v>0</v>
      </c>
      <c r="GM160" s="70">
        <f t="shared" si="2901"/>
        <v>0</v>
      </c>
      <c r="GN160" s="73">
        <v>0</v>
      </c>
      <c r="GO160" s="74">
        <f t="shared" si="2902"/>
        <v>0</v>
      </c>
      <c r="GP160" s="303">
        <f t="shared" si="2903"/>
        <v>0</v>
      </c>
      <c r="GQ160" s="39"/>
      <c r="GR160" s="77"/>
      <c r="GS160" s="28">
        <f t="shared" si="2904"/>
        <v>0</v>
      </c>
      <c r="GT160" s="28">
        <v>0</v>
      </c>
      <c r="GU160" s="28">
        <f t="shared" si="2905"/>
        <v>0</v>
      </c>
      <c r="GV160" s="28">
        <f t="shared" si="2906"/>
        <v>0</v>
      </c>
      <c r="GW160" s="28">
        <f t="shared" si="2907"/>
        <v>0</v>
      </c>
      <c r="GX160" s="72">
        <f t="shared" si="2908"/>
        <v>0</v>
      </c>
      <c r="GY160" s="72">
        <f t="shared" si="2909"/>
        <v>0</v>
      </c>
      <c r="GZ160" s="70">
        <f t="shared" si="2910"/>
        <v>0</v>
      </c>
      <c r="HA160" s="71">
        <v>0</v>
      </c>
      <c r="HB160" s="71">
        <v>0</v>
      </c>
      <c r="HC160" s="72">
        <f t="shared" si="2911"/>
        <v>0</v>
      </c>
      <c r="HD160" s="72">
        <f t="shared" si="2912"/>
        <v>0</v>
      </c>
      <c r="HE160" s="70">
        <f t="shared" si="2913"/>
        <v>0</v>
      </c>
      <c r="HF160" s="73">
        <v>0</v>
      </c>
      <c r="HG160" s="74">
        <f t="shared" si="2914"/>
        <v>0</v>
      </c>
      <c r="HH160" s="303">
        <f t="shared" si="2915"/>
        <v>0</v>
      </c>
      <c r="HJ160" s="37"/>
      <c r="HK160" s="37"/>
      <c r="HL160" s="37"/>
      <c r="HM160" s="37"/>
      <c r="HN160" s="37"/>
      <c r="HO160" s="37"/>
      <c r="HP160" s="37"/>
      <c r="HQ160" s="37"/>
      <c r="HR160" s="37"/>
      <c r="HS160" s="37"/>
      <c r="HT160" s="37"/>
      <c r="HU160" s="37"/>
      <c r="HV160" s="37"/>
      <c r="HW160" s="37"/>
      <c r="HX160" s="37"/>
      <c r="HY160" s="37"/>
      <c r="HZ160" s="37"/>
      <c r="IA160" s="37"/>
      <c r="IB160" s="37"/>
      <c r="IC160" s="37"/>
      <c r="ID160" s="37"/>
      <c r="IE160" s="37"/>
      <c r="IF160" s="37"/>
      <c r="IG160" s="37"/>
      <c r="IH160" s="37"/>
      <c r="II160" s="37"/>
      <c r="IJ160" s="37"/>
      <c r="IK160" s="37"/>
      <c r="IL160" s="37"/>
      <c r="IM160" s="37"/>
      <c r="IN160" s="37"/>
      <c r="IO160" s="37"/>
      <c r="IP160" s="37"/>
    </row>
    <row r="161" spans="1:257" ht="15.6" x14ac:dyDescent="0.3">
      <c r="A161" s="39"/>
      <c r="B161" s="77"/>
      <c r="C161" s="28">
        <f t="shared" si="2772"/>
        <v>0</v>
      </c>
      <c r="D161" s="28">
        <v>0</v>
      </c>
      <c r="E161" s="28">
        <f t="shared" si="2773"/>
        <v>0</v>
      </c>
      <c r="F161" s="28">
        <f t="shared" si="2774"/>
        <v>0</v>
      </c>
      <c r="G161" s="28">
        <f t="shared" si="2775"/>
        <v>0</v>
      </c>
      <c r="H161" s="72">
        <f t="shared" si="2776"/>
        <v>0</v>
      </c>
      <c r="I161" s="72">
        <f t="shared" si="2777"/>
        <v>0</v>
      </c>
      <c r="J161" s="70">
        <f t="shared" si="2778"/>
        <v>0</v>
      </c>
      <c r="K161" s="71">
        <v>0</v>
      </c>
      <c r="L161" s="71">
        <v>0</v>
      </c>
      <c r="M161" s="72">
        <f t="shared" si="2779"/>
        <v>0</v>
      </c>
      <c r="N161" s="72">
        <f t="shared" si="2780"/>
        <v>0</v>
      </c>
      <c r="O161" s="70">
        <f t="shared" si="2781"/>
        <v>0</v>
      </c>
      <c r="P161" s="73">
        <v>0</v>
      </c>
      <c r="Q161" s="74">
        <f t="shared" si="2782"/>
        <v>0</v>
      </c>
      <c r="R161" s="303">
        <f t="shared" si="2783"/>
        <v>0</v>
      </c>
      <c r="S161" s="39"/>
      <c r="T161" s="77"/>
      <c r="U161" s="28">
        <f t="shared" si="2784"/>
        <v>0</v>
      </c>
      <c r="V161" s="28">
        <v>0</v>
      </c>
      <c r="W161" s="28">
        <f t="shared" si="2785"/>
        <v>0</v>
      </c>
      <c r="X161" s="28">
        <f t="shared" si="2786"/>
        <v>0</v>
      </c>
      <c r="Y161" s="28">
        <f t="shared" si="2787"/>
        <v>0</v>
      </c>
      <c r="Z161" s="72">
        <f t="shared" si="2788"/>
        <v>0</v>
      </c>
      <c r="AA161" s="72">
        <f t="shared" si="2789"/>
        <v>0</v>
      </c>
      <c r="AB161" s="70">
        <f t="shared" si="2790"/>
        <v>0</v>
      </c>
      <c r="AC161" s="71">
        <v>0</v>
      </c>
      <c r="AD161" s="71">
        <v>0</v>
      </c>
      <c r="AE161" s="72">
        <f t="shared" si="2791"/>
        <v>0</v>
      </c>
      <c r="AF161" s="72">
        <f t="shared" si="2792"/>
        <v>0</v>
      </c>
      <c r="AG161" s="70">
        <f t="shared" si="2793"/>
        <v>0</v>
      </c>
      <c r="AH161" s="73">
        <v>0</v>
      </c>
      <c r="AI161" s="74">
        <f t="shared" si="2794"/>
        <v>0</v>
      </c>
      <c r="AJ161" s="303">
        <f t="shared" si="2795"/>
        <v>0</v>
      </c>
      <c r="AL161" s="77"/>
      <c r="AM161" s="28">
        <f t="shared" si="2796"/>
        <v>0</v>
      </c>
      <c r="AN161" s="28">
        <v>0</v>
      </c>
      <c r="AO161" s="28">
        <f t="shared" si="2797"/>
        <v>0</v>
      </c>
      <c r="AP161" s="28">
        <f t="shared" si="2798"/>
        <v>0</v>
      </c>
      <c r="AQ161" s="28">
        <f t="shared" si="2799"/>
        <v>0</v>
      </c>
      <c r="AR161" s="72">
        <f t="shared" si="2800"/>
        <v>0</v>
      </c>
      <c r="AS161" s="72">
        <f t="shared" si="2801"/>
        <v>0</v>
      </c>
      <c r="AT161" s="70">
        <f t="shared" si="2802"/>
        <v>0</v>
      </c>
      <c r="AU161" s="71">
        <v>0</v>
      </c>
      <c r="AV161" s="71">
        <v>0</v>
      </c>
      <c r="AW161" s="72">
        <f t="shared" si="2803"/>
        <v>0</v>
      </c>
      <c r="AX161" s="72">
        <f t="shared" si="2804"/>
        <v>0</v>
      </c>
      <c r="AY161" s="70">
        <f t="shared" si="2805"/>
        <v>0</v>
      </c>
      <c r="AZ161" s="73">
        <v>0</v>
      </c>
      <c r="BA161" s="74">
        <f t="shared" si="2806"/>
        <v>0</v>
      </c>
      <c r="BB161" s="303">
        <f t="shared" si="2807"/>
        <v>0</v>
      </c>
      <c r="BD161" s="77"/>
      <c r="BE161" s="28">
        <f t="shared" si="2808"/>
        <v>0</v>
      </c>
      <c r="BF161" s="28">
        <v>0</v>
      </c>
      <c r="BG161" s="28">
        <f t="shared" si="2809"/>
        <v>0</v>
      </c>
      <c r="BH161" s="28">
        <f t="shared" si="2810"/>
        <v>0</v>
      </c>
      <c r="BI161" s="28">
        <f t="shared" si="2811"/>
        <v>0</v>
      </c>
      <c r="BJ161" s="72">
        <f t="shared" si="2812"/>
        <v>0</v>
      </c>
      <c r="BK161" s="72">
        <f t="shared" si="2813"/>
        <v>0</v>
      </c>
      <c r="BL161" s="70">
        <f t="shared" si="2814"/>
        <v>0</v>
      </c>
      <c r="BM161" s="71">
        <v>0</v>
      </c>
      <c r="BN161" s="71">
        <v>0</v>
      </c>
      <c r="BO161" s="72">
        <f t="shared" si="2815"/>
        <v>0</v>
      </c>
      <c r="BP161" s="72">
        <f t="shared" si="2816"/>
        <v>0</v>
      </c>
      <c r="BQ161" s="70">
        <f t="shared" si="2817"/>
        <v>0</v>
      </c>
      <c r="BR161" s="73">
        <v>0</v>
      </c>
      <c r="BS161" s="74">
        <f t="shared" si="2818"/>
        <v>0</v>
      </c>
      <c r="BT161" s="303">
        <f t="shared" si="2819"/>
        <v>0</v>
      </c>
      <c r="BV161" s="77"/>
      <c r="BW161" s="28">
        <f t="shared" si="2820"/>
        <v>0</v>
      </c>
      <c r="BX161" s="28">
        <v>0</v>
      </c>
      <c r="BY161" s="28">
        <f t="shared" si="2821"/>
        <v>0</v>
      </c>
      <c r="BZ161" s="28">
        <f t="shared" si="2822"/>
        <v>0</v>
      </c>
      <c r="CA161" s="28">
        <f t="shared" si="2823"/>
        <v>0</v>
      </c>
      <c r="CB161" s="72">
        <f t="shared" si="2824"/>
        <v>0</v>
      </c>
      <c r="CC161" s="72">
        <f t="shared" si="2825"/>
        <v>0</v>
      </c>
      <c r="CD161" s="70">
        <f t="shared" si="2826"/>
        <v>0</v>
      </c>
      <c r="CE161" s="71">
        <v>0</v>
      </c>
      <c r="CF161" s="71">
        <v>0</v>
      </c>
      <c r="CG161" s="72">
        <f t="shared" si="2827"/>
        <v>0</v>
      </c>
      <c r="CH161" s="72">
        <f t="shared" si="2828"/>
        <v>0</v>
      </c>
      <c r="CI161" s="70">
        <f t="shared" si="2829"/>
        <v>0</v>
      </c>
      <c r="CJ161" s="73">
        <v>0</v>
      </c>
      <c r="CK161" s="74">
        <f t="shared" si="2830"/>
        <v>0</v>
      </c>
      <c r="CL161" s="303">
        <f t="shared" si="2831"/>
        <v>0</v>
      </c>
      <c r="CN161" s="77"/>
      <c r="CO161" s="28">
        <f t="shared" si="2832"/>
        <v>0</v>
      </c>
      <c r="CP161" s="28">
        <v>0</v>
      </c>
      <c r="CQ161" s="28">
        <f t="shared" si="2833"/>
        <v>0</v>
      </c>
      <c r="CR161" s="28">
        <f t="shared" si="2834"/>
        <v>0</v>
      </c>
      <c r="CS161" s="28">
        <f t="shared" si="2835"/>
        <v>0</v>
      </c>
      <c r="CT161" s="72">
        <f t="shared" si="2836"/>
        <v>0</v>
      </c>
      <c r="CU161" s="72">
        <f t="shared" si="2837"/>
        <v>0</v>
      </c>
      <c r="CV161" s="70">
        <f t="shared" si="2838"/>
        <v>0</v>
      </c>
      <c r="CW161" s="71">
        <v>0</v>
      </c>
      <c r="CX161" s="71">
        <v>0</v>
      </c>
      <c r="CY161" s="72">
        <f t="shared" si="2839"/>
        <v>0</v>
      </c>
      <c r="CZ161" s="72">
        <f t="shared" si="2840"/>
        <v>0</v>
      </c>
      <c r="DA161" s="70">
        <f t="shared" si="2841"/>
        <v>0</v>
      </c>
      <c r="DB161" s="73">
        <v>0</v>
      </c>
      <c r="DC161" s="74">
        <f t="shared" si="2842"/>
        <v>0</v>
      </c>
      <c r="DD161" s="303">
        <f t="shared" si="2843"/>
        <v>0</v>
      </c>
      <c r="DE161" s="39"/>
      <c r="DF161" s="77"/>
      <c r="DG161" s="28">
        <f t="shared" si="2844"/>
        <v>0</v>
      </c>
      <c r="DH161" s="28">
        <v>0</v>
      </c>
      <c r="DI161" s="28">
        <f t="shared" si="2845"/>
        <v>0</v>
      </c>
      <c r="DJ161" s="28">
        <f t="shared" si="2846"/>
        <v>0</v>
      </c>
      <c r="DK161" s="28">
        <f t="shared" si="2847"/>
        <v>0</v>
      </c>
      <c r="DL161" s="72">
        <f t="shared" si="2848"/>
        <v>0</v>
      </c>
      <c r="DM161" s="72">
        <f t="shared" si="2849"/>
        <v>0</v>
      </c>
      <c r="DN161" s="70">
        <f t="shared" si="2850"/>
        <v>0</v>
      </c>
      <c r="DO161" s="71">
        <v>0</v>
      </c>
      <c r="DP161" s="71">
        <v>0</v>
      </c>
      <c r="DQ161" s="72">
        <f t="shared" si="2851"/>
        <v>0</v>
      </c>
      <c r="DR161" s="72">
        <f t="shared" si="2852"/>
        <v>0</v>
      </c>
      <c r="DS161" s="70">
        <f t="shared" si="2853"/>
        <v>0</v>
      </c>
      <c r="DT161" s="73">
        <v>0</v>
      </c>
      <c r="DU161" s="74">
        <f t="shared" si="2854"/>
        <v>0</v>
      </c>
      <c r="DV161" s="303">
        <f t="shared" si="2855"/>
        <v>0</v>
      </c>
      <c r="DW161" s="39"/>
      <c r="DX161" s="77"/>
      <c r="DY161" s="28">
        <f t="shared" si="2856"/>
        <v>0</v>
      </c>
      <c r="DZ161" s="28">
        <v>0</v>
      </c>
      <c r="EA161" s="28">
        <f t="shared" si="2857"/>
        <v>0</v>
      </c>
      <c r="EB161" s="28">
        <f t="shared" si="2858"/>
        <v>0</v>
      </c>
      <c r="EC161" s="28">
        <f t="shared" si="2859"/>
        <v>0</v>
      </c>
      <c r="ED161" s="72">
        <f t="shared" si="2860"/>
        <v>0</v>
      </c>
      <c r="EE161" s="72">
        <f t="shared" si="2861"/>
        <v>0</v>
      </c>
      <c r="EF161" s="70">
        <f t="shared" si="2862"/>
        <v>0</v>
      </c>
      <c r="EG161" s="71">
        <v>0</v>
      </c>
      <c r="EH161" s="71">
        <v>0</v>
      </c>
      <c r="EI161" s="72">
        <f t="shared" si="2863"/>
        <v>0</v>
      </c>
      <c r="EJ161" s="72">
        <f t="shared" si="2864"/>
        <v>0</v>
      </c>
      <c r="EK161" s="70">
        <f t="shared" si="2865"/>
        <v>0</v>
      </c>
      <c r="EL161" s="73">
        <v>0</v>
      </c>
      <c r="EM161" s="74">
        <f t="shared" si="2866"/>
        <v>0</v>
      </c>
      <c r="EN161" s="303">
        <f t="shared" si="2867"/>
        <v>0</v>
      </c>
      <c r="EO161" s="39"/>
      <c r="EP161" s="77"/>
      <c r="EQ161" s="28">
        <f t="shared" si="2868"/>
        <v>0</v>
      </c>
      <c r="ER161" s="28">
        <v>0</v>
      </c>
      <c r="ES161" s="28">
        <f t="shared" si="2869"/>
        <v>0</v>
      </c>
      <c r="ET161" s="28">
        <f t="shared" si="2870"/>
        <v>0</v>
      </c>
      <c r="EU161" s="28">
        <f t="shared" si="2871"/>
        <v>0</v>
      </c>
      <c r="EV161" s="72">
        <f t="shared" si="2872"/>
        <v>0</v>
      </c>
      <c r="EW161" s="72">
        <f t="shared" si="2873"/>
        <v>0</v>
      </c>
      <c r="EX161" s="70">
        <f t="shared" si="2874"/>
        <v>0</v>
      </c>
      <c r="EY161" s="71">
        <v>0</v>
      </c>
      <c r="EZ161" s="71">
        <v>0</v>
      </c>
      <c r="FA161" s="72">
        <f t="shared" si="2875"/>
        <v>0</v>
      </c>
      <c r="FB161" s="72">
        <f t="shared" si="2876"/>
        <v>0</v>
      </c>
      <c r="FC161" s="70">
        <f t="shared" si="2877"/>
        <v>0</v>
      </c>
      <c r="FD161" s="73">
        <v>0</v>
      </c>
      <c r="FE161" s="74">
        <f t="shared" si="2878"/>
        <v>0</v>
      </c>
      <c r="FF161" s="303">
        <f t="shared" si="2879"/>
        <v>0</v>
      </c>
      <c r="FG161" s="39"/>
      <c r="FH161" s="77"/>
      <c r="FI161" s="28">
        <f t="shared" si="2880"/>
        <v>0</v>
      </c>
      <c r="FJ161" s="28">
        <v>0</v>
      </c>
      <c r="FK161" s="28">
        <f t="shared" si="2881"/>
        <v>0</v>
      </c>
      <c r="FL161" s="28">
        <f t="shared" si="2882"/>
        <v>0</v>
      </c>
      <c r="FM161" s="28">
        <f t="shared" si="2883"/>
        <v>0</v>
      </c>
      <c r="FN161" s="72">
        <f t="shared" si="2884"/>
        <v>0</v>
      </c>
      <c r="FO161" s="72">
        <f t="shared" si="2885"/>
        <v>0</v>
      </c>
      <c r="FP161" s="70">
        <f t="shared" si="2886"/>
        <v>0</v>
      </c>
      <c r="FQ161" s="71">
        <v>0</v>
      </c>
      <c r="FR161" s="71">
        <v>0</v>
      </c>
      <c r="FS161" s="72">
        <f t="shared" si="2887"/>
        <v>0</v>
      </c>
      <c r="FT161" s="72">
        <f t="shared" si="2888"/>
        <v>0</v>
      </c>
      <c r="FU161" s="70">
        <f t="shared" si="2889"/>
        <v>0</v>
      </c>
      <c r="FV161" s="73">
        <v>0</v>
      </c>
      <c r="FW161" s="74">
        <f t="shared" si="2890"/>
        <v>0</v>
      </c>
      <c r="FX161" s="303">
        <f t="shared" si="2891"/>
        <v>0</v>
      </c>
      <c r="FY161" s="39"/>
      <c r="FZ161" s="77"/>
      <c r="GA161" s="28">
        <f t="shared" si="2892"/>
        <v>0</v>
      </c>
      <c r="GB161" s="28">
        <v>0</v>
      </c>
      <c r="GC161" s="28">
        <f t="shared" si="2893"/>
        <v>0</v>
      </c>
      <c r="GD161" s="28">
        <f t="shared" si="2894"/>
        <v>0</v>
      </c>
      <c r="GE161" s="28">
        <f t="shared" si="2895"/>
        <v>0</v>
      </c>
      <c r="GF161" s="72">
        <f t="shared" si="2896"/>
        <v>0</v>
      </c>
      <c r="GG161" s="72">
        <f t="shared" si="2897"/>
        <v>0</v>
      </c>
      <c r="GH161" s="70">
        <f t="shared" si="2898"/>
        <v>0</v>
      </c>
      <c r="GI161" s="71">
        <v>0</v>
      </c>
      <c r="GJ161" s="71">
        <v>0</v>
      </c>
      <c r="GK161" s="72">
        <f t="shared" si="2899"/>
        <v>0</v>
      </c>
      <c r="GL161" s="72">
        <f t="shared" si="2900"/>
        <v>0</v>
      </c>
      <c r="GM161" s="70">
        <f t="shared" si="2901"/>
        <v>0</v>
      </c>
      <c r="GN161" s="73">
        <v>0</v>
      </c>
      <c r="GO161" s="74">
        <f t="shared" si="2902"/>
        <v>0</v>
      </c>
      <c r="GP161" s="303">
        <f t="shared" si="2903"/>
        <v>0</v>
      </c>
      <c r="GQ161" s="39"/>
      <c r="GR161" s="77"/>
      <c r="GS161" s="28">
        <f t="shared" si="2904"/>
        <v>0</v>
      </c>
      <c r="GT161" s="28">
        <v>0</v>
      </c>
      <c r="GU161" s="28">
        <f t="shared" si="2905"/>
        <v>0</v>
      </c>
      <c r="GV161" s="28">
        <f t="shared" si="2906"/>
        <v>0</v>
      </c>
      <c r="GW161" s="28">
        <f t="shared" si="2907"/>
        <v>0</v>
      </c>
      <c r="GX161" s="72">
        <f t="shared" si="2908"/>
        <v>0</v>
      </c>
      <c r="GY161" s="72">
        <f t="shared" si="2909"/>
        <v>0</v>
      </c>
      <c r="GZ161" s="70">
        <f t="shared" si="2910"/>
        <v>0</v>
      </c>
      <c r="HA161" s="71">
        <v>0</v>
      </c>
      <c r="HB161" s="71">
        <v>0</v>
      </c>
      <c r="HC161" s="72">
        <f t="shared" si="2911"/>
        <v>0</v>
      </c>
      <c r="HD161" s="72">
        <f t="shared" si="2912"/>
        <v>0</v>
      </c>
      <c r="HE161" s="70">
        <f t="shared" si="2913"/>
        <v>0</v>
      </c>
      <c r="HF161" s="73">
        <v>0</v>
      </c>
      <c r="HG161" s="74">
        <f t="shared" si="2914"/>
        <v>0</v>
      </c>
      <c r="HH161" s="303">
        <f t="shared" si="2915"/>
        <v>0</v>
      </c>
      <c r="HJ161" s="37"/>
      <c r="HK161" s="37"/>
      <c r="HL161" s="37"/>
      <c r="HM161" s="37"/>
      <c r="HN161" s="37"/>
      <c r="HO161" s="37"/>
      <c r="HP161" s="37"/>
      <c r="HQ161" s="37"/>
      <c r="HR161" s="37"/>
      <c r="HS161" s="37"/>
      <c r="HT161" s="37"/>
      <c r="HU161" s="37"/>
      <c r="HV161" s="37"/>
      <c r="HW161" s="37"/>
      <c r="HX161" s="37"/>
      <c r="HY161" s="37"/>
      <c r="HZ161" s="37"/>
      <c r="IA161" s="37"/>
      <c r="IB161" s="37"/>
      <c r="IC161" s="37"/>
      <c r="ID161" s="37"/>
      <c r="IE161" s="37"/>
      <c r="IF161" s="37"/>
      <c r="IG161" s="37"/>
      <c r="IH161" s="37"/>
      <c r="II161" s="37"/>
      <c r="IJ161" s="37"/>
      <c r="IK161" s="37"/>
      <c r="IL161" s="37"/>
      <c r="IM161" s="37"/>
      <c r="IN161" s="37"/>
      <c r="IO161" s="37"/>
      <c r="IP161" s="37"/>
    </row>
    <row r="162" spans="1:257" ht="15.6" x14ac:dyDescent="0.3">
      <c r="A162" s="39"/>
      <c r="B162" s="77"/>
      <c r="C162" s="28">
        <f t="shared" si="2772"/>
        <v>0</v>
      </c>
      <c r="D162" s="28">
        <v>0</v>
      </c>
      <c r="E162" s="28">
        <f t="shared" si="2773"/>
        <v>0</v>
      </c>
      <c r="F162" s="28">
        <f t="shared" si="2774"/>
        <v>0</v>
      </c>
      <c r="G162" s="28">
        <f t="shared" si="2775"/>
        <v>0</v>
      </c>
      <c r="H162" s="72">
        <f t="shared" si="2776"/>
        <v>0</v>
      </c>
      <c r="I162" s="72">
        <f t="shared" si="2777"/>
        <v>0</v>
      </c>
      <c r="J162" s="70">
        <f t="shared" si="2778"/>
        <v>0</v>
      </c>
      <c r="K162" s="71">
        <v>0</v>
      </c>
      <c r="L162" s="71">
        <v>0</v>
      </c>
      <c r="M162" s="72">
        <f t="shared" si="2779"/>
        <v>0</v>
      </c>
      <c r="N162" s="72">
        <f t="shared" si="2780"/>
        <v>0</v>
      </c>
      <c r="O162" s="70">
        <f t="shared" si="2781"/>
        <v>0</v>
      </c>
      <c r="P162" s="73">
        <v>0</v>
      </c>
      <c r="Q162" s="74">
        <f t="shared" si="2782"/>
        <v>0</v>
      </c>
      <c r="R162" s="303">
        <f t="shared" si="2783"/>
        <v>0</v>
      </c>
      <c r="S162" s="39"/>
      <c r="T162" s="77"/>
      <c r="U162" s="28">
        <f t="shared" si="2784"/>
        <v>0</v>
      </c>
      <c r="V162" s="28">
        <v>0</v>
      </c>
      <c r="W162" s="28">
        <f t="shared" si="2785"/>
        <v>0</v>
      </c>
      <c r="X162" s="28">
        <f t="shared" si="2786"/>
        <v>0</v>
      </c>
      <c r="Y162" s="28">
        <f t="shared" si="2787"/>
        <v>0</v>
      </c>
      <c r="Z162" s="72">
        <f t="shared" si="2788"/>
        <v>0</v>
      </c>
      <c r="AA162" s="72">
        <f t="shared" si="2789"/>
        <v>0</v>
      </c>
      <c r="AB162" s="70">
        <f t="shared" si="2790"/>
        <v>0</v>
      </c>
      <c r="AC162" s="71">
        <v>0</v>
      </c>
      <c r="AD162" s="71">
        <v>0</v>
      </c>
      <c r="AE162" s="72">
        <f t="shared" si="2791"/>
        <v>0</v>
      </c>
      <c r="AF162" s="72">
        <f t="shared" si="2792"/>
        <v>0</v>
      </c>
      <c r="AG162" s="70">
        <f t="shared" si="2793"/>
        <v>0</v>
      </c>
      <c r="AH162" s="73">
        <v>0</v>
      </c>
      <c r="AI162" s="74">
        <f t="shared" si="2794"/>
        <v>0</v>
      </c>
      <c r="AJ162" s="303">
        <f t="shared" si="2795"/>
        <v>0</v>
      </c>
      <c r="AL162" s="77"/>
      <c r="AM162" s="28">
        <f t="shared" si="2796"/>
        <v>0</v>
      </c>
      <c r="AN162" s="28">
        <v>0</v>
      </c>
      <c r="AO162" s="28">
        <f t="shared" si="2797"/>
        <v>0</v>
      </c>
      <c r="AP162" s="28">
        <f t="shared" si="2798"/>
        <v>0</v>
      </c>
      <c r="AQ162" s="28">
        <f t="shared" si="2799"/>
        <v>0</v>
      </c>
      <c r="AR162" s="72">
        <f t="shared" si="2800"/>
        <v>0</v>
      </c>
      <c r="AS162" s="72">
        <f t="shared" si="2801"/>
        <v>0</v>
      </c>
      <c r="AT162" s="70">
        <f t="shared" si="2802"/>
        <v>0</v>
      </c>
      <c r="AU162" s="71">
        <v>0</v>
      </c>
      <c r="AV162" s="71">
        <v>0</v>
      </c>
      <c r="AW162" s="72">
        <f t="shared" si="2803"/>
        <v>0</v>
      </c>
      <c r="AX162" s="72">
        <f t="shared" si="2804"/>
        <v>0</v>
      </c>
      <c r="AY162" s="70">
        <f t="shared" si="2805"/>
        <v>0</v>
      </c>
      <c r="AZ162" s="73">
        <v>0</v>
      </c>
      <c r="BA162" s="74">
        <f t="shared" si="2806"/>
        <v>0</v>
      </c>
      <c r="BB162" s="303">
        <f t="shared" si="2807"/>
        <v>0</v>
      </c>
      <c r="BD162" s="77"/>
      <c r="BE162" s="28">
        <f t="shared" si="2808"/>
        <v>0</v>
      </c>
      <c r="BF162" s="28">
        <v>0</v>
      </c>
      <c r="BG162" s="28">
        <f t="shared" si="2809"/>
        <v>0</v>
      </c>
      <c r="BH162" s="28">
        <f t="shared" si="2810"/>
        <v>0</v>
      </c>
      <c r="BI162" s="28">
        <f t="shared" si="2811"/>
        <v>0</v>
      </c>
      <c r="BJ162" s="72">
        <f t="shared" si="2812"/>
        <v>0</v>
      </c>
      <c r="BK162" s="72">
        <f t="shared" si="2813"/>
        <v>0</v>
      </c>
      <c r="BL162" s="70">
        <f t="shared" si="2814"/>
        <v>0</v>
      </c>
      <c r="BM162" s="71">
        <v>0</v>
      </c>
      <c r="BN162" s="71">
        <v>0</v>
      </c>
      <c r="BO162" s="72">
        <f t="shared" si="2815"/>
        <v>0</v>
      </c>
      <c r="BP162" s="72">
        <f t="shared" si="2816"/>
        <v>0</v>
      </c>
      <c r="BQ162" s="70">
        <f t="shared" si="2817"/>
        <v>0</v>
      </c>
      <c r="BR162" s="73">
        <v>0</v>
      </c>
      <c r="BS162" s="74">
        <f t="shared" si="2818"/>
        <v>0</v>
      </c>
      <c r="BT162" s="303">
        <f t="shared" si="2819"/>
        <v>0</v>
      </c>
      <c r="BV162" s="77"/>
      <c r="BW162" s="28">
        <f t="shared" si="2820"/>
        <v>0</v>
      </c>
      <c r="BX162" s="28">
        <v>0</v>
      </c>
      <c r="BY162" s="28">
        <f t="shared" si="2821"/>
        <v>0</v>
      </c>
      <c r="BZ162" s="28">
        <f t="shared" si="2822"/>
        <v>0</v>
      </c>
      <c r="CA162" s="28">
        <f t="shared" si="2823"/>
        <v>0</v>
      </c>
      <c r="CB162" s="72">
        <f t="shared" si="2824"/>
        <v>0</v>
      </c>
      <c r="CC162" s="72">
        <f t="shared" si="2825"/>
        <v>0</v>
      </c>
      <c r="CD162" s="70">
        <f t="shared" si="2826"/>
        <v>0</v>
      </c>
      <c r="CE162" s="71">
        <v>0</v>
      </c>
      <c r="CF162" s="71">
        <v>0</v>
      </c>
      <c r="CG162" s="72">
        <f t="shared" si="2827"/>
        <v>0</v>
      </c>
      <c r="CH162" s="72">
        <f t="shared" si="2828"/>
        <v>0</v>
      </c>
      <c r="CI162" s="70">
        <f t="shared" si="2829"/>
        <v>0</v>
      </c>
      <c r="CJ162" s="73">
        <v>0</v>
      </c>
      <c r="CK162" s="74">
        <f t="shared" si="2830"/>
        <v>0</v>
      </c>
      <c r="CL162" s="303">
        <f t="shared" si="2831"/>
        <v>0</v>
      </c>
      <c r="CN162" s="77"/>
      <c r="CO162" s="28">
        <f t="shared" si="2832"/>
        <v>0</v>
      </c>
      <c r="CP162" s="28">
        <v>0</v>
      </c>
      <c r="CQ162" s="28">
        <f t="shared" si="2833"/>
        <v>0</v>
      </c>
      <c r="CR162" s="28">
        <f t="shared" si="2834"/>
        <v>0</v>
      </c>
      <c r="CS162" s="28">
        <f t="shared" si="2835"/>
        <v>0</v>
      </c>
      <c r="CT162" s="72">
        <f t="shared" si="2836"/>
        <v>0</v>
      </c>
      <c r="CU162" s="72">
        <f t="shared" si="2837"/>
        <v>0</v>
      </c>
      <c r="CV162" s="70">
        <f t="shared" si="2838"/>
        <v>0</v>
      </c>
      <c r="CW162" s="71">
        <v>0</v>
      </c>
      <c r="CX162" s="71">
        <v>0</v>
      </c>
      <c r="CY162" s="72">
        <f t="shared" si="2839"/>
        <v>0</v>
      </c>
      <c r="CZ162" s="72">
        <f t="shared" si="2840"/>
        <v>0</v>
      </c>
      <c r="DA162" s="70">
        <f t="shared" si="2841"/>
        <v>0</v>
      </c>
      <c r="DB162" s="73">
        <v>0</v>
      </c>
      <c r="DC162" s="74">
        <f t="shared" si="2842"/>
        <v>0</v>
      </c>
      <c r="DD162" s="303">
        <f t="shared" si="2843"/>
        <v>0</v>
      </c>
      <c r="DE162" s="39"/>
      <c r="DF162" s="77"/>
      <c r="DG162" s="28">
        <f t="shared" si="2844"/>
        <v>0</v>
      </c>
      <c r="DH162" s="28">
        <v>0</v>
      </c>
      <c r="DI162" s="28">
        <f t="shared" si="2845"/>
        <v>0</v>
      </c>
      <c r="DJ162" s="28">
        <f t="shared" si="2846"/>
        <v>0</v>
      </c>
      <c r="DK162" s="28">
        <f t="shared" si="2847"/>
        <v>0</v>
      </c>
      <c r="DL162" s="72">
        <f t="shared" si="2848"/>
        <v>0</v>
      </c>
      <c r="DM162" s="72">
        <f t="shared" si="2849"/>
        <v>0</v>
      </c>
      <c r="DN162" s="70">
        <f t="shared" si="2850"/>
        <v>0</v>
      </c>
      <c r="DO162" s="71">
        <v>0</v>
      </c>
      <c r="DP162" s="71">
        <v>0</v>
      </c>
      <c r="DQ162" s="72">
        <f t="shared" si="2851"/>
        <v>0</v>
      </c>
      <c r="DR162" s="72">
        <f t="shared" si="2852"/>
        <v>0</v>
      </c>
      <c r="DS162" s="70">
        <f t="shared" si="2853"/>
        <v>0</v>
      </c>
      <c r="DT162" s="73">
        <v>0</v>
      </c>
      <c r="DU162" s="74">
        <f t="shared" si="2854"/>
        <v>0</v>
      </c>
      <c r="DV162" s="303">
        <f t="shared" si="2855"/>
        <v>0</v>
      </c>
      <c r="DW162" s="39"/>
      <c r="DX162" s="77"/>
      <c r="DY162" s="28">
        <f t="shared" si="2856"/>
        <v>0</v>
      </c>
      <c r="DZ162" s="28">
        <v>0</v>
      </c>
      <c r="EA162" s="28">
        <f t="shared" si="2857"/>
        <v>0</v>
      </c>
      <c r="EB162" s="28">
        <f t="shared" si="2858"/>
        <v>0</v>
      </c>
      <c r="EC162" s="28">
        <f t="shared" si="2859"/>
        <v>0</v>
      </c>
      <c r="ED162" s="72">
        <f t="shared" si="2860"/>
        <v>0</v>
      </c>
      <c r="EE162" s="72">
        <f t="shared" si="2861"/>
        <v>0</v>
      </c>
      <c r="EF162" s="70">
        <f t="shared" si="2862"/>
        <v>0</v>
      </c>
      <c r="EG162" s="71">
        <v>0</v>
      </c>
      <c r="EH162" s="71">
        <v>0</v>
      </c>
      <c r="EI162" s="72">
        <f t="shared" si="2863"/>
        <v>0</v>
      </c>
      <c r="EJ162" s="72">
        <f t="shared" si="2864"/>
        <v>0</v>
      </c>
      <c r="EK162" s="70">
        <f t="shared" si="2865"/>
        <v>0</v>
      </c>
      <c r="EL162" s="73">
        <v>0</v>
      </c>
      <c r="EM162" s="74">
        <f t="shared" si="2866"/>
        <v>0</v>
      </c>
      <c r="EN162" s="303">
        <f t="shared" si="2867"/>
        <v>0</v>
      </c>
      <c r="EO162" s="39"/>
      <c r="EP162" s="77"/>
      <c r="EQ162" s="28">
        <f t="shared" si="2868"/>
        <v>0</v>
      </c>
      <c r="ER162" s="28">
        <v>0</v>
      </c>
      <c r="ES162" s="28">
        <f t="shared" si="2869"/>
        <v>0</v>
      </c>
      <c r="ET162" s="28">
        <f t="shared" si="2870"/>
        <v>0</v>
      </c>
      <c r="EU162" s="28">
        <f t="shared" si="2871"/>
        <v>0</v>
      </c>
      <c r="EV162" s="72">
        <f t="shared" si="2872"/>
        <v>0</v>
      </c>
      <c r="EW162" s="72">
        <f t="shared" si="2873"/>
        <v>0</v>
      </c>
      <c r="EX162" s="70">
        <f t="shared" si="2874"/>
        <v>0</v>
      </c>
      <c r="EY162" s="71">
        <v>0</v>
      </c>
      <c r="EZ162" s="71">
        <v>0</v>
      </c>
      <c r="FA162" s="72">
        <f t="shared" si="2875"/>
        <v>0</v>
      </c>
      <c r="FB162" s="72">
        <f t="shared" si="2876"/>
        <v>0</v>
      </c>
      <c r="FC162" s="70">
        <f t="shared" si="2877"/>
        <v>0</v>
      </c>
      <c r="FD162" s="73">
        <v>0</v>
      </c>
      <c r="FE162" s="74">
        <f t="shared" si="2878"/>
        <v>0</v>
      </c>
      <c r="FF162" s="303">
        <f t="shared" si="2879"/>
        <v>0</v>
      </c>
      <c r="FG162" s="39"/>
      <c r="FH162" s="77"/>
      <c r="FI162" s="28">
        <f t="shared" si="2880"/>
        <v>0</v>
      </c>
      <c r="FJ162" s="28">
        <v>0</v>
      </c>
      <c r="FK162" s="28">
        <f t="shared" si="2881"/>
        <v>0</v>
      </c>
      <c r="FL162" s="28">
        <f t="shared" si="2882"/>
        <v>0</v>
      </c>
      <c r="FM162" s="28">
        <f t="shared" si="2883"/>
        <v>0</v>
      </c>
      <c r="FN162" s="72">
        <f t="shared" si="2884"/>
        <v>0</v>
      </c>
      <c r="FO162" s="72">
        <f t="shared" si="2885"/>
        <v>0</v>
      </c>
      <c r="FP162" s="70">
        <f t="shared" si="2886"/>
        <v>0</v>
      </c>
      <c r="FQ162" s="71">
        <v>0</v>
      </c>
      <c r="FR162" s="71">
        <v>0</v>
      </c>
      <c r="FS162" s="72">
        <f t="shared" si="2887"/>
        <v>0</v>
      </c>
      <c r="FT162" s="72">
        <f t="shared" si="2888"/>
        <v>0</v>
      </c>
      <c r="FU162" s="70">
        <f t="shared" si="2889"/>
        <v>0</v>
      </c>
      <c r="FV162" s="73">
        <v>0</v>
      </c>
      <c r="FW162" s="74">
        <f t="shared" si="2890"/>
        <v>0</v>
      </c>
      <c r="FX162" s="303">
        <f t="shared" si="2891"/>
        <v>0</v>
      </c>
      <c r="FY162" s="39"/>
      <c r="FZ162" s="77"/>
      <c r="GA162" s="28">
        <f t="shared" si="2892"/>
        <v>0</v>
      </c>
      <c r="GB162" s="28">
        <v>0</v>
      </c>
      <c r="GC162" s="28">
        <f t="shared" si="2893"/>
        <v>0</v>
      </c>
      <c r="GD162" s="28">
        <f t="shared" si="2894"/>
        <v>0</v>
      </c>
      <c r="GE162" s="28">
        <f t="shared" si="2895"/>
        <v>0</v>
      </c>
      <c r="GF162" s="72">
        <f t="shared" si="2896"/>
        <v>0</v>
      </c>
      <c r="GG162" s="72">
        <f t="shared" si="2897"/>
        <v>0</v>
      </c>
      <c r="GH162" s="70">
        <f t="shared" si="2898"/>
        <v>0</v>
      </c>
      <c r="GI162" s="71">
        <v>0</v>
      </c>
      <c r="GJ162" s="71">
        <v>0</v>
      </c>
      <c r="GK162" s="72">
        <f t="shared" si="2899"/>
        <v>0</v>
      </c>
      <c r="GL162" s="72">
        <f t="shared" si="2900"/>
        <v>0</v>
      </c>
      <c r="GM162" s="70">
        <f t="shared" si="2901"/>
        <v>0</v>
      </c>
      <c r="GN162" s="73">
        <v>0</v>
      </c>
      <c r="GO162" s="74">
        <f t="shared" si="2902"/>
        <v>0</v>
      </c>
      <c r="GP162" s="303">
        <f t="shared" si="2903"/>
        <v>0</v>
      </c>
      <c r="GQ162" s="39"/>
      <c r="GR162" s="77"/>
      <c r="GS162" s="28">
        <f t="shared" si="2904"/>
        <v>0</v>
      </c>
      <c r="GT162" s="28">
        <v>0</v>
      </c>
      <c r="GU162" s="28">
        <f t="shared" si="2905"/>
        <v>0</v>
      </c>
      <c r="GV162" s="28">
        <f t="shared" si="2906"/>
        <v>0</v>
      </c>
      <c r="GW162" s="28">
        <f t="shared" si="2907"/>
        <v>0</v>
      </c>
      <c r="GX162" s="72">
        <f t="shared" si="2908"/>
        <v>0</v>
      </c>
      <c r="GY162" s="72">
        <f t="shared" si="2909"/>
        <v>0</v>
      </c>
      <c r="GZ162" s="70">
        <f t="shared" si="2910"/>
        <v>0</v>
      </c>
      <c r="HA162" s="71">
        <v>0</v>
      </c>
      <c r="HB162" s="71">
        <v>0</v>
      </c>
      <c r="HC162" s="72">
        <f t="shared" si="2911"/>
        <v>0</v>
      </c>
      <c r="HD162" s="72">
        <f t="shared" si="2912"/>
        <v>0</v>
      </c>
      <c r="HE162" s="70">
        <f t="shared" si="2913"/>
        <v>0</v>
      </c>
      <c r="HF162" s="73">
        <v>0</v>
      </c>
      <c r="HG162" s="74">
        <f t="shared" si="2914"/>
        <v>0</v>
      </c>
      <c r="HH162" s="303">
        <f t="shared" si="2915"/>
        <v>0</v>
      </c>
      <c r="HJ162" s="37"/>
      <c r="HK162" s="37"/>
      <c r="HL162" s="37"/>
      <c r="HM162" s="37"/>
      <c r="HN162" s="37"/>
      <c r="HO162" s="37"/>
      <c r="HP162" s="37"/>
      <c r="HQ162" s="37"/>
      <c r="HR162" s="37"/>
      <c r="HS162" s="37"/>
      <c r="HT162" s="37"/>
      <c r="HU162" s="37"/>
      <c r="HV162" s="37"/>
      <c r="HW162" s="37"/>
      <c r="HX162" s="37"/>
      <c r="HY162" s="37"/>
      <c r="HZ162" s="37"/>
      <c r="IA162" s="37"/>
      <c r="IB162" s="37"/>
      <c r="IC162" s="37"/>
      <c r="ID162" s="37"/>
      <c r="IE162" s="37"/>
      <c r="IF162" s="37"/>
      <c r="IG162" s="37"/>
      <c r="IH162" s="37"/>
      <c r="II162" s="37"/>
      <c r="IJ162" s="37"/>
      <c r="IK162" s="37"/>
      <c r="IL162" s="37"/>
      <c r="IM162" s="37"/>
      <c r="IN162" s="37"/>
      <c r="IO162" s="37"/>
      <c r="IP162" s="37"/>
    </row>
    <row r="163" spans="1:257" x14ac:dyDescent="0.3">
      <c r="A163" s="39"/>
      <c r="B163" s="68"/>
      <c r="C163" s="28">
        <f t="shared" si="2772"/>
        <v>0</v>
      </c>
      <c r="D163" s="28">
        <v>0</v>
      </c>
      <c r="E163" s="28">
        <f t="shared" si="2773"/>
        <v>0</v>
      </c>
      <c r="F163" s="28">
        <f t="shared" si="2774"/>
        <v>0</v>
      </c>
      <c r="G163" s="28">
        <f t="shared" si="2775"/>
        <v>0</v>
      </c>
      <c r="H163" s="72">
        <f t="shared" si="2776"/>
        <v>0</v>
      </c>
      <c r="I163" s="72">
        <f t="shared" si="2777"/>
        <v>0</v>
      </c>
      <c r="J163" s="70">
        <f t="shared" si="2778"/>
        <v>0</v>
      </c>
      <c r="K163" s="71">
        <v>0</v>
      </c>
      <c r="L163" s="71">
        <v>0</v>
      </c>
      <c r="M163" s="72">
        <f t="shared" si="2779"/>
        <v>0</v>
      </c>
      <c r="N163" s="72">
        <f t="shared" si="2780"/>
        <v>0</v>
      </c>
      <c r="O163" s="70">
        <f t="shared" si="2781"/>
        <v>0</v>
      </c>
      <c r="P163" s="73">
        <v>0</v>
      </c>
      <c r="Q163" s="74">
        <f t="shared" si="2782"/>
        <v>0</v>
      </c>
      <c r="R163" s="303">
        <f t="shared" si="2783"/>
        <v>0</v>
      </c>
      <c r="S163" s="39"/>
      <c r="T163" s="68"/>
      <c r="U163" s="28">
        <f t="shared" si="2784"/>
        <v>0</v>
      </c>
      <c r="V163" s="28">
        <v>0</v>
      </c>
      <c r="W163" s="28">
        <f t="shared" si="2785"/>
        <v>0</v>
      </c>
      <c r="X163" s="28">
        <f t="shared" si="2786"/>
        <v>0</v>
      </c>
      <c r="Y163" s="28">
        <f t="shared" si="2787"/>
        <v>0</v>
      </c>
      <c r="Z163" s="72">
        <f t="shared" si="2788"/>
        <v>0</v>
      </c>
      <c r="AA163" s="72">
        <f t="shared" si="2789"/>
        <v>0</v>
      </c>
      <c r="AB163" s="70">
        <f t="shared" si="2790"/>
        <v>0</v>
      </c>
      <c r="AC163" s="71">
        <v>0</v>
      </c>
      <c r="AD163" s="71">
        <v>0</v>
      </c>
      <c r="AE163" s="72">
        <f t="shared" si="2791"/>
        <v>0</v>
      </c>
      <c r="AF163" s="72">
        <f t="shared" si="2792"/>
        <v>0</v>
      </c>
      <c r="AG163" s="70">
        <f t="shared" si="2793"/>
        <v>0</v>
      </c>
      <c r="AH163" s="73">
        <v>0</v>
      </c>
      <c r="AI163" s="74">
        <f t="shared" si="2794"/>
        <v>0</v>
      </c>
      <c r="AJ163" s="303">
        <f t="shared" si="2795"/>
        <v>0</v>
      </c>
      <c r="AL163" s="68"/>
      <c r="AM163" s="28">
        <f t="shared" si="2796"/>
        <v>0</v>
      </c>
      <c r="AN163" s="28">
        <v>0</v>
      </c>
      <c r="AO163" s="28">
        <f t="shared" si="2797"/>
        <v>0</v>
      </c>
      <c r="AP163" s="28">
        <f t="shared" si="2798"/>
        <v>0</v>
      </c>
      <c r="AQ163" s="28">
        <f t="shared" si="2799"/>
        <v>0</v>
      </c>
      <c r="AR163" s="72">
        <f t="shared" si="2800"/>
        <v>0</v>
      </c>
      <c r="AS163" s="72">
        <f t="shared" si="2801"/>
        <v>0</v>
      </c>
      <c r="AT163" s="70">
        <f t="shared" si="2802"/>
        <v>0</v>
      </c>
      <c r="AU163" s="71">
        <v>0</v>
      </c>
      <c r="AV163" s="71">
        <v>0</v>
      </c>
      <c r="AW163" s="72">
        <f t="shared" si="2803"/>
        <v>0</v>
      </c>
      <c r="AX163" s="72">
        <f t="shared" si="2804"/>
        <v>0</v>
      </c>
      <c r="AY163" s="70">
        <f t="shared" si="2805"/>
        <v>0</v>
      </c>
      <c r="AZ163" s="73">
        <v>0</v>
      </c>
      <c r="BA163" s="74">
        <f t="shared" si="2806"/>
        <v>0</v>
      </c>
      <c r="BB163" s="303">
        <f t="shared" si="2807"/>
        <v>0</v>
      </c>
      <c r="BD163" s="68"/>
      <c r="BE163" s="28">
        <f t="shared" si="2808"/>
        <v>0</v>
      </c>
      <c r="BF163" s="28">
        <v>0</v>
      </c>
      <c r="BG163" s="28">
        <f t="shared" si="2809"/>
        <v>0</v>
      </c>
      <c r="BH163" s="28">
        <f t="shared" si="2810"/>
        <v>0</v>
      </c>
      <c r="BI163" s="28">
        <f t="shared" si="2811"/>
        <v>0</v>
      </c>
      <c r="BJ163" s="72">
        <f t="shared" si="2812"/>
        <v>0</v>
      </c>
      <c r="BK163" s="72">
        <f t="shared" si="2813"/>
        <v>0</v>
      </c>
      <c r="BL163" s="70">
        <f t="shared" si="2814"/>
        <v>0</v>
      </c>
      <c r="BM163" s="71">
        <v>0</v>
      </c>
      <c r="BN163" s="71">
        <v>0</v>
      </c>
      <c r="BO163" s="72">
        <f t="shared" si="2815"/>
        <v>0</v>
      </c>
      <c r="BP163" s="72">
        <f t="shared" si="2816"/>
        <v>0</v>
      </c>
      <c r="BQ163" s="70">
        <f t="shared" si="2817"/>
        <v>0</v>
      </c>
      <c r="BR163" s="73">
        <v>0</v>
      </c>
      <c r="BS163" s="74">
        <f t="shared" si="2818"/>
        <v>0</v>
      </c>
      <c r="BT163" s="303">
        <f t="shared" si="2819"/>
        <v>0</v>
      </c>
      <c r="BV163" s="68"/>
      <c r="BW163" s="28">
        <f t="shared" si="2820"/>
        <v>0</v>
      </c>
      <c r="BX163" s="28">
        <v>0</v>
      </c>
      <c r="BY163" s="28">
        <f t="shared" si="2821"/>
        <v>0</v>
      </c>
      <c r="BZ163" s="28">
        <f t="shared" si="2822"/>
        <v>0</v>
      </c>
      <c r="CA163" s="28">
        <f t="shared" si="2823"/>
        <v>0</v>
      </c>
      <c r="CB163" s="72">
        <f t="shared" si="2824"/>
        <v>0</v>
      </c>
      <c r="CC163" s="72">
        <f t="shared" si="2825"/>
        <v>0</v>
      </c>
      <c r="CD163" s="70">
        <f t="shared" si="2826"/>
        <v>0</v>
      </c>
      <c r="CE163" s="71">
        <v>0</v>
      </c>
      <c r="CF163" s="71">
        <v>0</v>
      </c>
      <c r="CG163" s="72">
        <f t="shared" si="2827"/>
        <v>0</v>
      </c>
      <c r="CH163" s="72">
        <f t="shared" si="2828"/>
        <v>0</v>
      </c>
      <c r="CI163" s="70">
        <f t="shared" si="2829"/>
        <v>0</v>
      </c>
      <c r="CJ163" s="73">
        <v>0</v>
      </c>
      <c r="CK163" s="74">
        <f t="shared" si="2830"/>
        <v>0</v>
      </c>
      <c r="CL163" s="303">
        <f t="shared" si="2831"/>
        <v>0</v>
      </c>
      <c r="CN163" s="68"/>
      <c r="CO163" s="28">
        <f t="shared" si="2832"/>
        <v>0</v>
      </c>
      <c r="CP163" s="28">
        <v>0</v>
      </c>
      <c r="CQ163" s="28">
        <f t="shared" si="2833"/>
        <v>0</v>
      </c>
      <c r="CR163" s="28">
        <f t="shared" si="2834"/>
        <v>0</v>
      </c>
      <c r="CS163" s="28">
        <f t="shared" si="2835"/>
        <v>0</v>
      </c>
      <c r="CT163" s="72">
        <f t="shared" si="2836"/>
        <v>0</v>
      </c>
      <c r="CU163" s="72">
        <f t="shared" si="2837"/>
        <v>0</v>
      </c>
      <c r="CV163" s="70">
        <f t="shared" si="2838"/>
        <v>0</v>
      </c>
      <c r="CW163" s="71">
        <v>0</v>
      </c>
      <c r="CX163" s="71">
        <v>0</v>
      </c>
      <c r="CY163" s="72">
        <f t="shared" si="2839"/>
        <v>0</v>
      </c>
      <c r="CZ163" s="72">
        <f t="shared" si="2840"/>
        <v>0</v>
      </c>
      <c r="DA163" s="70">
        <f t="shared" si="2841"/>
        <v>0</v>
      </c>
      <c r="DB163" s="73">
        <v>0</v>
      </c>
      <c r="DC163" s="74">
        <f t="shared" si="2842"/>
        <v>0</v>
      </c>
      <c r="DD163" s="303">
        <f t="shared" si="2843"/>
        <v>0</v>
      </c>
      <c r="DE163" s="39"/>
      <c r="DF163" s="68"/>
      <c r="DG163" s="28">
        <f t="shared" si="2844"/>
        <v>0</v>
      </c>
      <c r="DH163" s="28">
        <v>0</v>
      </c>
      <c r="DI163" s="28">
        <f t="shared" si="2845"/>
        <v>0</v>
      </c>
      <c r="DJ163" s="28">
        <f t="shared" si="2846"/>
        <v>0</v>
      </c>
      <c r="DK163" s="28">
        <f t="shared" si="2847"/>
        <v>0</v>
      </c>
      <c r="DL163" s="72">
        <f t="shared" si="2848"/>
        <v>0</v>
      </c>
      <c r="DM163" s="72">
        <f t="shared" si="2849"/>
        <v>0</v>
      </c>
      <c r="DN163" s="70">
        <f t="shared" si="2850"/>
        <v>0</v>
      </c>
      <c r="DO163" s="71">
        <v>0</v>
      </c>
      <c r="DP163" s="71">
        <v>0</v>
      </c>
      <c r="DQ163" s="72">
        <f t="shared" si="2851"/>
        <v>0</v>
      </c>
      <c r="DR163" s="72">
        <f t="shared" si="2852"/>
        <v>0</v>
      </c>
      <c r="DS163" s="70">
        <f t="shared" si="2853"/>
        <v>0</v>
      </c>
      <c r="DT163" s="73">
        <v>0</v>
      </c>
      <c r="DU163" s="74">
        <f t="shared" si="2854"/>
        <v>0</v>
      </c>
      <c r="DV163" s="303">
        <f t="shared" si="2855"/>
        <v>0</v>
      </c>
      <c r="DW163" s="39"/>
      <c r="DX163" s="68"/>
      <c r="DY163" s="28">
        <f t="shared" si="2856"/>
        <v>0</v>
      </c>
      <c r="DZ163" s="28">
        <v>0</v>
      </c>
      <c r="EA163" s="28">
        <f t="shared" si="2857"/>
        <v>0</v>
      </c>
      <c r="EB163" s="28">
        <f t="shared" si="2858"/>
        <v>0</v>
      </c>
      <c r="EC163" s="28">
        <f t="shared" si="2859"/>
        <v>0</v>
      </c>
      <c r="ED163" s="72">
        <f t="shared" si="2860"/>
        <v>0</v>
      </c>
      <c r="EE163" s="72">
        <f t="shared" si="2861"/>
        <v>0</v>
      </c>
      <c r="EF163" s="70">
        <f t="shared" si="2862"/>
        <v>0</v>
      </c>
      <c r="EG163" s="71">
        <v>0</v>
      </c>
      <c r="EH163" s="71">
        <v>0</v>
      </c>
      <c r="EI163" s="72">
        <f t="shared" si="2863"/>
        <v>0</v>
      </c>
      <c r="EJ163" s="72">
        <f t="shared" si="2864"/>
        <v>0</v>
      </c>
      <c r="EK163" s="70">
        <f t="shared" si="2865"/>
        <v>0</v>
      </c>
      <c r="EL163" s="73">
        <v>0</v>
      </c>
      <c r="EM163" s="74">
        <f t="shared" si="2866"/>
        <v>0</v>
      </c>
      <c r="EN163" s="303">
        <f t="shared" si="2867"/>
        <v>0</v>
      </c>
      <c r="EO163" s="39"/>
      <c r="EP163" s="68"/>
      <c r="EQ163" s="28">
        <f t="shared" si="2868"/>
        <v>0</v>
      </c>
      <c r="ER163" s="28">
        <v>0</v>
      </c>
      <c r="ES163" s="28">
        <f t="shared" si="2869"/>
        <v>0</v>
      </c>
      <c r="ET163" s="28">
        <f t="shared" si="2870"/>
        <v>0</v>
      </c>
      <c r="EU163" s="28">
        <f t="shared" si="2871"/>
        <v>0</v>
      </c>
      <c r="EV163" s="72">
        <f t="shared" si="2872"/>
        <v>0</v>
      </c>
      <c r="EW163" s="72">
        <f t="shared" si="2873"/>
        <v>0</v>
      </c>
      <c r="EX163" s="70">
        <f t="shared" si="2874"/>
        <v>0</v>
      </c>
      <c r="EY163" s="71">
        <v>0</v>
      </c>
      <c r="EZ163" s="71">
        <v>0</v>
      </c>
      <c r="FA163" s="72">
        <f t="shared" si="2875"/>
        <v>0</v>
      </c>
      <c r="FB163" s="72">
        <f t="shared" si="2876"/>
        <v>0</v>
      </c>
      <c r="FC163" s="70">
        <f t="shared" si="2877"/>
        <v>0</v>
      </c>
      <c r="FD163" s="73">
        <v>0</v>
      </c>
      <c r="FE163" s="74">
        <f t="shared" si="2878"/>
        <v>0</v>
      </c>
      <c r="FF163" s="303">
        <f t="shared" si="2879"/>
        <v>0</v>
      </c>
      <c r="FG163" s="39"/>
      <c r="FH163" s="68"/>
      <c r="FI163" s="28">
        <f t="shared" si="2880"/>
        <v>0</v>
      </c>
      <c r="FJ163" s="28">
        <v>0</v>
      </c>
      <c r="FK163" s="28">
        <f t="shared" si="2881"/>
        <v>0</v>
      </c>
      <c r="FL163" s="28">
        <f t="shared" si="2882"/>
        <v>0</v>
      </c>
      <c r="FM163" s="28">
        <f t="shared" si="2883"/>
        <v>0</v>
      </c>
      <c r="FN163" s="72">
        <f t="shared" si="2884"/>
        <v>0</v>
      </c>
      <c r="FO163" s="72">
        <f t="shared" si="2885"/>
        <v>0</v>
      </c>
      <c r="FP163" s="70">
        <f t="shared" si="2886"/>
        <v>0</v>
      </c>
      <c r="FQ163" s="71">
        <v>0</v>
      </c>
      <c r="FR163" s="71">
        <v>0</v>
      </c>
      <c r="FS163" s="72">
        <f t="shared" si="2887"/>
        <v>0</v>
      </c>
      <c r="FT163" s="72">
        <f t="shared" si="2888"/>
        <v>0</v>
      </c>
      <c r="FU163" s="70">
        <f t="shared" si="2889"/>
        <v>0</v>
      </c>
      <c r="FV163" s="73">
        <v>0</v>
      </c>
      <c r="FW163" s="74">
        <f t="shared" si="2890"/>
        <v>0</v>
      </c>
      <c r="FX163" s="303">
        <f t="shared" si="2891"/>
        <v>0</v>
      </c>
      <c r="FY163" s="39"/>
      <c r="FZ163" s="68"/>
      <c r="GA163" s="28">
        <f t="shared" si="2892"/>
        <v>0</v>
      </c>
      <c r="GB163" s="28">
        <v>0</v>
      </c>
      <c r="GC163" s="28">
        <f t="shared" si="2893"/>
        <v>0</v>
      </c>
      <c r="GD163" s="28">
        <f t="shared" si="2894"/>
        <v>0</v>
      </c>
      <c r="GE163" s="28">
        <f t="shared" si="2895"/>
        <v>0</v>
      </c>
      <c r="GF163" s="72">
        <f t="shared" si="2896"/>
        <v>0</v>
      </c>
      <c r="GG163" s="72">
        <f t="shared" si="2897"/>
        <v>0</v>
      </c>
      <c r="GH163" s="70">
        <f t="shared" si="2898"/>
        <v>0</v>
      </c>
      <c r="GI163" s="71">
        <v>0</v>
      </c>
      <c r="GJ163" s="71">
        <v>0</v>
      </c>
      <c r="GK163" s="72">
        <f t="shared" si="2899"/>
        <v>0</v>
      </c>
      <c r="GL163" s="72">
        <f t="shared" si="2900"/>
        <v>0</v>
      </c>
      <c r="GM163" s="70">
        <f t="shared" si="2901"/>
        <v>0</v>
      </c>
      <c r="GN163" s="73">
        <v>0</v>
      </c>
      <c r="GO163" s="74">
        <f t="shared" si="2902"/>
        <v>0</v>
      </c>
      <c r="GP163" s="303">
        <f t="shared" si="2903"/>
        <v>0</v>
      </c>
      <c r="GQ163" s="39"/>
      <c r="GR163" s="68"/>
      <c r="GS163" s="28">
        <f t="shared" si="2904"/>
        <v>0</v>
      </c>
      <c r="GT163" s="28">
        <v>0</v>
      </c>
      <c r="GU163" s="28">
        <f t="shared" si="2905"/>
        <v>0</v>
      </c>
      <c r="GV163" s="28">
        <f t="shared" si="2906"/>
        <v>0</v>
      </c>
      <c r="GW163" s="28">
        <f t="shared" si="2907"/>
        <v>0</v>
      </c>
      <c r="GX163" s="72">
        <f t="shared" si="2908"/>
        <v>0</v>
      </c>
      <c r="GY163" s="72">
        <f t="shared" si="2909"/>
        <v>0</v>
      </c>
      <c r="GZ163" s="70">
        <f t="shared" si="2910"/>
        <v>0</v>
      </c>
      <c r="HA163" s="71">
        <v>0</v>
      </c>
      <c r="HB163" s="71">
        <v>0</v>
      </c>
      <c r="HC163" s="72">
        <f t="shared" si="2911"/>
        <v>0</v>
      </c>
      <c r="HD163" s="72">
        <f t="shared" si="2912"/>
        <v>0</v>
      </c>
      <c r="HE163" s="70">
        <f t="shared" si="2913"/>
        <v>0</v>
      </c>
      <c r="HF163" s="73">
        <v>0</v>
      </c>
      <c r="HG163" s="74">
        <f t="shared" si="2914"/>
        <v>0</v>
      </c>
      <c r="HH163" s="303">
        <f t="shared" si="2915"/>
        <v>0</v>
      </c>
      <c r="HJ163" s="37"/>
      <c r="HK163" s="37"/>
      <c r="HL163" s="37"/>
      <c r="HM163" s="37"/>
      <c r="HN163" s="37"/>
      <c r="HO163" s="37"/>
      <c r="HP163" s="37"/>
      <c r="HQ163" s="37"/>
      <c r="HR163" s="37"/>
      <c r="HS163" s="37"/>
      <c r="HT163" s="37"/>
      <c r="HU163" s="37"/>
      <c r="HV163" s="37"/>
      <c r="HW163" s="37"/>
      <c r="HX163" s="37"/>
      <c r="HY163" s="37"/>
      <c r="HZ163" s="37"/>
      <c r="IA163" s="37"/>
      <c r="IB163" s="37"/>
      <c r="IC163" s="37"/>
      <c r="ID163" s="37"/>
      <c r="IE163" s="37"/>
      <c r="IF163" s="37"/>
      <c r="IG163" s="37"/>
      <c r="IH163" s="37"/>
      <c r="II163" s="37"/>
      <c r="IJ163" s="37"/>
      <c r="IK163" s="37"/>
      <c r="IL163" s="37"/>
      <c r="IM163" s="37"/>
      <c r="IN163" s="37"/>
      <c r="IO163" s="37"/>
      <c r="IP163" s="37"/>
    </row>
    <row r="164" spans="1:257" x14ac:dyDescent="0.3">
      <c r="A164" s="39"/>
      <c r="B164" s="68"/>
      <c r="C164" s="28">
        <f t="shared" si="2772"/>
        <v>0</v>
      </c>
      <c r="D164" s="28">
        <v>0</v>
      </c>
      <c r="E164" s="28">
        <f t="shared" si="2773"/>
        <v>0</v>
      </c>
      <c r="F164" s="28">
        <f t="shared" si="2774"/>
        <v>0</v>
      </c>
      <c r="G164" s="28">
        <f t="shared" si="2775"/>
        <v>0</v>
      </c>
      <c r="H164" s="72">
        <f t="shared" si="2776"/>
        <v>0</v>
      </c>
      <c r="I164" s="72">
        <f t="shared" si="2777"/>
        <v>0</v>
      </c>
      <c r="J164" s="70">
        <f t="shared" si="2778"/>
        <v>0</v>
      </c>
      <c r="K164" s="71">
        <v>0</v>
      </c>
      <c r="L164" s="71">
        <v>0</v>
      </c>
      <c r="M164" s="72">
        <f t="shared" si="2779"/>
        <v>0</v>
      </c>
      <c r="N164" s="72">
        <f t="shared" si="2780"/>
        <v>0</v>
      </c>
      <c r="O164" s="70">
        <f t="shared" si="2781"/>
        <v>0</v>
      </c>
      <c r="P164" s="73">
        <v>0</v>
      </c>
      <c r="Q164" s="74">
        <f t="shared" si="2782"/>
        <v>0</v>
      </c>
      <c r="R164" s="303">
        <f t="shared" si="2783"/>
        <v>0</v>
      </c>
      <c r="S164" s="39"/>
      <c r="T164" s="68"/>
      <c r="U164" s="28">
        <f t="shared" si="2784"/>
        <v>0</v>
      </c>
      <c r="V164" s="28">
        <v>0</v>
      </c>
      <c r="W164" s="28">
        <f t="shared" si="2785"/>
        <v>0</v>
      </c>
      <c r="X164" s="28">
        <f t="shared" si="2786"/>
        <v>0</v>
      </c>
      <c r="Y164" s="28">
        <f t="shared" si="2787"/>
        <v>0</v>
      </c>
      <c r="Z164" s="72">
        <f t="shared" si="2788"/>
        <v>0</v>
      </c>
      <c r="AA164" s="72">
        <f t="shared" si="2789"/>
        <v>0</v>
      </c>
      <c r="AB164" s="70">
        <f t="shared" si="2790"/>
        <v>0</v>
      </c>
      <c r="AC164" s="71">
        <v>0</v>
      </c>
      <c r="AD164" s="71">
        <v>0</v>
      </c>
      <c r="AE164" s="72">
        <f t="shared" si="2791"/>
        <v>0</v>
      </c>
      <c r="AF164" s="72">
        <f t="shared" si="2792"/>
        <v>0</v>
      </c>
      <c r="AG164" s="70">
        <f t="shared" si="2793"/>
        <v>0</v>
      </c>
      <c r="AH164" s="73">
        <v>0</v>
      </c>
      <c r="AI164" s="74">
        <f t="shared" si="2794"/>
        <v>0</v>
      </c>
      <c r="AJ164" s="303">
        <f t="shared" si="2795"/>
        <v>0</v>
      </c>
      <c r="AL164" s="68"/>
      <c r="AM164" s="28">
        <f t="shared" si="2796"/>
        <v>0</v>
      </c>
      <c r="AN164" s="28">
        <v>0</v>
      </c>
      <c r="AO164" s="28">
        <f t="shared" si="2797"/>
        <v>0</v>
      </c>
      <c r="AP164" s="28">
        <f t="shared" si="2798"/>
        <v>0</v>
      </c>
      <c r="AQ164" s="28">
        <f t="shared" si="2799"/>
        <v>0</v>
      </c>
      <c r="AR164" s="72">
        <f t="shared" si="2800"/>
        <v>0</v>
      </c>
      <c r="AS164" s="72">
        <f t="shared" si="2801"/>
        <v>0</v>
      </c>
      <c r="AT164" s="70">
        <f t="shared" si="2802"/>
        <v>0</v>
      </c>
      <c r="AU164" s="71">
        <v>0</v>
      </c>
      <c r="AV164" s="71">
        <v>0</v>
      </c>
      <c r="AW164" s="72">
        <f t="shared" si="2803"/>
        <v>0</v>
      </c>
      <c r="AX164" s="72">
        <f t="shared" si="2804"/>
        <v>0</v>
      </c>
      <c r="AY164" s="70">
        <f t="shared" si="2805"/>
        <v>0</v>
      </c>
      <c r="AZ164" s="73">
        <v>0</v>
      </c>
      <c r="BA164" s="74">
        <f t="shared" si="2806"/>
        <v>0</v>
      </c>
      <c r="BB164" s="303">
        <f t="shared" si="2807"/>
        <v>0</v>
      </c>
      <c r="BD164" s="68"/>
      <c r="BE164" s="28">
        <f t="shared" si="2808"/>
        <v>0</v>
      </c>
      <c r="BF164" s="28">
        <v>0</v>
      </c>
      <c r="BG164" s="28">
        <f t="shared" si="2809"/>
        <v>0</v>
      </c>
      <c r="BH164" s="28">
        <f t="shared" si="2810"/>
        <v>0</v>
      </c>
      <c r="BI164" s="28">
        <f t="shared" si="2811"/>
        <v>0</v>
      </c>
      <c r="BJ164" s="72">
        <f t="shared" si="2812"/>
        <v>0</v>
      </c>
      <c r="BK164" s="72">
        <f t="shared" si="2813"/>
        <v>0</v>
      </c>
      <c r="BL164" s="70">
        <f t="shared" si="2814"/>
        <v>0</v>
      </c>
      <c r="BM164" s="71">
        <v>0</v>
      </c>
      <c r="BN164" s="71">
        <v>0</v>
      </c>
      <c r="BO164" s="72">
        <f t="shared" si="2815"/>
        <v>0</v>
      </c>
      <c r="BP164" s="72">
        <f t="shared" si="2816"/>
        <v>0</v>
      </c>
      <c r="BQ164" s="70">
        <f t="shared" si="2817"/>
        <v>0</v>
      </c>
      <c r="BR164" s="73">
        <v>0</v>
      </c>
      <c r="BS164" s="74">
        <f t="shared" si="2818"/>
        <v>0</v>
      </c>
      <c r="BT164" s="303">
        <f t="shared" si="2819"/>
        <v>0</v>
      </c>
      <c r="BV164" s="68"/>
      <c r="BW164" s="28">
        <f t="shared" si="2820"/>
        <v>0</v>
      </c>
      <c r="BX164" s="28">
        <v>0</v>
      </c>
      <c r="BY164" s="28">
        <f t="shared" si="2821"/>
        <v>0</v>
      </c>
      <c r="BZ164" s="28">
        <f t="shared" si="2822"/>
        <v>0</v>
      </c>
      <c r="CA164" s="28">
        <f t="shared" si="2823"/>
        <v>0</v>
      </c>
      <c r="CB164" s="72">
        <f t="shared" si="2824"/>
        <v>0</v>
      </c>
      <c r="CC164" s="72">
        <f t="shared" si="2825"/>
        <v>0</v>
      </c>
      <c r="CD164" s="70">
        <f t="shared" si="2826"/>
        <v>0</v>
      </c>
      <c r="CE164" s="71">
        <v>0</v>
      </c>
      <c r="CF164" s="71">
        <v>0</v>
      </c>
      <c r="CG164" s="72">
        <f t="shared" si="2827"/>
        <v>0</v>
      </c>
      <c r="CH164" s="72">
        <f t="shared" si="2828"/>
        <v>0</v>
      </c>
      <c r="CI164" s="70">
        <f t="shared" si="2829"/>
        <v>0</v>
      </c>
      <c r="CJ164" s="73">
        <v>0</v>
      </c>
      <c r="CK164" s="74">
        <f t="shared" si="2830"/>
        <v>0</v>
      </c>
      <c r="CL164" s="303">
        <f t="shared" si="2831"/>
        <v>0</v>
      </c>
      <c r="CN164" s="68"/>
      <c r="CO164" s="28">
        <f t="shared" si="2832"/>
        <v>0</v>
      </c>
      <c r="CP164" s="28">
        <v>0</v>
      </c>
      <c r="CQ164" s="28">
        <f t="shared" si="2833"/>
        <v>0</v>
      </c>
      <c r="CR164" s="28">
        <f t="shared" si="2834"/>
        <v>0</v>
      </c>
      <c r="CS164" s="28">
        <f t="shared" si="2835"/>
        <v>0</v>
      </c>
      <c r="CT164" s="72">
        <f t="shared" si="2836"/>
        <v>0</v>
      </c>
      <c r="CU164" s="72">
        <f t="shared" si="2837"/>
        <v>0</v>
      </c>
      <c r="CV164" s="70">
        <f t="shared" si="2838"/>
        <v>0</v>
      </c>
      <c r="CW164" s="71">
        <v>0</v>
      </c>
      <c r="CX164" s="71">
        <v>0</v>
      </c>
      <c r="CY164" s="72">
        <f t="shared" si="2839"/>
        <v>0</v>
      </c>
      <c r="CZ164" s="72">
        <f t="shared" si="2840"/>
        <v>0</v>
      </c>
      <c r="DA164" s="70">
        <f t="shared" si="2841"/>
        <v>0</v>
      </c>
      <c r="DB164" s="73">
        <v>0</v>
      </c>
      <c r="DC164" s="74">
        <f t="shared" si="2842"/>
        <v>0</v>
      </c>
      <c r="DD164" s="303">
        <f t="shared" si="2843"/>
        <v>0</v>
      </c>
      <c r="DE164" s="39"/>
      <c r="DF164" s="68"/>
      <c r="DG164" s="28">
        <f t="shared" si="2844"/>
        <v>0</v>
      </c>
      <c r="DH164" s="28">
        <v>0</v>
      </c>
      <c r="DI164" s="28">
        <f t="shared" si="2845"/>
        <v>0</v>
      </c>
      <c r="DJ164" s="28">
        <f t="shared" si="2846"/>
        <v>0</v>
      </c>
      <c r="DK164" s="28">
        <f t="shared" si="2847"/>
        <v>0</v>
      </c>
      <c r="DL164" s="72">
        <f t="shared" si="2848"/>
        <v>0</v>
      </c>
      <c r="DM164" s="72">
        <f t="shared" si="2849"/>
        <v>0</v>
      </c>
      <c r="DN164" s="70">
        <f t="shared" si="2850"/>
        <v>0</v>
      </c>
      <c r="DO164" s="71">
        <v>0</v>
      </c>
      <c r="DP164" s="71">
        <v>0</v>
      </c>
      <c r="DQ164" s="72">
        <f t="shared" si="2851"/>
        <v>0</v>
      </c>
      <c r="DR164" s="72">
        <f t="shared" si="2852"/>
        <v>0</v>
      </c>
      <c r="DS164" s="70">
        <f t="shared" si="2853"/>
        <v>0</v>
      </c>
      <c r="DT164" s="73">
        <v>0</v>
      </c>
      <c r="DU164" s="74">
        <f t="shared" si="2854"/>
        <v>0</v>
      </c>
      <c r="DV164" s="303">
        <f t="shared" si="2855"/>
        <v>0</v>
      </c>
      <c r="DW164" s="39"/>
      <c r="DX164" s="68"/>
      <c r="DY164" s="28">
        <f t="shared" si="2856"/>
        <v>0</v>
      </c>
      <c r="DZ164" s="28">
        <v>0</v>
      </c>
      <c r="EA164" s="28">
        <f t="shared" si="2857"/>
        <v>0</v>
      </c>
      <c r="EB164" s="28">
        <f t="shared" si="2858"/>
        <v>0</v>
      </c>
      <c r="EC164" s="28">
        <f t="shared" si="2859"/>
        <v>0</v>
      </c>
      <c r="ED164" s="72">
        <f t="shared" si="2860"/>
        <v>0</v>
      </c>
      <c r="EE164" s="72">
        <f t="shared" si="2861"/>
        <v>0</v>
      </c>
      <c r="EF164" s="70">
        <f t="shared" si="2862"/>
        <v>0</v>
      </c>
      <c r="EG164" s="71">
        <v>0</v>
      </c>
      <c r="EH164" s="71">
        <v>0</v>
      </c>
      <c r="EI164" s="72">
        <f t="shared" si="2863"/>
        <v>0</v>
      </c>
      <c r="EJ164" s="72">
        <f t="shared" si="2864"/>
        <v>0</v>
      </c>
      <c r="EK164" s="70">
        <f t="shared" si="2865"/>
        <v>0</v>
      </c>
      <c r="EL164" s="73">
        <v>0</v>
      </c>
      <c r="EM164" s="74">
        <f t="shared" si="2866"/>
        <v>0</v>
      </c>
      <c r="EN164" s="303">
        <f t="shared" si="2867"/>
        <v>0</v>
      </c>
      <c r="EO164" s="39"/>
      <c r="EP164" s="68"/>
      <c r="EQ164" s="28">
        <f t="shared" si="2868"/>
        <v>0</v>
      </c>
      <c r="ER164" s="28">
        <v>0</v>
      </c>
      <c r="ES164" s="28">
        <f t="shared" si="2869"/>
        <v>0</v>
      </c>
      <c r="ET164" s="28">
        <f t="shared" si="2870"/>
        <v>0</v>
      </c>
      <c r="EU164" s="28">
        <f t="shared" si="2871"/>
        <v>0</v>
      </c>
      <c r="EV164" s="72">
        <f t="shared" si="2872"/>
        <v>0</v>
      </c>
      <c r="EW164" s="72">
        <f t="shared" si="2873"/>
        <v>0</v>
      </c>
      <c r="EX164" s="70">
        <f t="shared" si="2874"/>
        <v>0</v>
      </c>
      <c r="EY164" s="71">
        <v>0</v>
      </c>
      <c r="EZ164" s="71">
        <v>0</v>
      </c>
      <c r="FA164" s="72">
        <f t="shared" si="2875"/>
        <v>0</v>
      </c>
      <c r="FB164" s="72">
        <f t="shared" si="2876"/>
        <v>0</v>
      </c>
      <c r="FC164" s="70">
        <f t="shared" si="2877"/>
        <v>0</v>
      </c>
      <c r="FD164" s="73">
        <v>0</v>
      </c>
      <c r="FE164" s="74">
        <f t="shared" si="2878"/>
        <v>0</v>
      </c>
      <c r="FF164" s="303">
        <f t="shared" si="2879"/>
        <v>0</v>
      </c>
      <c r="FG164" s="39"/>
      <c r="FH164" s="68"/>
      <c r="FI164" s="28">
        <f t="shared" si="2880"/>
        <v>0</v>
      </c>
      <c r="FJ164" s="28">
        <v>0</v>
      </c>
      <c r="FK164" s="28">
        <f t="shared" si="2881"/>
        <v>0</v>
      </c>
      <c r="FL164" s="28">
        <f t="shared" si="2882"/>
        <v>0</v>
      </c>
      <c r="FM164" s="28">
        <f t="shared" si="2883"/>
        <v>0</v>
      </c>
      <c r="FN164" s="72">
        <f t="shared" si="2884"/>
        <v>0</v>
      </c>
      <c r="FO164" s="72">
        <f t="shared" si="2885"/>
        <v>0</v>
      </c>
      <c r="FP164" s="70">
        <f t="shared" si="2886"/>
        <v>0</v>
      </c>
      <c r="FQ164" s="71">
        <v>0</v>
      </c>
      <c r="FR164" s="71">
        <v>0</v>
      </c>
      <c r="FS164" s="72">
        <f t="shared" si="2887"/>
        <v>0</v>
      </c>
      <c r="FT164" s="72">
        <f t="shared" si="2888"/>
        <v>0</v>
      </c>
      <c r="FU164" s="70">
        <f t="shared" si="2889"/>
        <v>0</v>
      </c>
      <c r="FV164" s="73">
        <v>0</v>
      </c>
      <c r="FW164" s="74">
        <f t="shared" si="2890"/>
        <v>0</v>
      </c>
      <c r="FX164" s="303">
        <f t="shared" si="2891"/>
        <v>0</v>
      </c>
      <c r="FY164" s="39"/>
      <c r="FZ164" s="68"/>
      <c r="GA164" s="28">
        <f t="shared" si="2892"/>
        <v>0</v>
      </c>
      <c r="GB164" s="28">
        <v>0</v>
      </c>
      <c r="GC164" s="28">
        <f t="shared" si="2893"/>
        <v>0</v>
      </c>
      <c r="GD164" s="28">
        <f t="shared" si="2894"/>
        <v>0</v>
      </c>
      <c r="GE164" s="28">
        <f t="shared" si="2895"/>
        <v>0</v>
      </c>
      <c r="GF164" s="72">
        <f t="shared" si="2896"/>
        <v>0</v>
      </c>
      <c r="GG164" s="72">
        <f t="shared" si="2897"/>
        <v>0</v>
      </c>
      <c r="GH164" s="70">
        <f t="shared" si="2898"/>
        <v>0</v>
      </c>
      <c r="GI164" s="71">
        <v>0</v>
      </c>
      <c r="GJ164" s="71">
        <v>0</v>
      </c>
      <c r="GK164" s="72">
        <f t="shared" si="2899"/>
        <v>0</v>
      </c>
      <c r="GL164" s="72">
        <f t="shared" si="2900"/>
        <v>0</v>
      </c>
      <c r="GM164" s="70">
        <f t="shared" si="2901"/>
        <v>0</v>
      </c>
      <c r="GN164" s="73">
        <v>0</v>
      </c>
      <c r="GO164" s="74">
        <f t="shared" si="2902"/>
        <v>0</v>
      </c>
      <c r="GP164" s="303">
        <f t="shared" si="2903"/>
        <v>0</v>
      </c>
      <c r="GQ164" s="39"/>
      <c r="GR164" s="68"/>
      <c r="GS164" s="28">
        <f t="shared" si="2904"/>
        <v>0</v>
      </c>
      <c r="GT164" s="28">
        <v>0</v>
      </c>
      <c r="GU164" s="28">
        <f t="shared" si="2905"/>
        <v>0</v>
      </c>
      <c r="GV164" s="28">
        <f t="shared" si="2906"/>
        <v>0</v>
      </c>
      <c r="GW164" s="28">
        <f t="shared" si="2907"/>
        <v>0</v>
      </c>
      <c r="GX164" s="72">
        <f t="shared" si="2908"/>
        <v>0</v>
      </c>
      <c r="GY164" s="72">
        <f t="shared" si="2909"/>
        <v>0</v>
      </c>
      <c r="GZ164" s="70">
        <f t="shared" si="2910"/>
        <v>0</v>
      </c>
      <c r="HA164" s="71">
        <v>0</v>
      </c>
      <c r="HB164" s="71">
        <v>0</v>
      </c>
      <c r="HC164" s="72">
        <f t="shared" si="2911"/>
        <v>0</v>
      </c>
      <c r="HD164" s="72">
        <f t="shared" si="2912"/>
        <v>0</v>
      </c>
      <c r="HE164" s="70">
        <f t="shared" si="2913"/>
        <v>0</v>
      </c>
      <c r="HF164" s="73">
        <v>0</v>
      </c>
      <c r="HG164" s="74">
        <f t="shared" si="2914"/>
        <v>0</v>
      </c>
      <c r="HH164" s="303">
        <f t="shared" si="2915"/>
        <v>0</v>
      </c>
      <c r="HJ164" s="37"/>
      <c r="HK164" s="37"/>
      <c r="HL164" s="37"/>
      <c r="HM164" s="37"/>
      <c r="HN164" s="37"/>
      <c r="HO164" s="37"/>
      <c r="HP164" s="37"/>
      <c r="HQ164" s="37"/>
      <c r="HR164" s="37"/>
      <c r="HS164" s="37"/>
      <c r="HT164" s="37"/>
      <c r="HU164" s="37"/>
      <c r="HV164" s="37"/>
      <c r="HW164" s="37"/>
      <c r="HX164" s="37"/>
      <c r="HY164" s="37"/>
      <c r="HZ164" s="37"/>
      <c r="IA164" s="37"/>
      <c r="IB164" s="37"/>
      <c r="IC164" s="37"/>
      <c r="ID164" s="37"/>
      <c r="IE164" s="37"/>
      <c r="IF164" s="37"/>
      <c r="IG164" s="37"/>
      <c r="IH164" s="37"/>
      <c r="II164" s="37"/>
      <c r="IJ164" s="37"/>
      <c r="IK164" s="37"/>
      <c r="IL164" s="37"/>
      <c r="IM164" s="37"/>
      <c r="IN164" s="37"/>
      <c r="IO164" s="37"/>
      <c r="IP164" s="37"/>
    </row>
    <row r="165" spans="1:257" s="82" customFormat="1" ht="15.6" x14ac:dyDescent="0.3">
      <c r="B165" s="78"/>
      <c r="C165" s="79"/>
      <c r="D165" s="80"/>
      <c r="E165" s="80"/>
      <c r="F165" s="80"/>
      <c r="G165" s="80"/>
      <c r="H165" s="80"/>
      <c r="I165" s="80"/>
      <c r="J165" s="80"/>
      <c r="K165" s="80"/>
      <c r="L165" s="80"/>
      <c r="M165" s="80"/>
      <c r="N165" s="80"/>
      <c r="O165" s="81"/>
      <c r="P165" s="746" t="s">
        <v>8</v>
      </c>
      <c r="Q165" s="747"/>
      <c r="R165" s="305">
        <f>SUM(R147:R164)</f>
        <v>63717.3024</v>
      </c>
      <c r="T165" s="78"/>
      <c r="U165" s="79"/>
      <c r="V165" s="80"/>
      <c r="W165" s="80"/>
      <c r="X165" s="80"/>
      <c r="Y165" s="80"/>
      <c r="Z165" s="80"/>
      <c r="AA165" s="80"/>
      <c r="AB165" s="80"/>
      <c r="AC165" s="80"/>
      <c r="AD165" s="80"/>
      <c r="AE165" s="80"/>
      <c r="AF165" s="80"/>
      <c r="AG165" s="81"/>
      <c r="AH165" s="746" t="s">
        <v>8</v>
      </c>
      <c r="AI165" s="747"/>
      <c r="AJ165" s="305">
        <f>SUM(AJ147:AJ164)</f>
        <v>63717.3024</v>
      </c>
      <c r="AL165" s="78"/>
      <c r="AM165" s="79"/>
      <c r="AN165" s="80"/>
      <c r="AO165" s="80"/>
      <c r="AP165" s="80"/>
      <c r="AQ165" s="80"/>
      <c r="AR165" s="80"/>
      <c r="AS165" s="80"/>
      <c r="AT165" s="80"/>
      <c r="AU165" s="80"/>
      <c r="AV165" s="80"/>
      <c r="AW165" s="80"/>
      <c r="AX165" s="80"/>
      <c r="AY165" s="81"/>
      <c r="AZ165" s="746" t="s">
        <v>8</v>
      </c>
      <c r="BA165" s="747"/>
      <c r="BB165" s="305">
        <f>SUM(BB147:BB164)</f>
        <v>63717.3024</v>
      </c>
      <c r="BD165" s="78"/>
      <c r="BE165" s="79"/>
      <c r="BF165" s="80"/>
      <c r="BG165" s="80"/>
      <c r="BH165" s="80"/>
      <c r="BI165" s="80"/>
      <c r="BJ165" s="80"/>
      <c r="BK165" s="80"/>
      <c r="BL165" s="80"/>
      <c r="BM165" s="80"/>
      <c r="BN165" s="80"/>
      <c r="BO165" s="80"/>
      <c r="BP165" s="80"/>
      <c r="BQ165" s="81"/>
      <c r="BR165" s="746" t="s">
        <v>8</v>
      </c>
      <c r="BS165" s="747"/>
      <c r="BT165" s="305">
        <f>SUM(BT147:BT164)</f>
        <v>63717.3024</v>
      </c>
      <c r="BV165" s="78"/>
      <c r="BW165" s="79"/>
      <c r="BX165" s="80"/>
      <c r="BY165" s="80"/>
      <c r="BZ165" s="80"/>
      <c r="CA165" s="80"/>
      <c r="CB165" s="80"/>
      <c r="CC165" s="80"/>
      <c r="CD165" s="80"/>
      <c r="CE165" s="80"/>
      <c r="CF165" s="80"/>
      <c r="CG165" s="80"/>
      <c r="CH165" s="80"/>
      <c r="CI165" s="81"/>
      <c r="CJ165" s="746" t="s">
        <v>8</v>
      </c>
      <c r="CK165" s="747"/>
      <c r="CL165" s="305">
        <f>SUM(CL147:CL164)</f>
        <v>63717.3024</v>
      </c>
      <c r="CN165" s="78"/>
      <c r="CO165" s="79"/>
      <c r="CP165" s="80"/>
      <c r="CQ165" s="80"/>
      <c r="CR165" s="80"/>
      <c r="CS165" s="80"/>
      <c r="CT165" s="80"/>
      <c r="CU165" s="80"/>
      <c r="CV165" s="80"/>
      <c r="CW165" s="80"/>
      <c r="CX165" s="80"/>
      <c r="CY165" s="80"/>
      <c r="CZ165" s="80"/>
      <c r="DA165" s="81"/>
      <c r="DB165" s="746" t="s">
        <v>8</v>
      </c>
      <c r="DC165" s="747"/>
      <c r="DD165" s="305">
        <f>SUM(DD147:DD164)</f>
        <v>63717.3024</v>
      </c>
      <c r="DF165" s="78"/>
      <c r="DG165" s="79"/>
      <c r="DH165" s="80"/>
      <c r="DI165" s="80"/>
      <c r="DJ165" s="80"/>
      <c r="DK165" s="80"/>
      <c r="DL165" s="80"/>
      <c r="DM165" s="80"/>
      <c r="DN165" s="80"/>
      <c r="DO165" s="80"/>
      <c r="DP165" s="80"/>
      <c r="DQ165" s="80"/>
      <c r="DR165" s="80"/>
      <c r="DS165" s="81"/>
      <c r="DT165" s="746" t="s">
        <v>8</v>
      </c>
      <c r="DU165" s="747"/>
      <c r="DV165" s="305">
        <f>SUM(DV147:DV164)</f>
        <v>63717.3024</v>
      </c>
      <c r="DX165" s="78"/>
      <c r="DY165" s="79"/>
      <c r="DZ165" s="80"/>
      <c r="EA165" s="80"/>
      <c r="EB165" s="80"/>
      <c r="EC165" s="80"/>
      <c r="ED165" s="80"/>
      <c r="EE165" s="80"/>
      <c r="EF165" s="80"/>
      <c r="EG165" s="80"/>
      <c r="EH165" s="80"/>
      <c r="EI165" s="80"/>
      <c r="EJ165" s="80"/>
      <c r="EK165" s="81"/>
      <c r="EL165" s="746" t="s">
        <v>8</v>
      </c>
      <c r="EM165" s="747"/>
      <c r="EN165" s="305">
        <f>SUM(EN147:EN164)</f>
        <v>63717.3024</v>
      </c>
      <c r="EP165" s="78"/>
      <c r="EQ165" s="79"/>
      <c r="ER165" s="80"/>
      <c r="ES165" s="80"/>
      <c r="ET165" s="80"/>
      <c r="EU165" s="80"/>
      <c r="EV165" s="80"/>
      <c r="EW165" s="80"/>
      <c r="EX165" s="80"/>
      <c r="EY165" s="80"/>
      <c r="EZ165" s="80"/>
      <c r="FA165" s="80"/>
      <c r="FB165" s="80"/>
      <c r="FC165" s="81"/>
      <c r="FD165" s="746" t="s">
        <v>8</v>
      </c>
      <c r="FE165" s="747"/>
      <c r="FF165" s="305">
        <f>SUM(FF147:FF164)</f>
        <v>63717.3024</v>
      </c>
      <c r="FH165" s="78"/>
      <c r="FI165" s="79"/>
      <c r="FJ165" s="80"/>
      <c r="FK165" s="80"/>
      <c r="FL165" s="80"/>
      <c r="FM165" s="80"/>
      <c r="FN165" s="80"/>
      <c r="FO165" s="80"/>
      <c r="FP165" s="80"/>
      <c r="FQ165" s="80"/>
      <c r="FR165" s="80"/>
      <c r="FS165" s="80"/>
      <c r="FT165" s="80"/>
      <c r="FU165" s="81"/>
      <c r="FV165" s="746" t="s">
        <v>8</v>
      </c>
      <c r="FW165" s="747"/>
      <c r="FX165" s="305">
        <f>SUM(FX147:FX164)</f>
        <v>63717.3024</v>
      </c>
      <c r="FZ165" s="78"/>
      <c r="GA165" s="79"/>
      <c r="GB165" s="80"/>
      <c r="GC165" s="80"/>
      <c r="GD165" s="80"/>
      <c r="GE165" s="80"/>
      <c r="GF165" s="80"/>
      <c r="GG165" s="80"/>
      <c r="GH165" s="80"/>
      <c r="GI165" s="80"/>
      <c r="GJ165" s="80"/>
      <c r="GK165" s="80"/>
      <c r="GL165" s="80"/>
      <c r="GM165" s="81"/>
      <c r="GN165" s="746" t="s">
        <v>8</v>
      </c>
      <c r="GO165" s="747"/>
      <c r="GP165" s="305">
        <f>SUM(GP147:GP164)</f>
        <v>63717.3024</v>
      </c>
      <c r="GR165" s="78"/>
      <c r="GS165" s="79"/>
      <c r="GT165" s="80"/>
      <c r="GU165" s="80"/>
      <c r="GV165" s="80"/>
      <c r="GW165" s="80"/>
      <c r="GX165" s="80"/>
      <c r="GY165" s="80"/>
      <c r="GZ165" s="80"/>
      <c r="HA165" s="80"/>
      <c r="HB165" s="80"/>
      <c r="HC165" s="80"/>
      <c r="HD165" s="80"/>
      <c r="HE165" s="81"/>
      <c r="HF165" s="746" t="s">
        <v>8</v>
      </c>
      <c r="HG165" s="747"/>
      <c r="HH165" s="305">
        <f>SUM(HH147:HH164)</f>
        <v>63717.3024</v>
      </c>
      <c r="HI165" s="37"/>
      <c r="HJ165" s="37"/>
      <c r="HK165" s="37"/>
      <c r="HL165" s="37"/>
      <c r="HM165" s="37"/>
      <c r="HN165" s="37"/>
      <c r="HO165" s="37"/>
      <c r="HP165" s="37"/>
      <c r="HQ165" s="37"/>
      <c r="HR165" s="37"/>
      <c r="HS165" s="37"/>
      <c r="HT165" s="37"/>
      <c r="HU165" s="37"/>
      <c r="HV165" s="37"/>
      <c r="HW165" s="37"/>
      <c r="HX165" s="37"/>
      <c r="HY165" s="37"/>
      <c r="HZ165" s="37"/>
      <c r="IA165" s="37"/>
      <c r="IB165" s="37"/>
      <c r="IC165" s="37"/>
      <c r="ID165" s="37"/>
      <c r="IE165" s="37"/>
      <c r="IF165" s="37"/>
      <c r="IG165" s="37"/>
      <c r="IH165" s="37"/>
      <c r="II165" s="83"/>
      <c r="IJ165" s="83"/>
      <c r="IK165" s="83"/>
      <c r="IL165" s="83"/>
      <c r="IM165" s="83"/>
      <c r="IN165" s="83"/>
      <c r="IO165" s="83"/>
      <c r="IP165" s="83"/>
    </row>
    <row r="166" spans="1:257" x14ac:dyDescent="0.3">
      <c r="A166" s="39"/>
      <c r="B166" s="84"/>
      <c r="C166" s="84"/>
      <c r="D166" s="84"/>
      <c r="E166" s="84"/>
      <c r="F166" s="84"/>
      <c r="G166" s="84"/>
      <c r="H166" s="84"/>
      <c r="I166" s="84"/>
      <c r="J166" s="424" t="s">
        <v>49</v>
      </c>
      <c r="K166" s="84"/>
      <c r="L166" s="84"/>
      <c r="M166" s="84"/>
      <c r="N166" s="84"/>
      <c r="O166" s="84"/>
      <c r="P166" s="744" t="s">
        <v>31</v>
      </c>
      <c r="Q166" s="745"/>
      <c r="R166" s="85">
        <f>R12+R20+R26+R35+R41+R49+R57+R68+R103+R108+R111+R165</f>
        <v>63717.3024</v>
      </c>
      <c r="S166" s="39"/>
      <c r="T166" s="84"/>
      <c r="U166" s="84"/>
      <c r="V166" s="84"/>
      <c r="W166" s="84"/>
      <c r="X166" s="84"/>
      <c r="Y166" s="84"/>
      <c r="Z166" s="84"/>
      <c r="AA166" s="84"/>
      <c r="AB166" s="424" t="s">
        <v>49</v>
      </c>
      <c r="AC166" s="84"/>
      <c r="AD166" s="84"/>
      <c r="AE166" s="84"/>
      <c r="AF166" s="84"/>
      <c r="AG166" s="84"/>
      <c r="AH166" s="744" t="s">
        <v>31</v>
      </c>
      <c r="AI166" s="745"/>
      <c r="AJ166" s="85">
        <f>AJ12+AJ20+AJ26+AJ35+AJ41+AJ49+AJ57+AJ68+AJ103+AJ108+AJ111+AJ165</f>
        <v>63717.3024</v>
      </c>
      <c r="AL166" s="84"/>
      <c r="AM166" s="84"/>
      <c r="AN166" s="84"/>
      <c r="AO166" s="84"/>
      <c r="AP166" s="84"/>
      <c r="AQ166" s="84"/>
      <c r="AR166" s="84"/>
      <c r="AS166" s="84"/>
      <c r="AT166" s="424" t="s">
        <v>49</v>
      </c>
      <c r="AU166" s="84"/>
      <c r="AV166" s="84"/>
      <c r="AW166" s="84"/>
      <c r="AX166" s="84"/>
      <c r="AY166" s="84"/>
      <c r="AZ166" s="744" t="s">
        <v>31</v>
      </c>
      <c r="BA166" s="745"/>
      <c r="BB166" s="85">
        <f>BB12+BB20+BB26+BB35+BB41+BB49+BB57+BB68+BB103+BB108+BB111+BB165</f>
        <v>63717.3024</v>
      </c>
      <c r="BD166" s="84"/>
      <c r="BE166" s="84"/>
      <c r="BF166" s="84"/>
      <c r="BG166" s="84"/>
      <c r="BH166" s="84"/>
      <c r="BI166" s="84"/>
      <c r="BJ166" s="84"/>
      <c r="BK166" s="84"/>
      <c r="BL166" s="424" t="s">
        <v>49</v>
      </c>
      <c r="BM166" s="84"/>
      <c r="BN166" s="84"/>
      <c r="BO166" s="84"/>
      <c r="BP166" s="84"/>
      <c r="BQ166" s="84"/>
      <c r="BR166" s="744" t="s">
        <v>31</v>
      </c>
      <c r="BS166" s="745"/>
      <c r="BT166" s="85">
        <f>BT12+BT20+BT26+BT35+BT41+BT49+BT57+BT68+BT103+BT108+BT111+BT165</f>
        <v>63717.3024</v>
      </c>
      <c r="BV166" s="84"/>
      <c r="BW166" s="84"/>
      <c r="BX166" s="84"/>
      <c r="BY166" s="84"/>
      <c r="BZ166" s="84"/>
      <c r="CA166" s="84"/>
      <c r="CB166" s="84"/>
      <c r="CC166" s="84"/>
      <c r="CD166" s="424" t="s">
        <v>49</v>
      </c>
      <c r="CE166" s="84"/>
      <c r="CF166" s="84"/>
      <c r="CG166" s="84"/>
      <c r="CH166" s="84"/>
      <c r="CI166" s="84"/>
      <c r="CJ166" s="744" t="s">
        <v>31</v>
      </c>
      <c r="CK166" s="745"/>
      <c r="CL166" s="85">
        <f>CL12+CL20+CL26+CL35+CL41+CL49+CL57+CL68+CL103+CL108+CL111+CL165</f>
        <v>63717.3024</v>
      </c>
      <c r="CN166" s="84"/>
      <c r="CO166" s="84"/>
      <c r="CP166" s="84"/>
      <c r="CQ166" s="84"/>
      <c r="CR166" s="84"/>
      <c r="CS166" s="84"/>
      <c r="CT166" s="84"/>
      <c r="CU166" s="84"/>
      <c r="CV166" s="424" t="s">
        <v>49</v>
      </c>
      <c r="CW166" s="84"/>
      <c r="CX166" s="84"/>
      <c r="CY166" s="84"/>
      <c r="CZ166" s="84"/>
      <c r="DA166" s="84"/>
      <c r="DB166" s="744" t="s">
        <v>31</v>
      </c>
      <c r="DC166" s="745"/>
      <c r="DD166" s="85">
        <f>DD12+DD20+DD26+DD35+DD41+DD49+DD57+DD68+DD103+DD108+DD111+DD165</f>
        <v>63717.3024</v>
      </c>
      <c r="DE166" s="39"/>
      <c r="DF166" s="84"/>
      <c r="DG166" s="84"/>
      <c r="DH166" s="84"/>
      <c r="DI166" s="84"/>
      <c r="DJ166" s="84"/>
      <c r="DK166" s="84"/>
      <c r="DL166" s="84"/>
      <c r="DM166" s="84"/>
      <c r="DN166" s="424" t="s">
        <v>49</v>
      </c>
      <c r="DO166" s="84"/>
      <c r="DP166" s="84"/>
      <c r="DQ166" s="84"/>
      <c r="DR166" s="84"/>
      <c r="DS166" s="84"/>
      <c r="DT166" s="744" t="s">
        <v>31</v>
      </c>
      <c r="DU166" s="745"/>
      <c r="DV166" s="85">
        <f>DV12+DV20+DV26+DV35+DV41+DV49+DV57+DV68+DV103+DV108+DV111+DV165</f>
        <v>63717.3024</v>
      </c>
      <c r="DW166" s="39"/>
      <c r="DX166" s="84"/>
      <c r="DY166" s="84"/>
      <c r="DZ166" s="84"/>
      <c r="EA166" s="84"/>
      <c r="EB166" s="84"/>
      <c r="EC166" s="84"/>
      <c r="ED166" s="84"/>
      <c r="EE166" s="84"/>
      <c r="EF166" s="424" t="s">
        <v>49</v>
      </c>
      <c r="EG166" s="84"/>
      <c r="EH166" s="84"/>
      <c r="EI166" s="84"/>
      <c r="EJ166" s="84"/>
      <c r="EK166" s="84"/>
      <c r="EL166" s="744" t="s">
        <v>31</v>
      </c>
      <c r="EM166" s="745"/>
      <c r="EN166" s="85">
        <f>EN12+EN20+EN26+EN35+EN41+EN49+EN57+EN68+EN103+EN108+EN111+EN165</f>
        <v>63717.3024</v>
      </c>
      <c r="EO166" s="39"/>
      <c r="EP166" s="84"/>
      <c r="EQ166" s="84"/>
      <c r="ER166" s="84"/>
      <c r="ES166" s="84"/>
      <c r="ET166" s="84"/>
      <c r="EU166" s="84"/>
      <c r="EV166" s="84"/>
      <c r="EW166" s="84"/>
      <c r="EX166" s="424" t="s">
        <v>49</v>
      </c>
      <c r="EY166" s="84"/>
      <c r="EZ166" s="84"/>
      <c r="FA166" s="84"/>
      <c r="FB166" s="84"/>
      <c r="FC166" s="84"/>
      <c r="FD166" s="744" t="s">
        <v>31</v>
      </c>
      <c r="FE166" s="745"/>
      <c r="FF166" s="85">
        <f>FF12+FF20+FF26+FF35+FF41+FF49+FF57+FF68+FF103+FF108+FF111+FF165</f>
        <v>63717.3024</v>
      </c>
      <c r="FG166" s="39"/>
      <c r="FH166" s="84"/>
      <c r="FI166" s="84"/>
      <c r="FJ166" s="84"/>
      <c r="FK166" s="84"/>
      <c r="FL166" s="84"/>
      <c r="FM166" s="84"/>
      <c r="FN166" s="84"/>
      <c r="FO166" s="84"/>
      <c r="FP166" s="424" t="s">
        <v>49</v>
      </c>
      <c r="FQ166" s="84"/>
      <c r="FR166" s="84"/>
      <c r="FS166" s="84"/>
      <c r="FT166" s="84"/>
      <c r="FU166" s="84"/>
      <c r="FV166" s="744" t="s">
        <v>31</v>
      </c>
      <c r="FW166" s="745"/>
      <c r="FX166" s="85">
        <f>FX12+FX20+FX26+FX35+FX41+FX49+FX57+FX68+FX103+FX108+FX111+FX165</f>
        <v>63717.3024</v>
      </c>
      <c r="FY166" s="39"/>
      <c r="FZ166" s="84"/>
      <c r="GA166" s="84"/>
      <c r="GB166" s="84"/>
      <c r="GC166" s="84"/>
      <c r="GD166" s="84"/>
      <c r="GE166" s="84"/>
      <c r="GF166" s="84"/>
      <c r="GG166" s="84"/>
      <c r="GH166" s="424" t="s">
        <v>49</v>
      </c>
      <c r="GI166" s="84"/>
      <c r="GJ166" s="84"/>
      <c r="GK166" s="84"/>
      <c r="GL166" s="84"/>
      <c r="GM166" s="84"/>
      <c r="GN166" s="744" t="s">
        <v>31</v>
      </c>
      <c r="GO166" s="745"/>
      <c r="GP166" s="85">
        <f>GP12+GP20+GP26+GP35+GP41+GP49+GP57+GP68+GP103+GP108+GP111+GP165</f>
        <v>63717.3024</v>
      </c>
      <c r="GQ166" s="39"/>
      <c r="GR166" s="84"/>
      <c r="GS166" s="84"/>
      <c r="GT166" s="84"/>
      <c r="GU166" s="84"/>
      <c r="GV166" s="84"/>
      <c r="GW166" s="84"/>
      <c r="GX166" s="84"/>
      <c r="GY166" s="84"/>
      <c r="GZ166" s="424" t="s">
        <v>49</v>
      </c>
      <c r="HA166" s="84"/>
      <c r="HB166" s="84"/>
      <c r="HC166" s="84"/>
      <c r="HD166" s="84"/>
      <c r="HE166" s="84"/>
      <c r="HF166" s="744" t="s">
        <v>31</v>
      </c>
      <c r="HG166" s="745"/>
      <c r="HH166" s="85">
        <f>HH12+HH20+HH26+HH35+HH41+HH49+HH57+HH68+HH103+HH108+HH111+HH165</f>
        <v>63717.3024</v>
      </c>
      <c r="HJ166" s="37"/>
      <c r="HK166" s="37"/>
      <c r="HL166" s="37"/>
      <c r="HM166" s="37"/>
      <c r="HN166" s="37"/>
      <c r="HO166" s="37"/>
      <c r="HP166" s="37"/>
      <c r="HQ166" s="37"/>
      <c r="HR166" s="37"/>
      <c r="HS166" s="37"/>
      <c r="HT166" s="37"/>
      <c r="HU166" s="37"/>
      <c r="HV166" s="37"/>
      <c r="HW166" s="37"/>
      <c r="HX166" s="37"/>
      <c r="HY166" s="37"/>
      <c r="HZ166" s="37"/>
      <c r="IA166" s="37"/>
      <c r="IB166" s="37"/>
      <c r="IC166" s="37"/>
      <c r="ID166" s="37"/>
      <c r="IE166" s="37"/>
      <c r="IF166" s="37"/>
      <c r="IG166" s="37"/>
      <c r="IH166" s="37"/>
      <c r="II166" s="37"/>
      <c r="IJ166" s="37"/>
      <c r="IK166" s="37"/>
      <c r="IL166" s="37"/>
      <c r="IM166" s="37"/>
      <c r="IN166" s="37"/>
      <c r="IO166" s="37"/>
      <c r="IP166" s="37"/>
    </row>
    <row r="167" spans="1:257" x14ac:dyDescent="0.3">
      <c r="A167" s="39"/>
      <c r="B167" s="84"/>
      <c r="C167" s="84"/>
      <c r="D167" s="84"/>
      <c r="E167" s="84"/>
      <c r="F167" s="84"/>
      <c r="G167" s="84"/>
      <c r="H167" s="84"/>
      <c r="I167" s="84"/>
      <c r="J167" s="84"/>
      <c r="K167" s="84"/>
      <c r="L167" s="84"/>
      <c r="M167" s="84"/>
      <c r="N167" s="84"/>
      <c r="O167" s="84"/>
      <c r="P167" s="84"/>
      <c r="Q167" s="67"/>
      <c r="R167" s="86"/>
      <c r="S167" s="39"/>
      <c r="T167" s="84"/>
      <c r="U167" s="84"/>
      <c r="V167" s="84"/>
      <c r="W167" s="84"/>
      <c r="X167" s="84"/>
      <c r="Y167" s="84"/>
      <c r="Z167" s="84"/>
      <c r="AA167" s="84"/>
      <c r="AB167" s="84"/>
      <c r="AC167" s="84"/>
      <c r="AD167" s="84"/>
      <c r="AE167" s="84"/>
      <c r="AF167" s="84"/>
      <c r="AG167" s="84"/>
      <c r="AH167" s="84"/>
      <c r="AI167" s="67"/>
      <c r="AJ167" s="86"/>
      <c r="AL167" s="84"/>
      <c r="AM167" s="84"/>
      <c r="AN167" s="84"/>
      <c r="AO167" s="84"/>
      <c r="AP167" s="84"/>
      <c r="AQ167" s="84"/>
      <c r="AR167" s="84"/>
      <c r="AS167" s="84"/>
      <c r="AT167" s="84"/>
      <c r="AU167" s="84"/>
      <c r="AV167" s="84"/>
      <c r="AW167" s="84"/>
      <c r="AX167" s="84"/>
      <c r="AY167" s="84"/>
      <c r="AZ167" s="84"/>
      <c r="BA167" s="67"/>
      <c r="BB167" s="86"/>
      <c r="BD167" s="84"/>
      <c r="BE167" s="84"/>
      <c r="BF167" s="84"/>
      <c r="BG167" s="84"/>
      <c r="BH167" s="84"/>
      <c r="BI167" s="84"/>
      <c r="BJ167" s="84"/>
      <c r="BK167" s="84"/>
      <c r="BL167" s="84"/>
      <c r="BM167" s="84"/>
      <c r="BN167" s="84"/>
      <c r="BO167" s="84"/>
      <c r="BP167" s="84"/>
      <c r="BQ167" s="84"/>
      <c r="BR167" s="84"/>
      <c r="BS167" s="67"/>
      <c r="BT167" s="86"/>
      <c r="BV167" s="84"/>
      <c r="BW167" s="84"/>
      <c r="BX167" s="84"/>
      <c r="BY167" s="84"/>
      <c r="BZ167" s="84"/>
      <c r="CA167" s="84"/>
      <c r="CB167" s="84"/>
      <c r="CC167" s="84"/>
      <c r="CD167" s="84"/>
      <c r="CE167" s="84"/>
      <c r="CF167" s="84"/>
      <c r="CG167" s="84"/>
      <c r="CH167" s="84"/>
      <c r="CI167" s="84"/>
      <c r="CJ167" s="84"/>
      <c r="CK167" s="67"/>
      <c r="CL167" s="86"/>
      <c r="CN167" s="84"/>
      <c r="CO167" s="84"/>
      <c r="CP167" s="84"/>
      <c r="CQ167" s="84"/>
      <c r="CR167" s="84"/>
      <c r="CS167" s="84"/>
      <c r="CT167" s="84"/>
      <c r="CU167" s="84"/>
      <c r="CV167" s="84"/>
      <c r="CW167" s="84"/>
      <c r="CX167" s="84"/>
      <c r="CY167" s="84"/>
      <c r="CZ167" s="84"/>
      <c r="DA167" s="84"/>
      <c r="DB167" s="84"/>
      <c r="DC167" s="67"/>
      <c r="DD167" s="86"/>
      <c r="DE167" s="39"/>
      <c r="DF167" s="84"/>
      <c r="DG167" s="84"/>
      <c r="DH167" s="84"/>
      <c r="DI167" s="84"/>
      <c r="DJ167" s="84"/>
      <c r="DK167" s="84"/>
      <c r="DL167" s="84"/>
      <c r="DM167" s="84"/>
      <c r="DN167" s="84"/>
      <c r="DO167" s="84"/>
      <c r="DP167" s="84"/>
      <c r="DQ167" s="84"/>
      <c r="DR167" s="84"/>
      <c r="DS167" s="84"/>
      <c r="DT167" s="84"/>
      <c r="DU167" s="67"/>
      <c r="DV167" s="86"/>
      <c r="DW167" s="39"/>
      <c r="DX167" s="84"/>
      <c r="DY167" s="84"/>
      <c r="DZ167" s="84"/>
      <c r="EA167" s="84"/>
      <c r="EB167" s="84"/>
      <c r="EC167" s="84"/>
      <c r="ED167" s="84"/>
      <c r="EE167" s="84"/>
      <c r="EF167" s="84"/>
      <c r="EG167" s="84"/>
      <c r="EH167" s="84"/>
      <c r="EI167" s="84"/>
      <c r="EJ167" s="84"/>
      <c r="EK167" s="84"/>
      <c r="EL167" s="84"/>
      <c r="EM167" s="67"/>
      <c r="EN167" s="86"/>
      <c r="EO167" s="39"/>
      <c r="EP167" s="84"/>
      <c r="EQ167" s="84"/>
      <c r="ER167" s="84"/>
      <c r="ES167" s="84"/>
      <c r="ET167" s="84"/>
      <c r="EU167" s="84"/>
      <c r="EV167" s="84"/>
      <c r="EW167" s="84"/>
      <c r="EX167" s="84"/>
      <c r="EY167" s="84"/>
      <c r="EZ167" s="84"/>
      <c r="FA167" s="84"/>
      <c r="FB167" s="84"/>
      <c r="FC167" s="84"/>
      <c r="FD167" s="84"/>
      <c r="FE167" s="67"/>
      <c r="FF167" s="86"/>
      <c r="FG167" s="39"/>
      <c r="FH167" s="84"/>
      <c r="FI167" s="84"/>
      <c r="FJ167" s="84"/>
      <c r="FK167" s="84"/>
      <c r="FL167" s="84"/>
      <c r="FM167" s="84"/>
      <c r="FN167" s="84"/>
      <c r="FO167" s="84"/>
      <c r="FP167" s="84"/>
      <c r="FQ167" s="84"/>
      <c r="FR167" s="84"/>
      <c r="FS167" s="84"/>
      <c r="FT167" s="84"/>
      <c r="FU167" s="84"/>
      <c r="FV167" s="84"/>
      <c r="FW167" s="67"/>
      <c r="FX167" s="86"/>
      <c r="FY167" s="39"/>
      <c r="FZ167" s="84"/>
      <c r="GA167" s="84"/>
      <c r="GB167" s="84"/>
      <c r="GC167" s="84"/>
      <c r="GD167" s="84"/>
      <c r="GE167" s="84"/>
      <c r="GF167" s="84"/>
      <c r="GG167" s="84"/>
      <c r="GH167" s="84"/>
      <c r="GI167" s="84"/>
      <c r="GJ167" s="84"/>
      <c r="GK167" s="84"/>
      <c r="GL167" s="84"/>
      <c r="GM167" s="84"/>
      <c r="GN167" s="84"/>
      <c r="GO167" s="67"/>
      <c r="GP167" s="86"/>
      <c r="GQ167" s="39"/>
      <c r="GR167" s="84"/>
      <c r="GS167" s="84"/>
      <c r="GT167" s="84"/>
      <c r="GU167" s="84"/>
      <c r="GV167" s="84"/>
      <c r="GW167" s="84"/>
      <c r="GX167" s="84"/>
      <c r="GY167" s="84"/>
      <c r="GZ167" s="84"/>
      <c r="HA167" s="84"/>
      <c r="HB167" s="84"/>
      <c r="HC167" s="84"/>
      <c r="HD167" s="84"/>
      <c r="HE167" s="84"/>
      <c r="HF167" s="84"/>
      <c r="HG167" s="67"/>
      <c r="HH167" s="86"/>
      <c r="HJ167" s="37"/>
      <c r="HK167" s="37"/>
      <c r="HL167" s="37"/>
      <c r="HM167" s="37"/>
      <c r="HN167" s="37"/>
      <c r="HO167" s="37"/>
      <c r="HP167" s="37"/>
      <c r="HQ167" s="37"/>
      <c r="HR167" s="37"/>
      <c r="HS167" s="37"/>
      <c r="HT167" s="37"/>
      <c r="HU167" s="37"/>
      <c r="HV167" s="37"/>
      <c r="HW167" s="37"/>
      <c r="HX167" s="37"/>
      <c r="HY167" s="37"/>
      <c r="HZ167" s="37"/>
      <c r="IA167" s="37"/>
      <c r="IB167" s="37"/>
      <c r="IC167" s="37"/>
      <c r="ID167" s="37"/>
      <c r="IE167" s="37"/>
      <c r="IF167" s="37"/>
      <c r="IG167" s="37"/>
      <c r="IH167" s="37"/>
      <c r="II167" s="37"/>
      <c r="IJ167" s="37"/>
      <c r="IK167" s="37"/>
      <c r="IL167" s="37"/>
      <c r="IM167" s="37"/>
      <c r="IN167" s="37"/>
      <c r="IO167" s="37"/>
      <c r="IP167" s="37"/>
    </row>
    <row r="168" spans="1:257" x14ac:dyDescent="0.3">
      <c r="A168" s="39"/>
      <c r="B168" s="84"/>
      <c r="C168" s="84"/>
      <c r="D168" s="84"/>
      <c r="E168" s="84"/>
      <c r="F168" s="84"/>
      <c r="G168" s="84"/>
      <c r="H168" s="84"/>
      <c r="I168" s="84"/>
      <c r="J168" s="84"/>
      <c r="K168" s="84"/>
      <c r="L168" s="84"/>
      <c r="M168" s="84"/>
      <c r="N168" s="84"/>
      <c r="O168" s="84"/>
      <c r="P168" s="84"/>
      <c r="Q168" s="67"/>
      <c r="R168" s="87">
        <v>0.14000000000000001</v>
      </c>
      <c r="S168" s="39"/>
      <c r="T168" s="84"/>
      <c r="U168" s="84"/>
      <c r="V168" s="84"/>
      <c r="W168" s="84"/>
      <c r="X168" s="84"/>
      <c r="Y168" s="84"/>
      <c r="Z168" s="84"/>
      <c r="AA168" s="84"/>
      <c r="AB168" s="84"/>
      <c r="AC168" s="84"/>
      <c r="AD168" s="84"/>
      <c r="AE168" s="84"/>
      <c r="AF168" s="84"/>
      <c r="AG168" s="84"/>
      <c r="AH168" s="84"/>
      <c r="AI168" s="67"/>
      <c r="AJ168" s="87">
        <v>0.14000000000000001</v>
      </c>
      <c r="AL168" s="84"/>
      <c r="AM168" s="84"/>
      <c r="AN168" s="84"/>
      <c r="AO168" s="84"/>
      <c r="AP168" s="84"/>
      <c r="AQ168" s="84"/>
      <c r="AR168" s="84"/>
      <c r="AS168" s="84"/>
      <c r="AT168" s="84"/>
      <c r="AU168" s="84"/>
      <c r="AV168" s="84"/>
      <c r="AW168" s="84"/>
      <c r="AX168" s="84"/>
      <c r="AY168" s="84"/>
      <c r="AZ168" s="84"/>
      <c r="BA168" s="67"/>
      <c r="BB168" s="87">
        <v>0.14000000000000001</v>
      </c>
      <c r="BD168" s="84"/>
      <c r="BE168" s="84"/>
      <c r="BF168" s="84"/>
      <c r="BG168" s="84"/>
      <c r="BH168" s="84"/>
      <c r="BI168" s="84"/>
      <c r="BJ168" s="84"/>
      <c r="BK168" s="84"/>
      <c r="BL168" s="84"/>
      <c r="BM168" s="84"/>
      <c r="BN168" s="84"/>
      <c r="BO168" s="84"/>
      <c r="BP168" s="84"/>
      <c r="BQ168" s="84"/>
      <c r="BR168" s="84"/>
      <c r="BS168" s="67"/>
      <c r="BT168" s="87">
        <v>0.14000000000000001</v>
      </c>
      <c r="BV168" s="84"/>
      <c r="BW168" s="84"/>
      <c r="BX168" s="84"/>
      <c r="BY168" s="84"/>
      <c r="BZ168" s="84"/>
      <c r="CA168" s="84"/>
      <c r="CB168" s="84"/>
      <c r="CC168" s="84"/>
      <c r="CD168" s="84"/>
      <c r="CE168" s="84"/>
      <c r="CF168" s="84"/>
      <c r="CG168" s="84"/>
      <c r="CH168" s="84"/>
      <c r="CI168" s="84"/>
      <c r="CJ168" s="84"/>
      <c r="CK168" s="67"/>
      <c r="CL168" s="87">
        <v>0.14000000000000001</v>
      </c>
      <c r="CN168" s="84"/>
      <c r="CO168" s="84"/>
      <c r="CP168" s="84"/>
      <c r="CQ168" s="84"/>
      <c r="CR168" s="84"/>
      <c r="CS168" s="84"/>
      <c r="CT168" s="84"/>
      <c r="CU168" s="84"/>
      <c r="CV168" s="84"/>
      <c r="CW168" s="84"/>
      <c r="CX168" s="84"/>
      <c r="CY168" s="84"/>
      <c r="CZ168" s="84"/>
      <c r="DA168" s="84"/>
      <c r="DB168" s="84"/>
      <c r="DC168" s="67"/>
      <c r="DD168" s="87">
        <v>0.14000000000000001</v>
      </c>
      <c r="DE168" s="39"/>
      <c r="DF168" s="84"/>
      <c r="DG168" s="84"/>
      <c r="DH168" s="84"/>
      <c r="DI168" s="84"/>
      <c r="DJ168" s="84"/>
      <c r="DK168" s="84"/>
      <c r="DL168" s="84"/>
      <c r="DM168" s="84"/>
      <c r="DN168" s="84"/>
      <c r="DO168" s="84"/>
      <c r="DP168" s="84"/>
      <c r="DQ168" s="84"/>
      <c r="DR168" s="84"/>
      <c r="DS168" s="84"/>
      <c r="DT168" s="84"/>
      <c r="DU168" s="67"/>
      <c r="DV168" s="87">
        <v>0.14000000000000001</v>
      </c>
      <c r="DW168" s="39"/>
      <c r="DX168" s="84"/>
      <c r="DY168" s="84"/>
      <c r="DZ168" s="84"/>
      <c r="EA168" s="84"/>
      <c r="EB168" s="84"/>
      <c r="EC168" s="84"/>
      <c r="ED168" s="84"/>
      <c r="EE168" s="84"/>
      <c r="EF168" s="84"/>
      <c r="EG168" s="84"/>
      <c r="EH168" s="84"/>
      <c r="EI168" s="84"/>
      <c r="EJ168" s="84"/>
      <c r="EK168" s="84"/>
      <c r="EL168" s="84"/>
      <c r="EM168" s="67"/>
      <c r="EN168" s="87">
        <v>0.14000000000000001</v>
      </c>
      <c r="EO168" s="39"/>
      <c r="EP168" s="84"/>
      <c r="EQ168" s="84"/>
      <c r="ER168" s="84"/>
      <c r="ES168" s="84"/>
      <c r="ET168" s="84"/>
      <c r="EU168" s="84"/>
      <c r="EV168" s="84"/>
      <c r="EW168" s="84"/>
      <c r="EX168" s="84"/>
      <c r="EY168" s="84"/>
      <c r="EZ168" s="84"/>
      <c r="FA168" s="84"/>
      <c r="FB168" s="84"/>
      <c r="FC168" s="84"/>
      <c r="FD168" s="84"/>
      <c r="FE168" s="67"/>
      <c r="FF168" s="87">
        <v>0.14000000000000001</v>
      </c>
      <c r="FG168" s="39"/>
      <c r="FH168" s="84"/>
      <c r="FI168" s="84"/>
      <c r="FJ168" s="84"/>
      <c r="FK168" s="84"/>
      <c r="FL168" s="84"/>
      <c r="FM168" s="84"/>
      <c r="FN168" s="84"/>
      <c r="FO168" s="84"/>
      <c r="FP168" s="84"/>
      <c r="FQ168" s="84"/>
      <c r="FR168" s="84"/>
      <c r="FS168" s="84"/>
      <c r="FT168" s="84"/>
      <c r="FU168" s="84"/>
      <c r="FV168" s="84"/>
      <c r="FW168" s="67"/>
      <c r="FX168" s="87">
        <v>0.14000000000000001</v>
      </c>
      <c r="FY168" s="39"/>
      <c r="FZ168" s="84"/>
      <c r="GA168" s="84"/>
      <c r="GB168" s="84"/>
      <c r="GC168" s="84"/>
      <c r="GD168" s="84"/>
      <c r="GE168" s="84"/>
      <c r="GF168" s="84"/>
      <c r="GG168" s="84"/>
      <c r="GH168" s="84"/>
      <c r="GI168" s="84"/>
      <c r="GJ168" s="84"/>
      <c r="GK168" s="84"/>
      <c r="GL168" s="84"/>
      <c r="GM168" s="84"/>
      <c r="GN168" s="84"/>
      <c r="GO168" s="67"/>
      <c r="GP168" s="87">
        <v>0.14000000000000001</v>
      </c>
      <c r="GQ168" s="39"/>
      <c r="GR168" s="84"/>
      <c r="GS168" s="84"/>
      <c r="GT168" s="84"/>
      <c r="GU168" s="84"/>
      <c r="GV168" s="84"/>
      <c r="GW168" s="84"/>
      <c r="GX168" s="84"/>
      <c r="GY168" s="84"/>
      <c r="GZ168" s="84"/>
      <c r="HA168" s="84"/>
      <c r="HB168" s="84"/>
      <c r="HC168" s="84"/>
      <c r="HD168" s="84"/>
      <c r="HE168" s="84"/>
      <c r="HF168" s="84"/>
      <c r="HG168" s="67"/>
      <c r="HH168" s="87">
        <v>0.14000000000000001</v>
      </c>
      <c r="HJ168" s="37"/>
      <c r="HK168" s="37"/>
      <c r="HL168" s="37"/>
      <c r="HM168" s="37"/>
      <c r="HN168" s="37"/>
      <c r="HO168" s="37"/>
      <c r="HP168" s="37"/>
      <c r="HQ168" s="37"/>
      <c r="HR168" s="37"/>
      <c r="HS168" s="37"/>
      <c r="HT168" s="37"/>
      <c r="HU168" s="37"/>
      <c r="HV168" s="37"/>
      <c r="HW168" s="37"/>
      <c r="HX168" s="37"/>
      <c r="HY168" s="37"/>
      <c r="HZ168" s="37"/>
      <c r="IA168" s="37"/>
      <c r="IB168" s="37"/>
      <c r="IC168" s="37"/>
      <c r="ID168" s="37"/>
      <c r="IE168" s="37"/>
      <c r="IF168" s="37"/>
      <c r="IG168" s="37"/>
      <c r="IH168" s="37"/>
      <c r="II168" s="37"/>
      <c r="IJ168" s="37"/>
      <c r="IK168" s="37"/>
      <c r="IL168" s="37"/>
      <c r="IM168" s="37"/>
      <c r="IN168" s="37"/>
      <c r="IO168" s="37"/>
      <c r="IP168" s="37"/>
    </row>
    <row r="169" spans="1:257" x14ac:dyDescent="0.3">
      <c r="A169" s="39"/>
      <c r="B169" s="84"/>
      <c r="C169" s="84"/>
      <c r="D169" s="84"/>
      <c r="E169" s="84"/>
      <c r="F169" s="84"/>
      <c r="G169" s="84"/>
      <c r="H169" s="84"/>
      <c r="I169" s="84"/>
      <c r="J169" s="84"/>
      <c r="K169" s="84"/>
      <c r="L169" s="84"/>
      <c r="M169" s="88">
        <f>R165/7</f>
        <v>9102.4717714285707</v>
      </c>
      <c r="N169" s="84"/>
      <c r="O169" s="84"/>
      <c r="P169" s="84"/>
      <c r="Q169" s="188"/>
      <c r="R169" s="86"/>
      <c r="S169" s="39"/>
      <c r="T169" s="84"/>
      <c r="U169" s="84"/>
      <c r="V169" s="84"/>
      <c r="W169" s="84"/>
      <c r="X169" s="84"/>
      <c r="Y169" s="84"/>
      <c r="Z169" s="84"/>
      <c r="AA169" s="84"/>
      <c r="AB169" s="84"/>
      <c r="AC169" s="84"/>
      <c r="AD169" s="84"/>
      <c r="AE169" s="88">
        <f>AJ165/7</f>
        <v>9102.4717714285707</v>
      </c>
      <c r="AF169" s="84"/>
      <c r="AG169" s="84"/>
      <c r="AH169" s="84"/>
      <c r="AI169" s="188"/>
      <c r="AJ169" s="86"/>
      <c r="AL169" s="84"/>
      <c r="AM169" s="84"/>
      <c r="AN169" s="84"/>
      <c r="AO169" s="84"/>
      <c r="AP169" s="84"/>
      <c r="AQ169" s="84"/>
      <c r="AR169" s="84"/>
      <c r="AS169" s="84"/>
      <c r="AT169" s="84"/>
      <c r="AU169" s="84"/>
      <c r="AV169" s="84"/>
      <c r="AW169" s="88">
        <f>BB165/7</f>
        <v>9102.4717714285707</v>
      </c>
      <c r="AX169" s="84"/>
      <c r="AY169" s="84"/>
      <c r="AZ169" s="84"/>
      <c r="BA169" s="188"/>
      <c r="BB169" s="86"/>
      <c r="BD169" s="84"/>
      <c r="BE169" s="84"/>
      <c r="BF169" s="84"/>
      <c r="BG169" s="84"/>
      <c r="BH169" s="84"/>
      <c r="BI169" s="84"/>
      <c r="BJ169" s="84"/>
      <c r="BK169" s="84"/>
      <c r="BL169" s="84"/>
      <c r="BM169" s="84"/>
      <c r="BN169" s="84"/>
      <c r="BO169" s="88">
        <f>BT165/7</f>
        <v>9102.4717714285707</v>
      </c>
      <c r="BP169" s="84"/>
      <c r="BQ169" s="84"/>
      <c r="BR169" s="84"/>
      <c r="BS169" s="188"/>
      <c r="BT169" s="86"/>
      <c r="BV169" s="84"/>
      <c r="BW169" s="84"/>
      <c r="BX169" s="84"/>
      <c r="BY169" s="84"/>
      <c r="BZ169" s="84"/>
      <c r="CA169" s="84"/>
      <c r="CB169" s="84"/>
      <c r="CC169" s="84"/>
      <c r="CD169" s="84"/>
      <c r="CE169" s="84"/>
      <c r="CF169" s="84"/>
      <c r="CG169" s="88">
        <f>CL165/7</f>
        <v>9102.4717714285707</v>
      </c>
      <c r="CH169" s="84"/>
      <c r="CI169" s="84"/>
      <c r="CJ169" s="84"/>
      <c r="CK169" s="188"/>
      <c r="CL169" s="86"/>
      <c r="CN169" s="84"/>
      <c r="CO169" s="84"/>
      <c r="CP169" s="84"/>
      <c r="CQ169" s="84"/>
      <c r="CR169" s="84"/>
      <c r="CS169" s="84"/>
      <c r="CT169" s="84"/>
      <c r="CU169" s="84"/>
      <c r="CV169" s="84"/>
      <c r="CW169" s="84"/>
      <c r="CX169" s="84"/>
      <c r="CY169" s="88">
        <f>DD165/7</f>
        <v>9102.4717714285707</v>
      </c>
      <c r="CZ169" s="84"/>
      <c r="DA169" s="84"/>
      <c r="DB169" s="84"/>
      <c r="DC169" s="188"/>
      <c r="DD169" s="86"/>
      <c r="DE169" s="39"/>
      <c r="DF169" s="84"/>
      <c r="DG169" s="84"/>
      <c r="DH169" s="84"/>
      <c r="DI169" s="84"/>
      <c r="DJ169" s="84"/>
      <c r="DK169" s="84"/>
      <c r="DL169" s="84"/>
      <c r="DM169" s="84"/>
      <c r="DN169" s="84"/>
      <c r="DO169" s="84"/>
      <c r="DP169" s="84"/>
      <c r="DQ169" s="88">
        <f>DV165/7</f>
        <v>9102.4717714285707</v>
      </c>
      <c r="DR169" s="84"/>
      <c r="DS169" s="84"/>
      <c r="DT169" s="84"/>
      <c r="DU169" s="188"/>
      <c r="DV169" s="86"/>
      <c r="DW169" s="39"/>
      <c r="DX169" s="84"/>
      <c r="DY169" s="84"/>
      <c r="DZ169" s="84"/>
      <c r="EA169" s="84"/>
      <c r="EB169" s="84"/>
      <c r="EC169" s="84"/>
      <c r="ED169" s="84"/>
      <c r="EE169" s="84"/>
      <c r="EF169" s="84"/>
      <c r="EG169" s="84"/>
      <c r="EH169" s="84"/>
      <c r="EI169" s="88">
        <f>EN165/7</f>
        <v>9102.4717714285707</v>
      </c>
      <c r="EJ169" s="84"/>
      <c r="EK169" s="84"/>
      <c r="EL169" s="84"/>
      <c r="EM169" s="188"/>
      <c r="EN169" s="86"/>
      <c r="EO169" s="39"/>
      <c r="EP169" s="84"/>
      <c r="EQ169" s="84"/>
      <c r="ER169" s="84"/>
      <c r="ES169" s="84"/>
      <c r="ET169" s="84"/>
      <c r="EU169" s="84"/>
      <c r="EV169" s="84"/>
      <c r="EW169" s="84"/>
      <c r="EX169" s="84"/>
      <c r="EY169" s="84"/>
      <c r="EZ169" s="84"/>
      <c r="FA169" s="88">
        <f>FF165/7</f>
        <v>9102.4717714285707</v>
      </c>
      <c r="FB169" s="84"/>
      <c r="FC169" s="84"/>
      <c r="FD169" s="84"/>
      <c r="FE169" s="188"/>
      <c r="FF169" s="86"/>
      <c r="FG169" s="39"/>
      <c r="FH169" s="84"/>
      <c r="FI169" s="84"/>
      <c r="FJ169" s="84"/>
      <c r="FK169" s="84"/>
      <c r="FL169" s="84"/>
      <c r="FM169" s="84"/>
      <c r="FN169" s="84"/>
      <c r="FO169" s="84"/>
      <c r="FP169" s="84"/>
      <c r="FQ169" s="84"/>
      <c r="FR169" s="84"/>
      <c r="FS169" s="88">
        <f>FX165/7</f>
        <v>9102.4717714285707</v>
      </c>
      <c r="FT169" s="84"/>
      <c r="FU169" s="84"/>
      <c r="FV169" s="84"/>
      <c r="FW169" s="188"/>
      <c r="FX169" s="86"/>
      <c r="FY169" s="39"/>
      <c r="FZ169" s="84"/>
      <c r="GA169" s="84"/>
      <c r="GB169" s="84"/>
      <c r="GC169" s="84"/>
      <c r="GD169" s="84"/>
      <c r="GE169" s="84"/>
      <c r="GF169" s="84"/>
      <c r="GG169" s="84"/>
      <c r="GH169" s="84"/>
      <c r="GI169" s="84"/>
      <c r="GJ169" s="84"/>
      <c r="GK169" s="88">
        <f>GP165/7</f>
        <v>9102.4717714285707</v>
      </c>
      <c r="GL169" s="84"/>
      <c r="GM169" s="84"/>
      <c r="GN169" s="84"/>
      <c r="GO169" s="188"/>
      <c r="GP169" s="86"/>
      <c r="GQ169" s="39"/>
      <c r="GR169" s="84"/>
      <c r="GS169" s="84"/>
      <c r="GT169" s="84"/>
      <c r="GU169" s="84"/>
      <c r="GV169" s="84"/>
      <c r="GW169" s="84"/>
      <c r="GX169" s="84"/>
      <c r="GY169" s="84"/>
      <c r="GZ169" s="84"/>
      <c r="HA169" s="84"/>
      <c r="HB169" s="84"/>
      <c r="HC169" s="88">
        <f>HH165/7</f>
        <v>9102.4717714285707</v>
      </c>
      <c r="HD169" s="84"/>
      <c r="HE169" s="84"/>
      <c r="HF169" s="84"/>
      <c r="HG169" s="188"/>
      <c r="HH169" s="86"/>
      <c r="HJ169" s="37"/>
      <c r="HK169" s="37"/>
      <c r="HL169" s="37"/>
      <c r="HM169" s="37"/>
      <c r="HN169" s="37"/>
      <c r="HO169" s="37"/>
      <c r="HP169" s="37"/>
      <c r="HQ169" s="37"/>
      <c r="HR169" s="37"/>
      <c r="HS169" s="37"/>
      <c r="HT169" s="37"/>
      <c r="HU169" s="37"/>
      <c r="HV169" s="37"/>
      <c r="HW169" s="37"/>
      <c r="HX169" s="37"/>
      <c r="HY169" s="37"/>
      <c r="HZ169" s="37"/>
      <c r="IA169" s="37"/>
      <c r="IB169" s="37"/>
      <c r="IC169" s="37"/>
      <c r="ID169" s="37"/>
      <c r="IE169" s="37"/>
      <c r="IF169" s="37"/>
      <c r="IG169" s="37"/>
      <c r="IH169" s="37"/>
      <c r="II169" s="37"/>
      <c r="IJ169" s="37"/>
      <c r="IK169" s="37"/>
      <c r="IL169" s="37"/>
      <c r="IM169" s="37"/>
      <c r="IN169" s="37"/>
      <c r="IO169" s="37"/>
      <c r="IP169" s="37"/>
    </row>
    <row r="170" spans="1:257" x14ac:dyDescent="0.3">
      <c r="A170" s="39"/>
      <c r="B170" s="84"/>
      <c r="C170" s="84"/>
      <c r="D170" s="84"/>
      <c r="E170" s="84"/>
      <c r="F170" s="84"/>
      <c r="G170" s="84"/>
      <c r="H170" s="84"/>
      <c r="I170" s="84"/>
      <c r="J170" s="84"/>
      <c r="K170" s="84"/>
      <c r="L170" s="84"/>
      <c r="M170" s="84"/>
      <c r="N170" s="84"/>
      <c r="O170" s="84"/>
      <c r="P170" s="84"/>
      <c r="Q170" s="67"/>
      <c r="R170" s="85">
        <f>R165*R168</f>
        <v>8920.4223360000015</v>
      </c>
      <c r="S170" s="39"/>
      <c r="T170" s="84"/>
      <c r="U170" s="84"/>
      <c r="V170" s="84"/>
      <c r="W170" s="84"/>
      <c r="X170" s="84"/>
      <c r="Y170" s="84"/>
      <c r="Z170" s="84"/>
      <c r="AA170" s="84"/>
      <c r="AB170" s="84"/>
      <c r="AC170" s="84"/>
      <c r="AD170" s="84"/>
      <c r="AE170" s="84"/>
      <c r="AF170" s="84"/>
      <c r="AG170" s="84"/>
      <c r="AH170" s="84"/>
      <c r="AI170" s="67"/>
      <c r="AJ170" s="85">
        <f>AJ165*AJ168</f>
        <v>8920.4223360000015</v>
      </c>
      <c r="AL170" s="84"/>
      <c r="AM170" s="84"/>
      <c r="AN170" s="84"/>
      <c r="AO170" s="84"/>
      <c r="AP170" s="84"/>
      <c r="AQ170" s="84"/>
      <c r="AR170" s="84"/>
      <c r="AS170" s="84"/>
      <c r="AT170" s="84"/>
      <c r="AU170" s="84"/>
      <c r="AV170" s="84"/>
      <c r="AW170" s="84"/>
      <c r="AX170" s="84"/>
      <c r="AY170" s="84"/>
      <c r="AZ170" s="84"/>
      <c r="BA170" s="67"/>
      <c r="BB170" s="85">
        <f>BB165*BB168</f>
        <v>8920.4223360000015</v>
      </c>
      <c r="BD170" s="84"/>
      <c r="BE170" s="84"/>
      <c r="BF170" s="84"/>
      <c r="BG170" s="84"/>
      <c r="BH170" s="84"/>
      <c r="BI170" s="84"/>
      <c r="BJ170" s="84"/>
      <c r="BK170" s="84"/>
      <c r="BL170" s="84"/>
      <c r="BM170" s="84"/>
      <c r="BN170" s="84"/>
      <c r="BO170" s="84"/>
      <c r="BP170" s="84"/>
      <c r="BQ170" s="84"/>
      <c r="BR170" s="84"/>
      <c r="BS170" s="67"/>
      <c r="BT170" s="85">
        <f>BT165*BT168</f>
        <v>8920.4223360000015</v>
      </c>
      <c r="BV170" s="84"/>
      <c r="BW170" s="84"/>
      <c r="BX170" s="84"/>
      <c r="BY170" s="84"/>
      <c r="BZ170" s="84"/>
      <c r="CA170" s="84"/>
      <c r="CB170" s="84"/>
      <c r="CC170" s="84"/>
      <c r="CD170" s="84"/>
      <c r="CE170" s="84"/>
      <c r="CF170" s="84"/>
      <c r="CG170" s="84"/>
      <c r="CH170" s="84"/>
      <c r="CI170" s="84"/>
      <c r="CJ170" s="84"/>
      <c r="CK170" s="67"/>
      <c r="CL170" s="85">
        <f>CL165*CL168</f>
        <v>8920.4223360000015</v>
      </c>
      <c r="CN170" s="84"/>
      <c r="CO170" s="84"/>
      <c r="CP170" s="84"/>
      <c r="CQ170" s="84"/>
      <c r="CR170" s="84"/>
      <c r="CS170" s="84"/>
      <c r="CT170" s="84"/>
      <c r="CU170" s="84"/>
      <c r="CV170" s="84"/>
      <c r="CW170" s="84"/>
      <c r="CX170" s="84"/>
      <c r="CY170" s="84"/>
      <c r="CZ170" s="84"/>
      <c r="DA170" s="84"/>
      <c r="DB170" s="84"/>
      <c r="DC170" s="67"/>
      <c r="DD170" s="85">
        <f>DD165*DD168</f>
        <v>8920.4223360000015</v>
      </c>
      <c r="DE170" s="39"/>
      <c r="DF170" s="84"/>
      <c r="DG170" s="84"/>
      <c r="DH170" s="84"/>
      <c r="DI170" s="84"/>
      <c r="DJ170" s="84"/>
      <c r="DK170" s="84"/>
      <c r="DL170" s="84"/>
      <c r="DM170" s="84"/>
      <c r="DN170" s="84"/>
      <c r="DO170" s="84"/>
      <c r="DP170" s="84"/>
      <c r="DQ170" s="84"/>
      <c r="DR170" s="84"/>
      <c r="DS170" s="84"/>
      <c r="DT170" s="84"/>
      <c r="DU170" s="67"/>
      <c r="DV170" s="85">
        <f>DV165*DV168</f>
        <v>8920.4223360000015</v>
      </c>
      <c r="DW170" s="39"/>
      <c r="DX170" s="84"/>
      <c r="DY170" s="84"/>
      <c r="DZ170" s="84"/>
      <c r="EA170" s="84"/>
      <c r="EB170" s="84"/>
      <c r="EC170" s="84"/>
      <c r="ED170" s="84"/>
      <c r="EE170" s="84"/>
      <c r="EF170" s="84"/>
      <c r="EG170" s="84"/>
      <c r="EH170" s="84"/>
      <c r="EI170" s="84"/>
      <c r="EJ170" s="84"/>
      <c r="EK170" s="84"/>
      <c r="EL170" s="84"/>
      <c r="EM170" s="67"/>
      <c r="EN170" s="85">
        <f>EN165*EN168</f>
        <v>8920.4223360000015</v>
      </c>
      <c r="EO170" s="39"/>
      <c r="EP170" s="84"/>
      <c r="EQ170" s="84"/>
      <c r="ER170" s="84"/>
      <c r="ES170" s="84"/>
      <c r="ET170" s="84"/>
      <c r="EU170" s="84"/>
      <c r="EV170" s="84"/>
      <c r="EW170" s="84"/>
      <c r="EX170" s="84"/>
      <c r="EY170" s="84"/>
      <c r="EZ170" s="84"/>
      <c r="FA170" s="84"/>
      <c r="FB170" s="84"/>
      <c r="FC170" s="84"/>
      <c r="FD170" s="84"/>
      <c r="FE170" s="67"/>
      <c r="FF170" s="85">
        <f>FF165*FF168</f>
        <v>8920.4223360000015</v>
      </c>
      <c r="FG170" s="39"/>
      <c r="FH170" s="84"/>
      <c r="FI170" s="84"/>
      <c r="FJ170" s="84"/>
      <c r="FK170" s="84"/>
      <c r="FL170" s="84"/>
      <c r="FM170" s="84"/>
      <c r="FN170" s="84"/>
      <c r="FO170" s="84"/>
      <c r="FP170" s="84"/>
      <c r="FQ170" s="84"/>
      <c r="FR170" s="84"/>
      <c r="FS170" s="84"/>
      <c r="FT170" s="84"/>
      <c r="FU170" s="84"/>
      <c r="FV170" s="84"/>
      <c r="FW170" s="67"/>
      <c r="FX170" s="85">
        <f>FX165*FX168</f>
        <v>8920.4223360000015</v>
      </c>
      <c r="FY170" s="39"/>
      <c r="FZ170" s="84"/>
      <c r="GA170" s="84"/>
      <c r="GB170" s="84"/>
      <c r="GC170" s="84"/>
      <c r="GD170" s="84"/>
      <c r="GE170" s="84"/>
      <c r="GF170" s="84"/>
      <c r="GG170" s="84"/>
      <c r="GH170" s="84"/>
      <c r="GI170" s="84"/>
      <c r="GJ170" s="84"/>
      <c r="GK170" s="84"/>
      <c r="GL170" s="84"/>
      <c r="GM170" s="84"/>
      <c r="GN170" s="84"/>
      <c r="GO170" s="67"/>
      <c r="GP170" s="85">
        <f>GP165*GP168</f>
        <v>8920.4223360000015</v>
      </c>
      <c r="GQ170" s="39"/>
      <c r="GR170" s="84"/>
      <c r="GS170" s="84"/>
      <c r="GT170" s="84"/>
      <c r="GU170" s="84"/>
      <c r="GV170" s="84"/>
      <c r="GW170" s="84"/>
      <c r="GX170" s="84"/>
      <c r="GY170" s="84"/>
      <c r="GZ170" s="84"/>
      <c r="HA170" s="84"/>
      <c r="HB170" s="84"/>
      <c r="HC170" s="84"/>
      <c r="HD170" s="84"/>
      <c r="HE170" s="84"/>
      <c r="HF170" s="84"/>
      <c r="HG170" s="67"/>
      <c r="HH170" s="85">
        <f>HH165*HH168</f>
        <v>8920.4223360000015</v>
      </c>
      <c r="HJ170" s="37"/>
      <c r="HK170" s="37"/>
      <c r="HL170" s="37"/>
      <c r="HM170" s="37"/>
      <c r="HN170" s="37"/>
      <c r="HO170" s="37"/>
      <c r="HP170" s="37"/>
      <c r="HQ170" s="37"/>
      <c r="HR170" s="37"/>
      <c r="HS170" s="37"/>
      <c r="HT170" s="37"/>
      <c r="HU170" s="37"/>
      <c r="HV170" s="37"/>
      <c r="HW170" s="37"/>
      <c r="HX170" s="37"/>
      <c r="HY170" s="37"/>
      <c r="HZ170" s="37"/>
      <c r="IA170" s="37"/>
      <c r="IB170" s="37"/>
      <c r="IC170" s="37"/>
      <c r="ID170" s="37"/>
      <c r="IE170" s="37"/>
      <c r="IF170" s="37"/>
      <c r="IG170" s="37"/>
      <c r="IH170" s="37"/>
      <c r="II170" s="37"/>
      <c r="IJ170" s="37"/>
      <c r="IK170" s="37"/>
      <c r="IL170" s="37"/>
      <c r="IM170" s="37"/>
      <c r="IN170" s="37"/>
      <c r="IO170" s="37"/>
      <c r="IP170" s="37"/>
    </row>
    <row r="171" spans="1:257" x14ac:dyDescent="0.3">
      <c r="A171" s="52"/>
      <c r="B171" s="84"/>
      <c r="C171" s="84"/>
      <c r="D171" s="84"/>
      <c r="E171" s="84"/>
      <c r="F171" s="84"/>
      <c r="G171" s="84"/>
      <c r="H171" s="84"/>
      <c r="I171" s="84"/>
      <c r="J171" s="84"/>
      <c r="K171" s="84"/>
      <c r="L171" s="84"/>
      <c r="M171" s="84"/>
      <c r="N171" s="84"/>
      <c r="O171" s="84"/>
      <c r="P171" s="84"/>
      <c r="Q171" s="67"/>
      <c r="R171" s="86"/>
      <c r="S171" s="52"/>
      <c r="T171" s="84"/>
      <c r="U171" s="84"/>
      <c r="V171" s="84"/>
      <c r="W171" s="84"/>
      <c r="X171" s="84"/>
      <c r="Y171" s="84"/>
      <c r="Z171" s="84"/>
      <c r="AA171" s="84"/>
      <c r="AB171" s="84"/>
      <c r="AC171" s="84"/>
      <c r="AD171" s="84"/>
      <c r="AE171" s="84"/>
      <c r="AF171" s="84"/>
      <c r="AG171" s="84"/>
      <c r="AH171" s="84"/>
      <c r="AI171" s="67"/>
      <c r="AJ171" s="86"/>
      <c r="AK171" s="52"/>
      <c r="AL171" s="84"/>
      <c r="AM171" s="84"/>
      <c r="AN171" s="84"/>
      <c r="AO171" s="84"/>
      <c r="AP171" s="84"/>
      <c r="AQ171" s="84"/>
      <c r="AR171" s="84"/>
      <c r="AS171" s="84"/>
      <c r="AT171" s="84"/>
      <c r="AU171" s="84"/>
      <c r="AV171" s="84"/>
      <c r="AW171" s="84"/>
      <c r="AX171" s="84"/>
      <c r="AY171" s="84"/>
      <c r="AZ171" s="84"/>
      <c r="BA171" s="67"/>
      <c r="BB171" s="86"/>
      <c r="BC171" s="52"/>
      <c r="BD171" s="84"/>
      <c r="BE171" s="84"/>
      <c r="BF171" s="84"/>
      <c r="BG171" s="84"/>
      <c r="BH171" s="84"/>
      <c r="BI171" s="84"/>
      <c r="BJ171" s="84"/>
      <c r="BK171" s="84"/>
      <c r="BL171" s="84"/>
      <c r="BM171" s="84"/>
      <c r="BN171" s="84"/>
      <c r="BO171" s="84"/>
      <c r="BP171" s="84"/>
      <c r="BQ171" s="84"/>
      <c r="BR171" s="84"/>
      <c r="BS171" s="67"/>
      <c r="BT171" s="86"/>
      <c r="BU171" s="52"/>
      <c r="BV171" s="84"/>
      <c r="BW171" s="84"/>
      <c r="BX171" s="84"/>
      <c r="BY171" s="84"/>
      <c r="BZ171" s="84"/>
      <c r="CA171" s="84"/>
      <c r="CB171" s="84"/>
      <c r="CC171" s="84"/>
      <c r="CD171" s="84"/>
      <c r="CE171" s="84"/>
      <c r="CF171" s="84"/>
      <c r="CG171" s="84"/>
      <c r="CH171" s="84"/>
      <c r="CI171" s="84"/>
      <c r="CJ171" s="84"/>
      <c r="CK171" s="67"/>
      <c r="CL171" s="86"/>
      <c r="CM171" s="52"/>
      <c r="CN171" s="84"/>
      <c r="CO171" s="84"/>
      <c r="CP171" s="84"/>
      <c r="CQ171" s="84"/>
      <c r="CR171" s="84"/>
      <c r="CS171" s="84"/>
      <c r="CT171" s="84"/>
      <c r="CU171" s="84"/>
      <c r="CV171" s="84"/>
      <c r="CW171" s="84"/>
      <c r="CX171" s="84"/>
      <c r="CY171" s="84"/>
      <c r="CZ171" s="84"/>
      <c r="DA171" s="84"/>
      <c r="DB171" s="84"/>
      <c r="DC171" s="67"/>
      <c r="DD171" s="86"/>
      <c r="DE171" s="52"/>
      <c r="DF171" s="84"/>
      <c r="DG171" s="84"/>
      <c r="DH171" s="84"/>
      <c r="DI171" s="84"/>
      <c r="DJ171" s="84"/>
      <c r="DK171" s="84"/>
      <c r="DL171" s="84"/>
      <c r="DM171" s="84"/>
      <c r="DN171" s="84"/>
      <c r="DO171" s="84"/>
      <c r="DP171" s="84"/>
      <c r="DQ171" s="84"/>
      <c r="DR171" s="84"/>
      <c r="DS171" s="84"/>
      <c r="DT171" s="84"/>
      <c r="DU171" s="67"/>
      <c r="DV171" s="86"/>
      <c r="DW171" s="52"/>
      <c r="DX171" s="84"/>
      <c r="DY171" s="84"/>
      <c r="DZ171" s="84"/>
      <c r="EA171" s="84"/>
      <c r="EB171" s="84"/>
      <c r="EC171" s="84"/>
      <c r="ED171" s="84"/>
      <c r="EE171" s="84"/>
      <c r="EF171" s="84"/>
      <c r="EG171" s="84"/>
      <c r="EH171" s="84"/>
      <c r="EI171" s="84"/>
      <c r="EJ171" s="84"/>
      <c r="EK171" s="84"/>
      <c r="EL171" s="84"/>
      <c r="EM171" s="67"/>
      <c r="EN171" s="86"/>
      <c r="EO171" s="52"/>
      <c r="EP171" s="84"/>
      <c r="EQ171" s="84"/>
      <c r="ER171" s="84"/>
      <c r="ES171" s="84"/>
      <c r="ET171" s="84"/>
      <c r="EU171" s="84"/>
      <c r="EV171" s="84"/>
      <c r="EW171" s="84"/>
      <c r="EX171" s="84"/>
      <c r="EY171" s="84"/>
      <c r="EZ171" s="84"/>
      <c r="FA171" s="84"/>
      <c r="FB171" s="84"/>
      <c r="FC171" s="84"/>
      <c r="FD171" s="84"/>
      <c r="FE171" s="67"/>
      <c r="FF171" s="86"/>
      <c r="FG171" s="52"/>
      <c r="FH171" s="84"/>
      <c r="FI171" s="84"/>
      <c r="FJ171" s="84"/>
      <c r="FK171" s="84"/>
      <c r="FL171" s="84"/>
      <c r="FM171" s="84"/>
      <c r="FN171" s="84"/>
      <c r="FO171" s="84"/>
      <c r="FP171" s="84"/>
      <c r="FQ171" s="84"/>
      <c r="FR171" s="84"/>
      <c r="FS171" s="84"/>
      <c r="FT171" s="84"/>
      <c r="FU171" s="84"/>
      <c r="FV171" s="84"/>
      <c r="FW171" s="67"/>
      <c r="FX171" s="86"/>
      <c r="FY171" s="52"/>
      <c r="FZ171" s="84"/>
      <c r="GA171" s="84"/>
      <c r="GB171" s="84"/>
      <c r="GC171" s="84"/>
      <c r="GD171" s="84"/>
      <c r="GE171" s="84"/>
      <c r="GF171" s="84"/>
      <c r="GG171" s="84"/>
      <c r="GH171" s="84"/>
      <c r="GI171" s="84"/>
      <c r="GJ171" s="84"/>
      <c r="GK171" s="84"/>
      <c r="GL171" s="84"/>
      <c r="GM171" s="84"/>
      <c r="GN171" s="84"/>
      <c r="GO171" s="67"/>
      <c r="GP171" s="86"/>
      <c r="GQ171" s="52"/>
      <c r="GR171" s="84"/>
      <c r="GS171" s="84"/>
      <c r="GT171" s="84"/>
      <c r="GU171" s="84"/>
      <c r="GV171" s="84"/>
      <c r="GW171" s="84"/>
      <c r="GX171" s="84"/>
      <c r="GY171" s="84"/>
      <c r="GZ171" s="84"/>
      <c r="HA171" s="84"/>
      <c r="HB171" s="84"/>
      <c r="HC171" s="84"/>
      <c r="HD171" s="84"/>
      <c r="HE171" s="84"/>
      <c r="HF171" s="84"/>
      <c r="HG171" s="67"/>
      <c r="HH171" s="86"/>
      <c r="HJ171" s="37"/>
      <c r="HK171" s="37"/>
      <c r="HL171" s="37"/>
      <c r="HM171" s="37"/>
      <c r="HN171" s="37"/>
      <c r="HO171" s="37"/>
      <c r="HP171" s="37"/>
      <c r="HQ171" s="37"/>
      <c r="HR171" s="37"/>
      <c r="HS171" s="37"/>
      <c r="HT171" s="37"/>
      <c r="HU171" s="37"/>
      <c r="HV171" s="37"/>
      <c r="HW171" s="37"/>
      <c r="HX171" s="37"/>
      <c r="HY171" s="37"/>
      <c r="HZ171" s="37"/>
      <c r="IA171" s="37"/>
      <c r="IB171" s="37"/>
      <c r="IC171" s="37"/>
      <c r="ID171" s="37"/>
      <c r="IE171" s="37"/>
      <c r="IF171" s="37"/>
      <c r="IG171" s="37"/>
      <c r="IH171" s="37"/>
      <c r="II171" s="37"/>
      <c r="IJ171" s="37"/>
      <c r="IK171" s="37"/>
      <c r="IL171" s="37"/>
      <c r="IM171" s="37"/>
      <c r="IN171" s="37"/>
      <c r="IO171" s="37"/>
      <c r="IP171" s="37"/>
    </row>
    <row r="172" spans="1:257" x14ac:dyDescent="0.3">
      <c r="A172" s="52"/>
      <c r="B172" s="84"/>
      <c r="C172" s="84"/>
      <c r="D172" s="84"/>
      <c r="E172" s="84"/>
      <c r="F172" s="84"/>
      <c r="G172" s="84"/>
      <c r="H172" s="84"/>
      <c r="I172" s="84"/>
      <c r="J172" s="84"/>
      <c r="K172" s="84"/>
      <c r="L172" s="84"/>
      <c r="M172" s="84"/>
      <c r="N172" s="84"/>
      <c r="O172" s="84"/>
      <c r="P172" s="84"/>
      <c r="Q172" s="67"/>
      <c r="R172" s="86"/>
      <c r="S172" s="52"/>
      <c r="T172" s="84"/>
      <c r="U172" s="84"/>
      <c r="V172" s="84"/>
      <c r="W172" s="84"/>
      <c r="X172" s="84"/>
      <c r="Y172" s="84"/>
      <c r="Z172" s="84"/>
      <c r="AA172" s="84"/>
      <c r="AB172" s="84"/>
      <c r="AC172" s="84"/>
      <c r="AD172" s="84"/>
      <c r="AE172" s="84"/>
      <c r="AF172" s="84"/>
      <c r="AG172" s="84"/>
      <c r="AH172" s="84"/>
      <c r="AI172" s="67"/>
      <c r="AJ172" s="86"/>
      <c r="AK172" s="52"/>
      <c r="AL172" s="84"/>
      <c r="AM172" s="84"/>
      <c r="AN172" s="84"/>
      <c r="AO172" s="84"/>
      <c r="AP172" s="84"/>
      <c r="AQ172" s="84"/>
      <c r="AR172" s="84"/>
      <c r="AS172" s="84"/>
      <c r="AT172" s="84"/>
      <c r="AU172" s="84"/>
      <c r="AV172" s="84"/>
      <c r="AW172" s="84"/>
      <c r="AX172" s="84"/>
      <c r="AY172" s="84"/>
      <c r="AZ172" s="84"/>
      <c r="BA172" s="67"/>
      <c r="BB172" s="86"/>
      <c r="BC172" s="52"/>
      <c r="BD172" s="84"/>
      <c r="BE172" s="84"/>
      <c r="BF172" s="84"/>
      <c r="BG172" s="84"/>
      <c r="BH172" s="84"/>
      <c r="BI172" s="84"/>
      <c r="BJ172" s="84"/>
      <c r="BK172" s="84"/>
      <c r="BL172" s="84"/>
      <c r="BM172" s="84"/>
      <c r="BN172" s="84"/>
      <c r="BO172" s="84"/>
      <c r="BP172" s="84"/>
      <c r="BQ172" s="84"/>
      <c r="BR172" s="84"/>
      <c r="BS172" s="67"/>
      <c r="BT172" s="86"/>
      <c r="BU172" s="52"/>
      <c r="BV172" s="84"/>
      <c r="BW172" s="84"/>
      <c r="BX172" s="84"/>
      <c r="BY172" s="84"/>
      <c r="BZ172" s="84"/>
      <c r="CA172" s="84"/>
      <c r="CB172" s="84"/>
      <c r="CC172" s="84"/>
      <c r="CD172" s="84"/>
      <c r="CE172" s="84"/>
      <c r="CF172" s="84"/>
      <c r="CG172" s="84"/>
      <c r="CH172" s="84"/>
      <c r="CI172" s="84"/>
      <c r="CJ172" s="84"/>
      <c r="CK172" s="67"/>
      <c r="CL172" s="86"/>
      <c r="CM172" s="52"/>
      <c r="CN172" s="84"/>
      <c r="CO172" s="84"/>
      <c r="CP172" s="84"/>
      <c r="CQ172" s="84"/>
      <c r="CR172" s="84"/>
      <c r="CS172" s="84"/>
      <c r="CT172" s="84"/>
      <c r="CU172" s="84"/>
      <c r="CV172" s="84"/>
      <c r="CW172" s="84"/>
      <c r="CX172" s="84"/>
      <c r="CY172" s="84"/>
      <c r="CZ172" s="84"/>
      <c r="DA172" s="84"/>
      <c r="DB172" s="84"/>
      <c r="DC172" s="67"/>
      <c r="DD172" s="86"/>
      <c r="DE172" s="52"/>
      <c r="DF172" s="84"/>
      <c r="DG172" s="84"/>
      <c r="DH172" s="84"/>
      <c r="DI172" s="84"/>
      <c r="DJ172" s="84"/>
      <c r="DK172" s="84"/>
      <c r="DL172" s="84"/>
      <c r="DM172" s="84"/>
      <c r="DN172" s="84"/>
      <c r="DO172" s="84"/>
      <c r="DP172" s="84"/>
      <c r="DQ172" s="84"/>
      <c r="DR172" s="84"/>
      <c r="DS172" s="84"/>
      <c r="DT172" s="84"/>
      <c r="DU172" s="67"/>
      <c r="DV172" s="86"/>
      <c r="DW172" s="52"/>
      <c r="DX172" s="84"/>
      <c r="DY172" s="84"/>
      <c r="DZ172" s="84"/>
      <c r="EA172" s="84"/>
      <c r="EB172" s="84"/>
      <c r="EC172" s="84"/>
      <c r="ED172" s="84"/>
      <c r="EE172" s="84"/>
      <c r="EF172" s="84"/>
      <c r="EG172" s="84"/>
      <c r="EH172" s="84"/>
      <c r="EI172" s="84"/>
      <c r="EJ172" s="84"/>
      <c r="EK172" s="84"/>
      <c r="EL172" s="84"/>
      <c r="EM172" s="67"/>
      <c r="EN172" s="86"/>
      <c r="EO172" s="52"/>
      <c r="EP172" s="84"/>
      <c r="EQ172" s="84"/>
      <c r="ER172" s="84"/>
      <c r="ES172" s="84"/>
      <c r="ET172" s="84"/>
      <c r="EU172" s="84"/>
      <c r="EV172" s="84"/>
      <c r="EW172" s="84"/>
      <c r="EX172" s="84"/>
      <c r="EY172" s="84"/>
      <c r="EZ172" s="84"/>
      <c r="FA172" s="84"/>
      <c r="FB172" s="84"/>
      <c r="FC172" s="84"/>
      <c r="FD172" s="84"/>
      <c r="FE172" s="67"/>
      <c r="FF172" s="86"/>
      <c r="FG172" s="52"/>
      <c r="FH172" s="84"/>
      <c r="FI172" s="84"/>
      <c r="FJ172" s="84"/>
      <c r="FK172" s="84"/>
      <c r="FL172" s="84"/>
      <c r="FM172" s="84"/>
      <c r="FN172" s="84"/>
      <c r="FO172" s="84"/>
      <c r="FP172" s="84"/>
      <c r="FQ172" s="84"/>
      <c r="FR172" s="84"/>
      <c r="FS172" s="84"/>
      <c r="FT172" s="84"/>
      <c r="FU172" s="84"/>
      <c r="FV172" s="84"/>
      <c r="FW172" s="67"/>
      <c r="FX172" s="86"/>
      <c r="FY172" s="52"/>
      <c r="FZ172" s="84"/>
      <c r="GA172" s="84"/>
      <c r="GB172" s="84"/>
      <c r="GC172" s="84"/>
      <c r="GD172" s="84"/>
      <c r="GE172" s="84"/>
      <c r="GF172" s="84"/>
      <c r="GG172" s="84"/>
      <c r="GH172" s="84"/>
      <c r="GI172" s="84"/>
      <c r="GJ172" s="84"/>
      <c r="GK172" s="84"/>
      <c r="GL172" s="84"/>
      <c r="GM172" s="84"/>
      <c r="GN172" s="84"/>
      <c r="GO172" s="67"/>
      <c r="GP172" s="86"/>
      <c r="GQ172" s="52"/>
      <c r="GR172" s="84"/>
      <c r="GS172" s="84"/>
      <c r="GT172" s="84"/>
      <c r="GU172" s="84"/>
      <c r="GV172" s="84"/>
      <c r="GW172" s="84"/>
      <c r="GX172" s="84"/>
      <c r="GY172" s="84"/>
      <c r="GZ172" s="84"/>
      <c r="HA172" s="84"/>
      <c r="HB172" s="84"/>
      <c r="HC172" s="84"/>
      <c r="HD172" s="84"/>
      <c r="HE172" s="84"/>
      <c r="HF172" s="84"/>
      <c r="HG172" s="67"/>
      <c r="HH172" s="86"/>
      <c r="HJ172" s="37"/>
      <c r="HK172" s="37"/>
      <c r="HL172" s="37"/>
      <c r="HM172" s="37"/>
      <c r="HN172" s="37"/>
      <c r="HO172" s="37"/>
      <c r="HP172" s="37"/>
      <c r="HQ172" s="37"/>
      <c r="HR172" s="37"/>
      <c r="HS172" s="37"/>
      <c r="HT172" s="37"/>
      <c r="HU172" s="37"/>
      <c r="HV172" s="37"/>
      <c r="HW172" s="37"/>
      <c r="HX172" s="37"/>
      <c r="HY172" s="37"/>
      <c r="HZ172" s="37"/>
      <c r="IA172" s="37"/>
      <c r="IB172" s="37"/>
      <c r="IC172" s="37"/>
      <c r="ID172" s="37"/>
      <c r="IE172" s="37"/>
      <c r="IF172" s="37"/>
      <c r="IG172" s="37"/>
      <c r="IH172" s="37"/>
      <c r="II172" s="37"/>
      <c r="IJ172" s="37"/>
      <c r="IK172" s="37"/>
      <c r="IL172" s="37"/>
      <c r="IM172" s="37"/>
      <c r="IN172" s="37"/>
      <c r="IO172" s="37"/>
      <c r="IP172" s="37"/>
    </row>
    <row r="173" spans="1:257" x14ac:dyDescent="0.3">
      <c r="R173" s="47"/>
      <c r="CN173" s="84"/>
      <c r="CO173" s="84"/>
      <c r="CP173" s="84"/>
      <c r="CQ173" s="84"/>
      <c r="CR173" s="84"/>
      <c r="CS173" s="84"/>
      <c r="CT173" s="84"/>
      <c r="CU173" s="84"/>
      <c r="CV173" s="84"/>
      <c r="CW173" s="84"/>
      <c r="CX173" s="84"/>
      <c r="CY173" s="84"/>
      <c r="CZ173" s="84"/>
      <c r="DA173" s="84"/>
      <c r="DB173" s="84"/>
      <c r="DC173" s="84"/>
      <c r="DD173" s="84"/>
      <c r="DX173" s="84"/>
      <c r="DY173" s="84"/>
      <c r="DZ173" s="84"/>
      <c r="EA173" s="84"/>
      <c r="EB173" s="84"/>
      <c r="EC173" s="84"/>
      <c r="ED173" s="84"/>
      <c r="EE173" s="84"/>
      <c r="EF173" s="84"/>
      <c r="EG173" s="84"/>
      <c r="EH173" s="84"/>
      <c r="EI173" s="84"/>
      <c r="EJ173" s="84"/>
      <c r="EK173" s="84"/>
      <c r="EL173" s="84"/>
      <c r="EM173" s="84"/>
      <c r="EN173" s="84"/>
      <c r="EP173" s="84"/>
      <c r="EQ173" s="84"/>
      <c r="ER173" s="84"/>
      <c r="ES173" s="84"/>
      <c r="ET173" s="84"/>
      <c r="EU173" s="84"/>
      <c r="EV173" s="84"/>
      <c r="EW173" s="84"/>
      <c r="EX173" s="84"/>
      <c r="EY173" s="84"/>
      <c r="EZ173" s="84"/>
      <c r="FA173" s="84"/>
      <c r="FB173" s="84"/>
      <c r="FC173" s="84"/>
      <c r="FD173" s="84"/>
      <c r="FE173" s="84"/>
      <c r="FF173" s="84"/>
      <c r="FH173" s="84"/>
      <c r="FI173" s="84"/>
      <c r="FJ173" s="84"/>
      <c r="FK173" s="84"/>
      <c r="FL173" s="84"/>
      <c r="FM173" s="84"/>
      <c r="FN173" s="84"/>
      <c r="FO173" s="84"/>
      <c r="FP173" s="84"/>
      <c r="FQ173" s="84"/>
      <c r="FR173" s="84"/>
      <c r="FS173" s="84"/>
      <c r="FT173" s="84"/>
      <c r="FU173" s="84"/>
      <c r="FV173" s="84"/>
      <c r="FW173" s="84"/>
      <c r="FX173" s="84"/>
      <c r="FZ173" s="84"/>
      <c r="GA173" s="84"/>
      <c r="GB173" s="84"/>
      <c r="GC173" s="84"/>
      <c r="GD173" s="84"/>
      <c r="GE173" s="84"/>
      <c r="GF173" s="84"/>
      <c r="GG173" s="84"/>
      <c r="GH173" s="84"/>
      <c r="GI173" s="84"/>
      <c r="GJ173" s="84"/>
      <c r="GK173" s="84"/>
      <c r="GL173" s="84"/>
      <c r="GM173" s="84"/>
      <c r="GN173" s="84"/>
      <c r="GO173" s="84"/>
      <c r="GP173" s="84"/>
      <c r="GR173" s="84"/>
      <c r="GS173" s="84"/>
      <c r="GT173" s="84"/>
      <c r="GU173" s="84"/>
      <c r="GV173" s="84"/>
      <c r="GW173" s="84"/>
      <c r="GX173" s="84"/>
      <c r="GY173" s="84"/>
      <c r="GZ173" s="84"/>
      <c r="HA173" s="84"/>
      <c r="HB173" s="84"/>
      <c r="HC173" s="84"/>
      <c r="HD173" s="84"/>
      <c r="HE173" s="84"/>
      <c r="HF173" s="84"/>
      <c r="HG173" s="84"/>
      <c r="HH173" s="84"/>
      <c r="HJ173" s="37"/>
      <c r="HK173" s="37"/>
      <c r="HL173" s="37"/>
      <c r="HM173" s="37"/>
      <c r="HN173" s="37"/>
      <c r="HO173" s="37"/>
      <c r="HP173" s="37"/>
      <c r="HQ173" s="37"/>
      <c r="HR173" s="37"/>
      <c r="HS173" s="37"/>
      <c r="HT173" s="37"/>
      <c r="HU173" s="37"/>
      <c r="HV173" s="37"/>
      <c r="HW173" s="37"/>
      <c r="HX173" s="37"/>
      <c r="HY173" s="37"/>
      <c r="HZ173" s="37"/>
      <c r="IA173" s="37"/>
      <c r="IB173" s="37"/>
      <c r="IC173" s="37"/>
      <c r="ID173" s="37"/>
      <c r="IE173" s="37"/>
      <c r="IF173" s="37"/>
      <c r="IG173" s="37"/>
      <c r="IH173" s="37"/>
      <c r="II173" s="37"/>
      <c r="IJ173" s="37"/>
      <c r="IK173" s="37"/>
      <c r="IL173" s="37"/>
      <c r="IM173" s="37"/>
      <c r="IN173" s="37"/>
      <c r="IO173" s="37"/>
      <c r="IP173" s="37"/>
    </row>
    <row r="174" spans="1:257" x14ac:dyDescent="0.3">
      <c r="HJ174" s="37"/>
      <c r="HK174" s="37"/>
      <c r="HL174" s="37"/>
      <c r="HM174" s="37"/>
      <c r="HN174" s="37"/>
      <c r="HO174" s="37"/>
      <c r="HP174" s="37"/>
      <c r="HQ174" s="37"/>
      <c r="HR174" s="37"/>
      <c r="HS174" s="37"/>
      <c r="HT174" s="37"/>
      <c r="HU174" s="37"/>
      <c r="HV174" s="37"/>
      <c r="HW174" s="37"/>
      <c r="HX174" s="37"/>
      <c r="HY174" s="37"/>
      <c r="HZ174" s="37"/>
      <c r="IA174" s="37"/>
      <c r="IB174" s="37"/>
      <c r="IC174" s="37"/>
      <c r="ID174" s="37"/>
      <c r="IE174" s="37"/>
      <c r="IF174" s="37"/>
      <c r="IG174" s="37"/>
      <c r="IH174" s="37"/>
      <c r="II174" s="37"/>
      <c r="IJ174" s="37"/>
      <c r="IK174" s="37"/>
      <c r="IL174" s="37"/>
      <c r="IM174" s="37"/>
      <c r="IN174" s="37"/>
      <c r="IO174" s="37"/>
      <c r="IP174" s="37"/>
      <c r="IQ174" s="36"/>
      <c r="IR174" s="36"/>
      <c r="IS174" s="36"/>
      <c r="IT174" s="36"/>
      <c r="IU174" s="36"/>
      <c r="IV174" s="36"/>
      <c r="IW174" s="36"/>
    </row>
    <row r="175" spans="1:257" x14ac:dyDescent="0.3">
      <c r="HJ175" s="37"/>
      <c r="HK175" s="37"/>
      <c r="HL175" s="37"/>
      <c r="HM175" s="37"/>
      <c r="HN175" s="37"/>
      <c r="HO175" s="37"/>
      <c r="HP175" s="37"/>
      <c r="HQ175" s="37"/>
      <c r="HR175" s="37"/>
      <c r="HS175" s="37"/>
      <c r="HT175" s="37"/>
      <c r="HU175" s="37"/>
      <c r="HV175" s="37"/>
      <c r="HW175" s="37"/>
      <c r="HX175" s="37"/>
      <c r="HY175" s="37"/>
      <c r="HZ175" s="37"/>
      <c r="IA175" s="37"/>
      <c r="IB175" s="37"/>
      <c r="IC175" s="37"/>
      <c r="ID175" s="37"/>
      <c r="IE175" s="37"/>
      <c r="IF175" s="37"/>
      <c r="IG175" s="37"/>
      <c r="IH175" s="37"/>
      <c r="II175" s="37"/>
      <c r="IJ175" s="37"/>
      <c r="IK175" s="37"/>
      <c r="IL175" s="37"/>
      <c r="IM175" s="37"/>
      <c r="IN175" s="37"/>
      <c r="IO175" s="37"/>
      <c r="IP175" s="37"/>
      <c r="IQ175" s="37"/>
      <c r="IR175" s="37"/>
      <c r="IS175" s="37"/>
      <c r="IT175" s="37"/>
      <c r="IU175" s="37"/>
      <c r="IV175" s="37"/>
      <c r="IW175" s="37"/>
    </row>
    <row r="176" spans="1:257" x14ac:dyDescent="0.3">
      <c r="HJ176" s="37"/>
      <c r="HK176" s="37"/>
      <c r="HL176" s="37"/>
      <c r="HM176" s="37"/>
      <c r="HN176" s="37"/>
      <c r="HO176" s="37"/>
      <c r="HP176" s="37"/>
      <c r="HQ176" s="37"/>
      <c r="HR176" s="37"/>
      <c r="HS176" s="37"/>
      <c r="HT176" s="37"/>
      <c r="HU176" s="37"/>
      <c r="HV176" s="37"/>
      <c r="HW176" s="37"/>
      <c r="HX176" s="37"/>
      <c r="HY176" s="37"/>
      <c r="HZ176" s="37"/>
      <c r="IA176" s="37"/>
      <c r="IB176" s="37"/>
      <c r="IC176" s="37"/>
      <c r="ID176" s="37"/>
      <c r="IE176" s="37"/>
      <c r="IF176" s="37"/>
      <c r="IG176" s="37"/>
      <c r="IH176" s="37"/>
      <c r="II176" s="37"/>
      <c r="IJ176" s="37"/>
      <c r="IK176" s="37"/>
      <c r="IL176" s="37"/>
      <c r="IM176" s="37"/>
      <c r="IN176" s="37"/>
      <c r="IO176" s="37"/>
      <c r="IP176" s="37"/>
      <c r="IQ176" s="37"/>
      <c r="IR176" s="37"/>
      <c r="IS176" s="37"/>
      <c r="IT176" s="37"/>
      <c r="IU176" s="37"/>
      <c r="IV176" s="37"/>
      <c r="IW176" s="37"/>
    </row>
    <row r="177" spans="218:257" x14ac:dyDescent="0.3">
      <c r="HJ177" s="37"/>
      <c r="HK177" s="37"/>
      <c r="HL177" s="37"/>
      <c r="HM177" s="37"/>
      <c r="HN177" s="37"/>
      <c r="HO177" s="37"/>
      <c r="HP177" s="37"/>
      <c r="HQ177" s="37"/>
      <c r="HR177" s="37"/>
      <c r="HS177" s="37"/>
      <c r="HT177" s="37"/>
      <c r="HU177" s="37"/>
      <c r="HV177" s="37"/>
      <c r="HW177" s="37"/>
      <c r="HX177" s="37"/>
      <c r="HY177" s="37"/>
      <c r="HZ177" s="37"/>
      <c r="IA177" s="37"/>
      <c r="IB177" s="37"/>
      <c r="IC177" s="37"/>
      <c r="ID177" s="37"/>
      <c r="IE177" s="37"/>
      <c r="IF177" s="37"/>
      <c r="IG177" s="37"/>
      <c r="IH177" s="37"/>
      <c r="II177" s="37"/>
      <c r="IJ177" s="37"/>
      <c r="IK177" s="37"/>
      <c r="IL177" s="37"/>
      <c r="IM177" s="37"/>
      <c r="IN177" s="37"/>
      <c r="IO177" s="37"/>
      <c r="IP177" s="37"/>
      <c r="IQ177" s="37"/>
      <c r="IR177" s="37"/>
      <c r="IS177" s="37"/>
      <c r="IT177" s="37"/>
      <c r="IU177" s="37"/>
      <c r="IV177" s="37"/>
      <c r="IW177" s="37"/>
    </row>
    <row r="178" spans="218:257" x14ac:dyDescent="0.3">
      <c r="HJ178" s="37"/>
      <c r="HK178" s="37"/>
      <c r="HL178" s="37"/>
      <c r="HM178" s="37"/>
      <c r="HN178" s="37"/>
      <c r="HO178" s="37"/>
      <c r="HP178" s="37"/>
      <c r="HQ178" s="37"/>
      <c r="HR178" s="37"/>
      <c r="HS178" s="37"/>
      <c r="HT178" s="37"/>
      <c r="HU178" s="37"/>
      <c r="HV178" s="37"/>
      <c r="HW178" s="37"/>
      <c r="HX178" s="37"/>
      <c r="HY178" s="37"/>
      <c r="HZ178" s="37"/>
      <c r="IA178" s="37"/>
      <c r="IB178" s="37"/>
      <c r="IC178" s="37"/>
      <c r="ID178" s="37"/>
      <c r="IE178" s="37"/>
      <c r="IF178" s="37"/>
      <c r="IG178" s="37"/>
      <c r="IH178" s="37"/>
      <c r="II178" s="37"/>
      <c r="IJ178" s="37"/>
      <c r="IK178" s="37"/>
      <c r="IL178" s="37"/>
      <c r="IM178" s="37"/>
      <c r="IN178" s="37"/>
      <c r="IO178" s="37"/>
      <c r="IP178" s="37"/>
      <c r="IQ178" s="37"/>
      <c r="IR178" s="37"/>
      <c r="IS178" s="37"/>
      <c r="IT178" s="37"/>
      <c r="IU178" s="37"/>
      <c r="IV178" s="37"/>
      <c r="IW178" s="37"/>
    </row>
    <row r="179" spans="218:257" x14ac:dyDescent="0.3">
      <c r="HJ179" s="37"/>
      <c r="HK179" s="37"/>
      <c r="HL179" s="37"/>
      <c r="HM179" s="37"/>
      <c r="HN179" s="37"/>
      <c r="HO179" s="37"/>
      <c r="HP179" s="37"/>
      <c r="HQ179" s="37"/>
      <c r="HR179" s="37"/>
      <c r="HS179" s="37"/>
      <c r="HT179" s="37"/>
      <c r="HU179" s="37"/>
      <c r="HV179" s="37"/>
      <c r="HW179" s="37"/>
      <c r="HX179" s="37"/>
      <c r="HY179" s="37"/>
      <c r="HZ179" s="37"/>
      <c r="IA179" s="37"/>
      <c r="IB179" s="37"/>
      <c r="IC179" s="37"/>
      <c r="ID179" s="37"/>
      <c r="IE179" s="37"/>
      <c r="IF179" s="37"/>
      <c r="IG179" s="37"/>
      <c r="IH179" s="37"/>
      <c r="II179" s="37"/>
      <c r="IJ179" s="37"/>
      <c r="IK179" s="37"/>
      <c r="IL179" s="37"/>
      <c r="IM179" s="37"/>
      <c r="IN179" s="37"/>
      <c r="IO179" s="37"/>
      <c r="IP179" s="37"/>
      <c r="IQ179" s="37"/>
      <c r="IR179" s="37"/>
      <c r="IS179" s="37"/>
      <c r="IT179" s="37"/>
      <c r="IU179" s="37"/>
      <c r="IV179" s="37"/>
      <c r="IW179" s="37"/>
    </row>
    <row r="180" spans="218:257" x14ac:dyDescent="0.3">
      <c r="HJ180" s="37"/>
      <c r="HK180" s="37"/>
      <c r="HL180" s="37"/>
      <c r="HM180" s="37"/>
      <c r="HN180" s="37"/>
      <c r="HO180" s="37"/>
      <c r="HP180" s="37"/>
      <c r="HQ180" s="37"/>
      <c r="HR180" s="37"/>
      <c r="HS180" s="37"/>
      <c r="HT180" s="37"/>
      <c r="HU180" s="37"/>
      <c r="HV180" s="37"/>
      <c r="HW180" s="37"/>
      <c r="HX180" s="37"/>
      <c r="HY180" s="37"/>
      <c r="HZ180" s="37"/>
      <c r="IA180" s="37"/>
      <c r="IB180" s="37"/>
      <c r="IC180" s="37"/>
      <c r="ID180" s="37"/>
      <c r="IE180" s="37"/>
      <c r="IF180" s="37"/>
      <c r="IG180" s="37"/>
      <c r="IH180" s="37"/>
      <c r="II180" s="37"/>
      <c r="IJ180" s="37"/>
      <c r="IK180" s="37"/>
      <c r="IL180" s="37"/>
      <c r="IM180" s="37"/>
      <c r="IN180" s="37"/>
      <c r="IO180" s="37"/>
      <c r="IP180" s="37"/>
      <c r="IQ180" s="37"/>
      <c r="IR180" s="37"/>
      <c r="IS180" s="37"/>
      <c r="IT180" s="37"/>
      <c r="IU180" s="37"/>
      <c r="IV180" s="37"/>
      <c r="IW180" s="37"/>
    </row>
    <row r="181" spans="218:257" x14ac:dyDescent="0.3">
      <c r="HJ181" s="37"/>
      <c r="HK181" s="37"/>
      <c r="HL181" s="37"/>
      <c r="HM181" s="37"/>
      <c r="HN181" s="37"/>
      <c r="HO181" s="37"/>
      <c r="HP181" s="37"/>
      <c r="HQ181" s="37"/>
      <c r="HR181" s="37"/>
      <c r="HS181" s="37"/>
      <c r="HT181" s="37"/>
      <c r="HU181" s="37"/>
      <c r="HV181" s="37"/>
      <c r="HW181" s="37"/>
      <c r="HX181" s="37"/>
      <c r="HY181" s="37"/>
      <c r="HZ181" s="37"/>
      <c r="IA181" s="37"/>
      <c r="IB181" s="37"/>
      <c r="IC181" s="37"/>
      <c r="ID181" s="37"/>
      <c r="IE181" s="37"/>
      <c r="IF181" s="37"/>
      <c r="IG181" s="37"/>
      <c r="IH181" s="37"/>
      <c r="II181" s="37"/>
      <c r="IJ181" s="37"/>
      <c r="IK181" s="37"/>
      <c r="IL181" s="37"/>
      <c r="IM181" s="37"/>
      <c r="IN181" s="37"/>
      <c r="IO181" s="37"/>
      <c r="IP181" s="37"/>
      <c r="IQ181" s="37"/>
      <c r="IR181" s="37"/>
      <c r="IS181" s="37"/>
      <c r="IT181" s="37"/>
      <c r="IU181" s="37"/>
      <c r="IV181" s="37"/>
      <c r="IW181" s="37"/>
    </row>
    <row r="182" spans="218:257" x14ac:dyDescent="0.3">
      <c r="HJ182" s="37"/>
      <c r="HK182" s="37"/>
      <c r="HL182" s="37"/>
      <c r="HM182" s="37"/>
      <c r="HN182" s="37"/>
      <c r="HO182" s="37"/>
      <c r="HP182" s="37"/>
      <c r="HQ182" s="37"/>
      <c r="HR182" s="37"/>
      <c r="HS182" s="37"/>
      <c r="HT182" s="37"/>
      <c r="HU182" s="37"/>
      <c r="HV182" s="37"/>
      <c r="HW182" s="37"/>
      <c r="HX182" s="37"/>
      <c r="HY182" s="37"/>
      <c r="HZ182" s="37"/>
      <c r="IA182" s="37"/>
      <c r="IB182" s="37"/>
      <c r="IC182" s="37"/>
      <c r="ID182" s="37"/>
      <c r="IE182" s="37"/>
      <c r="IF182" s="37"/>
      <c r="IG182" s="37"/>
      <c r="IH182" s="37"/>
      <c r="II182" s="37"/>
      <c r="IJ182" s="37"/>
      <c r="IK182" s="37"/>
      <c r="IL182" s="37"/>
      <c r="IM182" s="37"/>
      <c r="IN182" s="37"/>
      <c r="IO182" s="37"/>
      <c r="IP182" s="37"/>
      <c r="IQ182" s="37"/>
      <c r="IR182" s="37"/>
      <c r="IS182" s="37"/>
      <c r="IT182" s="37"/>
      <c r="IU182" s="37"/>
      <c r="IV182" s="37"/>
      <c r="IW182" s="37"/>
    </row>
    <row r="183" spans="218:257" x14ac:dyDescent="0.3">
      <c r="HJ183" s="37"/>
      <c r="HK183" s="37"/>
      <c r="HL183" s="37"/>
      <c r="HM183" s="37"/>
      <c r="HN183" s="37"/>
      <c r="HO183" s="37"/>
      <c r="HP183" s="37"/>
      <c r="HQ183" s="37"/>
      <c r="HR183" s="37"/>
      <c r="HS183" s="37"/>
      <c r="HT183" s="37"/>
      <c r="HU183" s="37"/>
      <c r="HV183" s="37"/>
      <c r="HW183" s="37"/>
      <c r="HX183" s="37"/>
      <c r="HY183" s="37"/>
      <c r="HZ183" s="37"/>
      <c r="IA183" s="37"/>
      <c r="IB183" s="37"/>
      <c r="IC183" s="37"/>
      <c r="ID183" s="37"/>
      <c r="IE183" s="37"/>
      <c r="IF183" s="37"/>
      <c r="IG183" s="37"/>
      <c r="IH183" s="37"/>
      <c r="II183" s="37"/>
      <c r="IJ183" s="37"/>
      <c r="IK183" s="37"/>
      <c r="IL183" s="37"/>
      <c r="IM183" s="37"/>
      <c r="IN183" s="37"/>
      <c r="IO183" s="37"/>
      <c r="IP183" s="37"/>
      <c r="IQ183" s="37"/>
      <c r="IR183" s="37"/>
      <c r="IS183" s="37"/>
      <c r="IT183" s="37"/>
      <c r="IU183" s="37"/>
      <c r="IV183" s="37"/>
      <c r="IW183" s="37"/>
    </row>
    <row r="184" spans="218:257" x14ac:dyDescent="0.3">
      <c r="HJ184" s="37"/>
      <c r="HK184" s="37"/>
      <c r="HL184" s="37"/>
      <c r="HM184" s="37"/>
      <c r="HN184" s="37"/>
      <c r="HO184" s="37"/>
      <c r="HP184" s="37"/>
      <c r="HQ184" s="37"/>
      <c r="HR184" s="37"/>
      <c r="HS184" s="37"/>
      <c r="HT184" s="37"/>
      <c r="HU184" s="37"/>
      <c r="HV184" s="37"/>
      <c r="HW184" s="37"/>
      <c r="HX184" s="37"/>
      <c r="HY184" s="37"/>
      <c r="HZ184" s="37"/>
      <c r="IA184" s="37"/>
      <c r="IB184" s="37"/>
      <c r="IC184" s="37"/>
      <c r="ID184" s="37"/>
      <c r="IE184" s="37"/>
      <c r="IF184" s="37"/>
      <c r="IG184" s="37"/>
      <c r="IH184" s="37"/>
      <c r="II184" s="37"/>
      <c r="IJ184" s="37"/>
      <c r="IK184" s="37"/>
      <c r="IL184" s="37"/>
      <c r="IM184" s="37"/>
      <c r="IN184" s="37"/>
      <c r="IO184" s="37"/>
      <c r="IP184" s="37"/>
      <c r="IQ184" s="37"/>
      <c r="IR184" s="37"/>
      <c r="IS184" s="37"/>
      <c r="IT184" s="37"/>
      <c r="IU184" s="37"/>
      <c r="IV184" s="37"/>
      <c r="IW184" s="37"/>
    </row>
    <row r="185" spans="218:257" x14ac:dyDescent="0.3">
      <c r="HJ185" s="37"/>
      <c r="HK185" s="37"/>
      <c r="HL185" s="37"/>
      <c r="HM185" s="37"/>
      <c r="HN185" s="37"/>
      <c r="HO185" s="37"/>
      <c r="HP185" s="37"/>
      <c r="HQ185" s="37"/>
      <c r="HR185" s="37"/>
      <c r="HS185" s="37"/>
      <c r="HT185" s="37"/>
      <c r="HU185" s="37"/>
      <c r="HV185" s="37"/>
      <c r="HW185" s="37"/>
      <c r="HX185" s="37"/>
      <c r="HY185" s="37"/>
      <c r="HZ185" s="37"/>
      <c r="IA185" s="37"/>
      <c r="IB185" s="37"/>
      <c r="IC185" s="37"/>
      <c r="ID185" s="37"/>
      <c r="IE185" s="37"/>
      <c r="IF185" s="37"/>
      <c r="IG185" s="37"/>
      <c r="IH185" s="37"/>
      <c r="II185" s="37"/>
      <c r="IJ185" s="37"/>
      <c r="IK185" s="37"/>
      <c r="IL185" s="37"/>
      <c r="IM185" s="37"/>
      <c r="IN185" s="37"/>
      <c r="IO185" s="37"/>
      <c r="IP185" s="37"/>
      <c r="IQ185" s="37"/>
      <c r="IR185" s="37"/>
      <c r="IS185" s="37"/>
      <c r="IT185" s="37"/>
      <c r="IU185" s="37"/>
      <c r="IV185" s="37"/>
      <c r="IW185" s="37"/>
    </row>
    <row r="186" spans="218:257" x14ac:dyDescent="0.3">
      <c r="HJ186" s="37"/>
      <c r="HK186" s="37"/>
      <c r="HL186" s="37"/>
      <c r="HM186" s="37"/>
      <c r="HN186" s="37"/>
      <c r="HO186" s="37"/>
      <c r="HP186" s="37"/>
      <c r="HQ186" s="37"/>
      <c r="HR186" s="37"/>
      <c r="HS186" s="37"/>
      <c r="HT186" s="37"/>
      <c r="HU186" s="37"/>
      <c r="HV186" s="37"/>
      <c r="HW186" s="37"/>
      <c r="HX186" s="37"/>
      <c r="HY186" s="37"/>
      <c r="HZ186" s="37"/>
      <c r="IA186" s="37"/>
      <c r="IB186" s="37"/>
      <c r="IC186" s="37"/>
      <c r="ID186" s="37"/>
      <c r="IE186" s="37"/>
      <c r="IF186" s="37"/>
      <c r="IG186" s="37"/>
      <c r="IH186" s="37"/>
      <c r="II186" s="37"/>
      <c r="IJ186" s="37"/>
      <c r="IK186" s="37"/>
      <c r="IL186" s="37"/>
      <c r="IM186" s="37"/>
      <c r="IN186" s="37"/>
      <c r="IO186" s="37"/>
      <c r="IP186" s="37"/>
      <c r="IQ186" s="37"/>
      <c r="IR186" s="37"/>
      <c r="IS186" s="37"/>
      <c r="IT186" s="37"/>
      <c r="IU186" s="37"/>
      <c r="IV186" s="37"/>
      <c r="IW186" s="37"/>
    </row>
    <row r="187" spans="218:257" x14ac:dyDescent="0.3">
      <c r="HJ187" s="37"/>
      <c r="HK187" s="37"/>
      <c r="HL187" s="37"/>
      <c r="HM187" s="37"/>
      <c r="HN187" s="37"/>
      <c r="HO187" s="37"/>
      <c r="HP187" s="37"/>
      <c r="HQ187" s="37"/>
      <c r="HR187" s="37"/>
      <c r="HS187" s="37"/>
      <c r="HT187" s="37"/>
      <c r="HU187" s="37"/>
      <c r="HV187" s="37"/>
      <c r="HW187" s="37"/>
      <c r="HX187" s="37"/>
      <c r="HY187" s="37"/>
      <c r="HZ187" s="37"/>
      <c r="IA187" s="37"/>
      <c r="IB187" s="37"/>
      <c r="IC187" s="37"/>
      <c r="ID187" s="37"/>
      <c r="IE187" s="37"/>
      <c r="IF187" s="37"/>
      <c r="IG187" s="37"/>
      <c r="IH187" s="37"/>
      <c r="II187" s="37"/>
      <c r="IJ187" s="37"/>
      <c r="IK187" s="37"/>
      <c r="IL187" s="37"/>
      <c r="IM187" s="37"/>
      <c r="IN187" s="37"/>
      <c r="IO187" s="37"/>
      <c r="IP187" s="37"/>
      <c r="IQ187" s="37"/>
      <c r="IR187" s="37"/>
      <c r="IS187" s="37"/>
      <c r="IT187" s="37"/>
      <c r="IU187" s="37"/>
      <c r="IV187" s="37"/>
      <c r="IW187" s="37"/>
    </row>
    <row r="188" spans="218:257" x14ac:dyDescent="0.3">
      <c r="HJ188" s="37"/>
      <c r="HK188" s="37"/>
      <c r="HL188" s="37"/>
      <c r="HM188" s="37"/>
      <c r="HN188" s="37"/>
      <c r="HO188" s="37"/>
      <c r="HP188" s="37"/>
      <c r="HQ188" s="37"/>
      <c r="HR188" s="37"/>
      <c r="HS188" s="37"/>
      <c r="HT188" s="37"/>
      <c r="HU188" s="37"/>
      <c r="HV188" s="37"/>
      <c r="HW188" s="37"/>
      <c r="HX188" s="37"/>
      <c r="HY188" s="37"/>
      <c r="HZ188" s="37"/>
      <c r="IA188" s="37"/>
      <c r="IB188" s="37"/>
      <c r="IC188" s="37"/>
      <c r="ID188" s="37"/>
      <c r="IE188" s="37"/>
      <c r="IF188" s="37"/>
      <c r="IG188" s="37"/>
      <c r="IH188" s="37"/>
      <c r="II188" s="37"/>
      <c r="IJ188" s="37"/>
      <c r="IK188" s="37"/>
      <c r="IL188" s="37"/>
      <c r="IM188" s="37"/>
      <c r="IN188" s="37"/>
      <c r="IO188" s="37"/>
      <c r="IP188" s="37"/>
      <c r="IQ188" s="37"/>
      <c r="IR188" s="37"/>
      <c r="IS188" s="37"/>
      <c r="IT188" s="37"/>
      <c r="IU188" s="37"/>
      <c r="IV188" s="37"/>
      <c r="IW188" s="37"/>
    </row>
    <row r="189" spans="218:257" x14ac:dyDescent="0.3">
      <c r="HJ189" s="37"/>
      <c r="HK189" s="37"/>
      <c r="HL189" s="37"/>
      <c r="HM189" s="37"/>
      <c r="HN189" s="37"/>
      <c r="HO189" s="37"/>
      <c r="HP189" s="37"/>
      <c r="HQ189" s="37"/>
      <c r="HR189" s="37"/>
      <c r="HS189" s="37"/>
      <c r="HT189" s="37"/>
      <c r="HU189" s="37"/>
      <c r="HV189" s="37"/>
      <c r="HW189" s="37"/>
      <c r="HX189" s="37"/>
      <c r="HY189" s="37"/>
      <c r="HZ189" s="37"/>
      <c r="IA189" s="37"/>
      <c r="IB189" s="37"/>
      <c r="IC189" s="37"/>
      <c r="ID189" s="37"/>
      <c r="IE189" s="37"/>
      <c r="IF189" s="37"/>
      <c r="IG189" s="37"/>
      <c r="IH189" s="37"/>
      <c r="II189" s="37"/>
      <c r="IJ189" s="37"/>
      <c r="IK189" s="37"/>
      <c r="IL189" s="37"/>
      <c r="IM189" s="37"/>
      <c r="IN189" s="37"/>
      <c r="IO189" s="37"/>
      <c r="IP189" s="37"/>
      <c r="IQ189" s="37"/>
      <c r="IR189" s="37"/>
      <c r="IS189" s="37"/>
      <c r="IT189" s="37"/>
      <c r="IU189" s="37"/>
      <c r="IV189" s="37"/>
      <c r="IW189" s="37"/>
    </row>
    <row r="190" spans="218:257" x14ac:dyDescent="0.3">
      <c r="HJ190" s="37"/>
      <c r="HK190" s="37"/>
      <c r="HL190" s="37"/>
      <c r="HM190" s="37"/>
      <c r="HN190" s="37"/>
      <c r="HO190" s="37"/>
      <c r="HP190" s="37"/>
      <c r="HQ190" s="37"/>
      <c r="HR190" s="37"/>
      <c r="HS190" s="37"/>
      <c r="HT190" s="37"/>
      <c r="HU190" s="37"/>
      <c r="HV190" s="37"/>
      <c r="HW190" s="37"/>
      <c r="HX190" s="37"/>
      <c r="HY190" s="37"/>
      <c r="HZ190" s="37"/>
      <c r="IA190" s="37"/>
      <c r="IB190" s="37"/>
      <c r="IC190" s="37"/>
      <c r="ID190" s="37"/>
      <c r="IE190" s="37"/>
      <c r="IF190" s="37"/>
      <c r="IG190" s="37"/>
      <c r="IH190" s="37"/>
      <c r="II190" s="37"/>
      <c r="IJ190" s="37"/>
      <c r="IK190" s="37"/>
      <c r="IL190" s="37"/>
      <c r="IM190" s="37"/>
      <c r="IN190" s="37"/>
      <c r="IO190" s="37"/>
      <c r="IP190" s="37"/>
      <c r="IQ190" s="37"/>
      <c r="IR190" s="37"/>
      <c r="IS190" s="37"/>
      <c r="IT190" s="37"/>
      <c r="IU190" s="37"/>
      <c r="IV190" s="37"/>
      <c r="IW190" s="37"/>
    </row>
    <row r="191" spans="218:257" x14ac:dyDescent="0.3">
      <c r="HJ191" s="37"/>
      <c r="HK191" s="37"/>
      <c r="HL191" s="37"/>
      <c r="HM191" s="37"/>
      <c r="HN191" s="37"/>
      <c r="HO191" s="37"/>
      <c r="HP191" s="37"/>
      <c r="HQ191" s="37"/>
      <c r="HR191" s="37"/>
      <c r="HS191" s="37"/>
      <c r="HT191" s="37"/>
      <c r="HU191" s="37"/>
      <c r="HV191" s="37"/>
      <c r="HW191" s="37"/>
      <c r="HX191" s="37"/>
      <c r="HY191" s="37"/>
      <c r="HZ191" s="37"/>
      <c r="IA191" s="37"/>
      <c r="IB191" s="37"/>
      <c r="IC191" s="37"/>
      <c r="ID191" s="37"/>
      <c r="IE191" s="37"/>
      <c r="IF191" s="37"/>
      <c r="IG191" s="37"/>
      <c r="IH191" s="37"/>
      <c r="II191" s="37"/>
      <c r="IJ191" s="37"/>
      <c r="IK191" s="37"/>
      <c r="IL191" s="37"/>
      <c r="IM191" s="37"/>
      <c r="IN191" s="37"/>
      <c r="IO191" s="37"/>
      <c r="IP191" s="37"/>
      <c r="IQ191" s="37"/>
      <c r="IR191" s="37"/>
      <c r="IS191" s="37"/>
      <c r="IT191" s="37"/>
      <c r="IU191" s="37"/>
      <c r="IV191" s="37"/>
      <c r="IW191" s="37"/>
    </row>
    <row r="192" spans="218:257" x14ac:dyDescent="0.3">
      <c r="HJ192" s="37"/>
      <c r="HK192" s="37"/>
      <c r="HL192" s="37"/>
      <c r="HM192" s="37"/>
      <c r="HN192" s="37"/>
      <c r="HO192" s="37"/>
      <c r="HP192" s="37"/>
      <c r="HQ192" s="37"/>
      <c r="HR192" s="37"/>
      <c r="HS192" s="37"/>
      <c r="HT192" s="37"/>
      <c r="HU192" s="37"/>
      <c r="HV192" s="37"/>
      <c r="HW192" s="37"/>
      <c r="HX192" s="37"/>
      <c r="HY192" s="37"/>
      <c r="HZ192" s="37"/>
      <c r="IA192" s="37"/>
      <c r="IB192" s="37"/>
      <c r="IC192" s="37"/>
      <c r="ID192" s="37"/>
      <c r="IE192" s="37"/>
      <c r="IF192" s="37"/>
      <c r="IG192" s="37"/>
      <c r="IH192" s="37"/>
      <c r="II192" s="37"/>
      <c r="IJ192" s="37"/>
      <c r="IK192" s="37"/>
      <c r="IL192" s="37"/>
      <c r="IM192" s="37"/>
      <c r="IN192" s="37"/>
      <c r="IO192" s="37"/>
      <c r="IP192" s="37"/>
      <c r="IQ192" s="37"/>
      <c r="IR192" s="37"/>
      <c r="IS192" s="37"/>
      <c r="IT192" s="37"/>
      <c r="IU192" s="37"/>
      <c r="IV192" s="37"/>
      <c r="IW192" s="37"/>
    </row>
    <row r="193" spans="218:257" x14ac:dyDescent="0.3">
      <c r="HJ193" s="37"/>
      <c r="HK193" s="37"/>
      <c r="HL193" s="37"/>
      <c r="HM193" s="37"/>
      <c r="HN193" s="37"/>
      <c r="HO193" s="37"/>
      <c r="HP193" s="37"/>
      <c r="HQ193" s="37"/>
      <c r="HR193" s="37"/>
      <c r="HS193" s="37"/>
      <c r="HT193" s="37"/>
      <c r="HU193" s="37"/>
      <c r="HV193" s="37"/>
      <c r="HW193" s="37"/>
      <c r="HX193" s="37"/>
      <c r="HY193" s="37"/>
      <c r="HZ193" s="37"/>
      <c r="IA193" s="37"/>
      <c r="IB193" s="37"/>
      <c r="IC193" s="37"/>
      <c r="ID193" s="37"/>
      <c r="IE193" s="37"/>
      <c r="IF193" s="37"/>
      <c r="IG193" s="37"/>
      <c r="IH193" s="37"/>
      <c r="II193" s="37"/>
      <c r="IJ193" s="37"/>
      <c r="IK193" s="37"/>
      <c r="IL193" s="37"/>
      <c r="IM193" s="37"/>
      <c r="IN193" s="37"/>
      <c r="IO193" s="37"/>
      <c r="IP193" s="37"/>
      <c r="IQ193" s="37"/>
      <c r="IR193" s="37"/>
      <c r="IS193" s="37"/>
      <c r="IT193" s="37"/>
      <c r="IU193" s="37"/>
      <c r="IV193" s="37"/>
      <c r="IW193" s="37"/>
    </row>
    <row r="194" spans="218:257" x14ac:dyDescent="0.3">
      <c r="HJ194" s="37"/>
      <c r="HK194" s="37"/>
      <c r="HL194" s="37"/>
      <c r="HM194" s="37"/>
      <c r="HN194" s="37"/>
      <c r="HO194" s="37"/>
      <c r="HP194" s="37"/>
      <c r="HQ194" s="37"/>
      <c r="HR194" s="37"/>
      <c r="HS194" s="37"/>
      <c r="HT194" s="37"/>
      <c r="HU194" s="37"/>
      <c r="HV194" s="37"/>
      <c r="HW194" s="37"/>
      <c r="HX194" s="37"/>
      <c r="HY194" s="37"/>
      <c r="HZ194" s="37"/>
      <c r="IA194" s="37"/>
      <c r="IB194" s="37"/>
      <c r="IC194" s="37"/>
      <c r="ID194" s="37"/>
      <c r="IE194" s="37"/>
      <c r="IF194" s="37"/>
      <c r="IG194" s="37"/>
      <c r="IH194" s="37"/>
      <c r="II194" s="37"/>
      <c r="IJ194" s="37"/>
      <c r="IK194" s="37"/>
      <c r="IL194" s="37"/>
      <c r="IM194" s="37"/>
      <c r="IN194" s="37"/>
      <c r="IO194" s="37"/>
      <c r="IP194" s="37"/>
      <c r="IQ194" s="37"/>
      <c r="IR194" s="37"/>
      <c r="IS194" s="37"/>
      <c r="IT194" s="37"/>
      <c r="IU194" s="37"/>
      <c r="IV194" s="37"/>
      <c r="IW194" s="37"/>
    </row>
    <row r="195" spans="218:257" x14ac:dyDescent="0.3">
      <c r="HJ195" s="37"/>
      <c r="HK195" s="37"/>
      <c r="HL195" s="37"/>
      <c r="HM195" s="37"/>
      <c r="HN195" s="37"/>
      <c r="HO195" s="37"/>
      <c r="HP195" s="37"/>
      <c r="HQ195" s="37"/>
      <c r="HR195" s="37"/>
      <c r="HS195" s="37"/>
      <c r="HT195" s="37"/>
      <c r="HU195" s="37"/>
      <c r="HV195" s="37"/>
      <c r="HW195" s="37"/>
      <c r="HX195" s="37"/>
      <c r="HY195" s="37"/>
      <c r="HZ195" s="37"/>
      <c r="IA195" s="37"/>
      <c r="IB195" s="37"/>
      <c r="IC195" s="37"/>
      <c r="ID195" s="37"/>
      <c r="IE195" s="37"/>
      <c r="IF195" s="37"/>
      <c r="IG195" s="37"/>
      <c r="IH195" s="37"/>
      <c r="II195" s="37"/>
      <c r="IJ195" s="37"/>
      <c r="IK195" s="37"/>
      <c r="IL195" s="37"/>
      <c r="IM195" s="37"/>
      <c r="IN195" s="37"/>
      <c r="IO195" s="37"/>
      <c r="IP195" s="37"/>
      <c r="IQ195" s="37"/>
      <c r="IR195" s="37"/>
      <c r="IS195" s="37"/>
      <c r="IT195" s="37"/>
      <c r="IU195" s="37"/>
      <c r="IV195" s="37"/>
      <c r="IW195" s="37"/>
    </row>
    <row r="196" spans="218:257" x14ac:dyDescent="0.3">
      <c r="HJ196" s="37"/>
      <c r="HK196" s="37"/>
      <c r="HL196" s="37"/>
      <c r="HM196" s="37"/>
      <c r="HN196" s="37"/>
      <c r="HO196" s="37"/>
      <c r="HP196" s="37"/>
      <c r="HQ196" s="37"/>
      <c r="HR196" s="37"/>
      <c r="HS196" s="37"/>
      <c r="HT196" s="37"/>
      <c r="HU196" s="37"/>
      <c r="HV196" s="37"/>
      <c r="HW196" s="37"/>
      <c r="HX196" s="37"/>
      <c r="HY196" s="37"/>
      <c r="HZ196" s="37"/>
      <c r="IA196" s="37"/>
      <c r="IB196" s="37"/>
      <c r="IC196" s="37"/>
      <c r="ID196" s="37"/>
      <c r="IE196" s="37"/>
      <c r="IF196" s="37"/>
      <c r="IG196" s="37"/>
      <c r="IH196" s="37"/>
      <c r="II196" s="37"/>
      <c r="IJ196" s="37"/>
      <c r="IK196" s="37"/>
      <c r="IL196" s="37"/>
      <c r="IM196" s="37"/>
      <c r="IN196" s="37"/>
      <c r="IO196" s="37"/>
      <c r="IP196" s="37"/>
      <c r="IQ196" s="37"/>
      <c r="IR196" s="37"/>
      <c r="IS196" s="37"/>
      <c r="IT196" s="37"/>
      <c r="IU196" s="37"/>
      <c r="IV196" s="37"/>
      <c r="IW196" s="37"/>
    </row>
    <row r="197" spans="218:257" x14ac:dyDescent="0.3">
      <c r="HJ197" s="37"/>
      <c r="HK197" s="37"/>
      <c r="HL197" s="37"/>
      <c r="HM197" s="37"/>
      <c r="HN197" s="37"/>
      <c r="HO197" s="37"/>
      <c r="HP197" s="37"/>
      <c r="HQ197" s="37"/>
      <c r="HR197" s="37"/>
      <c r="HS197" s="37"/>
      <c r="HT197" s="37"/>
      <c r="HU197" s="37"/>
      <c r="HV197" s="37"/>
      <c r="HW197" s="37"/>
      <c r="HX197" s="37"/>
      <c r="HY197" s="37"/>
      <c r="HZ197" s="37"/>
      <c r="IA197" s="37"/>
      <c r="IB197" s="37"/>
      <c r="IC197" s="37"/>
      <c r="ID197" s="37"/>
      <c r="IE197" s="37"/>
      <c r="IF197" s="37"/>
      <c r="IG197" s="37"/>
      <c r="IH197" s="37"/>
      <c r="II197" s="37"/>
      <c r="IJ197" s="37"/>
      <c r="IK197" s="37"/>
      <c r="IL197" s="37"/>
      <c r="IM197" s="37"/>
      <c r="IN197" s="37"/>
      <c r="IO197" s="37"/>
      <c r="IP197" s="37"/>
      <c r="IQ197" s="37"/>
      <c r="IR197" s="37"/>
      <c r="IS197" s="37"/>
      <c r="IT197" s="37"/>
      <c r="IU197" s="37"/>
      <c r="IV197" s="37"/>
      <c r="IW197" s="37"/>
    </row>
    <row r="198" spans="218:257" x14ac:dyDescent="0.3">
      <c r="HJ198" s="37"/>
      <c r="HK198" s="37"/>
      <c r="HL198" s="37"/>
      <c r="HM198" s="37"/>
      <c r="HN198" s="37"/>
      <c r="HO198" s="37"/>
      <c r="HP198" s="37"/>
      <c r="HQ198" s="37"/>
      <c r="HR198" s="37"/>
      <c r="HS198" s="37"/>
      <c r="HT198" s="37"/>
      <c r="HU198" s="37"/>
      <c r="HV198" s="37"/>
      <c r="HW198" s="37"/>
      <c r="HX198" s="37"/>
      <c r="HY198" s="37"/>
      <c r="HZ198" s="37"/>
      <c r="IA198" s="37"/>
      <c r="IB198" s="37"/>
      <c r="IC198" s="37"/>
      <c r="ID198" s="37"/>
      <c r="IE198" s="37"/>
      <c r="IF198" s="37"/>
      <c r="IG198" s="37"/>
      <c r="IH198" s="37"/>
      <c r="II198" s="37"/>
      <c r="IJ198" s="37"/>
      <c r="IK198" s="37"/>
      <c r="IL198" s="37"/>
      <c r="IM198" s="37"/>
      <c r="IN198" s="37"/>
      <c r="IO198" s="37"/>
      <c r="IP198" s="37"/>
      <c r="IQ198" s="37"/>
      <c r="IR198" s="37"/>
      <c r="IS198" s="37"/>
      <c r="IT198" s="37"/>
      <c r="IU198" s="37"/>
      <c r="IV198" s="37"/>
      <c r="IW198" s="37"/>
    </row>
    <row r="199" spans="218:257" x14ac:dyDescent="0.3">
      <c r="HJ199" s="37"/>
      <c r="HK199" s="37"/>
      <c r="HL199" s="37"/>
      <c r="HM199" s="37"/>
      <c r="HN199" s="37"/>
      <c r="HO199" s="37"/>
      <c r="HP199" s="37"/>
      <c r="HQ199" s="37"/>
      <c r="HR199" s="37"/>
      <c r="HS199" s="37"/>
      <c r="HT199" s="37"/>
      <c r="HU199" s="37"/>
      <c r="HV199" s="37"/>
      <c r="HW199" s="37"/>
      <c r="HX199" s="37"/>
      <c r="HY199" s="37"/>
      <c r="HZ199" s="37"/>
      <c r="IA199" s="37"/>
      <c r="IB199" s="37"/>
      <c r="IC199" s="37"/>
      <c r="ID199" s="37"/>
      <c r="IE199" s="37"/>
      <c r="IF199" s="37"/>
      <c r="IG199" s="37"/>
      <c r="IH199" s="37"/>
      <c r="II199" s="37"/>
      <c r="IJ199" s="37"/>
      <c r="IK199" s="37"/>
      <c r="IL199" s="37"/>
      <c r="IM199" s="37"/>
      <c r="IN199" s="37"/>
      <c r="IO199" s="37"/>
      <c r="IP199" s="37"/>
      <c r="IQ199" s="37"/>
      <c r="IR199" s="37"/>
      <c r="IS199" s="37"/>
      <c r="IT199" s="37"/>
      <c r="IU199" s="37"/>
      <c r="IV199" s="37"/>
      <c r="IW199" s="37"/>
    </row>
    <row r="200" spans="218:257" x14ac:dyDescent="0.3">
      <c r="HJ200" s="37"/>
      <c r="HK200" s="37"/>
      <c r="HL200" s="37"/>
      <c r="HM200" s="37"/>
      <c r="HN200" s="37"/>
      <c r="HO200" s="37"/>
      <c r="HP200" s="37"/>
      <c r="HQ200" s="37"/>
      <c r="HR200" s="37"/>
      <c r="HS200" s="37"/>
      <c r="HT200" s="37"/>
      <c r="HU200" s="37"/>
      <c r="HV200" s="37"/>
      <c r="HW200" s="37"/>
      <c r="HX200" s="37"/>
      <c r="HY200" s="37"/>
      <c r="HZ200" s="37"/>
      <c r="IA200" s="37"/>
      <c r="IB200" s="37"/>
      <c r="IC200" s="37"/>
      <c r="ID200" s="37"/>
      <c r="IE200" s="37"/>
      <c r="IF200" s="37"/>
      <c r="IG200" s="37"/>
      <c r="IH200" s="37"/>
      <c r="II200" s="37"/>
      <c r="IJ200" s="37"/>
      <c r="IK200" s="37"/>
      <c r="IL200" s="37"/>
      <c r="IM200" s="37"/>
      <c r="IN200" s="37"/>
      <c r="IO200" s="37"/>
      <c r="IP200" s="37"/>
      <c r="IQ200" s="37"/>
      <c r="IR200" s="37"/>
      <c r="IS200" s="37"/>
      <c r="IT200" s="37"/>
      <c r="IU200" s="37"/>
      <c r="IV200" s="37"/>
      <c r="IW200" s="37"/>
    </row>
    <row r="201" spans="218:257" x14ac:dyDescent="0.3">
      <c r="HJ201" s="37"/>
      <c r="HK201" s="37"/>
      <c r="HL201" s="37"/>
      <c r="HM201" s="37"/>
      <c r="HN201" s="37"/>
      <c r="HO201" s="37"/>
      <c r="HP201" s="37"/>
      <c r="HQ201" s="37"/>
      <c r="HR201" s="37"/>
      <c r="HS201" s="37"/>
      <c r="HT201" s="37"/>
      <c r="HU201" s="37"/>
      <c r="HV201" s="37"/>
      <c r="HW201" s="37"/>
      <c r="HX201" s="37"/>
      <c r="HY201" s="37"/>
      <c r="HZ201" s="37"/>
      <c r="IA201" s="37"/>
      <c r="IB201" s="37"/>
      <c r="IC201" s="37"/>
      <c r="ID201" s="37"/>
      <c r="IE201" s="37"/>
      <c r="IF201" s="37"/>
      <c r="IG201" s="37"/>
      <c r="IH201" s="37"/>
      <c r="II201" s="37"/>
      <c r="IJ201" s="37"/>
      <c r="IK201" s="37"/>
      <c r="IL201" s="37"/>
      <c r="IM201" s="37"/>
      <c r="IN201" s="37"/>
      <c r="IO201" s="37"/>
      <c r="IP201" s="37"/>
      <c r="IQ201" s="37"/>
      <c r="IR201" s="37"/>
      <c r="IS201" s="37"/>
      <c r="IT201" s="37"/>
      <c r="IU201" s="37"/>
      <c r="IV201" s="37"/>
      <c r="IW201" s="37"/>
    </row>
    <row r="202" spans="218:257" x14ac:dyDescent="0.3">
      <c r="HJ202" s="37"/>
      <c r="HK202" s="37"/>
      <c r="HL202" s="37"/>
      <c r="HM202" s="37"/>
      <c r="HN202" s="37"/>
      <c r="HO202" s="37"/>
      <c r="HP202" s="37"/>
      <c r="HQ202" s="37"/>
      <c r="HR202" s="37"/>
      <c r="HS202" s="37"/>
      <c r="HT202" s="37"/>
      <c r="HU202" s="37"/>
      <c r="HV202" s="37"/>
      <c r="HW202" s="37"/>
      <c r="HX202" s="37"/>
      <c r="HY202" s="37"/>
      <c r="HZ202" s="37"/>
      <c r="IA202" s="37"/>
      <c r="IB202" s="37"/>
      <c r="IC202" s="37"/>
      <c r="ID202" s="37"/>
      <c r="IE202" s="37"/>
      <c r="IF202" s="37"/>
      <c r="IG202" s="37"/>
      <c r="IH202" s="37"/>
      <c r="II202" s="37"/>
      <c r="IJ202" s="37"/>
      <c r="IK202" s="37"/>
      <c r="IL202" s="37"/>
      <c r="IM202" s="37"/>
      <c r="IN202" s="37"/>
      <c r="IO202" s="37"/>
      <c r="IP202" s="37"/>
      <c r="IQ202" s="37"/>
      <c r="IR202" s="37"/>
      <c r="IS202" s="37"/>
      <c r="IT202" s="37"/>
      <c r="IU202" s="37"/>
      <c r="IV202" s="37"/>
      <c r="IW202" s="37"/>
    </row>
    <row r="203" spans="218:257" x14ac:dyDescent="0.3">
      <c r="HJ203" s="37"/>
      <c r="HK203" s="37"/>
      <c r="HL203" s="37"/>
      <c r="HM203" s="37"/>
      <c r="HN203" s="37"/>
      <c r="HO203" s="37"/>
      <c r="HP203" s="37"/>
      <c r="HQ203" s="37"/>
      <c r="HR203" s="37"/>
      <c r="HS203" s="37"/>
      <c r="HT203" s="37"/>
      <c r="HU203" s="37"/>
      <c r="HV203" s="37"/>
      <c r="HW203" s="37"/>
      <c r="HX203" s="37"/>
      <c r="HY203" s="37"/>
      <c r="HZ203" s="37"/>
      <c r="IA203" s="37"/>
      <c r="IB203" s="37"/>
      <c r="IC203" s="37"/>
      <c r="ID203" s="37"/>
      <c r="IE203" s="37"/>
      <c r="IF203" s="37"/>
      <c r="IG203" s="37"/>
      <c r="IH203" s="37"/>
      <c r="II203" s="37"/>
      <c r="IJ203" s="37"/>
      <c r="IK203" s="37"/>
      <c r="IL203" s="37"/>
      <c r="IM203" s="37"/>
      <c r="IN203" s="37"/>
      <c r="IO203" s="37"/>
      <c r="IP203" s="37"/>
      <c r="IQ203" s="37"/>
      <c r="IR203" s="37"/>
      <c r="IS203" s="37"/>
      <c r="IT203" s="37"/>
      <c r="IU203" s="37"/>
      <c r="IV203" s="37"/>
      <c r="IW203" s="37"/>
    </row>
    <row r="204" spans="218:257" x14ac:dyDescent="0.3">
      <c r="HJ204" s="37"/>
      <c r="HK204" s="37"/>
      <c r="HL204" s="37"/>
      <c r="HM204" s="37"/>
      <c r="HN204" s="37"/>
      <c r="HO204" s="37"/>
      <c r="HP204" s="37"/>
      <c r="HQ204" s="37"/>
      <c r="HR204" s="37"/>
      <c r="HS204" s="37"/>
      <c r="HT204" s="37"/>
      <c r="HU204" s="37"/>
      <c r="HV204" s="37"/>
      <c r="HW204" s="37"/>
      <c r="HX204" s="37"/>
      <c r="HY204" s="37"/>
      <c r="HZ204" s="37"/>
      <c r="IA204" s="37"/>
      <c r="IB204" s="37"/>
      <c r="IC204" s="37"/>
      <c r="ID204" s="37"/>
      <c r="IE204" s="37"/>
      <c r="IF204" s="37"/>
      <c r="IG204" s="37"/>
      <c r="IH204" s="37"/>
      <c r="II204" s="37"/>
      <c r="IJ204" s="37"/>
      <c r="IK204" s="37"/>
      <c r="IL204" s="37"/>
      <c r="IM204" s="37"/>
      <c r="IN204" s="37"/>
      <c r="IO204" s="37"/>
      <c r="IP204" s="37"/>
      <c r="IQ204" s="37"/>
      <c r="IR204" s="37"/>
      <c r="IS204" s="37"/>
      <c r="IT204" s="37"/>
      <c r="IU204" s="37"/>
      <c r="IV204" s="37"/>
      <c r="IW204" s="37"/>
    </row>
    <row r="205" spans="218:257" x14ac:dyDescent="0.3">
      <c r="HJ205" s="37"/>
      <c r="HK205" s="37"/>
      <c r="HL205" s="37"/>
      <c r="HM205" s="37"/>
      <c r="HN205" s="37"/>
      <c r="HO205" s="37"/>
      <c r="HP205" s="37"/>
      <c r="HQ205" s="37"/>
      <c r="HR205" s="37"/>
      <c r="HS205" s="37"/>
      <c r="HT205" s="37"/>
      <c r="HU205" s="37"/>
      <c r="HV205" s="37"/>
      <c r="HW205" s="37"/>
      <c r="HX205" s="37"/>
      <c r="HY205" s="37"/>
      <c r="HZ205" s="37"/>
      <c r="IA205" s="37"/>
      <c r="IB205" s="37"/>
      <c r="IC205" s="37"/>
      <c r="ID205" s="37"/>
      <c r="IE205" s="37"/>
      <c r="IF205" s="37"/>
      <c r="IG205" s="37"/>
      <c r="IH205" s="37"/>
      <c r="II205" s="37"/>
      <c r="IJ205" s="37"/>
      <c r="IK205" s="37"/>
      <c r="IL205" s="37"/>
      <c r="IM205" s="37"/>
      <c r="IN205" s="37"/>
      <c r="IO205" s="37"/>
      <c r="IP205" s="37"/>
      <c r="IQ205" s="37"/>
      <c r="IR205" s="37"/>
      <c r="IS205" s="37"/>
      <c r="IT205" s="37"/>
      <c r="IU205" s="37"/>
      <c r="IV205" s="37"/>
      <c r="IW205" s="37"/>
    </row>
    <row r="206" spans="218:257" x14ac:dyDescent="0.3">
      <c r="HJ206" s="37"/>
      <c r="HK206" s="37"/>
      <c r="HL206" s="37"/>
      <c r="HM206" s="37"/>
      <c r="HN206" s="37"/>
      <c r="HO206" s="37"/>
      <c r="HP206" s="37"/>
      <c r="HQ206" s="37"/>
      <c r="HR206" s="37"/>
      <c r="HS206" s="37"/>
      <c r="HT206" s="37"/>
      <c r="HU206" s="37"/>
      <c r="HV206" s="37"/>
      <c r="HW206" s="37"/>
      <c r="HX206" s="37"/>
      <c r="HY206" s="37"/>
      <c r="HZ206" s="37"/>
      <c r="IA206" s="37"/>
      <c r="IB206" s="37"/>
      <c r="IC206" s="37"/>
      <c r="ID206" s="37"/>
      <c r="IE206" s="37"/>
      <c r="IF206" s="37"/>
      <c r="IG206" s="37"/>
      <c r="IH206" s="37"/>
      <c r="II206" s="37"/>
      <c r="IJ206" s="37"/>
      <c r="IK206" s="37"/>
      <c r="IL206" s="37"/>
      <c r="IM206" s="37"/>
      <c r="IN206" s="37"/>
      <c r="IO206" s="37"/>
      <c r="IP206" s="37"/>
      <c r="IQ206" s="37"/>
      <c r="IR206" s="37"/>
      <c r="IS206" s="37"/>
      <c r="IT206" s="37"/>
      <c r="IU206" s="37"/>
      <c r="IV206" s="37"/>
      <c r="IW206" s="37"/>
    </row>
    <row r="207" spans="218:257" x14ac:dyDescent="0.3">
      <c r="HJ207" s="37"/>
      <c r="HK207" s="37"/>
      <c r="HL207" s="37"/>
      <c r="HM207" s="37"/>
      <c r="HN207" s="37"/>
      <c r="HO207" s="37"/>
      <c r="HP207" s="37"/>
      <c r="HQ207" s="37"/>
      <c r="HR207" s="37"/>
      <c r="HS207" s="37"/>
      <c r="HT207" s="37"/>
      <c r="HU207" s="37"/>
      <c r="HV207" s="37"/>
      <c r="HW207" s="37"/>
      <c r="HX207" s="37"/>
      <c r="HY207" s="37"/>
      <c r="HZ207" s="37"/>
      <c r="IA207" s="37"/>
      <c r="IB207" s="37"/>
      <c r="IC207" s="37"/>
      <c r="ID207" s="37"/>
      <c r="IE207" s="37"/>
      <c r="IF207" s="37"/>
      <c r="IG207" s="37"/>
      <c r="IH207" s="37"/>
      <c r="II207" s="37"/>
      <c r="IJ207" s="37"/>
      <c r="IK207" s="37"/>
      <c r="IL207" s="37"/>
      <c r="IM207" s="37"/>
      <c r="IN207" s="37"/>
      <c r="IO207" s="37"/>
      <c r="IP207" s="37"/>
      <c r="IQ207" s="37"/>
      <c r="IR207" s="37"/>
      <c r="IS207" s="37"/>
      <c r="IT207" s="37"/>
      <c r="IU207" s="37"/>
      <c r="IV207" s="37"/>
      <c r="IW207" s="37"/>
    </row>
    <row r="208" spans="218:257" x14ac:dyDescent="0.3">
      <c r="HJ208" s="37"/>
      <c r="HK208" s="37"/>
      <c r="HL208" s="37"/>
      <c r="HM208" s="37"/>
      <c r="HN208" s="37"/>
      <c r="HO208" s="37"/>
      <c r="HP208" s="37"/>
      <c r="HQ208" s="37"/>
      <c r="HR208" s="37"/>
      <c r="HS208" s="37"/>
      <c r="HT208" s="37"/>
      <c r="HU208" s="37"/>
      <c r="HV208" s="37"/>
      <c r="HW208" s="37"/>
      <c r="HX208" s="37"/>
      <c r="HY208" s="37"/>
      <c r="HZ208" s="37"/>
      <c r="IA208" s="37"/>
      <c r="IB208" s="37"/>
      <c r="IC208" s="37"/>
      <c r="ID208" s="37"/>
      <c r="IE208" s="37"/>
      <c r="IF208" s="37"/>
      <c r="IG208" s="37"/>
      <c r="IH208" s="37"/>
      <c r="II208" s="37"/>
      <c r="IJ208" s="37"/>
      <c r="IK208" s="37"/>
      <c r="IL208" s="37"/>
      <c r="IM208" s="37"/>
      <c r="IN208" s="37"/>
      <c r="IO208" s="37"/>
      <c r="IP208" s="37"/>
      <c r="IQ208" s="37"/>
      <c r="IR208" s="37"/>
      <c r="IS208" s="37"/>
      <c r="IT208" s="37"/>
      <c r="IU208" s="37"/>
      <c r="IV208" s="37"/>
      <c r="IW208" s="37"/>
    </row>
    <row r="209" spans="218:257" x14ac:dyDescent="0.3">
      <c r="HJ209" s="37"/>
      <c r="HK209" s="37"/>
      <c r="HL209" s="37"/>
      <c r="HM209" s="37"/>
      <c r="HN209" s="37"/>
      <c r="HO209" s="37"/>
      <c r="HP209" s="37"/>
      <c r="HQ209" s="37"/>
      <c r="HR209" s="37"/>
      <c r="HS209" s="37"/>
      <c r="HT209" s="37"/>
      <c r="HU209" s="37"/>
      <c r="HV209" s="37"/>
      <c r="HW209" s="37"/>
      <c r="HX209" s="37"/>
      <c r="HY209" s="37"/>
      <c r="HZ209" s="37"/>
      <c r="IA209" s="37"/>
      <c r="IB209" s="37"/>
      <c r="IC209" s="37"/>
      <c r="ID209" s="37"/>
      <c r="IE209" s="37"/>
      <c r="IF209" s="37"/>
      <c r="IG209" s="37"/>
      <c r="IH209" s="37"/>
      <c r="II209" s="37"/>
      <c r="IJ209" s="37"/>
      <c r="IK209" s="37"/>
      <c r="IL209" s="37"/>
      <c r="IM209" s="37"/>
      <c r="IN209" s="37"/>
      <c r="IO209" s="37"/>
      <c r="IP209" s="37"/>
      <c r="IQ209" s="37"/>
      <c r="IR209" s="37"/>
      <c r="IS209" s="37"/>
      <c r="IT209" s="37"/>
      <c r="IU209" s="37"/>
      <c r="IV209" s="37"/>
      <c r="IW209" s="37"/>
    </row>
    <row r="210" spans="218:257" x14ac:dyDescent="0.3">
      <c r="HJ210" s="37"/>
      <c r="HK210" s="37"/>
      <c r="HL210" s="37"/>
      <c r="HM210" s="37"/>
      <c r="HN210" s="37"/>
      <c r="HO210" s="37"/>
      <c r="HP210" s="37"/>
      <c r="HQ210" s="37"/>
      <c r="HR210" s="37"/>
      <c r="HS210" s="37"/>
      <c r="HT210" s="37"/>
      <c r="HU210" s="37"/>
      <c r="HV210" s="37"/>
      <c r="HW210" s="37"/>
      <c r="HX210" s="37"/>
      <c r="HY210" s="37"/>
      <c r="HZ210" s="37"/>
      <c r="IA210" s="37"/>
      <c r="IB210" s="37"/>
      <c r="IC210" s="37"/>
      <c r="ID210" s="37"/>
      <c r="IE210" s="37"/>
      <c r="IF210" s="37"/>
      <c r="IG210" s="37"/>
      <c r="IH210" s="37"/>
      <c r="II210" s="37"/>
      <c r="IJ210" s="37"/>
      <c r="IK210" s="37"/>
      <c r="IL210" s="37"/>
      <c r="IM210" s="37"/>
      <c r="IN210" s="37"/>
      <c r="IO210" s="37"/>
      <c r="IP210" s="37"/>
      <c r="IQ210" s="37"/>
      <c r="IR210" s="37"/>
      <c r="IS210" s="37"/>
      <c r="IT210" s="37"/>
      <c r="IU210" s="37"/>
      <c r="IV210" s="37"/>
      <c r="IW210" s="37"/>
    </row>
    <row r="211" spans="218:257" x14ac:dyDescent="0.3">
      <c r="HJ211" s="37"/>
      <c r="HK211" s="37"/>
      <c r="HL211" s="37"/>
      <c r="HM211" s="37"/>
      <c r="HN211" s="37"/>
      <c r="HO211" s="37"/>
      <c r="HP211" s="37"/>
      <c r="HQ211" s="37"/>
      <c r="HR211" s="37"/>
      <c r="HS211" s="37"/>
      <c r="HT211" s="37"/>
      <c r="HU211" s="37"/>
      <c r="HV211" s="37"/>
      <c r="HW211" s="37"/>
      <c r="HX211" s="37"/>
      <c r="HY211" s="37"/>
      <c r="HZ211" s="37"/>
      <c r="IA211" s="37"/>
      <c r="IB211" s="37"/>
      <c r="IC211" s="37"/>
      <c r="ID211" s="37"/>
      <c r="IE211" s="37"/>
      <c r="IF211" s="37"/>
      <c r="IG211" s="37"/>
      <c r="IH211" s="37"/>
      <c r="II211" s="37"/>
      <c r="IJ211" s="37"/>
      <c r="IK211" s="37"/>
      <c r="IL211" s="37"/>
      <c r="IM211" s="37"/>
      <c r="IN211" s="37"/>
      <c r="IO211" s="37"/>
      <c r="IP211" s="37"/>
      <c r="IQ211" s="37"/>
      <c r="IR211" s="37"/>
      <c r="IS211" s="37"/>
      <c r="IT211" s="37"/>
      <c r="IU211" s="37"/>
      <c r="IV211" s="37"/>
      <c r="IW211" s="37"/>
    </row>
    <row r="212" spans="218:257" x14ac:dyDescent="0.3">
      <c r="HJ212" s="37"/>
      <c r="HK212" s="37"/>
      <c r="HL212" s="37"/>
      <c r="HM212" s="37"/>
      <c r="HN212" s="37"/>
      <c r="HO212" s="37"/>
      <c r="HP212" s="37"/>
      <c r="HQ212" s="37"/>
      <c r="HR212" s="37"/>
      <c r="HS212" s="37"/>
      <c r="HT212" s="37"/>
      <c r="HU212" s="37"/>
      <c r="HV212" s="37"/>
      <c r="HW212" s="37"/>
      <c r="HX212" s="37"/>
      <c r="HY212" s="37"/>
      <c r="HZ212" s="37"/>
      <c r="IA212" s="37"/>
      <c r="IB212" s="37"/>
      <c r="IC212" s="37"/>
      <c r="ID212" s="37"/>
      <c r="IE212" s="37"/>
      <c r="IF212" s="37"/>
      <c r="IG212" s="37"/>
      <c r="IH212" s="37"/>
      <c r="II212" s="37"/>
      <c r="IJ212" s="37"/>
      <c r="IK212" s="37"/>
      <c r="IL212" s="37"/>
      <c r="IM212" s="37"/>
      <c r="IN212" s="37"/>
      <c r="IO212" s="37"/>
      <c r="IP212" s="37"/>
      <c r="IQ212" s="37"/>
      <c r="IR212" s="37"/>
      <c r="IS212" s="37"/>
      <c r="IT212" s="37"/>
      <c r="IU212" s="37"/>
      <c r="IV212" s="37"/>
      <c r="IW212" s="37"/>
    </row>
    <row r="213" spans="218:257" x14ac:dyDescent="0.3">
      <c r="HJ213" s="37"/>
      <c r="HK213" s="37"/>
      <c r="HL213" s="37"/>
      <c r="HM213" s="37"/>
      <c r="HN213" s="37"/>
      <c r="HO213" s="37"/>
      <c r="HP213" s="37"/>
      <c r="HQ213" s="37"/>
      <c r="HR213" s="37"/>
      <c r="HS213" s="37"/>
      <c r="HT213" s="37"/>
      <c r="HU213" s="37"/>
      <c r="HV213" s="37"/>
      <c r="HW213" s="37"/>
      <c r="HX213" s="37"/>
      <c r="HY213" s="37"/>
      <c r="HZ213" s="37"/>
      <c r="IA213" s="37"/>
      <c r="IB213" s="37"/>
      <c r="IC213" s="37"/>
      <c r="ID213" s="37"/>
      <c r="IE213" s="37"/>
      <c r="IF213" s="37"/>
      <c r="IG213" s="37"/>
      <c r="IH213" s="37"/>
      <c r="II213" s="37"/>
      <c r="IJ213" s="37"/>
      <c r="IK213" s="37"/>
      <c r="IL213" s="37"/>
      <c r="IM213" s="37"/>
      <c r="IN213" s="37"/>
      <c r="IO213" s="37"/>
      <c r="IP213" s="37"/>
      <c r="IQ213" s="37"/>
      <c r="IR213" s="37"/>
      <c r="IS213" s="37"/>
      <c r="IT213" s="37"/>
      <c r="IU213" s="37"/>
      <c r="IV213" s="37"/>
      <c r="IW213" s="37"/>
    </row>
    <row r="214" spans="218:257" x14ac:dyDescent="0.3">
      <c r="HJ214" s="37"/>
      <c r="HK214" s="37"/>
      <c r="HL214" s="37"/>
      <c r="HM214" s="37"/>
      <c r="HN214" s="37"/>
      <c r="HO214" s="37"/>
      <c r="HP214" s="37"/>
      <c r="HQ214" s="37"/>
      <c r="HR214" s="37"/>
      <c r="HS214" s="37"/>
      <c r="HT214" s="37"/>
      <c r="HU214" s="37"/>
      <c r="HV214" s="37"/>
      <c r="HW214" s="37"/>
      <c r="HX214" s="37"/>
      <c r="HY214" s="37"/>
      <c r="HZ214" s="37"/>
      <c r="IA214" s="37"/>
      <c r="IB214" s="37"/>
      <c r="IC214" s="37"/>
      <c r="ID214" s="37"/>
      <c r="IE214" s="37"/>
      <c r="IF214" s="37"/>
      <c r="IG214" s="37"/>
      <c r="IH214" s="37"/>
      <c r="II214" s="37"/>
      <c r="IJ214" s="37"/>
      <c r="IK214" s="37"/>
      <c r="IL214" s="37"/>
      <c r="IM214" s="37"/>
      <c r="IN214" s="37"/>
      <c r="IO214" s="37"/>
      <c r="IP214" s="37"/>
      <c r="IQ214" s="37"/>
      <c r="IR214" s="37"/>
      <c r="IS214" s="37"/>
      <c r="IT214" s="37"/>
      <c r="IU214" s="37"/>
      <c r="IV214" s="37"/>
      <c r="IW214" s="37"/>
    </row>
    <row r="215" spans="218:257" x14ac:dyDescent="0.3">
      <c r="HJ215" s="37"/>
      <c r="HK215" s="37"/>
      <c r="HL215" s="37"/>
      <c r="HM215" s="37"/>
      <c r="HN215" s="37"/>
      <c r="HO215" s="37"/>
      <c r="HP215" s="37"/>
      <c r="HQ215" s="37"/>
      <c r="HR215" s="37"/>
      <c r="HS215" s="37"/>
      <c r="HT215" s="37"/>
      <c r="HU215" s="37"/>
      <c r="HV215" s="37"/>
      <c r="HW215" s="37"/>
      <c r="HX215" s="37"/>
      <c r="HY215" s="37"/>
      <c r="HZ215" s="37"/>
      <c r="IA215" s="37"/>
      <c r="IB215" s="37"/>
      <c r="IC215" s="37"/>
      <c r="ID215" s="37"/>
      <c r="IE215" s="37"/>
      <c r="IF215" s="37"/>
      <c r="IG215" s="37"/>
      <c r="IH215" s="37"/>
      <c r="II215" s="37"/>
      <c r="IJ215" s="37"/>
      <c r="IK215" s="37"/>
      <c r="IL215" s="37"/>
      <c r="IM215" s="37"/>
      <c r="IN215" s="37"/>
      <c r="IO215" s="37"/>
      <c r="IP215" s="37"/>
      <c r="IQ215" s="37"/>
      <c r="IR215" s="37"/>
      <c r="IS215" s="37"/>
      <c r="IT215" s="37"/>
      <c r="IU215" s="37"/>
      <c r="IV215" s="37"/>
      <c r="IW215" s="37"/>
    </row>
    <row r="216" spans="218:257" x14ac:dyDescent="0.3">
      <c r="HJ216" s="37"/>
      <c r="HK216" s="37"/>
      <c r="HL216" s="37"/>
      <c r="HM216" s="37"/>
      <c r="HN216" s="37"/>
      <c r="HO216" s="37"/>
      <c r="HP216" s="37"/>
      <c r="HQ216" s="37"/>
      <c r="HR216" s="37"/>
      <c r="HS216" s="37"/>
      <c r="HT216" s="37"/>
      <c r="HU216" s="37"/>
      <c r="HV216" s="37"/>
      <c r="HW216" s="37"/>
      <c r="HX216" s="37"/>
      <c r="HY216" s="37"/>
      <c r="HZ216" s="37"/>
      <c r="IA216" s="37"/>
      <c r="IB216" s="37"/>
      <c r="IC216" s="37"/>
      <c r="ID216" s="37"/>
      <c r="IE216" s="37"/>
      <c r="IF216" s="37"/>
      <c r="IG216" s="37"/>
      <c r="IH216" s="37"/>
      <c r="II216" s="37"/>
      <c r="IJ216" s="37"/>
      <c r="IK216" s="37"/>
      <c r="IL216" s="37"/>
      <c r="IM216" s="37"/>
      <c r="IN216" s="37"/>
      <c r="IO216" s="37"/>
      <c r="IP216" s="37"/>
      <c r="IQ216" s="37"/>
      <c r="IR216" s="37"/>
      <c r="IS216" s="37"/>
      <c r="IT216" s="37"/>
      <c r="IU216" s="37"/>
      <c r="IV216" s="37"/>
      <c r="IW216" s="37"/>
    </row>
    <row r="217" spans="218:257" x14ac:dyDescent="0.3">
      <c r="HJ217" s="37"/>
      <c r="HK217" s="37"/>
      <c r="HL217" s="37"/>
      <c r="HM217" s="37"/>
      <c r="HN217" s="37"/>
      <c r="HO217" s="37"/>
      <c r="HP217" s="37"/>
      <c r="HQ217" s="37"/>
      <c r="HR217" s="37"/>
      <c r="HS217" s="37"/>
      <c r="HT217" s="37"/>
      <c r="HU217" s="37"/>
      <c r="HV217" s="37"/>
      <c r="HW217" s="37"/>
      <c r="HX217" s="37"/>
      <c r="HY217" s="37"/>
      <c r="HZ217" s="37"/>
      <c r="IA217" s="37"/>
      <c r="IB217" s="37"/>
      <c r="IC217" s="37"/>
      <c r="ID217" s="37"/>
      <c r="IE217" s="37"/>
      <c r="IF217" s="37"/>
      <c r="IG217" s="37"/>
      <c r="IH217" s="37"/>
      <c r="II217" s="37"/>
      <c r="IJ217" s="37"/>
      <c r="IK217" s="37"/>
      <c r="IL217" s="37"/>
      <c r="IM217" s="37"/>
      <c r="IN217" s="37"/>
      <c r="IO217" s="37"/>
      <c r="IP217" s="37"/>
      <c r="IQ217" s="37"/>
      <c r="IR217" s="37"/>
      <c r="IS217" s="37"/>
      <c r="IT217" s="37"/>
      <c r="IU217" s="37"/>
      <c r="IV217" s="37"/>
      <c r="IW217" s="37"/>
    </row>
    <row r="218" spans="218:257" x14ac:dyDescent="0.3">
      <c r="HJ218" s="37"/>
      <c r="HK218" s="37"/>
      <c r="HL218" s="37"/>
      <c r="HM218" s="37"/>
      <c r="HN218" s="37"/>
      <c r="HO218" s="37"/>
      <c r="HP218" s="37"/>
      <c r="HQ218" s="37"/>
      <c r="HR218" s="37"/>
      <c r="HS218" s="37"/>
      <c r="HT218" s="37"/>
      <c r="HU218" s="37"/>
      <c r="HV218" s="37"/>
      <c r="HW218" s="37"/>
      <c r="HX218" s="37"/>
      <c r="HY218" s="37"/>
      <c r="HZ218" s="37"/>
      <c r="IA218" s="37"/>
      <c r="IB218" s="37"/>
      <c r="IC218" s="37"/>
      <c r="ID218" s="37"/>
      <c r="IE218" s="37"/>
      <c r="IF218" s="37"/>
      <c r="IG218" s="37"/>
      <c r="IH218" s="37"/>
      <c r="II218" s="37"/>
      <c r="IJ218" s="37"/>
      <c r="IK218" s="37"/>
      <c r="IL218" s="37"/>
      <c r="IM218" s="37"/>
      <c r="IN218" s="37"/>
      <c r="IO218" s="37"/>
      <c r="IP218" s="37"/>
      <c r="IQ218" s="37"/>
      <c r="IR218" s="37"/>
      <c r="IS218" s="37"/>
      <c r="IT218" s="37"/>
      <c r="IU218" s="37"/>
      <c r="IV218" s="37"/>
      <c r="IW218" s="37"/>
    </row>
    <row r="219" spans="218:257" x14ac:dyDescent="0.3">
      <c r="HJ219" s="37"/>
      <c r="HK219" s="37"/>
      <c r="HL219" s="37"/>
      <c r="HM219" s="37"/>
      <c r="HN219" s="37"/>
      <c r="HO219" s="37"/>
      <c r="HP219" s="37"/>
      <c r="HQ219" s="37"/>
      <c r="HR219" s="37"/>
      <c r="HS219" s="37"/>
      <c r="HT219" s="37"/>
      <c r="HU219" s="37"/>
      <c r="HV219" s="37"/>
      <c r="HW219" s="37"/>
      <c r="HX219" s="37"/>
      <c r="HY219" s="37"/>
      <c r="HZ219" s="37"/>
      <c r="IA219" s="37"/>
      <c r="IB219" s="37"/>
      <c r="IC219" s="37"/>
      <c r="ID219" s="37"/>
      <c r="IE219" s="37"/>
      <c r="IF219" s="37"/>
      <c r="IG219" s="37"/>
      <c r="IH219" s="37"/>
      <c r="II219" s="37"/>
      <c r="IJ219" s="37"/>
      <c r="IK219" s="37"/>
      <c r="IL219" s="37"/>
      <c r="IM219" s="37"/>
      <c r="IN219" s="37"/>
      <c r="IO219" s="37"/>
      <c r="IP219" s="37"/>
      <c r="IQ219" s="37"/>
      <c r="IR219" s="37"/>
      <c r="IS219" s="37"/>
      <c r="IT219" s="37"/>
      <c r="IU219" s="37"/>
      <c r="IV219" s="37"/>
      <c r="IW219" s="37"/>
    </row>
    <row r="220" spans="218:257" x14ac:dyDescent="0.3">
      <c r="HJ220" s="37"/>
      <c r="HK220" s="37"/>
      <c r="HL220" s="37"/>
      <c r="HM220" s="37"/>
      <c r="HN220" s="37"/>
      <c r="HO220" s="37"/>
      <c r="HP220" s="37"/>
      <c r="HQ220" s="37"/>
      <c r="HR220" s="37"/>
      <c r="HS220" s="37"/>
      <c r="HT220" s="37"/>
      <c r="HU220" s="37"/>
      <c r="HV220" s="37"/>
      <c r="HW220" s="37"/>
      <c r="HX220" s="37"/>
      <c r="HY220" s="37"/>
      <c r="HZ220" s="37"/>
      <c r="IA220" s="37"/>
      <c r="IB220" s="37"/>
      <c r="IC220" s="37"/>
      <c r="ID220" s="37"/>
      <c r="IE220" s="37"/>
      <c r="IF220" s="37"/>
      <c r="IG220" s="37"/>
      <c r="IH220" s="37"/>
      <c r="II220" s="37"/>
      <c r="IJ220" s="37"/>
      <c r="IK220" s="37"/>
      <c r="IL220" s="37"/>
      <c r="IM220" s="37"/>
      <c r="IN220" s="37"/>
      <c r="IO220" s="37"/>
      <c r="IP220" s="37"/>
      <c r="IQ220" s="37"/>
      <c r="IR220" s="37"/>
      <c r="IS220" s="37"/>
      <c r="IT220" s="37"/>
      <c r="IU220" s="37"/>
      <c r="IV220" s="37"/>
      <c r="IW220" s="37"/>
    </row>
    <row r="221" spans="218:257" x14ac:dyDescent="0.3">
      <c r="HJ221" s="37"/>
      <c r="HK221" s="37"/>
      <c r="HL221" s="37"/>
      <c r="HM221" s="37"/>
      <c r="HN221" s="37"/>
      <c r="HO221" s="37"/>
      <c r="HP221" s="37"/>
      <c r="HQ221" s="37"/>
      <c r="HR221" s="37"/>
      <c r="HS221" s="37"/>
      <c r="HT221" s="37"/>
      <c r="HU221" s="37"/>
      <c r="HV221" s="37"/>
      <c r="HW221" s="37"/>
      <c r="HX221" s="37"/>
      <c r="HY221" s="37"/>
      <c r="HZ221" s="37"/>
      <c r="IA221" s="37"/>
      <c r="IB221" s="37"/>
      <c r="IC221" s="37"/>
      <c r="ID221" s="37"/>
      <c r="IE221" s="37"/>
      <c r="IF221" s="37"/>
      <c r="IG221" s="37"/>
      <c r="IH221" s="37"/>
      <c r="II221" s="37"/>
      <c r="IJ221" s="37"/>
      <c r="IK221" s="37"/>
      <c r="IL221" s="37"/>
      <c r="IM221" s="37"/>
      <c r="IN221" s="37"/>
      <c r="IO221" s="37"/>
      <c r="IP221" s="37"/>
      <c r="IQ221" s="37"/>
      <c r="IR221" s="37"/>
      <c r="IS221" s="37"/>
      <c r="IT221" s="37"/>
      <c r="IU221" s="37"/>
      <c r="IV221" s="37"/>
      <c r="IW221" s="37"/>
    </row>
    <row r="222" spans="218:257" x14ac:dyDescent="0.3">
      <c r="HJ222" s="37"/>
      <c r="HK222" s="37"/>
      <c r="HL222" s="37"/>
      <c r="HM222" s="37"/>
      <c r="HN222" s="37"/>
      <c r="HO222" s="37"/>
      <c r="HP222" s="37"/>
      <c r="HQ222" s="37"/>
      <c r="HR222" s="37"/>
      <c r="HS222" s="37"/>
      <c r="HT222" s="37"/>
      <c r="HU222" s="37"/>
      <c r="HV222" s="37"/>
      <c r="HW222" s="37"/>
      <c r="HX222" s="37"/>
      <c r="HY222" s="37"/>
      <c r="HZ222" s="37"/>
      <c r="IA222" s="37"/>
      <c r="IB222" s="37"/>
      <c r="IC222" s="37"/>
      <c r="ID222" s="37"/>
      <c r="IE222" s="37"/>
      <c r="IF222" s="37"/>
      <c r="IG222" s="37"/>
      <c r="IH222" s="37"/>
      <c r="II222" s="37"/>
      <c r="IJ222" s="37"/>
      <c r="IK222" s="37"/>
      <c r="IL222" s="37"/>
      <c r="IM222" s="37"/>
      <c r="IN222" s="37"/>
      <c r="IO222" s="37"/>
      <c r="IP222" s="37"/>
      <c r="IQ222" s="37"/>
      <c r="IR222" s="37"/>
      <c r="IS222" s="37"/>
      <c r="IT222" s="37"/>
      <c r="IU222" s="37"/>
      <c r="IV222" s="37"/>
      <c r="IW222" s="37"/>
    </row>
    <row r="223" spans="218:257" x14ac:dyDescent="0.3">
      <c r="HJ223" s="37"/>
      <c r="HK223" s="37"/>
      <c r="HL223" s="37"/>
      <c r="HM223" s="37"/>
      <c r="HN223" s="37"/>
      <c r="HO223" s="37"/>
      <c r="HP223" s="37"/>
      <c r="HQ223" s="37"/>
      <c r="HR223" s="37"/>
      <c r="HS223" s="37"/>
      <c r="HT223" s="37"/>
      <c r="HU223" s="37"/>
      <c r="HV223" s="37"/>
      <c r="HW223" s="37"/>
      <c r="HX223" s="37"/>
      <c r="HY223" s="37"/>
      <c r="HZ223" s="37"/>
      <c r="IA223" s="37"/>
      <c r="IB223" s="37"/>
      <c r="IC223" s="37"/>
      <c r="ID223" s="37"/>
      <c r="IE223" s="37"/>
      <c r="IF223" s="37"/>
      <c r="IG223" s="37"/>
      <c r="IH223" s="37"/>
      <c r="II223" s="37"/>
      <c r="IJ223" s="37"/>
      <c r="IK223" s="37"/>
      <c r="IL223" s="37"/>
      <c r="IM223" s="37"/>
      <c r="IN223" s="37"/>
      <c r="IO223" s="37"/>
      <c r="IP223" s="37"/>
      <c r="IQ223" s="37"/>
      <c r="IR223" s="37"/>
      <c r="IS223" s="37"/>
      <c r="IT223" s="37"/>
      <c r="IU223" s="37"/>
      <c r="IV223" s="37"/>
      <c r="IW223" s="37"/>
    </row>
    <row r="224" spans="218:257" x14ac:dyDescent="0.3">
      <c r="HJ224" s="37"/>
      <c r="HK224" s="37"/>
      <c r="HL224" s="37"/>
      <c r="HM224" s="37"/>
      <c r="HN224" s="37"/>
      <c r="HO224" s="37"/>
      <c r="HP224" s="37"/>
      <c r="HQ224" s="37"/>
      <c r="HR224" s="37"/>
      <c r="HS224" s="37"/>
      <c r="HT224" s="37"/>
      <c r="HU224" s="37"/>
      <c r="HV224" s="37"/>
      <c r="HW224" s="37"/>
      <c r="HX224" s="37"/>
      <c r="HY224" s="37"/>
      <c r="HZ224" s="37"/>
      <c r="IA224" s="37"/>
      <c r="IB224" s="37"/>
      <c r="IC224" s="37"/>
      <c r="ID224" s="37"/>
      <c r="IE224" s="37"/>
      <c r="IF224" s="37"/>
      <c r="IG224" s="37"/>
      <c r="IH224" s="37"/>
      <c r="II224" s="37"/>
      <c r="IJ224" s="37"/>
      <c r="IK224" s="37"/>
      <c r="IL224" s="37"/>
      <c r="IM224" s="37"/>
      <c r="IN224" s="37"/>
      <c r="IO224" s="37"/>
      <c r="IP224" s="37"/>
      <c r="IQ224" s="37"/>
      <c r="IR224" s="37"/>
      <c r="IS224" s="37"/>
      <c r="IT224" s="37"/>
      <c r="IU224" s="37"/>
      <c r="IV224" s="37"/>
      <c r="IW224" s="37"/>
    </row>
    <row r="225" spans="218:257" x14ac:dyDescent="0.3">
      <c r="HJ225" s="37"/>
      <c r="HK225" s="37"/>
      <c r="HL225" s="37"/>
      <c r="HM225" s="37"/>
      <c r="HN225" s="37"/>
      <c r="HO225" s="37"/>
      <c r="HP225" s="37"/>
      <c r="HQ225" s="37"/>
      <c r="HR225" s="37"/>
      <c r="HS225" s="37"/>
      <c r="HT225" s="37"/>
      <c r="HU225" s="37"/>
      <c r="HV225" s="37"/>
      <c r="HW225" s="37"/>
      <c r="HX225" s="37"/>
      <c r="HY225" s="37"/>
      <c r="HZ225" s="37"/>
      <c r="IA225" s="37"/>
      <c r="IB225" s="37"/>
      <c r="IC225" s="37"/>
      <c r="ID225" s="37"/>
      <c r="IE225" s="37"/>
      <c r="IF225" s="37"/>
      <c r="IG225" s="37"/>
      <c r="IH225" s="37"/>
      <c r="II225" s="37"/>
      <c r="IJ225" s="37"/>
      <c r="IK225" s="37"/>
      <c r="IL225" s="37"/>
      <c r="IM225" s="37"/>
      <c r="IN225" s="37"/>
      <c r="IO225" s="37"/>
      <c r="IP225" s="37"/>
      <c r="IQ225" s="37"/>
      <c r="IR225" s="37"/>
      <c r="IS225" s="37"/>
      <c r="IT225" s="37"/>
      <c r="IU225" s="37"/>
      <c r="IV225" s="37"/>
      <c r="IW225" s="37"/>
    </row>
    <row r="226" spans="218:257" x14ac:dyDescent="0.3">
      <c r="HJ226" s="37"/>
      <c r="HK226" s="37"/>
      <c r="HL226" s="37"/>
      <c r="HM226" s="37"/>
      <c r="HN226" s="37"/>
      <c r="HO226" s="37"/>
      <c r="HP226" s="37"/>
      <c r="HQ226" s="37"/>
      <c r="HR226" s="37"/>
      <c r="HS226" s="37"/>
      <c r="HT226" s="37"/>
      <c r="HU226" s="37"/>
      <c r="HV226" s="37"/>
      <c r="HW226" s="37"/>
      <c r="HX226" s="37"/>
      <c r="HY226" s="37"/>
      <c r="HZ226" s="37"/>
      <c r="IA226" s="37"/>
      <c r="IB226" s="37"/>
      <c r="IC226" s="37"/>
      <c r="ID226" s="37"/>
      <c r="IE226" s="37"/>
      <c r="IF226" s="37"/>
      <c r="IG226" s="37"/>
      <c r="IH226" s="37"/>
      <c r="II226" s="37"/>
      <c r="IJ226" s="37"/>
      <c r="IK226" s="37"/>
      <c r="IL226" s="37"/>
      <c r="IM226" s="37"/>
      <c r="IN226" s="37"/>
      <c r="IO226" s="37"/>
      <c r="IP226" s="37"/>
      <c r="IQ226" s="37"/>
      <c r="IR226" s="37"/>
      <c r="IS226" s="37"/>
      <c r="IT226" s="37"/>
      <c r="IU226" s="37"/>
      <c r="IV226" s="37"/>
      <c r="IW226" s="37"/>
    </row>
    <row r="227" spans="218:257" x14ac:dyDescent="0.3">
      <c r="HJ227" s="37"/>
      <c r="HK227" s="37"/>
      <c r="HL227" s="37"/>
      <c r="HM227" s="37"/>
      <c r="HN227" s="37"/>
      <c r="HO227" s="37"/>
      <c r="HP227" s="37"/>
      <c r="HQ227" s="37"/>
      <c r="HR227" s="37"/>
      <c r="HS227" s="37"/>
      <c r="HT227" s="37"/>
      <c r="HU227" s="37"/>
      <c r="HV227" s="37"/>
      <c r="HW227" s="37"/>
      <c r="HX227" s="37"/>
      <c r="HY227" s="37"/>
      <c r="HZ227" s="37"/>
      <c r="IA227" s="37"/>
      <c r="IB227" s="37"/>
      <c r="IC227" s="37"/>
      <c r="ID227" s="37"/>
      <c r="IE227" s="37"/>
      <c r="IF227" s="37"/>
      <c r="IG227" s="37"/>
      <c r="IH227" s="37"/>
      <c r="II227" s="37"/>
      <c r="IJ227" s="37"/>
      <c r="IK227" s="37"/>
      <c r="IL227" s="37"/>
      <c r="IM227" s="37"/>
      <c r="IN227" s="37"/>
      <c r="IO227" s="37"/>
      <c r="IP227" s="37"/>
      <c r="IQ227" s="37"/>
      <c r="IR227" s="37"/>
      <c r="IS227" s="37"/>
      <c r="IT227" s="37"/>
      <c r="IU227" s="37"/>
      <c r="IV227" s="37"/>
      <c r="IW227" s="37"/>
    </row>
    <row r="228" spans="218:257" x14ac:dyDescent="0.3">
      <c r="HJ228" s="37"/>
      <c r="HK228" s="37"/>
      <c r="HL228" s="37"/>
      <c r="HM228" s="37"/>
      <c r="HN228" s="37"/>
      <c r="HO228" s="37"/>
      <c r="HP228" s="37"/>
      <c r="HQ228" s="37"/>
      <c r="HR228" s="37"/>
      <c r="HS228" s="37"/>
      <c r="HT228" s="37"/>
      <c r="HU228" s="37"/>
      <c r="HV228" s="37"/>
      <c r="HW228" s="37"/>
      <c r="HX228" s="37"/>
      <c r="HY228" s="37"/>
      <c r="HZ228" s="37"/>
      <c r="IA228" s="37"/>
      <c r="IB228" s="37"/>
      <c r="IC228" s="37"/>
      <c r="ID228" s="37"/>
      <c r="IE228" s="37"/>
      <c r="IF228" s="37"/>
      <c r="IG228" s="37"/>
      <c r="IH228" s="37"/>
      <c r="II228" s="37"/>
      <c r="IJ228" s="37"/>
      <c r="IK228" s="37"/>
      <c r="IL228" s="37"/>
      <c r="IM228" s="37"/>
      <c r="IN228" s="37"/>
      <c r="IO228" s="37"/>
      <c r="IP228" s="37"/>
      <c r="IQ228" s="37"/>
      <c r="IR228" s="37"/>
      <c r="IS228" s="37"/>
      <c r="IT228" s="37"/>
      <c r="IU228" s="37"/>
      <c r="IV228" s="37"/>
      <c r="IW228" s="37"/>
    </row>
    <row r="229" spans="218:257" x14ac:dyDescent="0.3">
      <c r="HJ229" s="37"/>
      <c r="HK229" s="37"/>
      <c r="HL229" s="37"/>
      <c r="HM229" s="37"/>
      <c r="HN229" s="37"/>
      <c r="HO229" s="37"/>
      <c r="HP229" s="37"/>
      <c r="HQ229" s="37"/>
      <c r="HR229" s="37"/>
      <c r="HS229" s="37"/>
      <c r="HT229" s="37"/>
      <c r="HU229" s="37"/>
      <c r="HV229" s="37"/>
      <c r="HW229" s="37"/>
      <c r="HX229" s="37"/>
      <c r="HY229" s="37"/>
      <c r="HZ229" s="37"/>
      <c r="IA229" s="37"/>
      <c r="IB229" s="37"/>
      <c r="IC229" s="37"/>
      <c r="ID229" s="37"/>
      <c r="IE229" s="37"/>
      <c r="IF229" s="37"/>
      <c r="IG229" s="37"/>
      <c r="IH229" s="37"/>
      <c r="II229" s="37"/>
      <c r="IJ229" s="37"/>
      <c r="IK229" s="37"/>
      <c r="IL229" s="37"/>
      <c r="IM229" s="37"/>
      <c r="IN229" s="37"/>
      <c r="IO229" s="37"/>
      <c r="IP229" s="37"/>
      <c r="IQ229" s="37"/>
      <c r="IR229" s="37"/>
      <c r="IS229" s="37"/>
      <c r="IT229" s="37"/>
      <c r="IU229" s="37"/>
      <c r="IV229" s="37"/>
      <c r="IW229" s="37"/>
    </row>
    <row r="230" spans="218:257" x14ac:dyDescent="0.3">
      <c r="HJ230" s="37"/>
      <c r="HK230" s="37"/>
      <c r="HL230" s="37"/>
      <c r="HM230" s="37"/>
      <c r="HN230" s="37"/>
      <c r="HO230" s="37"/>
      <c r="HP230" s="37"/>
      <c r="HQ230" s="37"/>
      <c r="HR230" s="37"/>
      <c r="HS230" s="37"/>
      <c r="HT230" s="37"/>
      <c r="HU230" s="37"/>
      <c r="HV230" s="37"/>
      <c r="HW230" s="37"/>
      <c r="HX230" s="37"/>
      <c r="HY230" s="37"/>
      <c r="HZ230" s="37"/>
      <c r="IA230" s="37"/>
      <c r="IB230" s="37"/>
      <c r="IC230" s="37"/>
      <c r="ID230" s="37"/>
      <c r="IE230" s="37"/>
      <c r="IF230" s="37"/>
      <c r="IG230" s="37"/>
      <c r="IH230" s="37"/>
      <c r="II230" s="37"/>
      <c r="IJ230" s="37"/>
      <c r="IK230" s="37"/>
      <c r="IL230" s="37"/>
      <c r="IM230" s="37"/>
      <c r="IN230" s="37"/>
      <c r="IO230" s="37"/>
      <c r="IP230" s="37"/>
      <c r="IQ230" s="37"/>
      <c r="IR230" s="37"/>
      <c r="IS230" s="37"/>
      <c r="IT230" s="37"/>
      <c r="IU230" s="37"/>
      <c r="IV230" s="37"/>
      <c r="IW230" s="37"/>
    </row>
    <row r="231" spans="218:257" x14ac:dyDescent="0.3">
      <c r="HJ231" s="37"/>
      <c r="HK231" s="37"/>
      <c r="HL231" s="37"/>
      <c r="HM231" s="37"/>
      <c r="HN231" s="37"/>
      <c r="HO231" s="37"/>
      <c r="HP231" s="37"/>
      <c r="HQ231" s="37"/>
      <c r="HR231" s="37"/>
      <c r="HS231" s="37"/>
      <c r="HT231" s="37"/>
      <c r="HU231" s="37"/>
      <c r="HV231" s="37"/>
      <c r="HW231" s="37"/>
      <c r="HX231" s="37"/>
      <c r="HY231" s="37"/>
      <c r="HZ231" s="37"/>
      <c r="IA231" s="37"/>
      <c r="IB231" s="37"/>
      <c r="IC231" s="37"/>
      <c r="ID231" s="37"/>
      <c r="IE231" s="37"/>
      <c r="IF231" s="37"/>
      <c r="IG231" s="37"/>
      <c r="IH231" s="37"/>
      <c r="II231" s="37"/>
      <c r="IJ231" s="37"/>
      <c r="IK231" s="37"/>
      <c r="IL231" s="37"/>
      <c r="IM231" s="37"/>
      <c r="IN231" s="37"/>
      <c r="IO231" s="37"/>
      <c r="IP231" s="37"/>
      <c r="IQ231" s="37"/>
      <c r="IR231" s="37"/>
      <c r="IS231" s="37"/>
      <c r="IT231" s="37"/>
      <c r="IU231" s="37"/>
      <c r="IV231" s="37"/>
      <c r="IW231" s="37"/>
    </row>
    <row r="232" spans="218:257" x14ac:dyDescent="0.3">
      <c r="HJ232" s="37"/>
      <c r="HK232" s="37"/>
      <c r="HL232" s="37"/>
      <c r="HM232" s="37"/>
      <c r="HN232" s="37"/>
      <c r="HO232" s="37"/>
      <c r="HP232" s="37"/>
      <c r="HQ232" s="37"/>
      <c r="HR232" s="37"/>
      <c r="HS232" s="37"/>
      <c r="HT232" s="37"/>
      <c r="HU232" s="37"/>
      <c r="HV232" s="37"/>
      <c r="HW232" s="37"/>
      <c r="HX232" s="37"/>
      <c r="HY232" s="37"/>
      <c r="HZ232" s="37"/>
      <c r="IA232" s="37"/>
      <c r="IB232" s="37"/>
      <c r="IC232" s="37"/>
      <c r="ID232" s="37"/>
      <c r="IE232" s="37"/>
      <c r="IF232" s="37"/>
      <c r="IG232" s="37"/>
      <c r="IH232" s="37"/>
      <c r="II232" s="37"/>
      <c r="IJ232" s="37"/>
      <c r="IK232" s="37"/>
      <c r="IL232" s="37"/>
      <c r="IM232" s="37"/>
      <c r="IN232" s="37"/>
      <c r="IO232" s="37"/>
      <c r="IP232" s="37"/>
      <c r="IQ232" s="37"/>
      <c r="IR232" s="37"/>
      <c r="IS232" s="37"/>
      <c r="IT232" s="37"/>
      <c r="IU232" s="37"/>
      <c r="IV232" s="37"/>
      <c r="IW232" s="37"/>
    </row>
    <row r="233" spans="218:257" x14ac:dyDescent="0.3">
      <c r="HJ233" s="37"/>
      <c r="HK233" s="37"/>
      <c r="HL233" s="37"/>
      <c r="HM233" s="37"/>
      <c r="HN233" s="37"/>
      <c r="HO233" s="37"/>
      <c r="HP233" s="37"/>
      <c r="HQ233" s="37"/>
      <c r="HR233" s="37"/>
      <c r="HS233" s="37"/>
      <c r="HT233" s="37"/>
      <c r="HU233" s="37"/>
      <c r="HV233" s="37"/>
      <c r="HW233" s="37"/>
      <c r="HX233" s="37"/>
      <c r="HY233" s="37"/>
      <c r="HZ233" s="37"/>
      <c r="IA233" s="37"/>
      <c r="IB233" s="37"/>
      <c r="IC233" s="37"/>
      <c r="ID233" s="37"/>
      <c r="IE233" s="37"/>
      <c r="IF233" s="37"/>
      <c r="IG233" s="37"/>
      <c r="IH233" s="37"/>
      <c r="II233" s="37"/>
      <c r="IJ233" s="37"/>
      <c r="IK233" s="37"/>
      <c r="IL233" s="37"/>
      <c r="IM233" s="37"/>
      <c r="IN233" s="37"/>
      <c r="IO233" s="37"/>
      <c r="IP233" s="37"/>
      <c r="IQ233" s="37"/>
      <c r="IR233" s="37"/>
      <c r="IS233" s="37"/>
      <c r="IT233" s="37"/>
      <c r="IU233" s="37"/>
      <c r="IV233" s="37"/>
      <c r="IW233" s="37"/>
    </row>
    <row r="234" spans="218:257" x14ac:dyDescent="0.3">
      <c r="HJ234" s="37"/>
      <c r="HK234" s="37"/>
      <c r="HL234" s="37"/>
      <c r="HM234" s="37"/>
      <c r="HN234" s="37"/>
      <c r="HO234" s="37"/>
      <c r="HP234" s="37"/>
      <c r="HQ234" s="37"/>
      <c r="HR234" s="37"/>
      <c r="HS234" s="37"/>
      <c r="HT234" s="37"/>
      <c r="HU234" s="37"/>
      <c r="HV234" s="37"/>
      <c r="HW234" s="37"/>
      <c r="HX234" s="37"/>
      <c r="HY234" s="37"/>
      <c r="HZ234" s="37"/>
      <c r="IA234" s="37"/>
      <c r="IB234" s="37"/>
      <c r="IC234" s="37"/>
      <c r="ID234" s="37"/>
      <c r="IE234" s="37"/>
      <c r="IF234" s="37"/>
      <c r="IG234" s="37"/>
      <c r="IH234" s="37"/>
      <c r="II234" s="37"/>
      <c r="IJ234" s="37"/>
      <c r="IK234" s="37"/>
      <c r="IL234" s="37"/>
      <c r="IM234" s="37"/>
      <c r="IN234" s="37"/>
      <c r="IO234" s="37"/>
      <c r="IP234" s="37"/>
      <c r="IQ234" s="37"/>
      <c r="IR234" s="37"/>
      <c r="IS234" s="37"/>
      <c r="IT234" s="37"/>
      <c r="IU234" s="37"/>
      <c r="IV234" s="37"/>
      <c r="IW234" s="37"/>
    </row>
    <row r="235" spans="218:257" x14ac:dyDescent="0.3">
      <c r="HJ235" s="37"/>
      <c r="HK235" s="37"/>
      <c r="HL235" s="37"/>
      <c r="HM235" s="37"/>
      <c r="HN235" s="37"/>
      <c r="HO235" s="37"/>
      <c r="HP235" s="37"/>
      <c r="HQ235" s="37"/>
      <c r="HR235" s="37"/>
      <c r="HS235" s="37"/>
      <c r="HT235" s="37"/>
      <c r="HU235" s="37"/>
      <c r="HV235" s="37"/>
      <c r="HW235" s="37"/>
      <c r="HX235" s="37"/>
      <c r="HY235" s="37"/>
      <c r="HZ235" s="37"/>
      <c r="IA235" s="37"/>
      <c r="IB235" s="37"/>
      <c r="IC235" s="37"/>
      <c r="ID235" s="37"/>
      <c r="IE235" s="37"/>
      <c r="IF235" s="37"/>
      <c r="IG235" s="37"/>
      <c r="IH235" s="37"/>
      <c r="II235" s="37"/>
      <c r="IJ235" s="37"/>
      <c r="IK235" s="37"/>
      <c r="IL235" s="37"/>
      <c r="IM235" s="37"/>
      <c r="IN235" s="37"/>
      <c r="IO235" s="37"/>
      <c r="IP235" s="37"/>
      <c r="IQ235" s="37"/>
      <c r="IR235" s="37"/>
      <c r="IS235" s="37"/>
      <c r="IT235" s="37"/>
      <c r="IU235" s="37"/>
      <c r="IV235" s="37"/>
      <c r="IW235" s="37"/>
    </row>
    <row r="236" spans="218:257" x14ac:dyDescent="0.3">
      <c r="HJ236" s="37"/>
      <c r="HK236" s="37"/>
      <c r="HL236" s="37"/>
      <c r="HM236" s="37"/>
      <c r="HN236" s="37"/>
      <c r="HO236" s="37"/>
      <c r="HP236" s="37"/>
      <c r="HQ236" s="37"/>
      <c r="HR236" s="37"/>
      <c r="HS236" s="37"/>
      <c r="HT236" s="37"/>
      <c r="HU236" s="37"/>
      <c r="HV236" s="37"/>
      <c r="HW236" s="37"/>
      <c r="HX236" s="37"/>
      <c r="HY236" s="37"/>
      <c r="HZ236" s="37"/>
      <c r="IA236" s="37"/>
      <c r="IB236" s="37"/>
      <c r="IC236" s="37"/>
      <c r="ID236" s="37"/>
      <c r="IE236" s="37"/>
      <c r="IF236" s="37"/>
      <c r="IG236" s="37"/>
      <c r="IH236" s="37"/>
      <c r="II236" s="37"/>
      <c r="IJ236" s="37"/>
      <c r="IK236" s="37"/>
      <c r="IL236" s="37"/>
      <c r="IM236" s="37"/>
      <c r="IN236" s="37"/>
      <c r="IO236" s="37"/>
      <c r="IP236" s="37"/>
      <c r="IQ236" s="37"/>
      <c r="IR236" s="37"/>
      <c r="IS236" s="37"/>
      <c r="IT236" s="37"/>
      <c r="IU236" s="37"/>
      <c r="IV236" s="37"/>
      <c r="IW236" s="37"/>
    </row>
    <row r="237" spans="218:257" x14ac:dyDescent="0.3">
      <c r="HJ237" s="37"/>
      <c r="HK237" s="37"/>
      <c r="HL237" s="37"/>
      <c r="HM237" s="37"/>
      <c r="HN237" s="37"/>
      <c r="HO237" s="37"/>
      <c r="HP237" s="37"/>
      <c r="HQ237" s="37"/>
      <c r="HR237" s="37"/>
      <c r="HS237" s="37"/>
      <c r="HT237" s="37"/>
      <c r="HU237" s="37"/>
      <c r="HV237" s="37"/>
      <c r="HW237" s="37"/>
      <c r="HX237" s="37"/>
      <c r="HY237" s="37"/>
      <c r="HZ237" s="37"/>
      <c r="IA237" s="37"/>
      <c r="IB237" s="37"/>
      <c r="IC237" s="37"/>
      <c r="ID237" s="37"/>
      <c r="IE237" s="37"/>
      <c r="IF237" s="37"/>
      <c r="IG237" s="37"/>
      <c r="IH237" s="37"/>
      <c r="II237" s="37"/>
      <c r="IJ237" s="37"/>
      <c r="IK237" s="37"/>
      <c r="IL237" s="37"/>
      <c r="IM237" s="37"/>
      <c r="IN237" s="37"/>
      <c r="IO237" s="37"/>
      <c r="IP237" s="37"/>
      <c r="IQ237" s="37"/>
      <c r="IR237" s="37"/>
      <c r="IS237" s="37"/>
      <c r="IT237" s="37"/>
      <c r="IU237" s="37"/>
      <c r="IV237" s="37"/>
      <c r="IW237" s="37"/>
    </row>
    <row r="238" spans="218:257" x14ac:dyDescent="0.3">
      <c r="HJ238" s="37"/>
      <c r="HK238" s="37"/>
      <c r="HL238" s="37"/>
      <c r="HM238" s="37"/>
      <c r="HN238" s="37"/>
      <c r="HO238" s="37"/>
      <c r="HP238" s="37"/>
      <c r="HQ238" s="37"/>
      <c r="HR238" s="37"/>
      <c r="HS238" s="37"/>
      <c r="HT238" s="37"/>
      <c r="HU238" s="37"/>
      <c r="HV238" s="37"/>
      <c r="HW238" s="37"/>
      <c r="HX238" s="37"/>
      <c r="HY238" s="37"/>
      <c r="HZ238" s="37"/>
      <c r="IA238" s="37"/>
      <c r="IB238" s="37"/>
      <c r="IC238" s="37"/>
      <c r="ID238" s="37"/>
      <c r="IE238" s="37"/>
      <c r="IF238" s="37"/>
      <c r="IG238" s="37"/>
      <c r="IH238" s="37"/>
      <c r="II238" s="37"/>
      <c r="IJ238" s="37"/>
      <c r="IK238" s="37"/>
      <c r="IL238" s="37"/>
      <c r="IM238" s="37"/>
      <c r="IN238" s="37"/>
      <c r="IO238" s="37"/>
      <c r="IP238" s="37"/>
      <c r="IQ238" s="37"/>
      <c r="IR238" s="37"/>
      <c r="IS238" s="37"/>
      <c r="IT238" s="37"/>
      <c r="IU238" s="37"/>
      <c r="IV238" s="37"/>
      <c r="IW238" s="37"/>
    </row>
    <row r="239" spans="218:257" x14ac:dyDescent="0.3">
      <c r="HJ239" s="37"/>
      <c r="HK239" s="37"/>
      <c r="HL239" s="37"/>
      <c r="HM239" s="37"/>
      <c r="HN239" s="37"/>
      <c r="HO239" s="37"/>
      <c r="HP239" s="37"/>
      <c r="HQ239" s="37"/>
      <c r="HR239" s="37"/>
      <c r="HS239" s="37"/>
      <c r="HT239" s="37"/>
      <c r="HU239" s="37"/>
      <c r="HV239" s="37"/>
      <c r="HW239" s="37"/>
      <c r="HX239" s="37"/>
      <c r="HY239" s="37"/>
      <c r="HZ239" s="37"/>
      <c r="IA239" s="37"/>
      <c r="IB239" s="37"/>
      <c r="IC239" s="37"/>
      <c r="ID239" s="37"/>
      <c r="IE239" s="37"/>
      <c r="IF239" s="37"/>
      <c r="IG239" s="37"/>
      <c r="IH239" s="37"/>
      <c r="II239" s="37"/>
      <c r="IJ239" s="37"/>
      <c r="IK239" s="37"/>
      <c r="IL239" s="37"/>
      <c r="IM239" s="37"/>
      <c r="IN239" s="37"/>
      <c r="IO239" s="37"/>
      <c r="IP239" s="37"/>
      <c r="IQ239" s="37"/>
      <c r="IR239" s="37"/>
      <c r="IS239" s="37"/>
      <c r="IT239" s="37"/>
      <c r="IU239" s="37"/>
      <c r="IV239" s="37"/>
      <c r="IW239" s="37"/>
    </row>
    <row r="240" spans="218:257" x14ac:dyDescent="0.3">
      <c r="HJ240" s="37"/>
      <c r="HK240" s="37"/>
      <c r="HL240" s="37"/>
      <c r="HM240" s="37"/>
      <c r="HN240" s="37"/>
      <c r="HO240" s="37"/>
      <c r="HP240" s="37"/>
      <c r="HQ240" s="37"/>
      <c r="HR240" s="37"/>
      <c r="HS240" s="37"/>
      <c r="HT240" s="37"/>
      <c r="HU240" s="37"/>
      <c r="HV240" s="37"/>
      <c r="HW240" s="37"/>
      <c r="HX240" s="37"/>
      <c r="HY240" s="37"/>
      <c r="HZ240" s="37"/>
      <c r="IA240" s="37"/>
      <c r="IB240" s="37"/>
      <c r="IC240" s="37"/>
      <c r="ID240" s="37"/>
      <c r="IE240" s="37"/>
      <c r="IF240" s="37"/>
      <c r="IG240" s="37"/>
      <c r="IH240" s="37"/>
      <c r="II240" s="37"/>
      <c r="IJ240" s="37"/>
      <c r="IK240" s="37"/>
      <c r="IL240" s="37"/>
      <c r="IM240" s="37"/>
      <c r="IN240" s="37"/>
      <c r="IO240" s="37"/>
      <c r="IP240" s="37"/>
      <c r="IQ240" s="37"/>
      <c r="IR240" s="37"/>
      <c r="IS240" s="37"/>
      <c r="IT240" s="37"/>
      <c r="IU240" s="37"/>
      <c r="IV240" s="37"/>
      <c r="IW240" s="37"/>
    </row>
    <row r="241" spans="218:257" x14ac:dyDescent="0.3">
      <c r="HJ241" s="37"/>
      <c r="HK241" s="37"/>
      <c r="HL241" s="37"/>
      <c r="HM241" s="37"/>
      <c r="HN241" s="37"/>
      <c r="HO241" s="37"/>
      <c r="HP241" s="37"/>
      <c r="HQ241" s="37"/>
      <c r="HR241" s="37"/>
      <c r="HS241" s="37"/>
      <c r="HT241" s="37"/>
      <c r="HU241" s="37"/>
      <c r="HV241" s="37"/>
      <c r="HW241" s="37"/>
      <c r="HX241" s="37"/>
      <c r="HY241" s="37"/>
      <c r="HZ241" s="37"/>
      <c r="IA241" s="37"/>
      <c r="IB241" s="37"/>
      <c r="IC241" s="37"/>
      <c r="ID241" s="37"/>
      <c r="IE241" s="37"/>
      <c r="IF241" s="37"/>
      <c r="IG241" s="37"/>
      <c r="IH241" s="37"/>
      <c r="II241" s="37"/>
      <c r="IJ241" s="37"/>
      <c r="IK241" s="37"/>
      <c r="IL241" s="37"/>
      <c r="IM241" s="37"/>
      <c r="IN241" s="37"/>
      <c r="IO241" s="37"/>
      <c r="IP241" s="37"/>
      <c r="IQ241" s="37"/>
      <c r="IR241" s="37"/>
      <c r="IS241" s="37"/>
      <c r="IT241" s="37"/>
      <c r="IU241" s="37"/>
      <c r="IV241" s="37"/>
      <c r="IW241" s="37"/>
    </row>
    <row r="242" spans="218:257" x14ac:dyDescent="0.3">
      <c r="HJ242" s="37"/>
      <c r="HK242" s="37"/>
      <c r="HL242" s="37"/>
      <c r="HM242" s="37"/>
      <c r="HN242" s="37"/>
      <c r="HO242" s="37"/>
      <c r="HP242" s="37"/>
      <c r="HQ242" s="37"/>
      <c r="HR242" s="37"/>
      <c r="HS242" s="37"/>
      <c r="HT242" s="37"/>
      <c r="HU242" s="37"/>
      <c r="HV242" s="37"/>
      <c r="HW242" s="37"/>
      <c r="HX242" s="37"/>
      <c r="HY242" s="37"/>
      <c r="HZ242" s="37"/>
      <c r="IA242" s="37"/>
      <c r="IB242" s="37"/>
      <c r="IC242" s="37"/>
      <c r="ID242" s="37"/>
      <c r="IE242" s="37"/>
      <c r="IF242" s="37"/>
      <c r="IG242" s="37"/>
      <c r="IH242" s="37"/>
      <c r="II242" s="37"/>
      <c r="IJ242" s="37"/>
      <c r="IK242" s="37"/>
      <c r="IL242" s="37"/>
      <c r="IM242" s="37"/>
      <c r="IN242" s="37"/>
      <c r="IO242" s="37"/>
      <c r="IP242" s="37"/>
      <c r="IQ242" s="37"/>
      <c r="IR242" s="37"/>
      <c r="IS242" s="37"/>
      <c r="IT242" s="37"/>
      <c r="IU242" s="37"/>
      <c r="IV242" s="37"/>
      <c r="IW242" s="37"/>
    </row>
    <row r="243" spans="218:257" x14ac:dyDescent="0.3">
      <c r="HJ243" s="37"/>
      <c r="HK243" s="37"/>
      <c r="HL243" s="37"/>
      <c r="HM243" s="37"/>
      <c r="HN243" s="37"/>
      <c r="HO243" s="37"/>
      <c r="HP243" s="37"/>
      <c r="HQ243" s="37"/>
      <c r="HR243" s="37"/>
      <c r="HS243" s="37"/>
      <c r="HT243" s="37"/>
      <c r="HU243" s="37"/>
      <c r="HV243" s="37"/>
      <c r="HW243" s="37"/>
      <c r="HX243" s="37"/>
      <c r="HY243" s="37"/>
      <c r="HZ243" s="37"/>
      <c r="IA243" s="37"/>
      <c r="IB243" s="37"/>
      <c r="IC243" s="37"/>
      <c r="ID243" s="37"/>
      <c r="IE243" s="37"/>
      <c r="IF243" s="37"/>
      <c r="IG243" s="37"/>
      <c r="IH243" s="37"/>
      <c r="II243" s="37"/>
      <c r="IJ243" s="37"/>
      <c r="IK243" s="37"/>
      <c r="IL243" s="37"/>
      <c r="IM243" s="37"/>
      <c r="IN243" s="37"/>
      <c r="IO243" s="37"/>
      <c r="IP243" s="37"/>
      <c r="IQ243" s="37"/>
      <c r="IR243" s="37"/>
      <c r="IS243" s="37"/>
      <c r="IT243" s="37"/>
      <c r="IU243" s="37"/>
      <c r="IV243" s="37"/>
      <c r="IW243" s="37"/>
    </row>
    <row r="244" spans="218:257" x14ac:dyDescent="0.3">
      <c r="HJ244" s="37"/>
      <c r="HK244" s="37"/>
      <c r="HL244" s="37"/>
      <c r="HM244" s="37"/>
      <c r="HN244" s="37"/>
      <c r="HO244" s="37"/>
      <c r="HP244" s="37"/>
      <c r="HQ244" s="37"/>
      <c r="HR244" s="37"/>
      <c r="HS244" s="37"/>
      <c r="HT244" s="37"/>
      <c r="HU244" s="37"/>
      <c r="HV244" s="37"/>
      <c r="HW244" s="37"/>
      <c r="HX244" s="37"/>
      <c r="HY244" s="37"/>
      <c r="HZ244" s="37"/>
      <c r="IA244" s="37"/>
      <c r="IB244" s="37"/>
      <c r="IC244" s="37"/>
      <c r="ID244" s="37"/>
      <c r="IE244" s="37"/>
      <c r="IF244" s="37"/>
      <c r="IG244" s="37"/>
      <c r="IH244" s="37"/>
      <c r="II244" s="37"/>
      <c r="IJ244" s="37"/>
      <c r="IK244" s="37"/>
      <c r="IL244" s="37"/>
      <c r="IM244" s="37"/>
      <c r="IN244" s="37"/>
      <c r="IO244" s="37"/>
      <c r="IP244" s="37"/>
      <c r="IQ244" s="37"/>
      <c r="IR244" s="37"/>
      <c r="IS244" s="37"/>
      <c r="IT244" s="37"/>
      <c r="IU244" s="37"/>
      <c r="IV244" s="37"/>
      <c r="IW244" s="37"/>
    </row>
    <row r="245" spans="218:257" x14ac:dyDescent="0.3">
      <c r="HJ245" s="37"/>
      <c r="HK245" s="37"/>
      <c r="HL245" s="37"/>
      <c r="HM245" s="37"/>
      <c r="HN245" s="37"/>
      <c r="HO245" s="37"/>
      <c r="HP245" s="37"/>
      <c r="HQ245" s="37"/>
      <c r="HR245" s="37"/>
      <c r="HS245" s="37"/>
      <c r="HT245" s="37"/>
      <c r="HU245" s="37"/>
      <c r="HV245" s="37"/>
      <c r="HW245" s="37"/>
      <c r="HX245" s="37"/>
      <c r="HY245" s="37"/>
      <c r="HZ245" s="37"/>
      <c r="IA245" s="37"/>
      <c r="IB245" s="37"/>
      <c r="IC245" s="37"/>
      <c r="ID245" s="37"/>
      <c r="IE245" s="37"/>
      <c r="IF245" s="37"/>
      <c r="IG245" s="37"/>
      <c r="IH245" s="37"/>
      <c r="II245" s="37"/>
      <c r="IJ245" s="37"/>
      <c r="IK245" s="37"/>
      <c r="IL245" s="37"/>
      <c r="IM245" s="37"/>
      <c r="IN245" s="37"/>
      <c r="IO245" s="37"/>
      <c r="IP245" s="37"/>
      <c r="IQ245" s="37"/>
      <c r="IR245" s="37"/>
      <c r="IS245" s="37"/>
      <c r="IT245" s="37"/>
      <c r="IU245" s="37"/>
      <c r="IV245" s="37"/>
      <c r="IW245" s="37"/>
    </row>
    <row r="246" spans="218:257" x14ac:dyDescent="0.3">
      <c r="HJ246" s="37"/>
      <c r="HK246" s="37"/>
      <c r="HL246" s="37"/>
      <c r="HM246" s="37"/>
      <c r="HN246" s="37"/>
      <c r="HO246" s="37"/>
      <c r="HP246" s="37"/>
      <c r="HQ246" s="37"/>
      <c r="HR246" s="37"/>
      <c r="HS246" s="37"/>
      <c r="HT246" s="37"/>
      <c r="HU246" s="37"/>
      <c r="HV246" s="37"/>
      <c r="HW246" s="37"/>
      <c r="HX246" s="37"/>
      <c r="HY246" s="37"/>
      <c r="HZ246" s="37"/>
      <c r="IA246" s="37"/>
      <c r="IB246" s="37"/>
      <c r="IC246" s="37"/>
      <c r="ID246" s="37"/>
      <c r="IE246" s="37"/>
      <c r="IF246" s="37"/>
      <c r="IG246" s="37"/>
      <c r="IH246" s="37"/>
      <c r="II246" s="37"/>
      <c r="IJ246" s="37"/>
      <c r="IK246" s="37"/>
      <c r="IL246" s="37"/>
      <c r="IM246" s="37"/>
      <c r="IN246" s="37"/>
      <c r="IO246" s="37"/>
      <c r="IP246" s="37"/>
      <c r="IQ246" s="37"/>
      <c r="IR246" s="37"/>
      <c r="IS246" s="37"/>
      <c r="IT246" s="37"/>
      <c r="IU246" s="37"/>
      <c r="IV246" s="37"/>
      <c r="IW246" s="37"/>
    </row>
    <row r="247" spans="218:257" x14ac:dyDescent="0.3">
      <c r="HJ247" s="37"/>
      <c r="HK247" s="37"/>
      <c r="HL247" s="37"/>
      <c r="HM247" s="37"/>
      <c r="HN247" s="37"/>
      <c r="HO247" s="37"/>
      <c r="HP247" s="37"/>
      <c r="HQ247" s="37"/>
      <c r="HR247" s="37"/>
      <c r="HS247" s="37"/>
      <c r="HT247" s="37"/>
      <c r="HU247" s="37"/>
      <c r="HV247" s="37"/>
      <c r="HW247" s="37"/>
      <c r="HX247" s="37"/>
      <c r="HY247" s="37"/>
      <c r="HZ247" s="37"/>
      <c r="IA247" s="37"/>
      <c r="IB247" s="37"/>
      <c r="IC247" s="37"/>
      <c r="ID247" s="37"/>
      <c r="IE247" s="37"/>
      <c r="IF247" s="37"/>
      <c r="IG247" s="37"/>
      <c r="IH247" s="37"/>
      <c r="II247" s="37"/>
      <c r="IJ247" s="37"/>
      <c r="IK247" s="37"/>
      <c r="IL247" s="37"/>
      <c r="IM247" s="37"/>
      <c r="IN247" s="37"/>
      <c r="IO247" s="37"/>
      <c r="IP247" s="37"/>
      <c r="IQ247" s="37"/>
      <c r="IR247" s="37"/>
      <c r="IS247" s="37"/>
      <c r="IT247" s="37"/>
      <c r="IU247" s="37"/>
      <c r="IV247" s="37"/>
      <c r="IW247" s="37"/>
    </row>
    <row r="248" spans="218:257" x14ac:dyDescent="0.3">
      <c r="HJ248" s="37"/>
      <c r="HK248" s="37"/>
      <c r="HL248" s="37"/>
      <c r="HM248" s="37"/>
      <c r="HN248" s="37"/>
      <c r="HO248" s="37"/>
      <c r="HP248" s="37"/>
      <c r="HQ248" s="37"/>
      <c r="HR248" s="37"/>
      <c r="HS248" s="37"/>
      <c r="HT248" s="37"/>
      <c r="HU248" s="37"/>
      <c r="HV248" s="37"/>
      <c r="HW248" s="37"/>
      <c r="HX248" s="37"/>
      <c r="HY248" s="37"/>
      <c r="HZ248" s="37"/>
      <c r="IA248" s="37"/>
      <c r="IB248" s="37"/>
      <c r="IC248" s="37"/>
      <c r="ID248" s="37"/>
      <c r="IE248" s="37"/>
      <c r="IF248" s="37"/>
      <c r="IG248" s="37"/>
      <c r="IH248" s="37"/>
      <c r="II248" s="37"/>
      <c r="IJ248" s="37"/>
      <c r="IK248" s="37"/>
      <c r="IL248" s="37"/>
      <c r="IM248" s="37"/>
      <c r="IN248" s="37"/>
      <c r="IO248" s="37"/>
      <c r="IP248" s="37"/>
      <c r="IQ248" s="37"/>
      <c r="IR248" s="37"/>
      <c r="IS248" s="37"/>
      <c r="IT248" s="37"/>
      <c r="IU248" s="37"/>
      <c r="IV248" s="37"/>
      <c r="IW248" s="37"/>
    </row>
    <row r="249" spans="218:257" x14ac:dyDescent="0.3">
      <c r="HJ249" s="37"/>
      <c r="HK249" s="37"/>
      <c r="HL249" s="37"/>
      <c r="HM249" s="37"/>
      <c r="HN249" s="37"/>
      <c r="HO249" s="37"/>
      <c r="HP249" s="37"/>
      <c r="HQ249" s="37"/>
      <c r="HR249" s="37"/>
      <c r="HS249" s="37"/>
      <c r="HT249" s="37"/>
      <c r="HU249" s="37"/>
      <c r="HV249" s="37"/>
      <c r="HW249" s="37"/>
      <c r="HX249" s="37"/>
      <c r="HY249" s="37"/>
      <c r="HZ249" s="37"/>
      <c r="IA249" s="37"/>
      <c r="IB249" s="37"/>
      <c r="IC249" s="37"/>
      <c r="ID249" s="37"/>
      <c r="IE249" s="37"/>
      <c r="IF249" s="37"/>
      <c r="IG249" s="37"/>
      <c r="IH249" s="37"/>
      <c r="II249" s="37"/>
      <c r="IJ249" s="37"/>
      <c r="IK249" s="37"/>
      <c r="IL249" s="37"/>
      <c r="IM249" s="37"/>
      <c r="IN249" s="37"/>
      <c r="IO249" s="37"/>
      <c r="IP249" s="37"/>
      <c r="IQ249" s="37"/>
      <c r="IR249" s="37"/>
      <c r="IS249" s="37"/>
      <c r="IT249" s="37"/>
      <c r="IU249" s="37"/>
      <c r="IV249" s="37"/>
      <c r="IW249" s="37"/>
    </row>
    <row r="250" spans="218:257" x14ac:dyDescent="0.3">
      <c r="HJ250" s="37"/>
      <c r="HK250" s="37"/>
      <c r="HL250" s="37"/>
      <c r="HM250" s="37"/>
      <c r="HN250" s="37"/>
      <c r="HO250" s="37"/>
      <c r="HP250" s="37"/>
      <c r="HQ250" s="37"/>
      <c r="HR250" s="37"/>
      <c r="HS250" s="37"/>
      <c r="HT250" s="37"/>
      <c r="HU250" s="37"/>
      <c r="HV250" s="37"/>
      <c r="HW250" s="37"/>
      <c r="HX250" s="37"/>
      <c r="HY250" s="37"/>
      <c r="HZ250" s="37"/>
      <c r="IA250" s="37"/>
      <c r="IB250" s="37"/>
      <c r="IC250" s="37"/>
      <c r="ID250" s="37"/>
      <c r="IE250" s="37"/>
      <c r="IF250" s="37"/>
      <c r="IG250" s="37"/>
      <c r="IH250" s="37"/>
      <c r="II250" s="37"/>
      <c r="IJ250" s="37"/>
      <c r="IK250" s="37"/>
      <c r="IL250" s="37"/>
      <c r="IM250" s="37"/>
      <c r="IN250" s="37"/>
      <c r="IO250" s="37"/>
      <c r="IP250" s="37"/>
      <c r="IQ250" s="37"/>
      <c r="IR250" s="37"/>
      <c r="IS250" s="37"/>
      <c r="IT250" s="37"/>
      <c r="IU250" s="37"/>
      <c r="IV250" s="37"/>
      <c r="IW250" s="37"/>
    </row>
    <row r="251" spans="218:257" x14ac:dyDescent="0.3">
      <c r="HJ251" s="37"/>
      <c r="HK251" s="37"/>
      <c r="HL251" s="37"/>
      <c r="HM251" s="37"/>
      <c r="HN251" s="37"/>
      <c r="HO251" s="37"/>
      <c r="HP251" s="37"/>
      <c r="HQ251" s="37"/>
      <c r="HR251" s="37"/>
      <c r="HS251" s="37"/>
      <c r="HT251" s="37"/>
      <c r="HU251" s="37"/>
      <c r="HV251" s="37"/>
      <c r="HW251" s="37"/>
      <c r="HX251" s="37"/>
      <c r="HY251" s="37"/>
      <c r="HZ251" s="37"/>
      <c r="IA251" s="37"/>
      <c r="IB251" s="37"/>
      <c r="IC251" s="37"/>
      <c r="ID251" s="37"/>
      <c r="IE251" s="37"/>
      <c r="IF251" s="37"/>
      <c r="IG251" s="37"/>
      <c r="IH251" s="37"/>
      <c r="II251" s="37"/>
      <c r="IJ251" s="37"/>
      <c r="IK251" s="37"/>
      <c r="IL251" s="37"/>
      <c r="IM251" s="37"/>
      <c r="IN251" s="37"/>
      <c r="IO251" s="37"/>
      <c r="IP251" s="37"/>
      <c r="IQ251" s="37"/>
      <c r="IR251" s="37"/>
      <c r="IS251" s="37"/>
      <c r="IT251" s="37"/>
      <c r="IU251" s="37"/>
      <c r="IV251" s="37"/>
      <c r="IW251" s="37"/>
    </row>
    <row r="252" spans="218:257" x14ac:dyDescent="0.3">
      <c r="HJ252" s="37"/>
      <c r="HK252" s="37"/>
      <c r="HL252" s="37"/>
      <c r="HM252" s="37"/>
      <c r="HN252" s="37"/>
      <c r="HO252" s="37"/>
      <c r="HP252" s="37"/>
      <c r="HQ252" s="37"/>
      <c r="HR252" s="37"/>
      <c r="HS252" s="37"/>
      <c r="HT252" s="37"/>
      <c r="HU252" s="37"/>
      <c r="HV252" s="37"/>
      <c r="HW252" s="37"/>
      <c r="HX252" s="37"/>
      <c r="HY252" s="37"/>
      <c r="HZ252" s="37"/>
      <c r="IA252" s="37"/>
      <c r="IB252" s="37"/>
      <c r="IC252" s="37"/>
      <c r="ID252" s="37"/>
      <c r="IE252" s="37"/>
      <c r="IF252" s="37"/>
      <c r="IG252" s="37"/>
      <c r="IH252" s="37"/>
      <c r="II252" s="37"/>
      <c r="IJ252" s="37"/>
      <c r="IK252" s="37"/>
      <c r="IL252" s="37"/>
      <c r="IM252" s="37"/>
      <c r="IN252" s="37"/>
      <c r="IO252" s="37"/>
      <c r="IP252" s="37"/>
      <c r="IQ252" s="37"/>
      <c r="IR252" s="37"/>
      <c r="IS252" s="37"/>
      <c r="IT252" s="37"/>
      <c r="IU252" s="37"/>
      <c r="IV252" s="37"/>
      <c r="IW252" s="37"/>
    </row>
    <row r="253" spans="218:257" x14ac:dyDescent="0.3">
      <c r="HJ253" s="37"/>
      <c r="HK253" s="37"/>
      <c r="HL253" s="37"/>
      <c r="HM253" s="37"/>
      <c r="HN253" s="37"/>
      <c r="HO253" s="37"/>
      <c r="HP253" s="37"/>
      <c r="HQ253" s="37"/>
      <c r="HR253" s="37"/>
      <c r="HS253" s="37"/>
      <c r="HT253" s="37"/>
      <c r="HU253" s="37"/>
      <c r="HV253" s="37"/>
      <c r="HW253" s="37"/>
      <c r="HX253" s="37"/>
      <c r="HY253" s="37"/>
      <c r="HZ253" s="37"/>
      <c r="IA253" s="37"/>
      <c r="IB253" s="37"/>
      <c r="IC253" s="37"/>
      <c r="ID253" s="37"/>
      <c r="IE253" s="37"/>
      <c r="IF253" s="37"/>
      <c r="IG253" s="37"/>
      <c r="IH253" s="37"/>
      <c r="II253" s="37"/>
      <c r="IJ253" s="37"/>
      <c r="IK253" s="37"/>
      <c r="IL253" s="37"/>
      <c r="IM253" s="37"/>
      <c r="IN253" s="37"/>
      <c r="IO253" s="37"/>
      <c r="IP253" s="37"/>
      <c r="IQ253" s="37"/>
      <c r="IR253" s="37"/>
      <c r="IS253" s="37"/>
      <c r="IT253" s="37"/>
      <c r="IU253" s="37"/>
      <c r="IV253" s="37"/>
      <c r="IW253" s="37"/>
    </row>
    <row r="254" spans="218:257" x14ac:dyDescent="0.3">
      <c r="HJ254" s="37"/>
      <c r="HK254" s="37"/>
      <c r="HL254" s="37"/>
      <c r="HM254" s="37"/>
      <c r="HN254" s="37"/>
      <c r="HO254" s="37"/>
      <c r="HP254" s="37"/>
      <c r="HQ254" s="37"/>
      <c r="HR254" s="37"/>
      <c r="HS254" s="37"/>
      <c r="HT254" s="37"/>
      <c r="HU254" s="37"/>
      <c r="HV254" s="37"/>
      <c r="HW254" s="37"/>
      <c r="HX254" s="37"/>
      <c r="HY254" s="37"/>
      <c r="HZ254" s="37"/>
      <c r="IA254" s="37"/>
      <c r="IB254" s="37"/>
      <c r="IC254" s="37"/>
      <c r="ID254" s="37"/>
      <c r="IE254" s="37"/>
      <c r="IF254" s="37"/>
      <c r="IG254" s="37"/>
      <c r="IH254" s="37"/>
      <c r="II254" s="37"/>
      <c r="IJ254" s="37"/>
      <c r="IK254" s="37"/>
      <c r="IL254" s="37"/>
      <c r="IM254" s="37"/>
      <c r="IN254" s="37"/>
      <c r="IO254" s="37"/>
      <c r="IP254" s="37"/>
      <c r="IQ254" s="37"/>
      <c r="IR254" s="37"/>
      <c r="IS254" s="37"/>
      <c r="IT254" s="37"/>
      <c r="IU254" s="37"/>
      <c r="IV254" s="37"/>
      <c r="IW254" s="37"/>
    </row>
    <row r="255" spans="218:257" x14ac:dyDescent="0.3">
      <c r="HJ255" s="37"/>
      <c r="HK255" s="37"/>
      <c r="HL255" s="37"/>
      <c r="HM255" s="37"/>
      <c r="HN255" s="37"/>
      <c r="HO255" s="37"/>
      <c r="HP255" s="37"/>
      <c r="HQ255" s="37"/>
      <c r="HR255" s="37"/>
      <c r="HS255" s="37"/>
      <c r="HT255" s="37"/>
      <c r="HU255" s="37"/>
      <c r="HV255" s="37"/>
      <c r="HW255" s="37"/>
      <c r="HX255" s="37"/>
      <c r="HY255" s="37"/>
      <c r="HZ255" s="37"/>
      <c r="IA255" s="37"/>
      <c r="IB255" s="37"/>
      <c r="IC255" s="37"/>
      <c r="ID255" s="37"/>
      <c r="IE255" s="37"/>
      <c r="IF255" s="37"/>
      <c r="IG255" s="37"/>
      <c r="IH255" s="37"/>
      <c r="II255" s="37"/>
      <c r="IJ255" s="37"/>
      <c r="IK255" s="37"/>
      <c r="IL255" s="37"/>
      <c r="IM255" s="37"/>
      <c r="IN255" s="37"/>
      <c r="IO255" s="37"/>
      <c r="IP255" s="37"/>
      <c r="IQ255" s="37"/>
      <c r="IR255" s="37"/>
      <c r="IS255" s="37"/>
      <c r="IT255" s="37"/>
      <c r="IU255" s="37"/>
      <c r="IV255" s="37"/>
      <c r="IW255" s="37"/>
    </row>
    <row r="256" spans="218:257" x14ac:dyDescent="0.3">
      <c r="HJ256" s="37"/>
      <c r="HK256" s="37"/>
      <c r="HL256" s="37"/>
      <c r="HM256" s="37"/>
      <c r="HN256" s="37"/>
      <c r="HO256" s="37"/>
      <c r="HP256" s="37"/>
      <c r="HQ256" s="37"/>
      <c r="HR256" s="37"/>
      <c r="HS256" s="37"/>
      <c r="HT256" s="37"/>
      <c r="HU256" s="37"/>
      <c r="HV256" s="37"/>
      <c r="HW256" s="37"/>
      <c r="HX256" s="37"/>
      <c r="HY256" s="37"/>
      <c r="HZ256" s="37"/>
      <c r="IA256" s="37"/>
      <c r="IB256" s="37"/>
      <c r="IC256" s="37"/>
      <c r="ID256" s="37"/>
      <c r="IE256" s="37"/>
      <c r="IF256" s="37"/>
      <c r="IG256" s="37"/>
      <c r="IH256" s="37"/>
      <c r="II256" s="37"/>
      <c r="IJ256" s="37"/>
      <c r="IK256" s="37"/>
      <c r="IL256" s="37"/>
      <c r="IM256" s="37"/>
      <c r="IN256" s="37"/>
      <c r="IO256" s="37"/>
      <c r="IP256" s="37"/>
      <c r="IQ256" s="37"/>
      <c r="IR256" s="37"/>
      <c r="IS256" s="37"/>
      <c r="IT256" s="37"/>
      <c r="IU256" s="37"/>
      <c r="IV256" s="37"/>
      <c r="IW256" s="37"/>
    </row>
    <row r="257" spans="218:257" x14ac:dyDescent="0.3">
      <c r="HJ257" s="37"/>
      <c r="HK257" s="37"/>
      <c r="HL257" s="37"/>
      <c r="HM257" s="37"/>
      <c r="HN257" s="37"/>
      <c r="HO257" s="37"/>
      <c r="HP257" s="37"/>
      <c r="HQ257" s="37"/>
      <c r="HR257" s="37"/>
      <c r="HS257" s="37"/>
      <c r="HT257" s="37"/>
      <c r="HU257" s="37"/>
      <c r="HV257" s="37"/>
      <c r="HW257" s="37"/>
      <c r="HX257" s="37"/>
      <c r="HY257" s="37"/>
      <c r="HZ257" s="37"/>
      <c r="IA257" s="37"/>
      <c r="IB257" s="37"/>
      <c r="IC257" s="37"/>
      <c r="ID257" s="37"/>
      <c r="IE257" s="37"/>
      <c r="IF257" s="37"/>
      <c r="IG257" s="37"/>
      <c r="IH257" s="37"/>
      <c r="II257" s="37"/>
      <c r="IJ257" s="37"/>
      <c r="IK257" s="37"/>
      <c r="IL257" s="37"/>
      <c r="IM257" s="37"/>
      <c r="IN257" s="37"/>
      <c r="IO257" s="37"/>
      <c r="IP257" s="37"/>
      <c r="IQ257" s="37"/>
      <c r="IR257" s="37"/>
      <c r="IS257" s="37"/>
      <c r="IT257" s="37"/>
      <c r="IU257" s="37"/>
      <c r="IV257" s="37"/>
      <c r="IW257" s="37"/>
    </row>
    <row r="258" spans="218:257" x14ac:dyDescent="0.3">
      <c r="HJ258" s="37"/>
      <c r="HK258" s="37"/>
      <c r="HL258" s="37"/>
      <c r="HM258" s="37"/>
      <c r="HN258" s="37"/>
      <c r="HO258" s="37"/>
      <c r="HP258" s="37"/>
      <c r="HQ258" s="37"/>
      <c r="HR258" s="37"/>
      <c r="HS258" s="37"/>
      <c r="HT258" s="37"/>
      <c r="HU258" s="37"/>
      <c r="HV258" s="37"/>
      <c r="HW258" s="37"/>
      <c r="HX258" s="37"/>
      <c r="HY258" s="37"/>
      <c r="HZ258" s="37"/>
      <c r="IA258" s="37"/>
      <c r="IB258" s="37"/>
      <c r="IC258" s="37"/>
      <c r="ID258" s="37"/>
      <c r="IE258" s="37"/>
      <c r="IF258" s="37"/>
      <c r="IG258" s="37"/>
      <c r="IH258" s="37"/>
      <c r="II258" s="37"/>
      <c r="IJ258" s="37"/>
      <c r="IK258" s="37"/>
      <c r="IL258" s="37"/>
      <c r="IM258" s="37"/>
      <c r="IN258" s="37"/>
      <c r="IO258" s="37"/>
      <c r="IP258" s="37"/>
      <c r="IQ258" s="37"/>
      <c r="IR258" s="37"/>
      <c r="IS258" s="37"/>
      <c r="IT258" s="37"/>
      <c r="IU258" s="37"/>
      <c r="IV258" s="37"/>
      <c r="IW258" s="37"/>
    </row>
    <row r="259" spans="218:257" x14ac:dyDescent="0.3">
      <c r="HJ259" s="37"/>
      <c r="HK259" s="37"/>
      <c r="HL259" s="37"/>
      <c r="HM259" s="37"/>
      <c r="HN259" s="37"/>
      <c r="HO259" s="37"/>
      <c r="HP259" s="37"/>
      <c r="HQ259" s="37"/>
      <c r="HR259" s="37"/>
      <c r="HS259" s="37"/>
      <c r="HT259" s="37"/>
      <c r="HU259" s="37"/>
      <c r="HV259" s="37"/>
      <c r="HW259" s="37"/>
      <c r="HX259" s="37"/>
      <c r="HY259" s="37"/>
      <c r="HZ259" s="37"/>
      <c r="IA259" s="37"/>
      <c r="IB259" s="37"/>
      <c r="IC259" s="37"/>
      <c r="ID259" s="37"/>
      <c r="IE259" s="37"/>
      <c r="IF259" s="37"/>
      <c r="IG259" s="37"/>
      <c r="IH259" s="37"/>
      <c r="II259" s="37"/>
      <c r="IJ259" s="37"/>
      <c r="IK259" s="37"/>
      <c r="IL259" s="37"/>
      <c r="IM259" s="37"/>
      <c r="IN259" s="37"/>
      <c r="IO259" s="37"/>
      <c r="IP259" s="37"/>
      <c r="IQ259" s="37"/>
      <c r="IR259" s="37"/>
      <c r="IS259" s="37"/>
      <c r="IT259" s="37"/>
      <c r="IU259" s="37"/>
      <c r="IV259" s="37"/>
      <c r="IW259" s="37"/>
    </row>
    <row r="260" spans="218:257" x14ac:dyDescent="0.3">
      <c r="HJ260" s="37"/>
      <c r="HK260" s="37"/>
      <c r="HL260" s="37"/>
      <c r="HM260" s="37"/>
      <c r="HN260" s="37"/>
      <c r="HO260" s="37"/>
      <c r="HP260" s="37"/>
      <c r="HQ260" s="37"/>
      <c r="HR260" s="37"/>
      <c r="HS260" s="37"/>
      <c r="HT260" s="37"/>
      <c r="HU260" s="37"/>
      <c r="HV260" s="37"/>
      <c r="HW260" s="37"/>
      <c r="HX260" s="37"/>
      <c r="HY260" s="37"/>
      <c r="HZ260" s="37"/>
      <c r="IA260" s="37"/>
      <c r="IB260" s="37"/>
      <c r="IC260" s="37"/>
      <c r="ID260" s="37"/>
      <c r="IE260" s="37"/>
      <c r="IF260" s="37"/>
      <c r="IG260" s="37"/>
      <c r="IH260" s="37"/>
      <c r="II260" s="37"/>
      <c r="IJ260" s="37"/>
      <c r="IK260" s="37"/>
      <c r="IL260" s="37"/>
      <c r="IM260" s="37"/>
      <c r="IN260" s="37"/>
      <c r="IO260" s="37"/>
      <c r="IP260" s="37"/>
      <c r="IQ260" s="37"/>
      <c r="IR260" s="37"/>
      <c r="IS260" s="37"/>
      <c r="IT260" s="37"/>
      <c r="IU260" s="37"/>
      <c r="IV260" s="37"/>
      <c r="IW260" s="37"/>
    </row>
    <row r="261" spans="218:257" x14ac:dyDescent="0.3">
      <c r="HJ261" s="37"/>
      <c r="HK261" s="37"/>
      <c r="HL261" s="37"/>
      <c r="HM261" s="37"/>
      <c r="HN261" s="37"/>
      <c r="HO261" s="37"/>
      <c r="HP261" s="37"/>
      <c r="HQ261" s="37"/>
      <c r="HR261" s="37"/>
      <c r="HS261" s="37"/>
      <c r="HT261" s="37"/>
      <c r="HU261" s="37"/>
      <c r="HV261" s="37"/>
      <c r="HW261" s="37"/>
      <c r="HX261" s="37"/>
      <c r="HY261" s="37"/>
      <c r="HZ261" s="37"/>
      <c r="IA261" s="37"/>
      <c r="IB261" s="37"/>
      <c r="IC261" s="37"/>
      <c r="ID261" s="37"/>
      <c r="IE261" s="37"/>
      <c r="IF261" s="37"/>
      <c r="IG261" s="37"/>
      <c r="IH261" s="37"/>
      <c r="II261" s="37"/>
      <c r="IJ261" s="37"/>
      <c r="IK261" s="37"/>
      <c r="IL261" s="37"/>
      <c r="IM261" s="37"/>
      <c r="IN261" s="37"/>
      <c r="IO261" s="37"/>
      <c r="IP261" s="37"/>
      <c r="IQ261" s="37"/>
      <c r="IR261" s="37"/>
      <c r="IS261" s="37"/>
      <c r="IT261" s="37"/>
      <c r="IU261" s="37"/>
      <c r="IV261" s="37"/>
      <c r="IW261" s="37"/>
    </row>
  </sheetData>
  <protectedRanges>
    <protectedRange sqref="HU154" name="Intervalo3"/>
    <protectedRange sqref="D8:D165 A8:B165 S8:T165 AK8:AL165 BC8:BD165 BU8:BV165 CM8:CN165 DE8:DF165 DW8:DX165 EO8:EP165 FG8:FH165 FY8:FZ165 GQ8:GR165 V8:V165 AN8:AN165 BF8:BF165 BX8:BX165 CP8:CP165 DH8:DH165 DZ8:DZ165 ER8:ER165 FJ8:FJ165 GB8:GB165 GT8:GT165" name="Intervalo1"/>
  </protectedRanges>
  <mergeCells count="337">
    <mergeCell ref="GU113:HC113"/>
    <mergeCell ref="GU118:HC118"/>
    <mergeCell ref="GU124:HC124"/>
    <mergeCell ref="GU131:HC131"/>
    <mergeCell ref="GU136:HC136"/>
    <mergeCell ref="E2:K2"/>
    <mergeCell ref="GC113:GK113"/>
    <mergeCell ref="GC118:GK118"/>
    <mergeCell ref="GC124:GK124"/>
    <mergeCell ref="GC131:GK131"/>
    <mergeCell ref="GC136:GK136"/>
    <mergeCell ref="FK113:FS113"/>
    <mergeCell ref="FK118:FS118"/>
    <mergeCell ref="FK124:FS124"/>
    <mergeCell ref="FK131:FS131"/>
    <mergeCell ref="FK136:FS136"/>
    <mergeCell ref="ES108:FA108"/>
    <mergeCell ref="ES113:FA113"/>
    <mergeCell ref="ES118:FA118"/>
    <mergeCell ref="ES124:FA124"/>
    <mergeCell ref="ES131:FA131"/>
    <mergeCell ref="ES41:FA41"/>
    <mergeCell ref="ES49:FA49"/>
    <mergeCell ref="ES57:FA57"/>
    <mergeCell ref="GU68:HC68"/>
    <mergeCell ref="GU73:HC73"/>
    <mergeCell ref="GU78:HC78"/>
    <mergeCell ref="GU83:HC83"/>
    <mergeCell ref="GU88:HC88"/>
    <mergeCell ref="GU93:HC93"/>
    <mergeCell ref="GU98:HC98"/>
    <mergeCell ref="GU103:HC103"/>
    <mergeCell ref="GU108:HC108"/>
    <mergeCell ref="GU7:HC7"/>
    <mergeCell ref="GU12:HC12"/>
    <mergeCell ref="GU20:HC20"/>
    <mergeCell ref="GU26:HC26"/>
    <mergeCell ref="GU35:HC35"/>
    <mergeCell ref="GU41:HC41"/>
    <mergeCell ref="GU49:HC49"/>
    <mergeCell ref="GU57:HC57"/>
    <mergeCell ref="GU63:HC63"/>
    <mergeCell ref="ES12:FA12"/>
    <mergeCell ref="ES20:FA20"/>
    <mergeCell ref="ES26:FA26"/>
    <mergeCell ref="ES35:FA35"/>
    <mergeCell ref="FK151:FS151"/>
    <mergeCell ref="GC7:GK7"/>
    <mergeCell ref="GC12:GK12"/>
    <mergeCell ref="GC20:GK20"/>
    <mergeCell ref="GC26:GK26"/>
    <mergeCell ref="GC35:GK35"/>
    <mergeCell ref="GC41:GK41"/>
    <mergeCell ref="GC49:GK49"/>
    <mergeCell ref="GC57:GK57"/>
    <mergeCell ref="GC63:GK63"/>
    <mergeCell ref="GC68:GK68"/>
    <mergeCell ref="GC73:GK73"/>
    <mergeCell ref="GC78:GK78"/>
    <mergeCell ref="GC83:GK83"/>
    <mergeCell ref="GC88:GK88"/>
    <mergeCell ref="GC93:GK93"/>
    <mergeCell ref="GC98:GK98"/>
    <mergeCell ref="GC103:GK103"/>
    <mergeCell ref="GC108:GK108"/>
    <mergeCell ref="GC151:GK151"/>
    <mergeCell ref="EA113:EI113"/>
    <mergeCell ref="EA118:EI118"/>
    <mergeCell ref="EA124:EI124"/>
    <mergeCell ref="EA146:EI146"/>
    <mergeCell ref="ES151:FA151"/>
    <mergeCell ref="FK7:FS7"/>
    <mergeCell ref="FK12:FS12"/>
    <mergeCell ref="FK20:FS20"/>
    <mergeCell ref="FK26:FS26"/>
    <mergeCell ref="FK35:FS35"/>
    <mergeCell ref="FK41:FS41"/>
    <mergeCell ref="FK49:FS49"/>
    <mergeCell ref="FK57:FS57"/>
    <mergeCell ref="FK63:FS63"/>
    <mergeCell ref="FK68:FS68"/>
    <mergeCell ref="FK73:FS73"/>
    <mergeCell ref="FK78:FS78"/>
    <mergeCell ref="FK83:FS83"/>
    <mergeCell ref="FK88:FS88"/>
    <mergeCell ref="FK93:FS93"/>
    <mergeCell ref="FK98:FS98"/>
    <mergeCell ref="FK103:FS103"/>
    <mergeCell ref="FK108:FS108"/>
    <mergeCell ref="ES7:FA7"/>
    <mergeCell ref="DI113:DQ113"/>
    <mergeCell ref="DI118:DQ118"/>
    <mergeCell ref="DI124:DQ124"/>
    <mergeCell ref="DI131:DQ131"/>
    <mergeCell ref="ES63:FA63"/>
    <mergeCell ref="DI151:DQ151"/>
    <mergeCell ref="EA7:EI7"/>
    <mergeCell ref="EA12:EI12"/>
    <mergeCell ref="EA20:EI20"/>
    <mergeCell ref="EA26:EI26"/>
    <mergeCell ref="EA35:EI35"/>
    <mergeCell ref="EA41:EI41"/>
    <mergeCell ref="EA49:EI49"/>
    <mergeCell ref="EA57:EI57"/>
    <mergeCell ref="EA63:EI63"/>
    <mergeCell ref="EA68:EI68"/>
    <mergeCell ref="EA73:EI73"/>
    <mergeCell ref="EA78:EI78"/>
    <mergeCell ref="EA83:EI83"/>
    <mergeCell ref="EA88:EI88"/>
    <mergeCell ref="EA93:EI93"/>
    <mergeCell ref="EA98:EI98"/>
    <mergeCell ref="EA103:EI103"/>
    <mergeCell ref="EA108:EI108"/>
    <mergeCell ref="CQ113:CY113"/>
    <mergeCell ref="CQ118:CY118"/>
    <mergeCell ref="CQ124:CY124"/>
    <mergeCell ref="CQ131:CY131"/>
    <mergeCell ref="EA151:EI151"/>
    <mergeCell ref="CQ151:CY151"/>
    <mergeCell ref="DI7:DQ7"/>
    <mergeCell ref="DI12:DQ12"/>
    <mergeCell ref="DI20:DQ20"/>
    <mergeCell ref="DI26:DQ26"/>
    <mergeCell ref="DI35:DQ35"/>
    <mergeCell ref="DI41:DQ41"/>
    <mergeCell ref="DI49:DQ49"/>
    <mergeCell ref="DI57:DQ57"/>
    <mergeCell ref="DI63:DQ63"/>
    <mergeCell ref="DI68:DQ68"/>
    <mergeCell ref="DI73:DQ73"/>
    <mergeCell ref="DI78:DQ78"/>
    <mergeCell ref="DI83:DQ83"/>
    <mergeCell ref="DI88:DQ88"/>
    <mergeCell ref="DI93:DQ93"/>
    <mergeCell ref="DI98:DQ98"/>
    <mergeCell ref="DI103:DQ103"/>
    <mergeCell ref="DI108:DQ108"/>
    <mergeCell ref="BY113:CG113"/>
    <mergeCell ref="BY118:CG118"/>
    <mergeCell ref="BY124:CG124"/>
    <mergeCell ref="BY131:CG131"/>
    <mergeCell ref="DI141:DQ141"/>
    <mergeCell ref="BY151:CG151"/>
    <mergeCell ref="CQ7:CY7"/>
    <mergeCell ref="CQ12:CY12"/>
    <mergeCell ref="CQ20:CY20"/>
    <mergeCell ref="CQ26:CY26"/>
    <mergeCell ref="CQ35:CY35"/>
    <mergeCell ref="CQ41:CY41"/>
    <mergeCell ref="CQ49:CY49"/>
    <mergeCell ref="CQ57:CY57"/>
    <mergeCell ref="CQ63:CY63"/>
    <mergeCell ref="CQ68:CY68"/>
    <mergeCell ref="CQ73:CY73"/>
    <mergeCell ref="CQ78:CY78"/>
    <mergeCell ref="CQ83:CY83"/>
    <mergeCell ref="CQ88:CY88"/>
    <mergeCell ref="CQ93:CY93"/>
    <mergeCell ref="CQ98:CY98"/>
    <mergeCell ref="CQ103:CY103"/>
    <mergeCell ref="CQ108:CY108"/>
    <mergeCell ref="BG113:BO113"/>
    <mergeCell ref="BG118:BO118"/>
    <mergeCell ref="BG124:BO124"/>
    <mergeCell ref="BG131:BO131"/>
    <mergeCell ref="CQ146:CY146"/>
    <mergeCell ref="BG151:BO151"/>
    <mergeCell ref="BY7:CG7"/>
    <mergeCell ref="BY12:CG12"/>
    <mergeCell ref="BY20:CG20"/>
    <mergeCell ref="BY26:CG26"/>
    <mergeCell ref="BY35:CG35"/>
    <mergeCell ref="BY41:CG41"/>
    <mergeCell ref="BY49:CG49"/>
    <mergeCell ref="BY57:CG57"/>
    <mergeCell ref="BY63:CG63"/>
    <mergeCell ref="BY68:CG68"/>
    <mergeCell ref="BY73:CG73"/>
    <mergeCell ref="BY78:CG78"/>
    <mergeCell ref="BY83:CG83"/>
    <mergeCell ref="BY88:CG88"/>
    <mergeCell ref="BY93:CG93"/>
    <mergeCell ref="BY98:CG98"/>
    <mergeCell ref="BY103:CG103"/>
    <mergeCell ref="BY108:CG108"/>
    <mergeCell ref="BG7:BO7"/>
    <mergeCell ref="BG12:BO12"/>
    <mergeCell ref="BG20:BO20"/>
    <mergeCell ref="BG26:BO26"/>
    <mergeCell ref="BG35:BO35"/>
    <mergeCell ref="BG41:BO41"/>
    <mergeCell ref="BG49:BO49"/>
    <mergeCell ref="BG57:BO57"/>
    <mergeCell ref="BG63:BO63"/>
    <mergeCell ref="E146:M146"/>
    <mergeCell ref="E151:M151"/>
    <mergeCell ref="AO7:AW7"/>
    <mergeCell ref="AO12:AW12"/>
    <mergeCell ref="AO20:AW20"/>
    <mergeCell ref="AO26:AW26"/>
    <mergeCell ref="AO35:AW35"/>
    <mergeCell ref="AO41:AW41"/>
    <mergeCell ref="AO49:AW49"/>
    <mergeCell ref="AO57:AW57"/>
    <mergeCell ref="AO63:AW63"/>
    <mergeCell ref="AO68:AW68"/>
    <mergeCell ref="AO73:AW73"/>
    <mergeCell ref="AO78:AW78"/>
    <mergeCell ref="AO83:AW83"/>
    <mergeCell ref="AO88:AW88"/>
    <mergeCell ref="AO93:AW93"/>
    <mergeCell ref="AO98:AW98"/>
    <mergeCell ref="AO103:AW103"/>
    <mergeCell ref="AO151:AW151"/>
    <mergeCell ref="W35:AE35"/>
    <mergeCell ref="W26:AE26"/>
    <mergeCell ref="W20:AE20"/>
    <mergeCell ref="W12:AE12"/>
    <mergeCell ref="W7:AE7"/>
    <mergeCell ref="E103:M103"/>
    <mergeCell ref="E108:M108"/>
    <mergeCell ref="E113:M113"/>
    <mergeCell ref="W41:AE41"/>
    <mergeCell ref="W68:AE68"/>
    <mergeCell ref="W93:AE93"/>
    <mergeCell ref="E68:M68"/>
    <mergeCell ref="E73:M73"/>
    <mergeCell ref="E78:M78"/>
    <mergeCell ref="E83:M83"/>
    <mergeCell ref="E88:M88"/>
    <mergeCell ref="E93:M93"/>
    <mergeCell ref="E98:M98"/>
    <mergeCell ref="E7:M7"/>
    <mergeCell ref="E12:M12"/>
    <mergeCell ref="E20:M20"/>
    <mergeCell ref="E26:M26"/>
    <mergeCell ref="E35:M35"/>
    <mergeCell ref="E41:M41"/>
    <mergeCell ref="E49:M49"/>
    <mergeCell ref="W49:AE49"/>
    <mergeCell ref="ES68:FA68"/>
    <mergeCell ref="ES73:FA73"/>
    <mergeCell ref="ES78:FA78"/>
    <mergeCell ref="ES83:FA83"/>
    <mergeCell ref="ES88:FA88"/>
    <mergeCell ref="ES93:FA93"/>
    <mergeCell ref="ES98:FA98"/>
    <mergeCell ref="ES103:FA103"/>
    <mergeCell ref="AO108:AW108"/>
    <mergeCell ref="BG68:BO68"/>
    <mergeCell ref="BG73:BO73"/>
    <mergeCell ref="BG78:BO78"/>
    <mergeCell ref="BG83:BO83"/>
    <mergeCell ref="BG88:BO88"/>
    <mergeCell ref="BG93:BO93"/>
    <mergeCell ref="BG98:BO98"/>
    <mergeCell ref="BG103:BO103"/>
    <mergeCell ref="BG108:BO108"/>
    <mergeCell ref="BG141:BO141"/>
    <mergeCell ref="BG146:BO146"/>
    <mergeCell ref="BY141:CG141"/>
    <mergeCell ref="DI136:DQ136"/>
    <mergeCell ref="CQ136:CY136"/>
    <mergeCell ref="CQ141:CY141"/>
    <mergeCell ref="AO141:AW141"/>
    <mergeCell ref="W124:AE124"/>
    <mergeCell ref="W118:AE118"/>
    <mergeCell ref="AO118:AW118"/>
    <mergeCell ref="AO124:AW124"/>
    <mergeCell ref="AO131:AW131"/>
    <mergeCell ref="AO136:AW136"/>
    <mergeCell ref="BY146:CG146"/>
    <mergeCell ref="DI146:DQ146"/>
    <mergeCell ref="BG136:BO136"/>
    <mergeCell ref="BY136:CG136"/>
    <mergeCell ref="HF166:HG166"/>
    <mergeCell ref="P166:Q166"/>
    <mergeCell ref="AH166:AI166"/>
    <mergeCell ref="AZ166:BA166"/>
    <mergeCell ref="BR166:BS166"/>
    <mergeCell ref="CJ166:CK166"/>
    <mergeCell ref="DB166:DC166"/>
    <mergeCell ref="DT166:DU166"/>
    <mergeCell ref="GN165:GO165"/>
    <mergeCell ref="HF165:HG165"/>
    <mergeCell ref="DT165:DU165"/>
    <mergeCell ref="EL165:EM165"/>
    <mergeCell ref="FD165:FE165"/>
    <mergeCell ref="BR165:BS165"/>
    <mergeCell ref="CJ165:CK165"/>
    <mergeCell ref="DB165:DC165"/>
    <mergeCell ref="P165:Q165"/>
    <mergeCell ref="AH165:AI165"/>
    <mergeCell ref="AZ165:BA165"/>
    <mergeCell ref="FV165:FW165"/>
    <mergeCell ref="EL166:EM166"/>
    <mergeCell ref="FD166:FE166"/>
    <mergeCell ref="FV166:FW166"/>
    <mergeCell ref="GU141:HC141"/>
    <mergeCell ref="GU146:HC146"/>
    <mergeCell ref="GU151:HC151"/>
    <mergeCell ref="GC141:GK141"/>
    <mergeCell ref="GC146:GK146"/>
    <mergeCell ref="EA131:EI131"/>
    <mergeCell ref="EA136:EI136"/>
    <mergeCell ref="EA141:EI141"/>
    <mergeCell ref="GN166:GO166"/>
    <mergeCell ref="FK141:FS141"/>
    <mergeCell ref="FK146:FS146"/>
    <mergeCell ref="ES136:FA136"/>
    <mergeCell ref="ES141:FA141"/>
    <mergeCell ref="ES146:FA146"/>
    <mergeCell ref="AO113:AW113"/>
    <mergeCell ref="E124:M124"/>
    <mergeCell ref="E57:M57"/>
    <mergeCell ref="E63:M63"/>
    <mergeCell ref="AO146:AW146"/>
    <mergeCell ref="W131:AE131"/>
    <mergeCell ref="W151:AE151"/>
    <mergeCell ref="W146:AE146"/>
    <mergeCell ref="W141:AE141"/>
    <mergeCell ref="W136:AE136"/>
    <mergeCell ref="W113:AE113"/>
    <mergeCell ref="W108:AE108"/>
    <mergeCell ref="W103:AE103"/>
    <mergeCell ref="W88:AE88"/>
    <mergeCell ref="W83:AE83"/>
    <mergeCell ref="W78:AE78"/>
    <mergeCell ref="W73:AE73"/>
    <mergeCell ref="W98:AE98"/>
    <mergeCell ref="E118:M118"/>
    <mergeCell ref="W63:AE63"/>
    <mergeCell ref="W57:AE57"/>
    <mergeCell ref="E131:M131"/>
    <mergeCell ref="E136:M136"/>
    <mergeCell ref="E141:M141"/>
  </mergeCells>
  <hyperlinks>
    <hyperlink ref="A2" location="Menu!A1" display="Menu" xr:uid="{00000000-0004-0000-1C00-000000000000}"/>
  </hyperlinks>
  <pageMargins left="0.511811024" right="0.511811024" top="0.78740157499999996" bottom="0.78740157499999996" header="0.31496062000000002" footer="0.31496062000000002"/>
  <pageSetup paperSize="9" orientation="portrait" horizontalDpi="0" verticalDpi="0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codeName="Plan16"/>
  <dimension ref="A1:N31"/>
  <sheetViews>
    <sheetView workbookViewId="0">
      <pane ySplit="1" topLeftCell="A2" activePane="bottomLeft" state="frozen"/>
      <selection pane="bottomLeft" activeCell="J21" sqref="J21"/>
    </sheetView>
  </sheetViews>
  <sheetFormatPr defaultColWidth="9.109375" defaultRowHeight="14.4" x14ac:dyDescent="0.3"/>
  <cols>
    <col min="1" max="1" width="11.88671875" style="103" bestFit="1" customWidth="1"/>
    <col min="2" max="2" width="35" style="103" bestFit="1" customWidth="1"/>
    <col min="3" max="4" width="12.109375" style="103" bestFit="1" customWidth="1"/>
    <col min="5" max="10" width="11.6640625" style="103" bestFit="1" customWidth="1"/>
    <col min="11" max="11" width="12.44140625" style="103" customWidth="1"/>
    <col min="12" max="13" width="11.6640625" style="103" bestFit="1" customWidth="1"/>
    <col min="14" max="14" width="12.109375" style="103" customWidth="1"/>
    <col min="15" max="15" width="9.109375" style="103"/>
    <col min="16" max="17" width="10.6640625" style="103" bestFit="1" customWidth="1"/>
    <col min="18" max="16384" width="9.109375" style="103"/>
  </cols>
  <sheetData>
    <row r="1" spans="1:14" ht="29.4" thickBot="1" x14ac:dyDescent="0.35">
      <c r="A1" s="262" t="s">
        <v>110</v>
      </c>
      <c r="B1" s="104" t="s">
        <v>43</v>
      </c>
      <c r="C1" s="105" t="s">
        <v>20</v>
      </c>
      <c r="D1" s="105" t="s">
        <v>32</v>
      </c>
      <c r="E1" s="105" t="s">
        <v>33</v>
      </c>
      <c r="F1" s="105" t="s">
        <v>34</v>
      </c>
      <c r="G1" s="105" t="s">
        <v>35</v>
      </c>
      <c r="H1" s="105" t="s">
        <v>36</v>
      </c>
      <c r="I1" s="105" t="s">
        <v>73</v>
      </c>
      <c r="J1" s="105" t="s">
        <v>38</v>
      </c>
      <c r="K1" s="105" t="s">
        <v>39</v>
      </c>
      <c r="L1" s="105" t="s">
        <v>40</v>
      </c>
      <c r="M1" s="105" t="s">
        <v>41</v>
      </c>
      <c r="N1" s="105" t="s">
        <v>42</v>
      </c>
    </row>
    <row r="2" spans="1:14" ht="16.5" customHeight="1" thickBot="1" x14ac:dyDescent="0.35">
      <c r="A2" s="264"/>
      <c r="B2" s="106" t="s">
        <v>163</v>
      </c>
      <c r="C2" s="107">
        <f>M.O!R11</f>
        <v>3511.1899111111111</v>
      </c>
      <c r="D2" s="107">
        <f>M.O!AJ11</f>
        <v>3511.1899111111111</v>
      </c>
      <c r="E2" s="107">
        <f>M.O!BB11</f>
        <v>3511.1899111111111</v>
      </c>
      <c r="F2" s="107">
        <f>M.O!BT11</f>
        <v>3511.1899111111111</v>
      </c>
      <c r="G2" s="107">
        <f>M.O!CL11</f>
        <v>3511.1899111111111</v>
      </c>
      <c r="H2" s="107">
        <f>M.O!DD11</f>
        <v>3511.1899111111111</v>
      </c>
      <c r="I2" s="107">
        <f>M.O!DV11</f>
        <v>3511.1899111111111</v>
      </c>
      <c r="J2" s="107">
        <f>M.O!EN11</f>
        <v>3511.1899111111111</v>
      </c>
      <c r="K2" s="107">
        <f>M.O!FF11</f>
        <v>3511.1899111111111</v>
      </c>
      <c r="L2" s="107">
        <f>M.O!FX11</f>
        <v>3511.1899111111111</v>
      </c>
      <c r="M2" s="107">
        <f>M.O!GP11</f>
        <v>3511.1899111111111</v>
      </c>
      <c r="N2" s="107">
        <f>M.O!HH11</f>
        <v>3511.1899111111111</v>
      </c>
    </row>
    <row r="3" spans="1:14" ht="16.5" customHeight="1" thickBot="1" x14ac:dyDescent="0.35">
      <c r="B3" s="108" t="s">
        <v>164</v>
      </c>
      <c r="C3" s="109">
        <f>M.O!R19</f>
        <v>3876.9020888888881</v>
      </c>
      <c r="D3" s="109">
        <f>M.O!AJ19</f>
        <v>3876.9020888888881</v>
      </c>
      <c r="E3" s="109">
        <f>M.O!BB19</f>
        <v>3876.9020888888881</v>
      </c>
      <c r="F3" s="109">
        <f>M.O!BT19</f>
        <v>3876.9020888888881</v>
      </c>
      <c r="G3" s="109">
        <f>M.O!CL19</f>
        <v>3876.9020888888881</v>
      </c>
      <c r="H3" s="109">
        <f>M.O!DD19</f>
        <v>3876.9020888888881</v>
      </c>
      <c r="I3" s="109">
        <f>M.O!DV19</f>
        <v>3876.9020888888881</v>
      </c>
      <c r="J3" s="109">
        <f>M.O!EN19</f>
        <v>3876.9020888888881</v>
      </c>
      <c r="K3" s="109">
        <f>M.O!FF19</f>
        <v>3876.9020888888881</v>
      </c>
      <c r="L3" s="109">
        <f>M.O!FX19</f>
        <v>3876.9020888888881</v>
      </c>
      <c r="M3" s="109">
        <f>M.O!GP19</f>
        <v>3876.9020888888881</v>
      </c>
      <c r="N3" s="109">
        <f>M.O!HH19</f>
        <v>3876.9020888888881</v>
      </c>
    </row>
    <row r="4" spans="1:14" ht="16.2" thickBot="1" x14ac:dyDescent="0.35">
      <c r="B4" s="108" t="s">
        <v>165</v>
      </c>
      <c r="C4" s="109">
        <f>M.O!R25</f>
        <v>3152.4324222222222</v>
      </c>
      <c r="D4" s="109">
        <f>M.O!AJ25</f>
        <v>3152.4324222222222</v>
      </c>
      <c r="E4" s="109">
        <f>M.O!BB25</f>
        <v>3152.4324222222222</v>
      </c>
      <c r="F4" s="109">
        <f>M.O!BT25</f>
        <v>3152.4324222222222</v>
      </c>
      <c r="G4" s="109">
        <f>M.O!CL25</f>
        <v>3152.4324222222222</v>
      </c>
      <c r="H4" s="109">
        <f>M.O!DD25</f>
        <v>3152.4324222222222</v>
      </c>
      <c r="I4" s="109">
        <f>M.O!DV25</f>
        <v>3152.4324222222222</v>
      </c>
      <c r="J4" s="109">
        <f>M.O!EN25</f>
        <v>3152.4324222222222</v>
      </c>
      <c r="K4" s="109">
        <f>M.O!FF25</f>
        <v>3152.4324222222222</v>
      </c>
      <c r="L4" s="109">
        <f>M.O!FX25</f>
        <v>3152.4324222222222</v>
      </c>
      <c r="M4" s="109">
        <f>M.O!GP25</f>
        <v>3152.4324222222222</v>
      </c>
      <c r="N4" s="109">
        <f>M.O!HH25</f>
        <v>3152.4324222222222</v>
      </c>
    </row>
    <row r="5" spans="1:14" ht="16.2" thickBot="1" x14ac:dyDescent="0.35">
      <c r="B5" s="108" t="s">
        <v>166</v>
      </c>
      <c r="C5" s="109">
        <f>M.O!R34</f>
        <v>3876.9020888888881</v>
      </c>
      <c r="D5" s="109">
        <f>M.O!AJ34</f>
        <v>3876.9020888888881</v>
      </c>
      <c r="E5" s="109">
        <f>M.O!BB34</f>
        <v>3876.9020888888881</v>
      </c>
      <c r="F5" s="109">
        <f>M.O!BT34</f>
        <v>3876.9020888888881</v>
      </c>
      <c r="G5" s="109">
        <f>M.O!CL34</f>
        <v>3876.9020888888881</v>
      </c>
      <c r="H5" s="109">
        <f>M.O!DD34</f>
        <v>3876.9020888888881</v>
      </c>
      <c r="I5" s="109">
        <f>M.O!DV34</f>
        <v>3876.9020888888881</v>
      </c>
      <c r="J5" s="109">
        <f>M.O!EN34</f>
        <v>3876.9020888888881</v>
      </c>
      <c r="K5" s="109">
        <f>M.O!FF34</f>
        <v>3876.9020888888881</v>
      </c>
      <c r="L5" s="109">
        <f>M.O!FX34</f>
        <v>3876.9020888888881</v>
      </c>
      <c r="M5" s="109">
        <f>M.O!GP34</f>
        <v>3876.9020888888881</v>
      </c>
      <c r="N5" s="109">
        <f>M.O!HH34</f>
        <v>3876.9020888888881</v>
      </c>
    </row>
    <row r="6" spans="1:14" ht="16.2" thickBot="1" x14ac:dyDescent="0.35">
      <c r="B6" s="108" t="s">
        <v>167</v>
      </c>
      <c r="C6" s="109">
        <f>M.O!R40</f>
        <v>3469.956577777778</v>
      </c>
      <c r="D6" s="109">
        <f>M.O!AJ40</f>
        <v>3469.956577777778</v>
      </c>
      <c r="E6" s="109">
        <f>M.O!BB40</f>
        <v>3469.956577777778</v>
      </c>
      <c r="F6" s="109">
        <f>M.O!BT40</f>
        <v>3469.956577777778</v>
      </c>
      <c r="G6" s="109">
        <f>M.O!CL40</f>
        <v>3469.956577777778</v>
      </c>
      <c r="H6" s="109">
        <f>M.O!DD40</f>
        <v>3469.956577777778</v>
      </c>
      <c r="I6" s="109">
        <f>M.O!DV40</f>
        <v>3469.956577777778</v>
      </c>
      <c r="J6" s="109">
        <f>M.O!EN40</f>
        <v>3469.956577777778</v>
      </c>
      <c r="K6" s="109">
        <f>M.O!FF40</f>
        <v>3469.956577777778</v>
      </c>
      <c r="L6" s="109">
        <f>M.O!FX40</f>
        <v>3469.956577777778</v>
      </c>
      <c r="M6" s="109">
        <f>M.O!GP40</f>
        <v>3469.956577777778</v>
      </c>
      <c r="N6" s="109">
        <f>M.O!HH40</f>
        <v>3469.956577777778</v>
      </c>
    </row>
    <row r="7" spans="1:14" ht="16.2" thickBot="1" x14ac:dyDescent="0.35">
      <c r="B7" s="108" t="s">
        <v>168</v>
      </c>
      <c r="C7" s="109">
        <f>M.O!R48</f>
        <v>0</v>
      </c>
      <c r="D7" s="109">
        <f>M.O!AJ48</f>
        <v>0</v>
      </c>
      <c r="E7" s="109">
        <f>M.O!BB48</f>
        <v>0</v>
      </c>
      <c r="F7" s="109">
        <f>M.O!BT48</f>
        <v>0</v>
      </c>
      <c r="G7" s="109">
        <f>M.O!CL48</f>
        <v>0</v>
      </c>
      <c r="H7" s="109">
        <f>M.O!DD48</f>
        <v>0</v>
      </c>
      <c r="I7" s="109">
        <f>M.O!DV48</f>
        <v>0</v>
      </c>
      <c r="J7" s="109">
        <f>M.O!EN48</f>
        <v>0</v>
      </c>
      <c r="K7" s="109">
        <f>M.O!FF48</f>
        <v>0</v>
      </c>
      <c r="L7" s="109">
        <f>M.O!FX48</f>
        <v>0</v>
      </c>
      <c r="M7" s="109">
        <f>M.O!GP48</f>
        <v>0</v>
      </c>
      <c r="N7" s="109">
        <f>M.O!HH48</f>
        <v>0</v>
      </c>
    </row>
    <row r="8" spans="1:14" ht="16.2" thickBot="1" x14ac:dyDescent="0.35">
      <c r="B8" s="108" t="s">
        <v>169</v>
      </c>
      <c r="C8" s="109">
        <f>M.O!R56</f>
        <v>0</v>
      </c>
      <c r="D8" s="109">
        <f>M.O!AJ56</f>
        <v>0</v>
      </c>
      <c r="E8" s="109">
        <f>M.O!BB56</f>
        <v>0</v>
      </c>
      <c r="F8" s="109">
        <f>M.O!BT56</f>
        <v>0</v>
      </c>
      <c r="G8" s="109">
        <f>M.O!CL56</f>
        <v>0</v>
      </c>
      <c r="H8" s="109">
        <f>M.O!DD56</f>
        <v>0</v>
      </c>
      <c r="I8" s="109">
        <f>M.O!DV56</f>
        <v>0</v>
      </c>
      <c r="J8" s="109">
        <f>M.O!EN56</f>
        <v>0</v>
      </c>
      <c r="K8" s="109">
        <f>M.O!FF56</f>
        <v>0</v>
      </c>
      <c r="L8" s="109">
        <f>M.O!FX56</f>
        <v>0</v>
      </c>
      <c r="M8" s="109">
        <f>M.O!GP56</f>
        <v>0</v>
      </c>
      <c r="N8" s="109">
        <f>M.O!HH56</f>
        <v>0</v>
      </c>
    </row>
    <row r="9" spans="1:14" ht="16.2" thickBot="1" x14ac:dyDescent="0.35">
      <c r="B9" s="108" t="s">
        <v>170</v>
      </c>
      <c r="C9" s="109">
        <f>M.O!R62</f>
        <v>0</v>
      </c>
      <c r="D9" s="109">
        <f>M.O!AJ62</f>
        <v>0</v>
      </c>
      <c r="E9" s="109">
        <f>M.O!BB62</f>
        <v>0</v>
      </c>
      <c r="F9" s="109">
        <f>M.O!BT62</f>
        <v>0</v>
      </c>
      <c r="G9" s="109">
        <f>M.O!CL62</f>
        <v>0</v>
      </c>
      <c r="H9" s="109">
        <f>M.O!DD62</f>
        <v>0</v>
      </c>
      <c r="I9" s="109">
        <f>M.O!DV62</f>
        <v>0</v>
      </c>
      <c r="J9" s="109">
        <f>M.O!EN62</f>
        <v>0</v>
      </c>
      <c r="K9" s="109">
        <f>M.O!FF62</f>
        <v>0</v>
      </c>
      <c r="L9" s="109">
        <f>M.O!FX62</f>
        <v>0</v>
      </c>
      <c r="M9" s="109">
        <f>M.O!GP62</f>
        <v>0</v>
      </c>
      <c r="N9" s="109">
        <f>M.O!HH62</f>
        <v>0</v>
      </c>
    </row>
    <row r="10" spans="1:14" ht="16.2" thickBot="1" x14ac:dyDescent="0.35">
      <c r="B10" s="108" t="s">
        <v>171</v>
      </c>
      <c r="C10" s="109">
        <f>M.O!R67</f>
        <v>0</v>
      </c>
      <c r="D10" s="109">
        <f>M.O!AJ67</f>
        <v>0</v>
      </c>
      <c r="E10" s="109">
        <f>M.O!BB67</f>
        <v>0</v>
      </c>
      <c r="F10" s="109">
        <f>M.O!BT67</f>
        <v>0</v>
      </c>
      <c r="G10" s="109">
        <f>M.O!CL67</f>
        <v>0</v>
      </c>
      <c r="H10" s="109">
        <f>M.O!DD67</f>
        <v>0</v>
      </c>
      <c r="I10" s="109">
        <f>M.O!DV67</f>
        <v>0</v>
      </c>
      <c r="J10" s="109">
        <f>M.O!EN67</f>
        <v>0</v>
      </c>
      <c r="K10" s="109">
        <f>M.O!FF67</f>
        <v>0</v>
      </c>
      <c r="L10" s="109">
        <f>M.O!FX67</f>
        <v>0</v>
      </c>
      <c r="M10" s="109">
        <f>M.O!GP67</f>
        <v>0</v>
      </c>
      <c r="N10" s="109">
        <f>M.O!HH67</f>
        <v>0</v>
      </c>
    </row>
    <row r="11" spans="1:14" ht="16.2" thickBot="1" x14ac:dyDescent="0.35">
      <c r="B11" s="108" t="s">
        <v>172</v>
      </c>
      <c r="C11" s="109">
        <f>M.O!R72</f>
        <v>0</v>
      </c>
      <c r="D11" s="109">
        <f>M.O!AJ72</f>
        <v>0</v>
      </c>
      <c r="E11" s="109">
        <f>M.O!BB72</f>
        <v>0</v>
      </c>
      <c r="F11" s="109">
        <f>M.O!BT72</f>
        <v>0</v>
      </c>
      <c r="G11" s="109">
        <f>M.O!CL72</f>
        <v>0</v>
      </c>
      <c r="H11" s="109">
        <f>M.O!DD72</f>
        <v>0</v>
      </c>
      <c r="I11" s="109">
        <f>M.O!DV72</f>
        <v>0</v>
      </c>
      <c r="J11" s="109">
        <f>M.O!EN72</f>
        <v>0</v>
      </c>
      <c r="K11" s="109">
        <f>M.O!FF72</f>
        <v>0</v>
      </c>
      <c r="L11" s="109">
        <f>M.O!FX72</f>
        <v>0</v>
      </c>
      <c r="M11" s="109">
        <f>M.O!GP72</f>
        <v>0</v>
      </c>
      <c r="N11" s="109">
        <f>M.O!HH72</f>
        <v>0</v>
      </c>
    </row>
    <row r="12" spans="1:14" ht="16.2" thickBot="1" x14ac:dyDescent="0.35">
      <c r="B12" s="108" t="s">
        <v>173</v>
      </c>
      <c r="C12" s="109">
        <f>M.O!R77</f>
        <v>0</v>
      </c>
      <c r="D12" s="109">
        <f>M.O!AJ77</f>
        <v>0</v>
      </c>
      <c r="E12" s="109">
        <f>M.O!BB77</f>
        <v>0</v>
      </c>
      <c r="F12" s="109">
        <f>M.O!BT77</f>
        <v>0</v>
      </c>
      <c r="G12" s="109">
        <f>M.O!CL77</f>
        <v>0</v>
      </c>
      <c r="H12" s="109">
        <f>M.O!DD77</f>
        <v>0</v>
      </c>
      <c r="I12" s="109">
        <f>M.O!DV77</f>
        <v>0</v>
      </c>
      <c r="J12" s="109">
        <f>M.O!EN77</f>
        <v>0</v>
      </c>
      <c r="K12" s="109">
        <f>M.O!FF77</f>
        <v>0</v>
      </c>
      <c r="L12" s="109">
        <f>M.O!FX77</f>
        <v>0</v>
      </c>
      <c r="M12" s="109">
        <f>M.O!GP77</f>
        <v>0</v>
      </c>
      <c r="N12" s="109">
        <f>M.O!HH77</f>
        <v>0</v>
      </c>
    </row>
    <row r="13" spans="1:14" ht="16.2" thickBot="1" x14ac:dyDescent="0.35">
      <c r="B13" s="106" t="s">
        <v>162</v>
      </c>
      <c r="C13" s="313">
        <f>M.O!R82</f>
        <v>0</v>
      </c>
      <c r="D13" s="313">
        <f>M.O!AJ82</f>
        <v>0</v>
      </c>
      <c r="E13" s="313">
        <f>M.O!BB82</f>
        <v>0</v>
      </c>
      <c r="F13" s="313">
        <f>M.O!BT82</f>
        <v>0</v>
      </c>
      <c r="G13" s="313">
        <f>M.O!CL82</f>
        <v>0</v>
      </c>
      <c r="H13" s="313">
        <f>M.O!DD82</f>
        <v>0</v>
      </c>
      <c r="I13" s="313">
        <f>M.O!DV82</f>
        <v>0</v>
      </c>
      <c r="J13" s="313">
        <f>M.O!EN82</f>
        <v>0</v>
      </c>
      <c r="K13" s="313">
        <f>M.O!FF82</f>
        <v>0</v>
      </c>
      <c r="L13" s="313">
        <f>M.O!FX82</f>
        <v>0</v>
      </c>
      <c r="M13" s="313">
        <f>M.O!GP82</f>
        <v>0</v>
      </c>
      <c r="N13" s="313">
        <f>M.O!HH82</f>
        <v>0</v>
      </c>
    </row>
    <row r="14" spans="1:14" ht="16.2" thickBot="1" x14ac:dyDescent="0.35">
      <c r="B14" s="187" t="s">
        <v>190</v>
      </c>
      <c r="C14" s="185">
        <f t="shared" ref="C14:K14" si="0">SUM(C2:C13)/12</f>
        <v>1490.6152574074074</v>
      </c>
      <c r="D14" s="185">
        <f t="shared" si="0"/>
        <v>1490.6152574074074</v>
      </c>
      <c r="E14" s="185">
        <f t="shared" si="0"/>
        <v>1490.6152574074074</v>
      </c>
      <c r="F14" s="185">
        <f t="shared" si="0"/>
        <v>1490.6152574074074</v>
      </c>
      <c r="G14" s="185">
        <f t="shared" si="0"/>
        <v>1490.6152574074074</v>
      </c>
      <c r="H14" s="185">
        <f t="shared" si="0"/>
        <v>1490.6152574074074</v>
      </c>
      <c r="I14" s="185">
        <f t="shared" si="0"/>
        <v>1490.6152574074074</v>
      </c>
      <c r="J14" s="185">
        <f t="shared" si="0"/>
        <v>1490.6152574074074</v>
      </c>
      <c r="K14" s="185">
        <f t="shared" si="0"/>
        <v>1490.6152574074074</v>
      </c>
      <c r="L14" s="185">
        <f>SUM(L2:L13)/12</f>
        <v>1490.6152574074074</v>
      </c>
      <c r="M14" s="185">
        <f>SUM(M2:M13)/12</f>
        <v>1490.6152574074074</v>
      </c>
      <c r="N14" s="185">
        <f>SUM(N2:N13)/12</f>
        <v>1490.6152574074074</v>
      </c>
    </row>
    <row r="15" spans="1:14" ht="16.2" thickBot="1" x14ac:dyDescent="0.35">
      <c r="B15" s="106" t="s">
        <v>192</v>
      </c>
      <c r="C15" s="109">
        <f>M.O!R87</f>
        <v>3152.4324222222222</v>
      </c>
      <c r="D15" s="109">
        <f>M.O!AJ87</f>
        <v>3152.4324222222222</v>
      </c>
      <c r="E15" s="109">
        <f>M.O!BB87</f>
        <v>3152.4324222222222</v>
      </c>
      <c r="F15" s="109">
        <f>M.O!BT87</f>
        <v>3152.4324222222222</v>
      </c>
      <c r="G15" s="109">
        <f>M.O!CL87</f>
        <v>3152.4324222222222</v>
      </c>
      <c r="H15" s="109">
        <f>M.O!DD87</f>
        <v>3152.4324222222222</v>
      </c>
      <c r="I15" s="109">
        <f>M.O!DV87</f>
        <v>3152.4324222222222</v>
      </c>
      <c r="J15" s="109">
        <f>M.O!EN87</f>
        <v>3152.4324222222222</v>
      </c>
      <c r="K15" s="109">
        <f>M.O!FF87</f>
        <v>3152.4324222222222</v>
      </c>
      <c r="L15" s="109">
        <f>M.O!FX87</f>
        <v>3152.4324222222222</v>
      </c>
      <c r="M15" s="109">
        <f>M.O!GP87</f>
        <v>3152.4324222222222</v>
      </c>
      <c r="N15" s="109">
        <f>M.O!HH87</f>
        <v>3152.4324222222222</v>
      </c>
    </row>
    <row r="16" spans="1:14" ht="16.2" thickBot="1" x14ac:dyDescent="0.35">
      <c r="B16" s="106" t="s">
        <v>118</v>
      </c>
      <c r="C16" s="109">
        <f>M.O!R92</f>
        <v>3152.4324222222222</v>
      </c>
      <c r="D16" s="109">
        <f>M.O!AJ92</f>
        <v>3152.4324222222222</v>
      </c>
      <c r="E16" s="109">
        <f>M.O!BB92</f>
        <v>3152.4324222222222</v>
      </c>
      <c r="F16" s="109">
        <f>M.O!BT92</f>
        <v>3152.4324222222222</v>
      </c>
      <c r="G16" s="109">
        <f>M.O!CL92</f>
        <v>3152.4324222222222</v>
      </c>
      <c r="H16" s="109">
        <f>M.O!DD92</f>
        <v>3152.4324222222222</v>
      </c>
      <c r="I16" s="109">
        <f>M.O!DV92</f>
        <v>3152.4324222222222</v>
      </c>
      <c r="J16" s="109">
        <f>M.O!EN92</f>
        <v>3152.4324222222222</v>
      </c>
      <c r="K16" s="109">
        <f>M.O!FF92</f>
        <v>3152.4324222222222</v>
      </c>
      <c r="L16" s="109">
        <f>M.O!FX92</f>
        <v>3152.4324222222222</v>
      </c>
      <c r="M16" s="109">
        <f>M.O!GP92</f>
        <v>3152.4324222222222</v>
      </c>
      <c r="N16" s="109">
        <f>M.O!HH92</f>
        <v>3152.4324222222222</v>
      </c>
    </row>
    <row r="17" spans="2:14" ht="16.2" thickBot="1" x14ac:dyDescent="0.35">
      <c r="B17" s="106" t="s">
        <v>134</v>
      </c>
      <c r="C17" s="109">
        <f>M.O!R97</f>
        <v>3152.4324222222222</v>
      </c>
      <c r="D17" s="109">
        <f>M.O!AJ97</f>
        <v>3152.4324222222222</v>
      </c>
      <c r="E17" s="109">
        <f>M.O!BB97</f>
        <v>3152.4324222222222</v>
      </c>
      <c r="F17" s="109">
        <f>M.O!BT97</f>
        <v>3152.4324222222222</v>
      </c>
      <c r="G17" s="109">
        <f>M.O!CL97</f>
        <v>3152.4324222222222</v>
      </c>
      <c r="H17" s="109">
        <f>M.O!DD97</f>
        <v>3152.4324222222222</v>
      </c>
      <c r="I17" s="109">
        <f>M.O!DV97</f>
        <v>3152.4324222222222</v>
      </c>
      <c r="J17" s="109">
        <f>M.O!EN97</f>
        <v>3152.4324222222222</v>
      </c>
      <c r="K17" s="109">
        <f>M.O!FF97</f>
        <v>3152.4324222222222</v>
      </c>
      <c r="L17" s="109">
        <f>M.O!FX97</f>
        <v>3152.4324222222222</v>
      </c>
      <c r="M17" s="109">
        <f>M.O!GP97</f>
        <v>3152.4324222222222</v>
      </c>
      <c r="N17" s="109">
        <f>M.O!HH97</f>
        <v>3152.4324222222222</v>
      </c>
    </row>
    <row r="18" spans="2:14" ht="16.2" thickBot="1" x14ac:dyDescent="0.35">
      <c r="B18" s="106" t="s">
        <v>135</v>
      </c>
      <c r="C18" s="109">
        <f>M.O!R102</f>
        <v>3152.4324222222222</v>
      </c>
      <c r="D18" s="109">
        <f>M.O!AJ102</f>
        <v>3152.4324222222222</v>
      </c>
      <c r="E18" s="109">
        <f>M.O!BB102</f>
        <v>3152.4324222222222</v>
      </c>
      <c r="F18" s="109">
        <f>M.O!BT102</f>
        <v>3152.4324222222222</v>
      </c>
      <c r="G18" s="109">
        <f>M.O!CL102</f>
        <v>3152.4324222222222</v>
      </c>
      <c r="H18" s="109">
        <f>M.O!DD102</f>
        <v>3152.4324222222222</v>
      </c>
      <c r="I18" s="109">
        <f>M.O!DV102</f>
        <v>3152.4324222222222</v>
      </c>
      <c r="J18" s="109">
        <f>M.O!EN102</f>
        <v>3152.4324222222222</v>
      </c>
      <c r="K18" s="109">
        <f>M.O!FF102</f>
        <v>3152.4324222222222</v>
      </c>
      <c r="L18" s="109">
        <f>M.O!FX102</f>
        <v>3152.4324222222222</v>
      </c>
      <c r="M18" s="109">
        <f>M.O!GP102</f>
        <v>3152.4324222222222</v>
      </c>
      <c r="N18" s="109">
        <f>M.O!HH102</f>
        <v>3152.4324222222222</v>
      </c>
    </row>
    <row r="19" spans="2:14" ht="16.2" thickBot="1" x14ac:dyDescent="0.35">
      <c r="B19" s="106" t="s">
        <v>136</v>
      </c>
      <c r="C19" s="109">
        <f>M.O!R107</f>
        <v>3426.125544444445</v>
      </c>
      <c r="D19" s="109">
        <f>M.O!AJ107</f>
        <v>3426.125544444445</v>
      </c>
      <c r="E19" s="109">
        <f>M.O!BB107</f>
        <v>3426.125544444445</v>
      </c>
      <c r="F19" s="109">
        <f>M.O!BT107</f>
        <v>3426.125544444445</v>
      </c>
      <c r="G19" s="109">
        <f>M.O!CL107</f>
        <v>3426.125544444445</v>
      </c>
      <c r="H19" s="109">
        <f>M.O!DD107</f>
        <v>3426.125544444445</v>
      </c>
      <c r="I19" s="109">
        <f>M.O!DV107</f>
        <v>3426.125544444445</v>
      </c>
      <c r="J19" s="109">
        <f>M.O!EN107</f>
        <v>3426.125544444445</v>
      </c>
      <c r="K19" s="109">
        <f>M.O!FF107</f>
        <v>3426.125544444445</v>
      </c>
      <c r="L19" s="109">
        <f>M.O!FX107</f>
        <v>3426.125544444445</v>
      </c>
      <c r="M19" s="109">
        <f>M.O!GP107</f>
        <v>3426.125544444445</v>
      </c>
      <c r="N19" s="109">
        <f>M.O!HH107</f>
        <v>3426.125544444445</v>
      </c>
    </row>
    <row r="20" spans="2:14" ht="16.2" thickBot="1" x14ac:dyDescent="0.35">
      <c r="B20" s="106" t="s">
        <v>137</v>
      </c>
      <c r="C20" s="109">
        <f>M.O!R112</f>
        <v>3426.125544444445</v>
      </c>
      <c r="D20" s="109">
        <f>M.O!AJ112</f>
        <v>3426.125544444445</v>
      </c>
      <c r="E20" s="109">
        <f>M.O!BB112</f>
        <v>3426.125544444445</v>
      </c>
      <c r="F20" s="109">
        <f>M.O!BT112</f>
        <v>3426.125544444445</v>
      </c>
      <c r="G20" s="109">
        <f>M.O!CL112</f>
        <v>3426.125544444445</v>
      </c>
      <c r="H20" s="109">
        <f>M.O!DD112</f>
        <v>3426.125544444445</v>
      </c>
      <c r="I20" s="109">
        <f>M.O!DV112</f>
        <v>3426.125544444445</v>
      </c>
      <c r="J20" s="109">
        <f>M.O!EN112</f>
        <v>3426.125544444445</v>
      </c>
      <c r="K20" s="109">
        <f>M.O!FF112</f>
        <v>3426.125544444445</v>
      </c>
      <c r="L20" s="109">
        <f>M.O!FX112</f>
        <v>3426.125544444445</v>
      </c>
      <c r="M20" s="109">
        <f>M.O!GP112</f>
        <v>3426.125544444445</v>
      </c>
      <c r="N20" s="109">
        <f>M.O!HH112</f>
        <v>3426.125544444445</v>
      </c>
    </row>
    <row r="21" spans="2:14" ht="16.2" thickBot="1" x14ac:dyDescent="0.35">
      <c r="B21" s="106" t="s">
        <v>138</v>
      </c>
      <c r="C21" s="109">
        <f>M.O!R117</f>
        <v>3426.125544444445</v>
      </c>
      <c r="D21" s="109">
        <f>M.O!AJ117</f>
        <v>3426.125544444445</v>
      </c>
      <c r="E21" s="109">
        <f>M.O!BB117</f>
        <v>3426.125544444445</v>
      </c>
      <c r="F21" s="109">
        <f>M.O!BT117</f>
        <v>3426.125544444445</v>
      </c>
      <c r="G21" s="109">
        <f>M.O!CL117</f>
        <v>3426.125544444445</v>
      </c>
      <c r="H21" s="109">
        <f>M.O!DD117</f>
        <v>3426.125544444445</v>
      </c>
      <c r="I21" s="109">
        <f>M.O!DV117</f>
        <v>3426.125544444445</v>
      </c>
      <c r="J21" s="109">
        <f>M.O!EN117</f>
        <v>3426.125544444445</v>
      </c>
      <c r="K21" s="109">
        <f>M.O!FF117</f>
        <v>3426.125544444445</v>
      </c>
      <c r="L21" s="109">
        <f>M.O!FX117</f>
        <v>3426.125544444445</v>
      </c>
      <c r="M21" s="109">
        <f>M.O!GP117</f>
        <v>3426.125544444445</v>
      </c>
      <c r="N21" s="109">
        <f>M.O!HH117</f>
        <v>3426.125544444445</v>
      </c>
    </row>
    <row r="22" spans="2:14" ht="16.2" thickBot="1" x14ac:dyDescent="0.35">
      <c r="B22" s="106" t="s">
        <v>15</v>
      </c>
      <c r="C22" s="109">
        <f>M.O!R123</f>
        <v>0</v>
      </c>
      <c r="D22" s="109">
        <f>M.O!AJ123</f>
        <v>0</v>
      </c>
      <c r="E22" s="109">
        <f>M.O!BB123</f>
        <v>0</v>
      </c>
      <c r="F22" s="109">
        <f>M.O!BT123</f>
        <v>0</v>
      </c>
      <c r="G22" s="109">
        <f>M.O!CL123</f>
        <v>0</v>
      </c>
      <c r="H22" s="109">
        <f>M.O!DD123</f>
        <v>0</v>
      </c>
      <c r="I22" s="109">
        <f>M.O!DV123</f>
        <v>0</v>
      </c>
      <c r="J22" s="109">
        <f>M.O!EN123</f>
        <v>0</v>
      </c>
      <c r="K22" s="109">
        <f>M.O!FF123</f>
        <v>0</v>
      </c>
      <c r="L22" s="109">
        <f>M.O!FX123</f>
        <v>0</v>
      </c>
      <c r="M22" s="109">
        <f>M.O!GP123</f>
        <v>0</v>
      </c>
      <c r="N22" s="109">
        <f>M.O!HH123</f>
        <v>0</v>
      </c>
    </row>
    <row r="23" spans="2:14" ht="16.2" thickBot="1" x14ac:dyDescent="0.35">
      <c r="B23" s="106" t="s">
        <v>185</v>
      </c>
      <c r="C23" s="109">
        <f>M.O!R130</f>
        <v>0</v>
      </c>
      <c r="D23" s="109">
        <f>M.O!AJ130</f>
        <v>0</v>
      </c>
      <c r="E23" s="109">
        <f>M.O!BB130</f>
        <v>0</v>
      </c>
      <c r="F23" s="109">
        <f>M.O!BT130</f>
        <v>0</v>
      </c>
      <c r="G23" s="109">
        <f>M.O!CL130</f>
        <v>0</v>
      </c>
      <c r="H23" s="109">
        <f>M.O!DD130</f>
        <v>0</v>
      </c>
      <c r="I23" s="109">
        <f>M.O!DV130</f>
        <v>0</v>
      </c>
      <c r="J23" s="109">
        <f>M.O!EN130</f>
        <v>0</v>
      </c>
      <c r="K23" s="109">
        <f>M.O!FF130</f>
        <v>0</v>
      </c>
      <c r="L23" s="109">
        <f>M.O!FX130</f>
        <v>0</v>
      </c>
      <c r="M23" s="109">
        <f>M.O!GP130</f>
        <v>0</v>
      </c>
      <c r="N23" s="109">
        <f>M.O!HH130</f>
        <v>0</v>
      </c>
    </row>
    <row r="24" spans="2:14" ht="16.2" thickBot="1" x14ac:dyDescent="0.35">
      <c r="B24" s="106" t="s">
        <v>53</v>
      </c>
      <c r="C24" s="109">
        <f>M.O!R135</f>
        <v>0</v>
      </c>
      <c r="D24" s="109">
        <f>M.O!AJ135</f>
        <v>0</v>
      </c>
      <c r="E24" s="109">
        <f>M.O!BB135</f>
        <v>0</v>
      </c>
      <c r="F24" s="109">
        <f>M.O!BT135</f>
        <v>0</v>
      </c>
      <c r="G24" s="109">
        <f>M.O!CL135</f>
        <v>0</v>
      </c>
      <c r="H24" s="109">
        <f>M.O!DD135</f>
        <v>0</v>
      </c>
      <c r="I24" s="109">
        <f>M.O!DV135</f>
        <v>0</v>
      </c>
      <c r="J24" s="109">
        <f>M.O!EN135</f>
        <v>0</v>
      </c>
      <c r="K24" s="109">
        <f>M.O!FF135</f>
        <v>0</v>
      </c>
      <c r="L24" s="109">
        <f>M.O!FX135</f>
        <v>0</v>
      </c>
      <c r="M24" s="109">
        <f>M.O!GP135</f>
        <v>0</v>
      </c>
      <c r="N24" s="109">
        <f>M.O!HH135</f>
        <v>0</v>
      </c>
    </row>
    <row r="25" spans="2:14" ht="16.2" thickBot="1" x14ac:dyDescent="0.35">
      <c r="B25" s="106" t="s">
        <v>48</v>
      </c>
      <c r="C25" s="109">
        <f>M.O!R140</f>
        <v>0</v>
      </c>
      <c r="D25" s="109">
        <f>M.O!AJ140</f>
        <v>0</v>
      </c>
      <c r="E25" s="109">
        <f>M.O!BB140</f>
        <v>0</v>
      </c>
      <c r="F25" s="109">
        <f>M.O!BT140</f>
        <v>0</v>
      </c>
      <c r="G25" s="109">
        <f>M.O!CL140</f>
        <v>0</v>
      </c>
      <c r="H25" s="109">
        <f>M.O!DD140</f>
        <v>0</v>
      </c>
      <c r="I25" s="109">
        <f>M.O!DV140</f>
        <v>0</v>
      </c>
      <c r="J25" s="109">
        <f>M.O!EN140</f>
        <v>0</v>
      </c>
      <c r="K25" s="109">
        <f>M.O!FF140</f>
        <v>0</v>
      </c>
      <c r="L25" s="109">
        <f>M.O!FX140</f>
        <v>0</v>
      </c>
      <c r="M25" s="109">
        <f>M.O!GP140</f>
        <v>0</v>
      </c>
      <c r="N25" s="109">
        <f>M.O!HH140</f>
        <v>0</v>
      </c>
    </row>
    <row r="26" spans="2:14" ht="16.2" thickBot="1" x14ac:dyDescent="0.35">
      <c r="B26" s="106" t="s">
        <v>174</v>
      </c>
      <c r="C26" s="109">
        <f>M.O!R145</f>
        <v>0</v>
      </c>
      <c r="D26" s="109">
        <f>M.O!AJ145</f>
        <v>0</v>
      </c>
      <c r="E26" s="109">
        <f>M.O!BB145</f>
        <v>0</v>
      </c>
      <c r="F26" s="109">
        <f>M.O!BT145</f>
        <v>0</v>
      </c>
      <c r="G26" s="109">
        <f>M.O!CL145</f>
        <v>0</v>
      </c>
      <c r="H26" s="109">
        <f>M.O!DD145</f>
        <v>0</v>
      </c>
      <c r="I26" s="109">
        <f>M.O!DV145</f>
        <v>0</v>
      </c>
      <c r="J26" s="109">
        <f>M.O!EN145</f>
        <v>0</v>
      </c>
      <c r="K26" s="109">
        <f>M.O!FF145</f>
        <v>0</v>
      </c>
      <c r="L26" s="109">
        <f>M.O!FX145</f>
        <v>0</v>
      </c>
      <c r="M26" s="109">
        <f>M.O!GP145</f>
        <v>0</v>
      </c>
      <c r="N26" s="109">
        <f>M.O!HH145</f>
        <v>0</v>
      </c>
    </row>
    <row r="27" spans="2:14" ht="16.2" thickBot="1" x14ac:dyDescent="0.35">
      <c r="B27" s="187" t="s">
        <v>148</v>
      </c>
      <c r="C27" s="186">
        <f t="shared" ref="C27:N27" si="1">SUM(C15:C26)/12</f>
        <v>1907.3421935185186</v>
      </c>
      <c r="D27" s="186">
        <f t="shared" si="1"/>
        <v>1907.3421935185186</v>
      </c>
      <c r="E27" s="186">
        <f t="shared" si="1"/>
        <v>1907.3421935185186</v>
      </c>
      <c r="F27" s="186">
        <f t="shared" si="1"/>
        <v>1907.3421935185186</v>
      </c>
      <c r="G27" s="186">
        <f t="shared" si="1"/>
        <v>1907.3421935185186</v>
      </c>
      <c r="H27" s="186">
        <f t="shared" si="1"/>
        <v>1907.3421935185186</v>
      </c>
      <c r="I27" s="186">
        <f t="shared" si="1"/>
        <v>1907.3421935185186</v>
      </c>
      <c r="J27" s="186">
        <f t="shared" si="1"/>
        <v>1907.3421935185186</v>
      </c>
      <c r="K27" s="186">
        <f t="shared" si="1"/>
        <v>1907.3421935185186</v>
      </c>
      <c r="L27" s="186">
        <f t="shared" si="1"/>
        <v>1907.3421935185186</v>
      </c>
      <c r="M27" s="186">
        <f t="shared" si="1"/>
        <v>1907.3421935185186</v>
      </c>
      <c r="N27" s="186">
        <f t="shared" si="1"/>
        <v>1907.3421935185186</v>
      </c>
    </row>
    <row r="28" spans="2:14" ht="16.2" thickBot="1" x14ac:dyDescent="0.35">
      <c r="B28" s="137" t="s">
        <v>145</v>
      </c>
      <c r="C28" s="138">
        <f>M.O!R150</f>
        <v>18121.691288888887</v>
      </c>
      <c r="D28" s="138">
        <f>M.O!AJ150</f>
        <v>18121.691288888887</v>
      </c>
      <c r="E28" s="138">
        <f>M.O!BB150</f>
        <v>18121.691288888887</v>
      </c>
      <c r="F28" s="138">
        <f>M.O!BT150</f>
        <v>18121.691288888887</v>
      </c>
      <c r="G28" s="138">
        <f>M.O!CL150</f>
        <v>18121.691288888887</v>
      </c>
      <c r="H28" s="138">
        <f>M.O!DD150</f>
        <v>18121.691288888887</v>
      </c>
      <c r="I28" s="138">
        <f>M.O!DV150</f>
        <v>18121.691288888887</v>
      </c>
      <c r="J28" s="138">
        <f>M.O!EN150</f>
        <v>18121.691288888887</v>
      </c>
      <c r="K28" s="138">
        <f>M.O!FF150</f>
        <v>18121.691288888887</v>
      </c>
      <c r="L28" s="138">
        <f>M.O!FX150</f>
        <v>18121.691288888887</v>
      </c>
      <c r="M28" s="138">
        <f>M.O!GP150</f>
        <v>18121.691288888887</v>
      </c>
      <c r="N28" s="138">
        <f>M.O!HH150</f>
        <v>18121.691288888887</v>
      </c>
    </row>
    <row r="29" spans="2:14" ht="15" thickBot="1" x14ac:dyDescent="0.35">
      <c r="B29" s="197" t="s">
        <v>146</v>
      </c>
      <c r="C29" s="334">
        <f>C28/8</f>
        <v>2265.2114111111109</v>
      </c>
      <c r="D29" s="198">
        <f t="shared" ref="D29:N29" si="2">D28/8</f>
        <v>2265.2114111111109</v>
      </c>
      <c r="E29" s="198">
        <f t="shared" si="2"/>
        <v>2265.2114111111109</v>
      </c>
      <c r="F29" s="198">
        <f t="shared" si="2"/>
        <v>2265.2114111111109</v>
      </c>
      <c r="G29" s="198">
        <f t="shared" si="2"/>
        <v>2265.2114111111109</v>
      </c>
      <c r="H29" s="198">
        <f t="shared" si="2"/>
        <v>2265.2114111111109</v>
      </c>
      <c r="I29" s="198">
        <f t="shared" si="2"/>
        <v>2265.2114111111109</v>
      </c>
      <c r="J29" s="198">
        <f t="shared" si="2"/>
        <v>2265.2114111111109</v>
      </c>
      <c r="K29" s="198">
        <f t="shared" si="2"/>
        <v>2265.2114111111109</v>
      </c>
      <c r="L29" s="198">
        <f t="shared" si="2"/>
        <v>2265.2114111111109</v>
      </c>
      <c r="M29" s="198">
        <f t="shared" si="2"/>
        <v>2265.2114111111109</v>
      </c>
      <c r="N29" s="198">
        <f t="shared" si="2"/>
        <v>2265.2114111111109</v>
      </c>
    </row>
    <row r="30" spans="2:14" ht="15.6" x14ac:dyDescent="0.3">
      <c r="B30" s="137" t="s">
        <v>144</v>
      </c>
      <c r="C30" s="333">
        <f>M.O!R155</f>
        <v>13736.959911111111</v>
      </c>
      <c r="D30" s="333">
        <f>M.O!AJ155</f>
        <v>13736.959911111111</v>
      </c>
      <c r="E30" s="333">
        <f>M.O!BB155</f>
        <v>13736.959911111111</v>
      </c>
      <c r="F30" s="333">
        <f>M.O!BT155</f>
        <v>13736.959911111111</v>
      </c>
      <c r="G30" s="333">
        <f>M.O!CL155</f>
        <v>13736.959911111111</v>
      </c>
      <c r="H30" s="333">
        <f>M.O!DD155</f>
        <v>13736.959911111111</v>
      </c>
      <c r="I30" s="333">
        <f>M.O!DV155</f>
        <v>13736.959911111111</v>
      </c>
      <c r="J30" s="333">
        <f>M.O!EN155</f>
        <v>13736.959911111111</v>
      </c>
      <c r="K30" s="333">
        <f>M.O!FF155</f>
        <v>13736.959911111111</v>
      </c>
      <c r="L30" s="333">
        <f>M.O!FX155</f>
        <v>13736.959911111111</v>
      </c>
      <c r="M30" s="333">
        <f>M.O!GP155</f>
        <v>13736.959911111111</v>
      </c>
      <c r="N30" s="333">
        <f>M.O!HH155</f>
        <v>13736.959911111111</v>
      </c>
    </row>
    <row r="31" spans="2:14" ht="15" thickBot="1" x14ac:dyDescent="0.35">
      <c r="B31" s="197" t="s">
        <v>147</v>
      </c>
      <c r="C31" s="335">
        <f>C30/9</f>
        <v>1526.3288790123456</v>
      </c>
      <c r="D31" s="335">
        <f t="shared" ref="D31:N31" si="3">D30/9</f>
        <v>1526.3288790123456</v>
      </c>
      <c r="E31" s="335">
        <f t="shared" si="3"/>
        <v>1526.3288790123456</v>
      </c>
      <c r="F31" s="335">
        <f t="shared" si="3"/>
        <v>1526.3288790123456</v>
      </c>
      <c r="G31" s="335">
        <f t="shared" si="3"/>
        <v>1526.3288790123456</v>
      </c>
      <c r="H31" s="335">
        <f t="shared" si="3"/>
        <v>1526.3288790123456</v>
      </c>
      <c r="I31" s="335">
        <f t="shared" si="3"/>
        <v>1526.3288790123456</v>
      </c>
      <c r="J31" s="335">
        <f t="shared" si="3"/>
        <v>1526.3288790123456</v>
      </c>
      <c r="K31" s="335">
        <f t="shared" si="3"/>
        <v>1526.3288790123456</v>
      </c>
      <c r="L31" s="335">
        <f t="shared" si="3"/>
        <v>1526.3288790123456</v>
      </c>
      <c r="M31" s="335">
        <f t="shared" si="3"/>
        <v>1526.3288790123456</v>
      </c>
      <c r="N31" s="335">
        <f t="shared" si="3"/>
        <v>1526.3288790123456</v>
      </c>
    </row>
  </sheetData>
  <sheetProtection password="EE34" sheet="1" objects="1" scenarios="1"/>
  <hyperlinks>
    <hyperlink ref="A1" location="Menu!A1" display="Menu" xr:uid="{00000000-0004-0000-1D00-000000000000}"/>
  </hyperlinks>
  <pageMargins left="0.511811024" right="0.511811024" top="0.78740157499999996" bottom="0.78740157499999996" header="0.31496062000000002" footer="0.31496062000000002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 codeName="Plan29"/>
  <dimension ref="A1:P22"/>
  <sheetViews>
    <sheetView zoomScale="106" zoomScaleNormal="106" workbookViewId="0"/>
  </sheetViews>
  <sheetFormatPr defaultColWidth="9.109375" defaultRowHeight="14.4" x14ac:dyDescent="0.3"/>
  <cols>
    <col min="1" max="1" width="10.6640625" style="103" customWidth="1"/>
    <col min="2" max="2" width="11.33203125" style="103" customWidth="1"/>
    <col min="3" max="3" width="10.5546875" style="103" customWidth="1"/>
    <col min="4" max="4" width="10.44140625" style="103" customWidth="1"/>
    <col min="5" max="16" width="12.33203125" style="103" customWidth="1"/>
    <col min="17" max="16384" width="9.109375" style="103"/>
  </cols>
  <sheetData>
    <row r="1" spans="1:16" ht="30.6" thickBot="1" x14ac:dyDescent="0.35">
      <c r="A1" s="262" t="s">
        <v>110</v>
      </c>
      <c r="B1" s="110"/>
      <c r="C1" s="110"/>
      <c r="D1" s="110"/>
      <c r="E1" s="110"/>
      <c r="F1" s="110"/>
      <c r="G1" s="110"/>
      <c r="H1" s="110"/>
      <c r="I1" s="110"/>
      <c r="J1" s="110"/>
      <c r="K1" s="110"/>
      <c r="L1" s="110"/>
      <c r="M1" s="37"/>
      <c r="N1" s="37"/>
      <c r="O1" s="37"/>
      <c r="P1" s="37"/>
    </row>
    <row r="2" spans="1:16" ht="15" thickBot="1" x14ac:dyDescent="0.35">
      <c r="A2" s="37"/>
      <c r="B2" s="37"/>
      <c r="C2" s="37"/>
      <c r="D2" s="37"/>
      <c r="E2" s="37"/>
      <c r="F2" s="37"/>
      <c r="G2" s="37"/>
      <c r="H2" s="37"/>
      <c r="I2" s="37"/>
      <c r="J2" s="37"/>
      <c r="K2" s="37"/>
      <c r="L2" s="37"/>
      <c r="M2" s="37"/>
      <c r="N2" s="37"/>
      <c r="O2" s="37"/>
      <c r="P2" s="37"/>
    </row>
    <row r="3" spans="1:16" ht="17.399999999999999" x14ac:dyDescent="0.3">
      <c r="A3" s="753" t="s">
        <v>70</v>
      </c>
      <c r="B3" s="754"/>
      <c r="C3" s="754"/>
      <c r="D3" s="754"/>
      <c r="E3" s="111" t="s">
        <v>74</v>
      </c>
      <c r="F3" s="111" t="s">
        <v>75</v>
      </c>
      <c r="G3" s="111" t="s">
        <v>76</v>
      </c>
      <c r="H3" s="111" t="s">
        <v>77</v>
      </c>
      <c r="I3" s="111" t="s">
        <v>78</v>
      </c>
      <c r="J3" s="111" t="s">
        <v>79</v>
      </c>
      <c r="K3" s="111" t="s">
        <v>80</v>
      </c>
      <c r="L3" s="111" t="s">
        <v>81</v>
      </c>
      <c r="M3" s="111" t="s">
        <v>82</v>
      </c>
      <c r="N3" s="111" t="s">
        <v>83</v>
      </c>
      <c r="O3" s="111" t="s">
        <v>84</v>
      </c>
      <c r="P3" s="112" t="s">
        <v>85</v>
      </c>
    </row>
    <row r="4" spans="1:16" ht="16.5" customHeight="1" x14ac:dyDescent="0.3">
      <c r="A4" s="748" t="s">
        <v>86</v>
      </c>
      <c r="B4" s="749"/>
      <c r="C4" s="749"/>
      <c r="D4" s="749"/>
      <c r="E4" s="102">
        <f>'Custos Variáveis'!F37</f>
        <v>0</v>
      </c>
      <c r="F4" s="102">
        <f>'Custos Variáveis'!Q37</f>
        <v>0</v>
      </c>
      <c r="G4" s="102">
        <f>'Custos Variáveis'!AB35</f>
        <v>17878</v>
      </c>
      <c r="H4" s="102">
        <f>'Custos Variáveis'!AM35</f>
        <v>17878</v>
      </c>
      <c r="I4" s="102">
        <f>'Custos Variáveis'!AX35</f>
        <v>0</v>
      </c>
      <c r="J4" s="102">
        <f>'Custos Variáveis'!BI35</f>
        <v>0</v>
      </c>
      <c r="K4" s="102">
        <f>'Custos Variáveis'!BT35</f>
        <v>0</v>
      </c>
      <c r="L4" s="102">
        <f>'Custos Variáveis'!CE35</f>
        <v>0</v>
      </c>
      <c r="M4" s="102">
        <f>'Custos Variáveis'!CP35</f>
        <v>0</v>
      </c>
      <c r="N4" s="102">
        <f>'Custos Variáveis'!DA35</f>
        <v>0</v>
      </c>
      <c r="O4" s="102">
        <f>'Custos Variáveis'!DL37</f>
        <v>0</v>
      </c>
      <c r="P4" s="113">
        <f>'Custos Variáveis'!DW37</f>
        <v>0</v>
      </c>
    </row>
    <row r="5" spans="1:16" ht="16.5" customHeight="1" x14ac:dyDescent="0.3">
      <c r="A5" s="748" t="s">
        <v>67</v>
      </c>
      <c r="B5" s="749"/>
      <c r="C5" s="749"/>
      <c r="D5" s="749"/>
      <c r="E5" s="102">
        <f>'Custos Variáveis'!I37</f>
        <v>0</v>
      </c>
      <c r="F5" s="102">
        <f>'Custos Variáveis'!T37</f>
        <v>0</v>
      </c>
      <c r="G5" s="102">
        <f>'Custos Variáveis'!AE35</f>
        <v>25783</v>
      </c>
      <c r="H5" s="102">
        <f>'Custos Variáveis'!AP35</f>
        <v>10000</v>
      </c>
      <c r="I5" s="102">
        <f>'Custos Variáveis'!BA35</f>
        <v>0</v>
      </c>
      <c r="J5" s="102">
        <f>'Custos Variáveis'!BL35</f>
        <v>0</v>
      </c>
      <c r="K5" s="102">
        <f>'Custos Variáveis'!BW35</f>
        <v>0</v>
      </c>
      <c r="L5" s="102">
        <f>'Custos Variáveis'!CH35</f>
        <v>0</v>
      </c>
      <c r="M5" s="102">
        <f>'Custos Variáveis'!CS35</f>
        <v>0</v>
      </c>
      <c r="N5" s="102">
        <f>'Custos Variáveis'!DD35</f>
        <v>0</v>
      </c>
      <c r="O5" s="102">
        <f>'Custos Variáveis'!DO37</f>
        <v>0</v>
      </c>
      <c r="P5" s="113">
        <f>'Custos Variáveis'!DZ37</f>
        <v>0</v>
      </c>
    </row>
    <row r="6" spans="1:16" ht="16.5" customHeight="1" x14ac:dyDescent="0.3">
      <c r="A6" s="748" t="s">
        <v>142</v>
      </c>
      <c r="B6" s="749"/>
      <c r="C6" s="749"/>
      <c r="D6" s="749"/>
      <c r="E6" s="102">
        <f>'Custos Variáveis'!L37</f>
        <v>0</v>
      </c>
      <c r="F6" s="102">
        <f>'Custos Variáveis'!W37</f>
        <v>0</v>
      </c>
      <c r="G6" s="102">
        <f>'Custos Variáveis'!AH35</f>
        <v>2025</v>
      </c>
      <c r="H6" s="102">
        <f>'Custos Variáveis'!AS35</f>
        <v>2025</v>
      </c>
      <c r="I6" s="102">
        <f>'Custos Variáveis'!BD35</f>
        <v>0</v>
      </c>
      <c r="J6" s="102">
        <f>'Custos Variáveis'!BO35</f>
        <v>0</v>
      </c>
      <c r="K6" s="102">
        <f>'Custos Variáveis'!BZ35</f>
        <v>0</v>
      </c>
      <c r="L6" s="102">
        <f>'Custos Variáveis'!CK35</f>
        <v>0</v>
      </c>
      <c r="M6" s="102">
        <f>'Custos Variáveis'!CV35</f>
        <v>0</v>
      </c>
      <c r="N6" s="102">
        <f>'Custos Variáveis'!DG35</f>
        <v>0</v>
      </c>
      <c r="O6" s="102">
        <f>'Custos Variáveis'!DR37</f>
        <v>0</v>
      </c>
      <c r="P6" s="113">
        <f>'Custos Variáveis'!EC37</f>
        <v>0</v>
      </c>
    </row>
    <row r="7" spans="1:16" ht="16.5" customHeight="1" x14ac:dyDescent="0.3">
      <c r="A7" s="748"/>
      <c r="B7" s="749"/>
      <c r="C7" s="749"/>
      <c r="D7" s="749"/>
      <c r="E7" s="102"/>
      <c r="F7" s="102"/>
      <c r="G7" s="102"/>
      <c r="H7" s="102"/>
      <c r="I7" s="102"/>
      <c r="J7" s="102"/>
      <c r="K7" s="102"/>
      <c r="L7" s="102"/>
      <c r="M7" s="102"/>
      <c r="N7" s="102"/>
      <c r="O7" s="102"/>
      <c r="P7" s="113"/>
    </row>
    <row r="8" spans="1:16" ht="15.6" x14ac:dyDescent="0.3">
      <c r="A8" s="748"/>
      <c r="B8" s="749"/>
      <c r="C8" s="749"/>
      <c r="D8" s="749"/>
      <c r="E8" s="102"/>
      <c r="F8" s="102"/>
      <c r="G8" s="102"/>
      <c r="H8" s="102"/>
      <c r="I8" s="102"/>
      <c r="J8" s="102"/>
      <c r="K8" s="102"/>
      <c r="L8" s="102"/>
      <c r="M8" s="102"/>
      <c r="N8" s="102"/>
      <c r="O8" s="102"/>
      <c r="P8" s="113"/>
    </row>
    <row r="9" spans="1:16" ht="15.6" x14ac:dyDescent="0.3">
      <c r="A9" s="748"/>
      <c r="B9" s="749"/>
      <c r="C9" s="749"/>
      <c r="D9" s="749"/>
      <c r="E9" s="102"/>
      <c r="F9" s="102"/>
      <c r="G9" s="102"/>
      <c r="H9" s="102"/>
      <c r="I9" s="102"/>
      <c r="J9" s="102"/>
      <c r="K9" s="102"/>
      <c r="L9" s="102"/>
      <c r="M9" s="102"/>
      <c r="N9" s="102"/>
      <c r="O9" s="102"/>
      <c r="P9" s="113"/>
    </row>
    <row r="10" spans="1:16" ht="15.6" x14ac:dyDescent="0.3">
      <c r="A10" s="748"/>
      <c r="B10" s="749"/>
      <c r="C10" s="749"/>
      <c r="D10" s="749"/>
      <c r="E10" s="102"/>
      <c r="F10" s="102"/>
      <c r="G10" s="102"/>
      <c r="H10" s="102"/>
      <c r="I10" s="102"/>
      <c r="J10" s="102"/>
      <c r="K10" s="102"/>
      <c r="L10" s="102"/>
      <c r="M10" s="102"/>
      <c r="N10" s="102"/>
      <c r="O10" s="102"/>
      <c r="P10" s="113"/>
    </row>
    <row r="11" spans="1:16" ht="15.6" x14ac:dyDescent="0.3">
      <c r="A11" s="748"/>
      <c r="B11" s="749"/>
      <c r="C11" s="749"/>
      <c r="D11" s="749"/>
      <c r="E11" s="102"/>
      <c r="F11" s="102"/>
      <c r="G11" s="102"/>
      <c r="H11" s="102"/>
      <c r="I11" s="102"/>
      <c r="J11" s="102"/>
      <c r="K11" s="102"/>
      <c r="L11" s="102"/>
      <c r="M11" s="102"/>
      <c r="N11" s="102"/>
      <c r="O11" s="102"/>
      <c r="P11" s="113"/>
    </row>
    <row r="12" spans="1:16" ht="15.6" x14ac:dyDescent="0.3">
      <c r="A12" s="750"/>
      <c r="B12" s="751"/>
      <c r="C12" s="751"/>
      <c r="D12" s="752"/>
      <c r="E12" s="102"/>
      <c r="F12" s="102"/>
      <c r="G12" s="102"/>
      <c r="H12" s="102"/>
      <c r="I12" s="102"/>
      <c r="J12" s="102"/>
      <c r="K12" s="102"/>
      <c r="L12" s="102"/>
      <c r="M12" s="102"/>
      <c r="N12" s="102"/>
      <c r="O12" s="102"/>
      <c r="P12" s="113"/>
    </row>
    <row r="13" spans="1:16" ht="15.6" x14ac:dyDescent="0.3">
      <c r="A13" s="748"/>
      <c r="B13" s="749"/>
      <c r="C13" s="749"/>
      <c r="D13" s="749"/>
      <c r="E13" s="102"/>
      <c r="F13" s="102"/>
      <c r="G13" s="102"/>
      <c r="H13" s="102"/>
      <c r="I13" s="102"/>
      <c r="J13" s="102"/>
      <c r="K13" s="102"/>
      <c r="L13" s="102"/>
      <c r="M13" s="102"/>
      <c r="N13" s="102"/>
      <c r="O13" s="102"/>
      <c r="P13" s="113"/>
    </row>
    <row r="14" spans="1:16" ht="15.6" x14ac:dyDescent="0.3">
      <c r="A14" s="748"/>
      <c r="B14" s="749"/>
      <c r="C14" s="749"/>
      <c r="D14" s="749"/>
      <c r="E14" s="102"/>
      <c r="F14" s="102"/>
      <c r="G14" s="102"/>
      <c r="H14" s="102"/>
      <c r="I14" s="102"/>
      <c r="J14" s="102"/>
      <c r="K14" s="102"/>
      <c r="L14" s="102"/>
      <c r="M14" s="102"/>
      <c r="N14" s="102"/>
      <c r="O14" s="102"/>
      <c r="P14" s="113"/>
    </row>
    <row r="15" spans="1:16" ht="15.6" x14ac:dyDescent="0.3">
      <c r="A15" s="748"/>
      <c r="B15" s="749"/>
      <c r="C15" s="749"/>
      <c r="D15" s="749"/>
      <c r="E15" s="102"/>
      <c r="F15" s="102"/>
      <c r="G15" s="102"/>
      <c r="H15" s="102"/>
      <c r="I15" s="102"/>
      <c r="J15" s="102"/>
      <c r="K15" s="102"/>
      <c r="L15" s="102"/>
      <c r="M15" s="102"/>
      <c r="N15" s="102"/>
      <c r="O15" s="102"/>
      <c r="P15" s="113"/>
    </row>
    <row r="16" spans="1:16" ht="15.6" x14ac:dyDescent="0.3">
      <c r="A16" s="748"/>
      <c r="B16" s="749"/>
      <c r="C16" s="749"/>
      <c r="D16" s="749"/>
      <c r="E16" s="102"/>
      <c r="F16" s="102"/>
      <c r="G16" s="102"/>
      <c r="H16" s="102"/>
      <c r="I16" s="102"/>
      <c r="J16" s="102"/>
      <c r="K16" s="102"/>
      <c r="L16" s="102"/>
      <c r="M16" s="102"/>
      <c r="N16" s="102"/>
      <c r="O16" s="102"/>
      <c r="P16" s="113"/>
    </row>
    <row r="17" spans="1:16" ht="15.6" x14ac:dyDescent="0.3">
      <c r="A17" s="748"/>
      <c r="B17" s="749"/>
      <c r="C17" s="749"/>
      <c r="D17" s="749"/>
      <c r="E17" s="102"/>
      <c r="F17" s="102"/>
      <c r="G17" s="102"/>
      <c r="H17" s="102"/>
      <c r="I17" s="102"/>
      <c r="J17" s="102"/>
      <c r="K17" s="102"/>
      <c r="L17" s="102"/>
      <c r="M17" s="102"/>
      <c r="N17" s="102"/>
      <c r="O17" s="102"/>
      <c r="P17" s="113"/>
    </row>
    <row r="18" spans="1:16" ht="15.6" x14ac:dyDescent="0.3">
      <c r="A18" s="750"/>
      <c r="B18" s="751"/>
      <c r="C18" s="751"/>
      <c r="D18" s="752"/>
      <c r="E18" s="102"/>
      <c r="F18" s="102"/>
      <c r="G18" s="102"/>
      <c r="H18" s="102"/>
      <c r="I18" s="102"/>
      <c r="J18" s="102"/>
      <c r="K18" s="102"/>
      <c r="L18" s="102"/>
      <c r="M18" s="102"/>
      <c r="N18" s="102"/>
      <c r="O18" s="102"/>
      <c r="P18" s="113"/>
    </row>
    <row r="19" spans="1:16" ht="15.6" x14ac:dyDescent="0.3">
      <c r="A19" s="748"/>
      <c r="B19" s="749"/>
      <c r="C19" s="749"/>
      <c r="D19" s="749"/>
      <c r="E19" s="102"/>
      <c r="F19" s="102"/>
      <c r="G19" s="102"/>
      <c r="H19" s="102"/>
      <c r="I19" s="102"/>
      <c r="J19" s="102"/>
      <c r="K19" s="102"/>
      <c r="L19" s="102"/>
      <c r="M19" s="102"/>
      <c r="N19" s="102"/>
      <c r="O19" s="102"/>
      <c r="P19" s="113"/>
    </row>
    <row r="20" spans="1:16" ht="16.2" thickBot="1" x14ac:dyDescent="0.35">
      <c r="A20" s="755" t="s">
        <v>87</v>
      </c>
      <c r="B20" s="756"/>
      <c r="C20" s="756"/>
      <c r="D20" s="756"/>
      <c r="E20" s="139">
        <f t="shared" ref="E20:P20" si="0">SUM(E4:E19)</f>
        <v>0</v>
      </c>
      <c r="F20" s="139">
        <f t="shared" si="0"/>
        <v>0</v>
      </c>
      <c r="G20" s="139">
        <f t="shared" si="0"/>
        <v>45686</v>
      </c>
      <c r="H20" s="139">
        <f t="shared" si="0"/>
        <v>29903</v>
      </c>
      <c r="I20" s="139">
        <f t="shared" si="0"/>
        <v>0</v>
      </c>
      <c r="J20" s="139">
        <f t="shared" si="0"/>
        <v>0</v>
      </c>
      <c r="K20" s="139">
        <f t="shared" si="0"/>
        <v>0</v>
      </c>
      <c r="L20" s="139">
        <f t="shared" si="0"/>
        <v>0</v>
      </c>
      <c r="M20" s="139">
        <f t="shared" si="0"/>
        <v>0</v>
      </c>
      <c r="N20" s="139">
        <f t="shared" si="0"/>
        <v>0</v>
      </c>
      <c r="O20" s="139">
        <f t="shared" si="0"/>
        <v>0</v>
      </c>
      <c r="P20" s="140">
        <f t="shared" si="0"/>
        <v>0</v>
      </c>
    </row>
    <row r="21" spans="1:16" ht="15.75" customHeight="1" thickBot="1" x14ac:dyDescent="0.35">
      <c r="A21" s="757" t="s">
        <v>187</v>
      </c>
      <c r="B21" s="758"/>
      <c r="C21" s="758"/>
      <c r="D21" s="759"/>
      <c r="E21" s="141">
        <f>E20/19</f>
        <v>0</v>
      </c>
      <c r="F21" s="141">
        <f t="shared" ref="F21:P21" si="1">F20/19</f>
        <v>0</v>
      </c>
      <c r="G21" s="141">
        <f t="shared" si="1"/>
        <v>2404.5263157894738</v>
      </c>
      <c r="H21" s="141">
        <f t="shared" si="1"/>
        <v>1573.8421052631579</v>
      </c>
      <c r="I21" s="141">
        <f t="shared" si="1"/>
        <v>0</v>
      </c>
      <c r="J21" s="141">
        <f t="shared" si="1"/>
        <v>0</v>
      </c>
      <c r="K21" s="141">
        <f t="shared" si="1"/>
        <v>0</v>
      </c>
      <c r="L21" s="141">
        <f t="shared" si="1"/>
        <v>0</v>
      </c>
      <c r="M21" s="141">
        <f t="shared" si="1"/>
        <v>0</v>
      </c>
      <c r="N21" s="141">
        <f t="shared" si="1"/>
        <v>0</v>
      </c>
      <c r="O21" s="141">
        <f t="shared" si="1"/>
        <v>0</v>
      </c>
      <c r="P21" s="141">
        <f t="shared" si="1"/>
        <v>0</v>
      </c>
    </row>
    <row r="22" spans="1:16" ht="15" thickBot="1" x14ac:dyDescent="0.35">
      <c r="A22" s="760"/>
      <c r="B22" s="761"/>
      <c r="C22" s="761"/>
      <c r="D22" s="762"/>
    </row>
  </sheetData>
  <sheetProtection password="EE34" sheet="1" objects="1" scenarios="1"/>
  <protectedRanges>
    <protectedRange sqref="A4:D19" name="Intervalo1"/>
  </protectedRanges>
  <mergeCells count="19">
    <mergeCell ref="A19:D19"/>
    <mergeCell ref="A20:D20"/>
    <mergeCell ref="A18:D18"/>
    <mergeCell ref="A21:D22"/>
    <mergeCell ref="A14:D14"/>
    <mergeCell ref="A15:D15"/>
    <mergeCell ref="A16:D16"/>
    <mergeCell ref="A17:D17"/>
    <mergeCell ref="A3:D3"/>
    <mergeCell ref="A4:D4"/>
    <mergeCell ref="A5:D5"/>
    <mergeCell ref="A6:D6"/>
    <mergeCell ref="A7:D7"/>
    <mergeCell ref="A8:D8"/>
    <mergeCell ref="A9:D9"/>
    <mergeCell ref="A10:D10"/>
    <mergeCell ref="A11:D11"/>
    <mergeCell ref="A13:D13"/>
    <mergeCell ref="A12:D12"/>
  </mergeCells>
  <hyperlinks>
    <hyperlink ref="A1" location="Menu!A1" display="Menu" xr:uid="{00000000-0004-0000-1E00-000000000000}"/>
  </hyperlinks>
  <pageMargins left="0.511811024" right="0.511811024" top="0.78740157499999996" bottom="0.78740157499999996" header="0.31496062000000002" footer="0.31496062000000002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 codeName="Plan30"/>
  <dimension ref="A1:EC40"/>
  <sheetViews>
    <sheetView topLeftCell="X1" workbookViewId="0"/>
  </sheetViews>
  <sheetFormatPr defaultColWidth="9.109375" defaultRowHeight="14.4" x14ac:dyDescent="0.3"/>
  <cols>
    <col min="1" max="1" width="11.88671875" style="103" bestFit="1" customWidth="1"/>
    <col min="2" max="2" width="9.109375" style="103"/>
    <col min="3" max="6" width="12.33203125" style="103" bestFit="1" customWidth="1"/>
    <col min="7" max="7" width="13.5546875" style="103" bestFit="1" customWidth="1"/>
    <col min="8" max="8" width="12.33203125" style="103" customWidth="1"/>
    <col min="9" max="9" width="13.5546875" style="103" bestFit="1" customWidth="1"/>
    <col min="10" max="10" width="13.5546875" style="103" customWidth="1"/>
    <col min="11" max="11" width="12.33203125" style="103" customWidth="1"/>
    <col min="12" max="12" width="13.5546875" style="103" bestFit="1" customWidth="1"/>
    <col min="13" max="13" width="9.109375" style="103"/>
    <col min="14" max="17" width="12.33203125" style="103" bestFit="1" customWidth="1"/>
    <col min="18" max="18" width="13.5546875" style="103" bestFit="1" customWidth="1"/>
    <col min="19" max="19" width="9.109375" style="103"/>
    <col min="20" max="20" width="13.5546875" style="103" bestFit="1" customWidth="1"/>
    <col min="21" max="21" width="13.5546875" style="103" customWidth="1"/>
    <col min="22" max="23" width="12.33203125" style="103" bestFit="1" customWidth="1"/>
    <col min="24" max="24" width="9.109375" style="103"/>
    <col min="25" max="25" width="13.5546875" style="103" bestFit="1" customWidth="1"/>
    <col min="26" max="27" width="12.33203125" style="103" bestFit="1" customWidth="1"/>
    <col min="28" max="29" width="13.5546875" style="103" bestFit="1" customWidth="1"/>
    <col min="30" max="30" width="9.109375" style="103"/>
    <col min="31" max="31" width="13.5546875" style="103" bestFit="1" customWidth="1"/>
    <col min="32" max="32" width="12.33203125" style="103" bestFit="1" customWidth="1"/>
    <col min="33" max="33" width="9.109375" style="103"/>
    <col min="34" max="34" width="12.33203125" style="103" bestFit="1" customWidth="1"/>
    <col min="35" max="35" width="9.109375" style="103"/>
    <col min="36" max="36" width="13.5546875" style="103" bestFit="1" customWidth="1"/>
    <col min="37" max="38" width="12.33203125" style="103" bestFit="1" customWidth="1"/>
    <col min="39" max="40" width="13.5546875" style="103" bestFit="1" customWidth="1"/>
    <col min="41" max="41" width="11.5546875" style="103" bestFit="1" customWidth="1"/>
    <col min="42" max="42" width="13.5546875" style="103" bestFit="1" customWidth="1"/>
    <col min="43" max="43" width="12.33203125" style="103" bestFit="1" customWidth="1"/>
    <col min="44" max="44" width="9.109375" style="103"/>
    <col min="45" max="45" width="12.33203125" style="103" bestFit="1" customWidth="1"/>
    <col min="46" max="46" width="9.109375" style="103"/>
    <col min="47" max="50" width="12.33203125" style="103" bestFit="1" customWidth="1"/>
    <col min="51" max="51" width="13.5546875" style="103" bestFit="1" customWidth="1"/>
    <col min="52" max="52" width="9.109375" style="103"/>
    <col min="53" max="53" width="13.5546875" style="103" bestFit="1" customWidth="1"/>
    <col min="54" max="54" width="12.33203125" style="103" bestFit="1" customWidth="1"/>
    <col min="55" max="55" width="9.109375" style="103"/>
    <col min="56" max="56" width="12.33203125" style="103" bestFit="1" customWidth="1"/>
    <col min="57" max="57" width="9.109375" style="103"/>
    <col min="58" max="61" width="12.33203125" style="103" bestFit="1" customWidth="1"/>
    <col min="62" max="62" width="13.5546875" style="103" bestFit="1" customWidth="1"/>
    <col min="63" max="63" width="9.109375" style="103"/>
    <col min="64" max="64" width="13.5546875" style="103" bestFit="1" customWidth="1"/>
    <col min="65" max="65" width="12.33203125" style="103" bestFit="1" customWidth="1"/>
    <col min="66" max="66" width="8.33203125" style="103" bestFit="1" customWidth="1"/>
    <col min="67" max="67" width="12.33203125" style="103" bestFit="1" customWidth="1"/>
    <col min="68" max="68" width="9.109375" style="103"/>
    <col min="69" max="72" width="12.33203125" style="103" bestFit="1" customWidth="1"/>
    <col min="73" max="73" width="13.5546875" style="103" bestFit="1" customWidth="1"/>
    <col min="74" max="74" width="11.5546875" style="103" bestFit="1" customWidth="1"/>
    <col min="75" max="75" width="13.5546875" style="103" bestFit="1" customWidth="1"/>
    <col min="76" max="76" width="12.33203125" style="103" bestFit="1" customWidth="1"/>
    <col min="77" max="77" width="9.109375" style="103"/>
    <col min="78" max="78" width="12.33203125" style="103" bestFit="1" customWidth="1"/>
    <col min="79" max="79" width="9.109375" style="103"/>
    <col min="80" max="83" width="12.33203125" style="103" bestFit="1" customWidth="1"/>
    <col min="84" max="84" width="13.5546875" style="103" bestFit="1" customWidth="1"/>
    <col min="85" max="85" width="9.109375" style="103"/>
    <col min="86" max="86" width="13.5546875" style="103" bestFit="1" customWidth="1"/>
    <col min="87" max="87" width="12.33203125" style="103" bestFit="1" customWidth="1"/>
    <col min="88" max="88" width="9.109375" style="103"/>
    <col min="89" max="89" width="12.33203125" style="103" bestFit="1" customWidth="1"/>
    <col min="90" max="90" width="9.109375" style="103"/>
    <col min="91" max="91" width="12.44140625" style="103" bestFit="1" customWidth="1"/>
    <col min="92" max="94" width="12.33203125" style="103" bestFit="1" customWidth="1"/>
    <col min="95" max="95" width="13.5546875" style="103" bestFit="1" customWidth="1"/>
    <col min="96" max="96" width="9.109375" style="103"/>
    <col min="97" max="97" width="13.5546875" style="103" bestFit="1" customWidth="1"/>
    <col min="98" max="98" width="12.33203125" style="103" bestFit="1" customWidth="1"/>
    <col min="99" max="99" width="9.109375" style="103"/>
    <col min="100" max="100" width="12.33203125" style="103" bestFit="1" customWidth="1"/>
    <col min="101" max="101" width="9.109375" style="103"/>
    <col min="102" max="105" width="12.33203125" style="103" bestFit="1" customWidth="1"/>
    <col min="106" max="106" width="13.5546875" style="103" bestFit="1" customWidth="1"/>
    <col min="107" max="107" width="11.5546875" style="103" bestFit="1" customWidth="1"/>
    <col min="108" max="108" width="13.5546875" style="103" bestFit="1" customWidth="1"/>
    <col min="109" max="109" width="12.33203125" style="103" bestFit="1" customWidth="1"/>
    <col min="110" max="110" width="9.109375" style="103"/>
    <col min="111" max="111" width="12.33203125" style="103" bestFit="1" customWidth="1"/>
    <col min="112" max="112" width="9.109375" style="103"/>
    <col min="113" max="113" width="13.44140625" style="103" bestFit="1" customWidth="1"/>
    <col min="114" max="116" width="12.33203125" style="103" bestFit="1" customWidth="1"/>
    <col min="117" max="117" width="13.5546875" style="103" bestFit="1" customWidth="1"/>
    <col min="118" max="118" width="9.109375" style="103"/>
    <col min="119" max="119" width="13.5546875" style="103" bestFit="1" customWidth="1"/>
    <col min="120" max="120" width="12.33203125" style="103" bestFit="1" customWidth="1"/>
    <col min="121" max="121" width="9.109375" style="103"/>
    <col min="122" max="122" width="12.33203125" style="103" bestFit="1" customWidth="1"/>
    <col min="123" max="123" width="9.109375" style="103"/>
    <col min="124" max="127" width="12.33203125" style="103" bestFit="1" customWidth="1"/>
    <col min="128" max="128" width="13.5546875" style="103" bestFit="1" customWidth="1"/>
    <col min="129" max="129" width="9.109375" style="103"/>
    <col min="130" max="130" width="13.5546875" style="103" bestFit="1" customWidth="1"/>
    <col min="131" max="131" width="12.33203125" style="103" bestFit="1" customWidth="1"/>
    <col min="132" max="132" width="9.109375" style="103"/>
    <col min="133" max="133" width="12.33203125" style="103" bestFit="1" customWidth="1"/>
    <col min="134" max="16384" width="9.109375" style="103"/>
  </cols>
  <sheetData>
    <row r="1" spans="1:133" ht="29.4" thickBot="1" x14ac:dyDescent="0.35">
      <c r="A1" s="262" t="s">
        <v>110</v>
      </c>
      <c r="B1" s="37"/>
      <c r="C1" s="37"/>
      <c r="D1" s="37"/>
      <c r="E1" s="37"/>
      <c r="F1" s="37"/>
      <c r="G1" s="37"/>
      <c r="H1" s="37"/>
      <c r="I1" s="37"/>
      <c r="J1" s="37"/>
      <c r="K1" s="37"/>
      <c r="L1" s="37"/>
      <c r="M1" s="37"/>
      <c r="N1" s="37"/>
      <c r="O1" s="37"/>
      <c r="P1" s="37"/>
      <c r="Q1" s="37"/>
      <c r="R1" s="37"/>
      <c r="S1" s="37"/>
      <c r="T1" s="37"/>
      <c r="U1" s="37"/>
      <c r="V1" s="37"/>
      <c r="W1" s="37"/>
      <c r="DP1" s="328"/>
      <c r="DQ1" s="328"/>
      <c r="DR1" s="328"/>
    </row>
    <row r="2" spans="1:133" ht="18" x14ac:dyDescent="0.35">
      <c r="B2" s="37"/>
      <c r="C2" s="315" t="s">
        <v>20</v>
      </c>
      <c r="D2" s="766" t="s">
        <v>186</v>
      </c>
      <c r="E2" s="766"/>
      <c r="F2" s="315"/>
      <c r="G2" s="315"/>
      <c r="H2" s="331" t="s">
        <v>67</v>
      </c>
      <c r="I2" s="196"/>
      <c r="J2" s="328"/>
      <c r="K2" s="770" t="s">
        <v>143</v>
      </c>
      <c r="L2" s="770"/>
      <c r="M2" s="37"/>
      <c r="N2" s="330" t="s">
        <v>32</v>
      </c>
      <c r="O2" s="766" t="s">
        <v>66</v>
      </c>
      <c r="P2" s="766"/>
      <c r="Q2" s="315"/>
      <c r="R2" s="763" t="s">
        <v>67</v>
      </c>
      <c r="S2" s="763"/>
      <c r="T2" s="196"/>
      <c r="U2" s="763" t="s">
        <v>143</v>
      </c>
      <c r="V2" s="763"/>
      <c r="W2" s="763"/>
      <c r="Y2" s="330" t="s">
        <v>33</v>
      </c>
      <c r="Z2" s="766" t="s">
        <v>186</v>
      </c>
      <c r="AA2" s="766"/>
      <c r="AB2" s="315"/>
      <c r="AC2" s="763" t="s">
        <v>67</v>
      </c>
      <c r="AD2" s="763"/>
      <c r="AE2" s="196"/>
      <c r="AF2" s="763" t="s">
        <v>143</v>
      </c>
      <c r="AG2" s="763"/>
      <c r="AH2" s="763"/>
      <c r="AI2" s="37"/>
      <c r="AJ2" s="315" t="s">
        <v>34</v>
      </c>
      <c r="AK2" s="766" t="s">
        <v>186</v>
      </c>
      <c r="AL2" s="766"/>
      <c r="AM2" s="315"/>
      <c r="AN2" s="315"/>
      <c r="AO2" s="332" t="s">
        <v>67</v>
      </c>
      <c r="AP2" s="196"/>
      <c r="AQ2" s="328"/>
      <c r="AR2" s="770" t="s">
        <v>143</v>
      </c>
      <c r="AS2" s="770"/>
      <c r="AT2" s="37"/>
      <c r="AU2" s="330" t="s">
        <v>35</v>
      </c>
      <c r="AV2" s="766" t="s">
        <v>186</v>
      </c>
      <c r="AW2" s="766"/>
      <c r="AX2" s="315"/>
      <c r="AY2" s="763" t="s">
        <v>67</v>
      </c>
      <c r="AZ2" s="763"/>
      <c r="BA2" s="196"/>
      <c r="BB2" s="763" t="s">
        <v>143</v>
      </c>
      <c r="BC2" s="763"/>
      <c r="BD2" s="763"/>
      <c r="BF2" s="330" t="s">
        <v>36</v>
      </c>
      <c r="BG2" s="766" t="s">
        <v>186</v>
      </c>
      <c r="BH2" s="766"/>
      <c r="BI2" s="315"/>
      <c r="BJ2" s="769" t="s">
        <v>67</v>
      </c>
      <c r="BK2" s="769"/>
      <c r="BL2" s="196"/>
      <c r="BM2" s="769" t="s">
        <v>143</v>
      </c>
      <c r="BN2" s="769"/>
      <c r="BO2" s="769"/>
      <c r="BP2" s="37"/>
      <c r="BQ2" s="315" t="s">
        <v>73</v>
      </c>
      <c r="BR2" s="766" t="s">
        <v>186</v>
      </c>
      <c r="BS2" s="766"/>
      <c r="BT2" s="315"/>
      <c r="BU2" s="315"/>
      <c r="BV2" s="331" t="s">
        <v>67</v>
      </c>
      <c r="BW2" s="196"/>
      <c r="BX2" s="328"/>
      <c r="BY2" s="768" t="s">
        <v>143</v>
      </c>
      <c r="BZ2" s="768"/>
      <c r="CA2" s="37"/>
      <c r="CB2" s="330" t="s">
        <v>38</v>
      </c>
      <c r="CC2" s="766" t="s">
        <v>186</v>
      </c>
      <c r="CD2" s="766"/>
      <c r="CE2" s="315"/>
      <c r="CF2" s="769" t="s">
        <v>67</v>
      </c>
      <c r="CG2" s="769"/>
      <c r="CH2" s="196"/>
      <c r="CI2" s="769" t="s">
        <v>143</v>
      </c>
      <c r="CJ2" s="769"/>
      <c r="CK2" s="769"/>
      <c r="CM2" s="330" t="s">
        <v>39</v>
      </c>
      <c r="CN2" s="766" t="s">
        <v>186</v>
      </c>
      <c r="CO2" s="766"/>
      <c r="CP2" s="315"/>
      <c r="CQ2" s="763" t="s">
        <v>67</v>
      </c>
      <c r="CR2" s="763"/>
      <c r="CS2" s="196"/>
      <c r="CT2" s="763" t="s">
        <v>143</v>
      </c>
      <c r="CU2" s="763"/>
      <c r="CV2" s="763"/>
      <c r="CW2" s="37"/>
      <c r="CX2" s="315" t="s">
        <v>40</v>
      </c>
      <c r="CY2" s="766" t="s">
        <v>186</v>
      </c>
      <c r="CZ2" s="766"/>
      <c r="DA2" s="315"/>
      <c r="DB2" s="315"/>
      <c r="DC2" s="332" t="s">
        <v>67</v>
      </c>
      <c r="DD2" s="196"/>
      <c r="DE2" s="328"/>
      <c r="DF2" s="767" t="s">
        <v>143</v>
      </c>
      <c r="DG2" s="767"/>
      <c r="DH2" s="37"/>
      <c r="DI2" s="330" t="s">
        <v>41</v>
      </c>
      <c r="DJ2" s="766" t="s">
        <v>186</v>
      </c>
      <c r="DK2" s="766"/>
      <c r="DL2" s="315"/>
      <c r="DM2" s="763" t="s">
        <v>67</v>
      </c>
      <c r="DN2" s="763"/>
      <c r="DO2" s="196"/>
      <c r="DP2" s="763" t="s">
        <v>143</v>
      </c>
      <c r="DQ2" s="763"/>
      <c r="DR2" s="763"/>
      <c r="DT2" s="330" t="s">
        <v>42</v>
      </c>
      <c r="DU2" s="766" t="s">
        <v>186</v>
      </c>
      <c r="DV2" s="766"/>
      <c r="DW2" s="315"/>
      <c r="DX2" s="763" t="s">
        <v>67</v>
      </c>
      <c r="DY2" s="763"/>
      <c r="DZ2" s="196"/>
      <c r="EA2" s="763" t="s">
        <v>143</v>
      </c>
      <c r="EB2" s="763"/>
      <c r="EC2" s="763"/>
    </row>
    <row r="3" spans="1:133" ht="61.8" x14ac:dyDescent="0.3">
      <c r="B3" s="114" t="s">
        <v>68</v>
      </c>
      <c r="C3" s="115" t="s">
        <v>186</v>
      </c>
      <c r="D3" s="116"/>
      <c r="E3" s="117"/>
      <c r="F3" s="118" t="s">
        <v>69</v>
      </c>
      <c r="G3" s="117" t="s">
        <v>141</v>
      </c>
      <c r="H3" s="117"/>
      <c r="I3" s="119" t="s">
        <v>69</v>
      </c>
      <c r="J3" s="314" t="s">
        <v>142</v>
      </c>
      <c r="K3" s="314"/>
      <c r="L3" s="119" t="s">
        <v>69</v>
      </c>
      <c r="M3" s="114" t="s">
        <v>68</v>
      </c>
      <c r="N3" s="115" t="s">
        <v>186</v>
      </c>
      <c r="O3" s="116"/>
      <c r="P3" s="117"/>
      <c r="Q3" s="118" t="s">
        <v>69</v>
      </c>
      <c r="R3" s="117" t="s">
        <v>141</v>
      </c>
      <c r="S3" s="117"/>
      <c r="T3" s="119" t="s">
        <v>69</v>
      </c>
      <c r="U3" s="314" t="s">
        <v>142</v>
      </c>
      <c r="V3" s="314"/>
      <c r="W3" s="119" t="s">
        <v>69</v>
      </c>
      <c r="X3" s="114" t="s">
        <v>68</v>
      </c>
      <c r="Y3" s="115" t="s">
        <v>186</v>
      </c>
      <c r="Z3" s="116"/>
      <c r="AA3" s="117"/>
      <c r="AB3" s="118" t="s">
        <v>69</v>
      </c>
      <c r="AC3" s="117" t="s">
        <v>141</v>
      </c>
      <c r="AD3" s="117"/>
      <c r="AE3" s="119" t="s">
        <v>69</v>
      </c>
      <c r="AF3" s="314" t="s">
        <v>142</v>
      </c>
      <c r="AG3" s="314"/>
      <c r="AH3" s="119" t="s">
        <v>69</v>
      </c>
      <c r="AI3" s="114" t="s">
        <v>68</v>
      </c>
      <c r="AJ3" s="115" t="s">
        <v>186</v>
      </c>
      <c r="AK3" s="116"/>
      <c r="AL3" s="117"/>
      <c r="AM3" s="118" t="s">
        <v>69</v>
      </c>
      <c r="AN3" s="117" t="s">
        <v>141</v>
      </c>
      <c r="AO3" s="117"/>
      <c r="AP3" s="119" t="s">
        <v>69</v>
      </c>
      <c r="AQ3" s="314" t="s">
        <v>142</v>
      </c>
      <c r="AR3" s="314"/>
      <c r="AS3" s="119" t="s">
        <v>69</v>
      </c>
      <c r="AT3" s="114" t="s">
        <v>68</v>
      </c>
      <c r="AU3" s="115" t="s">
        <v>186</v>
      </c>
      <c r="AV3" s="116"/>
      <c r="AW3" s="117"/>
      <c r="AX3" s="118" t="s">
        <v>69</v>
      </c>
      <c r="AY3" s="117" t="s">
        <v>141</v>
      </c>
      <c r="AZ3" s="117"/>
      <c r="BA3" s="119" t="s">
        <v>69</v>
      </c>
      <c r="BB3" s="314" t="s">
        <v>142</v>
      </c>
      <c r="BC3" s="314"/>
      <c r="BD3" s="119" t="s">
        <v>69</v>
      </c>
      <c r="BE3" s="114" t="s">
        <v>68</v>
      </c>
      <c r="BF3" s="115" t="s">
        <v>186</v>
      </c>
      <c r="BG3" s="116"/>
      <c r="BH3" s="117"/>
      <c r="BI3" s="118" t="s">
        <v>69</v>
      </c>
      <c r="BJ3" s="117" t="s">
        <v>141</v>
      </c>
      <c r="BK3" s="117"/>
      <c r="BL3" s="119" t="s">
        <v>69</v>
      </c>
      <c r="BM3" s="314" t="s">
        <v>142</v>
      </c>
      <c r="BN3" s="314"/>
      <c r="BO3" s="119" t="s">
        <v>69</v>
      </c>
      <c r="BP3" s="114" t="s">
        <v>68</v>
      </c>
      <c r="BQ3" s="115" t="s">
        <v>186</v>
      </c>
      <c r="BR3" s="116"/>
      <c r="BS3" s="117"/>
      <c r="BT3" s="118" t="s">
        <v>69</v>
      </c>
      <c r="BU3" s="117" t="s">
        <v>141</v>
      </c>
      <c r="BV3" s="117"/>
      <c r="BW3" s="119" t="s">
        <v>69</v>
      </c>
      <c r="BX3" s="314" t="s">
        <v>142</v>
      </c>
      <c r="BY3" s="314"/>
      <c r="BZ3" s="119" t="s">
        <v>69</v>
      </c>
      <c r="CA3" s="114" t="s">
        <v>68</v>
      </c>
      <c r="CB3" s="115" t="s">
        <v>186</v>
      </c>
      <c r="CC3" s="116"/>
      <c r="CD3" s="117"/>
      <c r="CE3" s="118" t="s">
        <v>69</v>
      </c>
      <c r="CF3" s="117" t="s">
        <v>141</v>
      </c>
      <c r="CG3" s="117"/>
      <c r="CH3" s="119" t="s">
        <v>69</v>
      </c>
      <c r="CI3" s="314" t="s">
        <v>142</v>
      </c>
      <c r="CJ3" s="314"/>
      <c r="CK3" s="119" t="s">
        <v>69</v>
      </c>
      <c r="CL3" s="114" t="s">
        <v>68</v>
      </c>
      <c r="CM3" s="115" t="s">
        <v>186</v>
      </c>
      <c r="CN3" s="116"/>
      <c r="CO3" s="117"/>
      <c r="CP3" s="118" t="s">
        <v>69</v>
      </c>
      <c r="CQ3" s="117" t="s">
        <v>141</v>
      </c>
      <c r="CR3" s="117"/>
      <c r="CS3" s="119" t="s">
        <v>69</v>
      </c>
      <c r="CT3" s="314" t="s">
        <v>142</v>
      </c>
      <c r="CU3" s="314"/>
      <c r="CV3" s="119" t="s">
        <v>69</v>
      </c>
      <c r="CW3" s="114" t="s">
        <v>68</v>
      </c>
      <c r="CX3" s="115" t="s">
        <v>186</v>
      </c>
      <c r="CY3" s="116"/>
      <c r="CZ3" s="117"/>
      <c r="DA3" s="118" t="s">
        <v>69</v>
      </c>
      <c r="DB3" s="117" t="s">
        <v>141</v>
      </c>
      <c r="DC3" s="117"/>
      <c r="DD3" s="119" t="s">
        <v>69</v>
      </c>
      <c r="DE3" s="314" t="s">
        <v>142</v>
      </c>
      <c r="DF3" s="314"/>
      <c r="DG3" s="119" t="s">
        <v>69</v>
      </c>
      <c r="DH3" s="114" t="s">
        <v>68</v>
      </c>
      <c r="DI3" s="115" t="s">
        <v>186</v>
      </c>
      <c r="DJ3" s="116"/>
      <c r="DK3" s="117"/>
      <c r="DL3" s="118" t="s">
        <v>69</v>
      </c>
      <c r="DM3" s="117" t="s">
        <v>141</v>
      </c>
      <c r="DN3" s="117"/>
      <c r="DO3" s="119" t="s">
        <v>69</v>
      </c>
      <c r="DP3" s="314" t="s">
        <v>142</v>
      </c>
      <c r="DQ3" s="314"/>
      <c r="DR3" s="119" t="s">
        <v>69</v>
      </c>
      <c r="DS3" s="114" t="s">
        <v>68</v>
      </c>
      <c r="DT3" s="115" t="s">
        <v>186</v>
      </c>
      <c r="DU3" s="116"/>
      <c r="DV3" s="117"/>
      <c r="DW3" s="118" t="s">
        <v>69</v>
      </c>
      <c r="DX3" s="117" t="s">
        <v>141</v>
      </c>
      <c r="DY3" s="117"/>
      <c r="DZ3" s="119" t="s">
        <v>69</v>
      </c>
      <c r="EA3" s="314" t="s">
        <v>142</v>
      </c>
      <c r="EB3" s="314"/>
      <c r="EC3" s="119" t="s">
        <v>69</v>
      </c>
    </row>
    <row r="4" spans="1:133" ht="16.2" thickBot="1" x14ac:dyDescent="0.35">
      <c r="B4" s="120">
        <v>1</v>
      </c>
      <c r="C4" s="121">
        <v>0</v>
      </c>
      <c r="D4" s="121">
        <v>0</v>
      </c>
      <c r="E4" s="121">
        <v>0</v>
      </c>
      <c r="F4" s="316">
        <f t="shared" ref="F4:F34" si="0">SUM(C4:E4)</f>
        <v>0</v>
      </c>
      <c r="G4" s="121">
        <v>0</v>
      </c>
      <c r="H4" s="121">
        <v>0</v>
      </c>
      <c r="I4" s="322">
        <f t="shared" ref="I4:I34" si="1">SUM(G4:H4)</f>
        <v>0</v>
      </c>
      <c r="J4" s="121">
        <v>0</v>
      </c>
      <c r="K4" s="121">
        <v>0</v>
      </c>
      <c r="L4" s="322">
        <f>SUM(J4:K4)</f>
        <v>0</v>
      </c>
      <c r="M4" s="120">
        <v>1</v>
      </c>
      <c r="N4" s="121">
        <v>0</v>
      </c>
      <c r="O4" s="121">
        <v>0</v>
      </c>
      <c r="P4" s="121">
        <v>0</v>
      </c>
      <c r="Q4" s="316">
        <f t="shared" ref="Q4:Q34" si="2">SUM(N4:P4)</f>
        <v>0</v>
      </c>
      <c r="R4" s="121">
        <v>0</v>
      </c>
      <c r="S4" s="121">
        <v>0</v>
      </c>
      <c r="T4" s="322">
        <f t="shared" ref="T4:T34" si="3">SUM(R4:S4)</f>
        <v>0</v>
      </c>
      <c r="U4" s="121">
        <v>0</v>
      </c>
      <c r="V4" s="121">
        <v>0</v>
      </c>
      <c r="W4" s="322">
        <f>SUM(U4:V4)</f>
        <v>0</v>
      </c>
      <c r="X4" s="120">
        <v>1</v>
      </c>
      <c r="Y4" s="121">
        <v>17878</v>
      </c>
      <c r="Z4" s="121">
        <v>0</v>
      </c>
      <c r="AA4" s="121">
        <v>0</v>
      </c>
      <c r="AB4" s="316">
        <f t="shared" ref="AB4:AB34" si="4">SUM(Y4:AA4)</f>
        <v>17878</v>
      </c>
      <c r="AC4" s="121">
        <v>25783</v>
      </c>
      <c r="AD4" s="121">
        <v>0</v>
      </c>
      <c r="AE4" s="322">
        <f t="shared" ref="AE4:AE34" si="5">SUM(AC4:AD4)</f>
        <v>25783</v>
      </c>
      <c r="AF4" s="121">
        <v>2025</v>
      </c>
      <c r="AG4" s="121">
        <v>0</v>
      </c>
      <c r="AH4" s="322">
        <f>SUM(AF4:AG4)</f>
        <v>2025</v>
      </c>
      <c r="AI4" s="120">
        <v>1</v>
      </c>
      <c r="AJ4" s="121">
        <v>17878</v>
      </c>
      <c r="AK4" s="121">
        <v>0</v>
      </c>
      <c r="AL4" s="121">
        <v>0</v>
      </c>
      <c r="AM4" s="316">
        <f t="shared" ref="AM4:AM34" si="6">SUM(AJ4:AL4)</f>
        <v>17878</v>
      </c>
      <c r="AN4" s="121">
        <v>10000</v>
      </c>
      <c r="AO4" s="121"/>
      <c r="AP4" s="322">
        <f t="shared" ref="AP4:AP34" si="7">SUM(AN4:AO4)</f>
        <v>10000</v>
      </c>
      <c r="AQ4" s="121">
        <v>2025</v>
      </c>
      <c r="AR4" s="121">
        <v>0</v>
      </c>
      <c r="AS4" s="322">
        <f>SUM(AQ4:AR4)</f>
        <v>2025</v>
      </c>
      <c r="AT4" s="120">
        <v>1</v>
      </c>
      <c r="AU4" s="121">
        <v>0</v>
      </c>
      <c r="AV4" s="121">
        <v>0</v>
      </c>
      <c r="AW4" s="121">
        <v>0</v>
      </c>
      <c r="AX4" s="316">
        <f t="shared" ref="AX4:AX34" si="8">SUM(AU4:AW4)</f>
        <v>0</v>
      </c>
      <c r="AY4" s="121">
        <v>0</v>
      </c>
      <c r="AZ4" s="121"/>
      <c r="BA4" s="322">
        <f t="shared" ref="BA4:BA34" si="9">SUM(AY4:AZ4)</f>
        <v>0</v>
      </c>
      <c r="BB4" s="121">
        <v>0</v>
      </c>
      <c r="BC4" s="121">
        <v>0</v>
      </c>
      <c r="BD4" s="322">
        <f>SUM(BB4:BC4)</f>
        <v>0</v>
      </c>
      <c r="BE4" s="120">
        <v>1</v>
      </c>
      <c r="BF4" s="121">
        <v>0</v>
      </c>
      <c r="BG4" s="121">
        <v>0</v>
      </c>
      <c r="BH4" s="121">
        <v>0</v>
      </c>
      <c r="BI4" s="316">
        <f t="shared" ref="BI4:BI34" si="10">SUM(BF4:BH4)</f>
        <v>0</v>
      </c>
      <c r="BJ4" s="121">
        <v>0</v>
      </c>
      <c r="BK4" s="121">
        <v>0</v>
      </c>
      <c r="BL4" s="322">
        <f t="shared" ref="BL4:BL34" si="11">SUM(BJ4:BK4)</f>
        <v>0</v>
      </c>
      <c r="BM4" s="121">
        <v>0</v>
      </c>
      <c r="BN4" s="121">
        <v>0</v>
      </c>
      <c r="BO4" s="322">
        <f>SUM(BM4:BN4)</f>
        <v>0</v>
      </c>
      <c r="BP4" s="120">
        <v>1</v>
      </c>
      <c r="BQ4" s="121">
        <v>0</v>
      </c>
      <c r="BR4" s="121">
        <v>0</v>
      </c>
      <c r="BS4" s="121">
        <v>0</v>
      </c>
      <c r="BT4" s="316">
        <f t="shared" ref="BT4:BT34" si="12">SUM(BQ4:BS4)</f>
        <v>0</v>
      </c>
      <c r="BU4" s="121">
        <v>0</v>
      </c>
      <c r="BV4" s="121">
        <v>0</v>
      </c>
      <c r="BW4" s="322">
        <f t="shared" ref="BW4:BW34" si="13">SUM(BU4:BV4)</f>
        <v>0</v>
      </c>
      <c r="BX4" s="121">
        <v>0</v>
      </c>
      <c r="BY4" s="121">
        <v>0</v>
      </c>
      <c r="BZ4" s="322">
        <f>SUM(BX4:BY4)</f>
        <v>0</v>
      </c>
      <c r="CA4" s="120">
        <v>1</v>
      </c>
      <c r="CB4" s="121">
        <v>0</v>
      </c>
      <c r="CC4" s="121">
        <v>0</v>
      </c>
      <c r="CD4" s="121">
        <v>0</v>
      </c>
      <c r="CE4" s="316">
        <f t="shared" ref="CE4:CE34" si="14">SUM(CB4:CD4)</f>
        <v>0</v>
      </c>
      <c r="CF4" s="121">
        <v>0</v>
      </c>
      <c r="CG4" s="121">
        <v>0</v>
      </c>
      <c r="CH4" s="322">
        <f t="shared" ref="CH4:CH34" si="15">SUM(CF4:CG4)</f>
        <v>0</v>
      </c>
      <c r="CI4" s="121">
        <v>0</v>
      </c>
      <c r="CJ4" s="121">
        <v>0</v>
      </c>
      <c r="CK4" s="322">
        <f>SUM(CI4:CJ4)</f>
        <v>0</v>
      </c>
      <c r="CL4" s="120">
        <v>1</v>
      </c>
      <c r="CM4" s="121">
        <v>0</v>
      </c>
      <c r="CN4" s="121">
        <v>0</v>
      </c>
      <c r="CO4" s="121">
        <v>0</v>
      </c>
      <c r="CP4" s="316">
        <f t="shared" ref="CP4:CP34" si="16">SUM(CM4:CO4)</f>
        <v>0</v>
      </c>
      <c r="CQ4" s="121">
        <v>0</v>
      </c>
      <c r="CR4" s="121">
        <v>0</v>
      </c>
      <c r="CS4" s="322">
        <f t="shared" ref="CS4:CS34" si="17">SUM(CQ4:CR4)</f>
        <v>0</v>
      </c>
      <c r="CT4" s="121">
        <v>0</v>
      </c>
      <c r="CU4" s="121">
        <v>0</v>
      </c>
      <c r="CV4" s="322">
        <f>SUM(CT4:CU4)</f>
        <v>0</v>
      </c>
      <c r="CW4" s="120">
        <v>1</v>
      </c>
      <c r="CX4" s="121">
        <v>0</v>
      </c>
      <c r="CY4" s="121">
        <v>0</v>
      </c>
      <c r="CZ4" s="121">
        <v>0</v>
      </c>
      <c r="DA4" s="316">
        <f t="shared" ref="DA4:DA34" si="18">SUM(CX4:CZ4)</f>
        <v>0</v>
      </c>
      <c r="DB4" s="121">
        <v>0</v>
      </c>
      <c r="DC4" s="121">
        <v>0</v>
      </c>
      <c r="DD4" s="322">
        <f t="shared" ref="DD4:DD34" si="19">SUM(DB4:DC4)</f>
        <v>0</v>
      </c>
      <c r="DE4" s="121">
        <v>0</v>
      </c>
      <c r="DF4" s="121">
        <v>0</v>
      </c>
      <c r="DG4" s="322">
        <f>SUM(DE4:DF4)</f>
        <v>0</v>
      </c>
      <c r="DH4" s="120">
        <v>1</v>
      </c>
      <c r="DI4" s="121">
        <v>0</v>
      </c>
      <c r="DJ4" s="121">
        <v>0</v>
      </c>
      <c r="DK4" s="121">
        <v>0</v>
      </c>
      <c r="DL4" s="316">
        <f t="shared" ref="DL4:DL34" si="20">SUM(DI4:DK4)</f>
        <v>0</v>
      </c>
      <c r="DM4" s="121">
        <v>0</v>
      </c>
      <c r="DN4" s="121">
        <v>0</v>
      </c>
      <c r="DO4" s="322">
        <f t="shared" ref="DO4:DO34" si="21">SUM(DM4:DN4)</f>
        <v>0</v>
      </c>
      <c r="DP4" s="121">
        <v>0</v>
      </c>
      <c r="DQ4" s="121">
        <v>0</v>
      </c>
      <c r="DR4" s="322">
        <f>SUM(DP4:DQ4)</f>
        <v>0</v>
      </c>
      <c r="DS4" s="120">
        <v>1</v>
      </c>
      <c r="DT4" s="121">
        <v>0</v>
      </c>
      <c r="DU4" s="121">
        <v>0</v>
      </c>
      <c r="DV4" s="121">
        <v>0</v>
      </c>
      <c r="DW4" s="316">
        <f t="shared" ref="DW4:DW34" si="22">SUM(DT4:DV4)</f>
        <v>0</v>
      </c>
      <c r="DX4" s="121">
        <v>0</v>
      </c>
      <c r="DY4" s="121">
        <v>0</v>
      </c>
      <c r="DZ4" s="322">
        <f t="shared" ref="DZ4:DZ34" si="23">SUM(DX4:DY4)</f>
        <v>0</v>
      </c>
      <c r="EA4" s="121">
        <v>0</v>
      </c>
      <c r="EB4" s="121">
        <v>0</v>
      </c>
      <c r="EC4" s="322">
        <f>SUM(EA4:EB4)</f>
        <v>0</v>
      </c>
    </row>
    <row r="5" spans="1:133" ht="16.8" thickTop="1" thickBot="1" x14ac:dyDescent="0.35">
      <c r="B5" s="123">
        <v>2</v>
      </c>
      <c r="C5" s="122"/>
      <c r="D5" s="122"/>
      <c r="E5" s="122"/>
      <c r="F5" s="317">
        <f t="shared" si="0"/>
        <v>0</v>
      </c>
      <c r="G5" s="122"/>
      <c r="H5" s="122"/>
      <c r="I5" s="323">
        <f t="shared" si="1"/>
        <v>0</v>
      </c>
      <c r="J5" s="122"/>
      <c r="K5" s="122"/>
      <c r="L5" s="323">
        <f t="shared" ref="L5:L34" si="24">SUM(K5:K5)</f>
        <v>0</v>
      </c>
      <c r="M5" s="123">
        <v>2</v>
      </c>
      <c r="N5" s="122"/>
      <c r="O5" s="122"/>
      <c r="P5" s="122"/>
      <c r="Q5" s="317">
        <f t="shared" si="2"/>
        <v>0</v>
      </c>
      <c r="R5" s="122"/>
      <c r="S5" s="122"/>
      <c r="T5" s="323">
        <f t="shared" si="3"/>
        <v>0</v>
      </c>
      <c r="U5" s="122"/>
      <c r="V5" s="122"/>
      <c r="W5" s="322">
        <f t="shared" ref="W5:W35" si="25">SUM(U5:V5)</f>
        <v>0</v>
      </c>
      <c r="X5" s="123">
        <v>2</v>
      </c>
      <c r="Y5" s="122"/>
      <c r="Z5" s="122"/>
      <c r="AA5" s="122"/>
      <c r="AB5" s="317">
        <f t="shared" si="4"/>
        <v>0</v>
      </c>
      <c r="AC5" s="122"/>
      <c r="AD5" s="122"/>
      <c r="AE5" s="323">
        <f t="shared" si="5"/>
        <v>0</v>
      </c>
      <c r="AF5" s="122"/>
      <c r="AG5" s="122"/>
      <c r="AH5" s="322">
        <f t="shared" ref="AH5:AH35" si="26">SUM(AF5:AG5)</f>
        <v>0</v>
      </c>
      <c r="AI5" s="123">
        <v>2</v>
      </c>
      <c r="AJ5" s="122"/>
      <c r="AK5" s="122"/>
      <c r="AL5" s="122"/>
      <c r="AM5" s="317">
        <f t="shared" si="6"/>
        <v>0</v>
      </c>
      <c r="AN5" s="122"/>
      <c r="AO5" s="122"/>
      <c r="AP5" s="323">
        <f t="shared" si="7"/>
        <v>0</v>
      </c>
      <c r="AQ5" s="122"/>
      <c r="AR5" s="122"/>
      <c r="AS5" s="323">
        <f t="shared" ref="AS5:AS34" si="27">SUM(AR5:AR5)</f>
        <v>0</v>
      </c>
      <c r="AT5" s="123">
        <v>2</v>
      </c>
      <c r="AU5" s="122"/>
      <c r="AV5" s="122"/>
      <c r="AW5" s="122"/>
      <c r="AX5" s="317">
        <f t="shared" si="8"/>
        <v>0</v>
      </c>
      <c r="AY5" s="122"/>
      <c r="AZ5" s="122"/>
      <c r="BA5" s="323">
        <f t="shared" si="9"/>
        <v>0</v>
      </c>
      <c r="BB5" s="122"/>
      <c r="BC5" s="122"/>
      <c r="BD5" s="322">
        <f t="shared" ref="BD5:BD35" si="28">SUM(BB5:BC5)</f>
        <v>0</v>
      </c>
      <c r="BE5" s="123">
        <v>2</v>
      </c>
      <c r="BF5" s="122"/>
      <c r="BG5" s="122"/>
      <c r="BH5" s="122"/>
      <c r="BI5" s="317">
        <f t="shared" si="10"/>
        <v>0</v>
      </c>
      <c r="BJ5" s="122"/>
      <c r="BK5" s="122"/>
      <c r="BL5" s="323">
        <f t="shared" si="11"/>
        <v>0</v>
      </c>
      <c r="BM5" s="122"/>
      <c r="BN5" s="122"/>
      <c r="BO5" s="322">
        <f t="shared" ref="BO5:BO35" si="29">SUM(BM5:BN5)</f>
        <v>0</v>
      </c>
      <c r="BP5" s="123">
        <v>2</v>
      </c>
      <c r="BQ5" s="122"/>
      <c r="BR5" s="122"/>
      <c r="BS5" s="122"/>
      <c r="BT5" s="317">
        <f t="shared" si="12"/>
        <v>0</v>
      </c>
      <c r="BU5" s="122"/>
      <c r="BV5" s="122"/>
      <c r="BW5" s="323">
        <f t="shared" si="13"/>
        <v>0</v>
      </c>
      <c r="BX5" s="122"/>
      <c r="BY5" s="122"/>
      <c r="BZ5" s="323">
        <f t="shared" ref="BZ5:BZ34" si="30">SUM(BY5:BY5)</f>
        <v>0</v>
      </c>
      <c r="CA5" s="123">
        <v>2</v>
      </c>
      <c r="CB5" s="122"/>
      <c r="CC5" s="122"/>
      <c r="CD5" s="122"/>
      <c r="CE5" s="317">
        <f t="shared" si="14"/>
        <v>0</v>
      </c>
      <c r="CF5" s="122"/>
      <c r="CG5" s="122"/>
      <c r="CH5" s="323">
        <f t="shared" si="15"/>
        <v>0</v>
      </c>
      <c r="CI5" s="122"/>
      <c r="CJ5" s="122"/>
      <c r="CK5" s="322">
        <f t="shared" ref="CK5:CK35" si="31">SUM(CI5:CJ5)</f>
        <v>0</v>
      </c>
      <c r="CL5" s="123">
        <v>2</v>
      </c>
      <c r="CM5" s="122"/>
      <c r="CN5" s="122"/>
      <c r="CO5" s="122"/>
      <c r="CP5" s="317">
        <f t="shared" si="16"/>
        <v>0</v>
      </c>
      <c r="CQ5" s="122"/>
      <c r="CR5" s="122"/>
      <c r="CS5" s="323">
        <f t="shared" si="17"/>
        <v>0</v>
      </c>
      <c r="CT5" s="122"/>
      <c r="CU5" s="122"/>
      <c r="CV5" s="322">
        <f t="shared" ref="CV5:CV35" si="32">SUM(CT5:CU5)</f>
        <v>0</v>
      </c>
      <c r="CW5" s="123">
        <v>2</v>
      </c>
      <c r="CX5" s="122"/>
      <c r="CY5" s="122"/>
      <c r="CZ5" s="122"/>
      <c r="DA5" s="317">
        <f t="shared" si="18"/>
        <v>0</v>
      </c>
      <c r="DB5" s="122"/>
      <c r="DC5" s="122"/>
      <c r="DD5" s="323">
        <f t="shared" si="19"/>
        <v>0</v>
      </c>
      <c r="DE5" s="122"/>
      <c r="DF5" s="122"/>
      <c r="DG5" s="323">
        <f t="shared" ref="DG5:DG34" si="33">SUM(DF5:DF5)</f>
        <v>0</v>
      </c>
      <c r="DH5" s="123">
        <v>2</v>
      </c>
      <c r="DI5" s="122"/>
      <c r="DJ5" s="122"/>
      <c r="DK5" s="122"/>
      <c r="DL5" s="317">
        <f t="shared" si="20"/>
        <v>0</v>
      </c>
      <c r="DM5" s="122"/>
      <c r="DN5" s="122"/>
      <c r="DO5" s="323">
        <f t="shared" si="21"/>
        <v>0</v>
      </c>
      <c r="DP5" s="122"/>
      <c r="DQ5" s="122"/>
      <c r="DR5" s="322">
        <f t="shared" ref="DR5:DR35" si="34">SUM(DP5:DQ5)</f>
        <v>0</v>
      </c>
      <c r="DS5" s="123">
        <v>2</v>
      </c>
      <c r="DT5" s="122"/>
      <c r="DU5" s="122"/>
      <c r="DV5" s="122"/>
      <c r="DW5" s="317">
        <f t="shared" si="22"/>
        <v>0</v>
      </c>
      <c r="DX5" s="122"/>
      <c r="DY5" s="122"/>
      <c r="DZ5" s="323">
        <f t="shared" si="23"/>
        <v>0</v>
      </c>
      <c r="EA5" s="122"/>
      <c r="EB5" s="122"/>
      <c r="EC5" s="322">
        <f t="shared" ref="EC5:EC35" si="35">SUM(EA5:EB5)</f>
        <v>0</v>
      </c>
    </row>
    <row r="6" spans="1:133" ht="16.8" thickTop="1" thickBot="1" x14ac:dyDescent="0.35">
      <c r="B6" s="123">
        <v>3</v>
      </c>
      <c r="C6" s="122"/>
      <c r="D6" s="122"/>
      <c r="E6" s="122"/>
      <c r="F6" s="317">
        <f t="shared" si="0"/>
        <v>0</v>
      </c>
      <c r="G6" s="122"/>
      <c r="H6" s="122"/>
      <c r="I6" s="323">
        <f t="shared" si="1"/>
        <v>0</v>
      </c>
      <c r="J6" s="122"/>
      <c r="K6" s="122"/>
      <c r="L6" s="323">
        <f t="shared" si="24"/>
        <v>0</v>
      </c>
      <c r="M6" s="123">
        <v>3</v>
      </c>
      <c r="N6" s="122"/>
      <c r="O6" s="122"/>
      <c r="P6" s="122"/>
      <c r="Q6" s="317">
        <f t="shared" si="2"/>
        <v>0</v>
      </c>
      <c r="R6" s="122"/>
      <c r="S6" s="122"/>
      <c r="T6" s="323">
        <f t="shared" si="3"/>
        <v>0</v>
      </c>
      <c r="U6" s="122"/>
      <c r="V6" s="122"/>
      <c r="W6" s="322">
        <f t="shared" si="25"/>
        <v>0</v>
      </c>
      <c r="X6" s="123">
        <v>3</v>
      </c>
      <c r="Y6" s="122"/>
      <c r="Z6" s="122"/>
      <c r="AA6" s="122"/>
      <c r="AB6" s="317">
        <f t="shared" si="4"/>
        <v>0</v>
      </c>
      <c r="AC6" s="122"/>
      <c r="AD6" s="122"/>
      <c r="AE6" s="323">
        <f t="shared" si="5"/>
        <v>0</v>
      </c>
      <c r="AF6" s="122"/>
      <c r="AG6" s="122"/>
      <c r="AH6" s="322">
        <f t="shared" si="26"/>
        <v>0</v>
      </c>
      <c r="AI6" s="123">
        <v>3</v>
      </c>
      <c r="AJ6" s="122"/>
      <c r="AK6" s="122"/>
      <c r="AL6" s="122"/>
      <c r="AM6" s="317">
        <f t="shared" si="6"/>
        <v>0</v>
      </c>
      <c r="AN6" s="122"/>
      <c r="AO6" s="122"/>
      <c r="AP6" s="323">
        <f t="shared" si="7"/>
        <v>0</v>
      </c>
      <c r="AQ6" s="122"/>
      <c r="AR6" s="122"/>
      <c r="AS6" s="323">
        <f t="shared" si="27"/>
        <v>0</v>
      </c>
      <c r="AT6" s="123">
        <v>3</v>
      </c>
      <c r="AU6" s="122"/>
      <c r="AV6" s="122"/>
      <c r="AW6" s="122"/>
      <c r="AX6" s="317">
        <f t="shared" si="8"/>
        <v>0</v>
      </c>
      <c r="AY6" s="122"/>
      <c r="AZ6" s="122"/>
      <c r="BA6" s="323">
        <f t="shared" si="9"/>
        <v>0</v>
      </c>
      <c r="BB6" s="122"/>
      <c r="BC6" s="122"/>
      <c r="BD6" s="322">
        <f t="shared" si="28"/>
        <v>0</v>
      </c>
      <c r="BE6" s="123">
        <v>3</v>
      </c>
      <c r="BF6" s="122"/>
      <c r="BG6" s="122"/>
      <c r="BH6" s="122"/>
      <c r="BI6" s="317">
        <f t="shared" si="10"/>
        <v>0</v>
      </c>
      <c r="BJ6" s="122"/>
      <c r="BK6" s="122"/>
      <c r="BL6" s="323">
        <f t="shared" si="11"/>
        <v>0</v>
      </c>
      <c r="BM6" s="122"/>
      <c r="BN6" s="122"/>
      <c r="BO6" s="322">
        <f t="shared" si="29"/>
        <v>0</v>
      </c>
      <c r="BP6" s="123">
        <v>3</v>
      </c>
      <c r="BQ6" s="122"/>
      <c r="BR6" s="122"/>
      <c r="BS6" s="122"/>
      <c r="BT6" s="317">
        <f t="shared" si="12"/>
        <v>0</v>
      </c>
      <c r="BU6" s="122"/>
      <c r="BV6" s="122"/>
      <c r="BW6" s="323">
        <f t="shared" si="13"/>
        <v>0</v>
      </c>
      <c r="BX6" s="122"/>
      <c r="BY6" s="122"/>
      <c r="BZ6" s="323">
        <f t="shared" si="30"/>
        <v>0</v>
      </c>
      <c r="CA6" s="123">
        <v>3</v>
      </c>
      <c r="CB6" s="122"/>
      <c r="CC6" s="122"/>
      <c r="CD6" s="122"/>
      <c r="CE6" s="317">
        <f t="shared" si="14"/>
        <v>0</v>
      </c>
      <c r="CF6" s="122"/>
      <c r="CG6" s="122"/>
      <c r="CH6" s="323">
        <f t="shared" si="15"/>
        <v>0</v>
      </c>
      <c r="CI6" s="122"/>
      <c r="CJ6" s="122"/>
      <c r="CK6" s="322">
        <f t="shared" si="31"/>
        <v>0</v>
      </c>
      <c r="CL6" s="123">
        <v>3</v>
      </c>
      <c r="CM6" s="122"/>
      <c r="CN6" s="122"/>
      <c r="CO6" s="122"/>
      <c r="CP6" s="317">
        <f t="shared" si="16"/>
        <v>0</v>
      </c>
      <c r="CQ6" s="122"/>
      <c r="CR6" s="122"/>
      <c r="CS6" s="323">
        <f t="shared" si="17"/>
        <v>0</v>
      </c>
      <c r="CT6" s="122"/>
      <c r="CU6" s="122"/>
      <c r="CV6" s="322">
        <f t="shared" si="32"/>
        <v>0</v>
      </c>
      <c r="CW6" s="123">
        <v>3</v>
      </c>
      <c r="CX6" s="122"/>
      <c r="CY6" s="122"/>
      <c r="CZ6" s="122"/>
      <c r="DA6" s="317">
        <f t="shared" si="18"/>
        <v>0</v>
      </c>
      <c r="DB6" s="122"/>
      <c r="DC6" s="122"/>
      <c r="DD6" s="323">
        <f t="shared" si="19"/>
        <v>0</v>
      </c>
      <c r="DE6" s="122"/>
      <c r="DF6" s="122"/>
      <c r="DG6" s="323">
        <f t="shared" si="33"/>
        <v>0</v>
      </c>
      <c r="DH6" s="123">
        <v>3</v>
      </c>
      <c r="DI6" s="122"/>
      <c r="DJ6" s="122"/>
      <c r="DK6" s="122"/>
      <c r="DL6" s="317">
        <f t="shared" si="20"/>
        <v>0</v>
      </c>
      <c r="DM6" s="122"/>
      <c r="DN6" s="122"/>
      <c r="DO6" s="323">
        <f t="shared" si="21"/>
        <v>0</v>
      </c>
      <c r="DP6" s="122"/>
      <c r="DQ6" s="122"/>
      <c r="DR6" s="322">
        <f t="shared" si="34"/>
        <v>0</v>
      </c>
      <c r="DS6" s="123">
        <v>3</v>
      </c>
      <c r="DT6" s="122"/>
      <c r="DU6" s="122"/>
      <c r="DV6" s="122"/>
      <c r="DW6" s="317">
        <f t="shared" si="22"/>
        <v>0</v>
      </c>
      <c r="DX6" s="122"/>
      <c r="DY6" s="122"/>
      <c r="DZ6" s="323">
        <f t="shared" si="23"/>
        <v>0</v>
      </c>
      <c r="EA6" s="122"/>
      <c r="EB6" s="122"/>
      <c r="EC6" s="322">
        <f t="shared" si="35"/>
        <v>0</v>
      </c>
    </row>
    <row r="7" spans="1:133" ht="16.8" thickTop="1" thickBot="1" x14ac:dyDescent="0.35">
      <c r="B7" s="123">
        <v>4</v>
      </c>
      <c r="C7" s="122"/>
      <c r="D7" s="122"/>
      <c r="E7" s="122"/>
      <c r="F7" s="317">
        <f t="shared" si="0"/>
        <v>0</v>
      </c>
      <c r="G7" s="122"/>
      <c r="H7" s="122"/>
      <c r="I7" s="323">
        <f t="shared" si="1"/>
        <v>0</v>
      </c>
      <c r="J7" s="122"/>
      <c r="K7" s="122"/>
      <c r="L7" s="323">
        <f t="shared" si="24"/>
        <v>0</v>
      </c>
      <c r="M7" s="123">
        <v>4</v>
      </c>
      <c r="N7" s="122"/>
      <c r="O7" s="122"/>
      <c r="P7" s="122"/>
      <c r="Q7" s="317">
        <f t="shared" si="2"/>
        <v>0</v>
      </c>
      <c r="R7" s="122"/>
      <c r="S7" s="122"/>
      <c r="T7" s="323">
        <f t="shared" si="3"/>
        <v>0</v>
      </c>
      <c r="U7" s="122"/>
      <c r="V7" s="122"/>
      <c r="W7" s="322">
        <f t="shared" si="25"/>
        <v>0</v>
      </c>
      <c r="X7" s="123">
        <v>4</v>
      </c>
      <c r="Y7" s="122"/>
      <c r="Z7" s="122"/>
      <c r="AA7" s="122"/>
      <c r="AB7" s="317">
        <f t="shared" si="4"/>
        <v>0</v>
      </c>
      <c r="AC7" s="122"/>
      <c r="AD7" s="122"/>
      <c r="AE7" s="323">
        <f t="shared" si="5"/>
        <v>0</v>
      </c>
      <c r="AF7" s="122"/>
      <c r="AG7" s="122"/>
      <c r="AH7" s="322">
        <f t="shared" si="26"/>
        <v>0</v>
      </c>
      <c r="AI7" s="123">
        <v>4</v>
      </c>
      <c r="AJ7" s="122"/>
      <c r="AK7" s="122"/>
      <c r="AL7" s="122"/>
      <c r="AM7" s="317">
        <f t="shared" si="6"/>
        <v>0</v>
      </c>
      <c r="AN7" s="122"/>
      <c r="AO7" s="122"/>
      <c r="AP7" s="323">
        <f t="shared" si="7"/>
        <v>0</v>
      </c>
      <c r="AQ7" s="122"/>
      <c r="AR7" s="122"/>
      <c r="AS7" s="323">
        <f t="shared" si="27"/>
        <v>0</v>
      </c>
      <c r="AT7" s="123">
        <v>4</v>
      </c>
      <c r="AU7" s="122"/>
      <c r="AV7" s="122"/>
      <c r="AW7" s="122"/>
      <c r="AX7" s="317">
        <f t="shared" si="8"/>
        <v>0</v>
      </c>
      <c r="AY7" s="122"/>
      <c r="AZ7" s="122"/>
      <c r="BA7" s="323">
        <f t="shared" si="9"/>
        <v>0</v>
      </c>
      <c r="BB7" s="122"/>
      <c r="BC7" s="122"/>
      <c r="BD7" s="322">
        <f t="shared" si="28"/>
        <v>0</v>
      </c>
      <c r="BE7" s="123">
        <v>4</v>
      </c>
      <c r="BF7" s="122"/>
      <c r="BG7" s="122"/>
      <c r="BH7" s="122"/>
      <c r="BI7" s="317">
        <f t="shared" si="10"/>
        <v>0</v>
      </c>
      <c r="BJ7" s="122"/>
      <c r="BK7" s="122"/>
      <c r="BL7" s="323">
        <f t="shared" si="11"/>
        <v>0</v>
      </c>
      <c r="BM7" s="122"/>
      <c r="BN7" s="122"/>
      <c r="BO7" s="322">
        <f t="shared" si="29"/>
        <v>0</v>
      </c>
      <c r="BP7" s="123">
        <v>4</v>
      </c>
      <c r="BQ7" s="122"/>
      <c r="BR7" s="122"/>
      <c r="BS7" s="122"/>
      <c r="BT7" s="317">
        <f t="shared" si="12"/>
        <v>0</v>
      </c>
      <c r="BU7" s="122"/>
      <c r="BV7" s="122"/>
      <c r="BW7" s="323">
        <f t="shared" si="13"/>
        <v>0</v>
      </c>
      <c r="BX7" s="122"/>
      <c r="BY7" s="122"/>
      <c r="BZ7" s="323">
        <f t="shared" si="30"/>
        <v>0</v>
      </c>
      <c r="CA7" s="123">
        <v>4</v>
      </c>
      <c r="CB7" s="122"/>
      <c r="CC7" s="122"/>
      <c r="CD7" s="122"/>
      <c r="CE7" s="317">
        <f t="shared" si="14"/>
        <v>0</v>
      </c>
      <c r="CF7" s="122"/>
      <c r="CG7" s="122"/>
      <c r="CH7" s="323">
        <f t="shared" si="15"/>
        <v>0</v>
      </c>
      <c r="CI7" s="122"/>
      <c r="CJ7" s="122"/>
      <c r="CK7" s="322">
        <f t="shared" si="31"/>
        <v>0</v>
      </c>
      <c r="CL7" s="123">
        <v>4</v>
      </c>
      <c r="CM7" s="122"/>
      <c r="CN7" s="122"/>
      <c r="CO7" s="122"/>
      <c r="CP7" s="317">
        <f t="shared" si="16"/>
        <v>0</v>
      </c>
      <c r="CQ7" s="122"/>
      <c r="CR7" s="122"/>
      <c r="CS7" s="323">
        <f t="shared" si="17"/>
        <v>0</v>
      </c>
      <c r="CT7" s="122"/>
      <c r="CU7" s="122"/>
      <c r="CV7" s="322">
        <f t="shared" si="32"/>
        <v>0</v>
      </c>
      <c r="CW7" s="123">
        <v>4</v>
      </c>
      <c r="CX7" s="122"/>
      <c r="CY7" s="122"/>
      <c r="CZ7" s="122"/>
      <c r="DA7" s="317">
        <f t="shared" si="18"/>
        <v>0</v>
      </c>
      <c r="DB7" s="122"/>
      <c r="DC7" s="122"/>
      <c r="DD7" s="323">
        <f t="shared" si="19"/>
        <v>0</v>
      </c>
      <c r="DE7" s="122"/>
      <c r="DF7" s="122"/>
      <c r="DG7" s="323">
        <f t="shared" si="33"/>
        <v>0</v>
      </c>
      <c r="DH7" s="123">
        <v>4</v>
      </c>
      <c r="DI7" s="122"/>
      <c r="DJ7" s="122"/>
      <c r="DK7" s="122"/>
      <c r="DL7" s="317">
        <f t="shared" si="20"/>
        <v>0</v>
      </c>
      <c r="DM7" s="122"/>
      <c r="DN7" s="122"/>
      <c r="DO7" s="323">
        <f t="shared" si="21"/>
        <v>0</v>
      </c>
      <c r="DP7" s="122"/>
      <c r="DQ7" s="122"/>
      <c r="DR7" s="322">
        <f t="shared" si="34"/>
        <v>0</v>
      </c>
      <c r="DS7" s="123">
        <v>4</v>
      </c>
      <c r="DT7" s="122"/>
      <c r="DU7" s="122"/>
      <c r="DV7" s="122"/>
      <c r="DW7" s="317">
        <f t="shared" si="22"/>
        <v>0</v>
      </c>
      <c r="DX7" s="122"/>
      <c r="DY7" s="122"/>
      <c r="DZ7" s="323">
        <f t="shared" si="23"/>
        <v>0</v>
      </c>
      <c r="EA7" s="122"/>
      <c r="EB7" s="122"/>
      <c r="EC7" s="322">
        <f t="shared" si="35"/>
        <v>0</v>
      </c>
    </row>
    <row r="8" spans="1:133" ht="16.8" thickTop="1" thickBot="1" x14ac:dyDescent="0.35">
      <c r="B8" s="123">
        <v>5</v>
      </c>
      <c r="C8" s="122"/>
      <c r="D8" s="122"/>
      <c r="E8" s="122"/>
      <c r="F8" s="317">
        <f t="shared" si="0"/>
        <v>0</v>
      </c>
      <c r="G8" s="122"/>
      <c r="H8" s="122"/>
      <c r="I8" s="323">
        <f t="shared" si="1"/>
        <v>0</v>
      </c>
      <c r="J8" s="122"/>
      <c r="K8" s="122"/>
      <c r="L8" s="323">
        <f t="shared" si="24"/>
        <v>0</v>
      </c>
      <c r="M8" s="123">
        <v>5</v>
      </c>
      <c r="N8" s="122"/>
      <c r="O8" s="122"/>
      <c r="P8" s="122"/>
      <c r="Q8" s="317">
        <f t="shared" si="2"/>
        <v>0</v>
      </c>
      <c r="R8" s="122"/>
      <c r="S8" s="122"/>
      <c r="T8" s="323">
        <f t="shared" si="3"/>
        <v>0</v>
      </c>
      <c r="U8" s="122"/>
      <c r="V8" s="122"/>
      <c r="W8" s="322">
        <f t="shared" si="25"/>
        <v>0</v>
      </c>
      <c r="X8" s="123">
        <v>5</v>
      </c>
      <c r="Y8" s="122"/>
      <c r="Z8" s="122"/>
      <c r="AA8" s="122"/>
      <c r="AB8" s="317">
        <f t="shared" si="4"/>
        <v>0</v>
      </c>
      <c r="AC8" s="122"/>
      <c r="AD8" s="122"/>
      <c r="AE8" s="323">
        <f t="shared" si="5"/>
        <v>0</v>
      </c>
      <c r="AF8" s="122"/>
      <c r="AG8" s="122"/>
      <c r="AH8" s="322">
        <f t="shared" si="26"/>
        <v>0</v>
      </c>
      <c r="AI8" s="123">
        <v>5</v>
      </c>
      <c r="AJ8" s="122"/>
      <c r="AK8" s="122"/>
      <c r="AL8" s="122"/>
      <c r="AM8" s="317">
        <f t="shared" si="6"/>
        <v>0</v>
      </c>
      <c r="AN8" s="122"/>
      <c r="AO8" s="122"/>
      <c r="AP8" s="323">
        <f t="shared" si="7"/>
        <v>0</v>
      </c>
      <c r="AQ8" s="122"/>
      <c r="AR8" s="122"/>
      <c r="AS8" s="323">
        <f t="shared" si="27"/>
        <v>0</v>
      </c>
      <c r="AT8" s="123">
        <v>5</v>
      </c>
      <c r="AU8" s="122"/>
      <c r="AV8" s="122"/>
      <c r="AW8" s="122"/>
      <c r="AX8" s="317">
        <f t="shared" si="8"/>
        <v>0</v>
      </c>
      <c r="AY8" s="122"/>
      <c r="AZ8" s="122"/>
      <c r="BA8" s="323">
        <f t="shared" si="9"/>
        <v>0</v>
      </c>
      <c r="BB8" s="122"/>
      <c r="BC8" s="122"/>
      <c r="BD8" s="322">
        <f t="shared" si="28"/>
        <v>0</v>
      </c>
      <c r="BE8" s="123">
        <v>5</v>
      </c>
      <c r="BF8" s="122"/>
      <c r="BG8" s="122"/>
      <c r="BH8" s="122"/>
      <c r="BI8" s="317">
        <f t="shared" si="10"/>
        <v>0</v>
      </c>
      <c r="BJ8" s="122"/>
      <c r="BK8" s="122"/>
      <c r="BL8" s="323">
        <f t="shared" si="11"/>
        <v>0</v>
      </c>
      <c r="BM8" s="122"/>
      <c r="BN8" s="122"/>
      <c r="BO8" s="322">
        <f t="shared" si="29"/>
        <v>0</v>
      </c>
      <c r="BP8" s="123">
        <v>5</v>
      </c>
      <c r="BQ8" s="122"/>
      <c r="BR8" s="122"/>
      <c r="BS8" s="122"/>
      <c r="BT8" s="317">
        <f t="shared" si="12"/>
        <v>0</v>
      </c>
      <c r="BU8" s="122"/>
      <c r="BV8" s="122"/>
      <c r="BW8" s="323">
        <f t="shared" si="13"/>
        <v>0</v>
      </c>
      <c r="BX8" s="122"/>
      <c r="BY8" s="122"/>
      <c r="BZ8" s="323">
        <f t="shared" si="30"/>
        <v>0</v>
      </c>
      <c r="CA8" s="123">
        <v>5</v>
      </c>
      <c r="CB8" s="122"/>
      <c r="CC8" s="122"/>
      <c r="CD8" s="122"/>
      <c r="CE8" s="317">
        <f t="shared" si="14"/>
        <v>0</v>
      </c>
      <c r="CF8" s="122"/>
      <c r="CG8" s="122"/>
      <c r="CH8" s="323">
        <f t="shared" si="15"/>
        <v>0</v>
      </c>
      <c r="CI8" s="122"/>
      <c r="CJ8" s="122"/>
      <c r="CK8" s="322">
        <f t="shared" si="31"/>
        <v>0</v>
      </c>
      <c r="CL8" s="123">
        <v>5</v>
      </c>
      <c r="CM8" s="122"/>
      <c r="CN8" s="122"/>
      <c r="CO8" s="122"/>
      <c r="CP8" s="317">
        <f t="shared" si="16"/>
        <v>0</v>
      </c>
      <c r="CQ8" s="122"/>
      <c r="CR8" s="122"/>
      <c r="CS8" s="323">
        <f t="shared" si="17"/>
        <v>0</v>
      </c>
      <c r="CT8" s="122"/>
      <c r="CU8" s="122"/>
      <c r="CV8" s="322">
        <f t="shared" si="32"/>
        <v>0</v>
      </c>
      <c r="CW8" s="123">
        <v>5</v>
      </c>
      <c r="CX8" s="122"/>
      <c r="CY8" s="122"/>
      <c r="CZ8" s="122"/>
      <c r="DA8" s="317">
        <f t="shared" si="18"/>
        <v>0</v>
      </c>
      <c r="DB8" s="122"/>
      <c r="DC8" s="122"/>
      <c r="DD8" s="323">
        <f t="shared" si="19"/>
        <v>0</v>
      </c>
      <c r="DE8" s="122"/>
      <c r="DF8" s="122"/>
      <c r="DG8" s="323">
        <f t="shared" si="33"/>
        <v>0</v>
      </c>
      <c r="DH8" s="123">
        <v>5</v>
      </c>
      <c r="DI8" s="122"/>
      <c r="DJ8" s="122"/>
      <c r="DK8" s="122"/>
      <c r="DL8" s="317">
        <f t="shared" si="20"/>
        <v>0</v>
      </c>
      <c r="DM8" s="122"/>
      <c r="DN8" s="122"/>
      <c r="DO8" s="323">
        <f t="shared" si="21"/>
        <v>0</v>
      </c>
      <c r="DP8" s="122"/>
      <c r="DQ8" s="122"/>
      <c r="DR8" s="322">
        <f t="shared" si="34"/>
        <v>0</v>
      </c>
      <c r="DS8" s="123">
        <v>5</v>
      </c>
      <c r="DT8" s="122"/>
      <c r="DU8" s="122"/>
      <c r="DV8" s="122"/>
      <c r="DW8" s="317">
        <f t="shared" si="22"/>
        <v>0</v>
      </c>
      <c r="DX8" s="122"/>
      <c r="DY8" s="122"/>
      <c r="DZ8" s="323">
        <f t="shared" si="23"/>
        <v>0</v>
      </c>
      <c r="EA8" s="122"/>
      <c r="EB8" s="122"/>
      <c r="EC8" s="322">
        <f t="shared" si="35"/>
        <v>0</v>
      </c>
    </row>
    <row r="9" spans="1:133" ht="16.8" thickTop="1" thickBot="1" x14ac:dyDescent="0.35">
      <c r="B9" s="123">
        <v>6</v>
      </c>
      <c r="C9" s="122"/>
      <c r="D9" s="122"/>
      <c r="E9" s="122"/>
      <c r="F9" s="317">
        <f t="shared" si="0"/>
        <v>0</v>
      </c>
      <c r="G9" s="122"/>
      <c r="H9" s="122"/>
      <c r="I9" s="323">
        <f t="shared" si="1"/>
        <v>0</v>
      </c>
      <c r="J9" s="122"/>
      <c r="K9" s="122"/>
      <c r="L9" s="323">
        <f t="shared" si="24"/>
        <v>0</v>
      </c>
      <c r="M9" s="123">
        <v>6</v>
      </c>
      <c r="N9" s="122"/>
      <c r="O9" s="122"/>
      <c r="P9" s="122"/>
      <c r="Q9" s="317">
        <f t="shared" si="2"/>
        <v>0</v>
      </c>
      <c r="R9" s="122"/>
      <c r="S9" s="122"/>
      <c r="T9" s="323">
        <f t="shared" si="3"/>
        <v>0</v>
      </c>
      <c r="U9" s="122"/>
      <c r="V9" s="122"/>
      <c r="W9" s="322">
        <f t="shared" si="25"/>
        <v>0</v>
      </c>
      <c r="X9" s="123">
        <v>6</v>
      </c>
      <c r="Y9" s="122"/>
      <c r="Z9" s="122"/>
      <c r="AA9" s="122"/>
      <c r="AB9" s="317">
        <f t="shared" si="4"/>
        <v>0</v>
      </c>
      <c r="AC9" s="122"/>
      <c r="AD9" s="122"/>
      <c r="AE9" s="323">
        <f t="shared" si="5"/>
        <v>0</v>
      </c>
      <c r="AF9" s="122"/>
      <c r="AG9" s="122"/>
      <c r="AH9" s="322">
        <f t="shared" si="26"/>
        <v>0</v>
      </c>
      <c r="AI9" s="123">
        <v>6</v>
      </c>
      <c r="AJ9" s="122"/>
      <c r="AK9" s="122"/>
      <c r="AL9" s="122"/>
      <c r="AM9" s="317">
        <f t="shared" si="6"/>
        <v>0</v>
      </c>
      <c r="AN9" s="122"/>
      <c r="AO9" s="122"/>
      <c r="AP9" s="323">
        <f t="shared" si="7"/>
        <v>0</v>
      </c>
      <c r="AQ9" s="122"/>
      <c r="AR9" s="122"/>
      <c r="AS9" s="323">
        <f t="shared" si="27"/>
        <v>0</v>
      </c>
      <c r="AT9" s="123">
        <v>6</v>
      </c>
      <c r="AU9" s="122"/>
      <c r="AV9" s="122"/>
      <c r="AW9" s="122"/>
      <c r="AX9" s="317">
        <f t="shared" si="8"/>
        <v>0</v>
      </c>
      <c r="AY9" s="122"/>
      <c r="AZ9" s="122"/>
      <c r="BA9" s="323">
        <f t="shared" si="9"/>
        <v>0</v>
      </c>
      <c r="BB9" s="122"/>
      <c r="BC9" s="122"/>
      <c r="BD9" s="322">
        <f t="shared" si="28"/>
        <v>0</v>
      </c>
      <c r="BE9" s="123">
        <v>6</v>
      </c>
      <c r="BF9" s="122"/>
      <c r="BG9" s="122"/>
      <c r="BH9" s="122"/>
      <c r="BI9" s="317">
        <f t="shared" si="10"/>
        <v>0</v>
      </c>
      <c r="BJ9" s="122"/>
      <c r="BK9" s="122"/>
      <c r="BL9" s="323">
        <f t="shared" si="11"/>
        <v>0</v>
      </c>
      <c r="BM9" s="122"/>
      <c r="BN9" s="122"/>
      <c r="BO9" s="322">
        <f t="shared" si="29"/>
        <v>0</v>
      </c>
      <c r="BP9" s="123">
        <v>6</v>
      </c>
      <c r="BQ9" s="122"/>
      <c r="BR9" s="122"/>
      <c r="BS9" s="122"/>
      <c r="BT9" s="317">
        <f t="shared" si="12"/>
        <v>0</v>
      </c>
      <c r="BU9" s="122"/>
      <c r="BV9" s="122"/>
      <c r="BW9" s="323">
        <f t="shared" si="13"/>
        <v>0</v>
      </c>
      <c r="BX9" s="122"/>
      <c r="BY9" s="122"/>
      <c r="BZ9" s="323">
        <f t="shared" si="30"/>
        <v>0</v>
      </c>
      <c r="CA9" s="123">
        <v>6</v>
      </c>
      <c r="CB9" s="122"/>
      <c r="CC9" s="122"/>
      <c r="CD9" s="122"/>
      <c r="CE9" s="317">
        <f t="shared" si="14"/>
        <v>0</v>
      </c>
      <c r="CF9" s="122"/>
      <c r="CG9" s="122"/>
      <c r="CH9" s="323">
        <f t="shared" si="15"/>
        <v>0</v>
      </c>
      <c r="CI9" s="122"/>
      <c r="CJ9" s="122"/>
      <c r="CK9" s="322">
        <f t="shared" si="31"/>
        <v>0</v>
      </c>
      <c r="CL9" s="123">
        <v>6</v>
      </c>
      <c r="CM9" s="122"/>
      <c r="CN9" s="122"/>
      <c r="CO9" s="122"/>
      <c r="CP9" s="317">
        <f t="shared" si="16"/>
        <v>0</v>
      </c>
      <c r="CQ9" s="122"/>
      <c r="CR9" s="122"/>
      <c r="CS9" s="323">
        <f t="shared" si="17"/>
        <v>0</v>
      </c>
      <c r="CT9" s="122"/>
      <c r="CU9" s="122"/>
      <c r="CV9" s="322">
        <f t="shared" si="32"/>
        <v>0</v>
      </c>
      <c r="CW9" s="123">
        <v>6</v>
      </c>
      <c r="CX9" s="122"/>
      <c r="CY9" s="122"/>
      <c r="CZ9" s="122"/>
      <c r="DA9" s="317">
        <f t="shared" si="18"/>
        <v>0</v>
      </c>
      <c r="DB9" s="122"/>
      <c r="DC9" s="122"/>
      <c r="DD9" s="323">
        <f t="shared" si="19"/>
        <v>0</v>
      </c>
      <c r="DE9" s="122"/>
      <c r="DF9" s="122"/>
      <c r="DG9" s="323">
        <f t="shared" si="33"/>
        <v>0</v>
      </c>
      <c r="DH9" s="123">
        <v>6</v>
      </c>
      <c r="DI9" s="122"/>
      <c r="DJ9" s="122"/>
      <c r="DK9" s="122"/>
      <c r="DL9" s="317">
        <f t="shared" si="20"/>
        <v>0</v>
      </c>
      <c r="DM9" s="122"/>
      <c r="DN9" s="122"/>
      <c r="DO9" s="323">
        <f t="shared" si="21"/>
        <v>0</v>
      </c>
      <c r="DP9" s="122"/>
      <c r="DQ9" s="122"/>
      <c r="DR9" s="322">
        <f t="shared" si="34"/>
        <v>0</v>
      </c>
      <c r="DS9" s="123">
        <v>6</v>
      </c>
      <c r="DT9" s="122"/>
      <c r="DU9" s="122"/>
      <c r="DV9" s="122"/>
      <c r="DW9" s="317">
        <f t="shared" si="22"/>
        <v>0</v>
      </c>
      <c r="DX9" s="122"/>
      <c r="DY9" s="122"/>
      <c r="DZ9" s="323">
        <f t="shared" si="23"/>
        <v>0</v>
      </c>
      <c r="EA9" s="122"/>
      <c r="EB9" s="122"/>
      <c r="EC9" s="322">
        <f t="shared" si="35"/>
        <v>0</v>
      </c>
    </row>
    <row r="10" spans="1:133" ht="16.8" thickTop="1" thickBot="1" x14ac:dyDescent="0.35">
      <c r="B10" s="123">
        <v>7</v>
      </c>
      <c r="C10" s="122"/>
      <c r="D10" s="122"/>
      <c r="E10" s="122"/>
      <c r="F10" s="317">
        <f t="shared" si="0"/>
        <v>0</v>
      </c>
      <c r="G10" s="122"/>
      <c r="H10" s="122"/>
      <c r="I10" s="323">
        <f t="shared" si="1"/>
        <v>0</v>
      </c>
      <c r="J10" s="122"/>
      <c r="K10" s="122"/>
      <c r="L10" s="323">
        <f t="shared" si="24"/>
        <v>0</v>
      </c>
      <c r="M10" s="123">
        <v>7</v>
      </c>
      <c r="N10" s="122"/>
      <c r="O10" s="122"/>
      <c r="P10" s="122"/>
      <c r="Q10" s="317">
        <f t="shared" si="2"/>
        <v>0</v>
      </c>
      <c r="R10" s="122"/>
      <c r="S10" s="122"/>
      <c r="T10" s="323">
        <f t="shared" si="3"/>
        <v>0</v>
      </c>
      <c r="U10" s="122"/>
      <c r="V10" s="122"/>
      <c r="W10" s="322">
        <f t="shared" si="25"/>
        <v>0</v>
      </c>
      <c r="X10" s="123">
        <v>7</v>
      </c>
      <c r="Y10" s="122"/>
      <c r="Z10" s="122"/>
      <c r="AA10" s="122"/>
      <c r="AB10" s="317">
        <f t="shared" si="4"/>
        <v>0</v>
      </c>
      <c r="AC10" s="122"/>
      <c r="AD10" s="122"/>
      <c r="AE10" s="323">
        <f t="shared" si="5"/>
        <v>0</v>
      </c>
      <c r="AF10" s="122"/>
      <c r="AG10" s="122"/>
      <c r="AH10" s="322">
        <f t="shared" si="26"/>
        <v>0</v>
      </c>
      <c r="AI10" s="123">
        <v>7</v>
      </c>
      <c r="AJ10" s="122"/>
      <c r="AK10" s="122"/>
      <c r="AL10" s="122"/>
      <c r="AM10" s="317">
        <f t="shared" si="6"/>
        <v>0</v>
      </c>
      <c r="AN10" s="122"/>
      <c r="AO10" s="122"/>
      <c r="AP10" s="323">
        <f t="shared" si="7"/>
        <v>0</v>
      </c>
      <c r="AQ10" s="122"/>
      <c r="AR10" s="122"/>
      <c r="AS10" s="323">
        <f t="shared" si="27"/>
        <v>0</v>
      </c>
      <c r="AT10" s="123">
        <v>7</v>
      </c>
      <c r="AU10" s="122"/>
      <c r="AV10" s="122"/>
      <c r="AW10" s="122"/>
      <c r="AX10" s="317">
        <f t="shared" si="8"/>
        <v>0</v>
      </c>
      <c r="AY10" s="122"/>
      <c r="AZ10" s="122"/>
      <c r="BA10" s="323">
        <f t="shared" si="9"/>
        <v>0</v>
      </c>
      <c r="BB10" s="122"/>
      <c r="BC10" s="122"/>
      <c r="BD10" s="322">
        <f t="shared" si="28"/>
        <v>0</v>
      </c>
      <c r="BE10" s="123">
        <v>7</v>
      </c>
      <c r="BF10" s="122"/>
      <c r="BG10" s="122"/>
      <c r="BH10" s="122"/>
      <c r="BI10" s="317">
        <f t="shared" si="10"/>
        <v>0</v>
      </c>
      <c r="BJ10" s="122"/>
      <c r="BK10" s="122"/>
      <c r="BL10" s="323">
        <f t="shared" si="11"/>
        <v>0</v>
      </c>
      <c r="BM10" s="122"/>
      <c r="BN10" s="122"/>
      <c r="BO10" s="322">
        <f t="shared" si="29"/>
        <v>0</v>
      </c>
      <c r="BP10" s="123">
        <v>7</v>
      </c>
      <c r="BQ10" s="122"/>
      <c r="BR10" s="122"/>
      <c r="BS10" s="122"/>
      <c r="BT10" s="317">
        <f t="shared" si="12"/>
        <v>0</v>
      </c>
      <c r="BU10" s="122"/>
      <c r="BV10" s="122"/>
      <c r="BW10" s="323">
        <f t="shared" si="13"/>
        <v>0</v>
      </c>
      <c r="BX10" s="122"/>
      <c r="BY10" s="122"/>
      <c r="BZ10" s="323">
        <f t="shared" si="30"/>
        <v>0</v>
      </c>
      <c r="CA10" s="123">
        <v>7</v>
      </c>
      <c r="CB10" s="122"/>
      <c r="CC10" s="122"/>
      <c r="CD10" s="122"/>
      <c r="CE10" s="317">
        <f t="shared" si="14"/>
        <v>0</v>
      </c>
      <c r="CF10" s="122"/>
      <c r="CG10" s="122"/>
      <c r="CH10" s="323">
        <f t="shared" si="15"/>
        <v>0</v>
      </c>
      <c r="CI10" s="122"/>
      <c r="CJ10" s="122"/>
      <c r="CK10" s="322">
        <f t="shared" si="31"/>
        <v>0</v>
      </c>
      <c r="CL10" s="123">
        <v>7</v>
      </c>
      <c r="CM10" s="122"/>
      <c r="CN10" s="122"/>
      <c r="CO10" s="122"/>
      <c r="CP10" s="317">
        <f t="shared" si="16"/>
        <v>0</v>
      </c>
      <c r="CQ10" s="122"/>
      <c r="CR10" s="122"/>
      <c r="CS10" s="323">
        <f t="shared" si="17"/>
        <v>0</v>
      </c>
      <c r="CT10" s="122"/>
      <c r="CU10" s="122"/>
      <c r="CV10" s="322">
        <f t="shared" si="32"/>
        <v>0</v>
      </c>
      <c r="CW10" s="123">
        <v>7</v>
      </c>
      <c r="CX10" s="122"/>
      <c r="CY10" s="122"/>
      <c r="CZ10" s="122"/>
      <c r="DA10" s="317">
        <f t="shared" si="18"/>
        <v>0</v>
      </c>
      <c r="DB10" s="122"/>
      <c r="DC10" s="122"/>
      <c r="DD10" s="323">
        <f t="shared" si="19"/>
        <v>0</v>
      </c>
      <c r="DE10" s="122"/>
      <c r="DF10" s="122"/>
      <c r="DG10" s="323">
        <f t="shared" si="33"/>
        <v>0</v>
      </c>
      <c r="DH10" s="123">
        <v>7</v>
      </c>
      <c r="DI10" s="122"/>
      <c r="DJ10" s="122"/>
      <c r="DK10" s="122"/>
      <c r="DL10" s="317">
        <f t="shared" si="20"/>
        <v>0</v>
      </c>
      <c r="DM10" s="122"/>
      <c r="DN10" s="122"/>
      <c r="DO10" s="323">
        <f t="shared" si="21"/>
        <v>0</v>
      </c>
      <c r="DP10" s="122"/>
      <c r="DQ10" s="122"/>
      <c r="DR10" s="322">
        <f t="shared" si="34"/>
        <v>0</v>
      </c>
      <c r="DS10" s="123">
        <v>7</v>
      </c>
      <c r="DT10" s="122"/>
      <c r="DU10" s="122"/>
      <c r="DV10" s="122"/>
      <c r="DW10" s="317">
        <f t="shared" si="22"/>
        <v>0</v>
      </c>
      <c r="DX10" s="122"/>
      <c r="DY10" s="122"/>
      <c r="DZ10" s="323">
        <f t="shared" si="23"/>
        <v>0</v>
      </c>
      <c r="EA10" s="122"/>
      <c r="EB10" s="122"/>
      <c r="EC10" s="322">
        <f t="shared" si="35"/>
        <v>0</v>
      </c>
    </row>
    <row r="11" spans="1:133" ht="16.8" thickTop="1" thickBot="1" x14ac:dyDescent="0.35">
      <c r="B11" s="123">
        <v>8</v>
      </c>
      <c r="C11" s="122"/>
      <c r="D11" s="122"/>
      <c r="E11" s="122"/>
      <c r="F11" s="317">
        <f t="shared" si="0"/>
        <v>0</v>
      </c>
      <c r="G11" s="122"/>
      <c r="H11" s="122"/>
      <c r="I11" s="323">
        <f t="shared" si="1"/>
        <v>0</v>
      </c>
      <c r="J11" s="122"/>
      <c r="K11" s="122"/>
      <c r="L11" s="323">
        <f t="shared" si="24"/>
        <v>0</v>
      </c>
      <c r="M11" s="123">
        <v>8</v>
      </c>
      <c r="N11" s="122"/>
      <c r="O11" s="122"/>
      <c r="P11" s="122"/>
      <c r="Q11" s="317">
        <f t="shared" si="2"/>
        <v>0</v>
      </c>
      <c r="R11" s="122"/>
      <c r="S11" s="122"/>
      <c r="T11" s="323">
        <f t="shared" si="3"/>
        <v>0</v>
      </c>
      <c r="U11" s="122"/>
      <c r="V11" s="122"/>
      <c r="W11" s="322">
        <f t="shared" si="25"/>
        <v>0</v>
      </c>
      <c r="X11" s="123">
        <v>8</v>
      </c>
      <c r="Y11" s="122"/>
      <c r="Z11" s="122"/>
      <c r="AA11" s="122"/>
      <c r="AB11" s="317">
        <f t="shared" si="4"/>
        <v>0</v>
      </c>
      <c r="AC11" s="122"/>
      <c r="AD11" s="122"/>
      <c r="AE11" s="323">
        <f t="shared" si="5"/>
        <v>0</v>
      </c>
      <c r="AF11" s="122"/>
      <c r="AG11" s="122"/>
      <c r="AH11" s="322">
        <f t="shared" si="26"/>
        <v>0</v>
      </c>
      <c r="AI11" s="123">
        <v>8</v>
      </c>
      <c r="AJ11" s="122"/>
      <c r="AK11" s="122"/>
      <c r="AL11" s="122"/>
      <c r="AM11" s="317">
        <f t="shared" si="6"/>
        <v>0</v>
      </c>
      <c r="AN11" s="122"/>
      <c r="AO11" s="122"/>
      <c r="AP11" s="323">
        <f t="shared" si="7"/>
        <v>0</v>
      </c>
      <c r="AQ11" s="122"/>
      <c r="AR11" s="122"/>
      <c r="AS11" s="323">
        <f t="shared" si="27"/>
        <v>0</v>
      </c>
      <c r="AT11" s="123">
        <v>8</v>
      </c>
      <c r="AU11" s="122"/>
      <c r="AV11" s="122"/>
      <c r="AW11" s="122"/>
      <c r="AX11" s="317">
        <f t="shared" si="8"/>
        <v>0</v>
      </c>
      <c r="AY11" s="122"/>
      <c r="AZ11" s="122"/>
      <c r="BA11" s="323">
        <f t="shared" si="9"/>
        <v>0</v>
      </c>
      <c r="BB11" s="122"/>
      <c r="BC11" s="122"/>
      <c r="BD11" s="322">
        <f t="shared" si="28"/>
        <v>0</v>
      </c>
      <c r="BE11" s="123">
        <v>8</v>
      </c>
      <c r="BF11" s="122"/>
      <c r="BG11" s="122"/>
      <c r="BH11" s="122"/>
      <c r="BI11" s="317">
        <f t="shared" si="10"/>
        <v>0</v>
      </c>
      <c r="BJ11" s="122"/>
      <c r="BK11" s="122"/>
      <c r="BL11" s="323">
        <f t="shared" si="11"/>
        <v>0</v>
      </c>
      <c r="BM11" s="122"/>
      <c r="BN11" s="122"/>
      <c r="BO11" s="322">
        <f t="shared" si="29"/>
        <v>0</v>
      </c>
      <c r="BP11" s="123">
        <v>8</v>
      </c>
      <c r="BQ11" s="122"/>
      <c r="BR11" s="122"/>
      <c r="BS11" s="122"/>
      <c r="BT11" s="317">
        <f t="shared" si="12"/>
        <v>0</v>
      </c>
      <c r="BU11" s="122"/>
      <c r="BV11" s="122"/>
      <c r="BW11" s="323">
        <f t="shared" si="13"/>
        <v>0</v>
      </c>
      <c r="BX11" s="122"/>
      <c r="BY11" s="122"/>
      <c r="BZ11" s="323">
        <f t="shared" si="30"/>
        <v>0</v>
      </c>
      <c r="CA11" s="123">
        <v>8</v>
      </c>
      <c r="CB11" s="122"/>
      <c r="CC11" s="122"/>
      <c r="CD11" s="122"/>
      <c r="CE11" s="317">
        <f t="shared" si="14"/>
        <v>0</v>
      </c>
      <c r="CF11" s="122"/>
      <c r="CG11" s="122"/>
      <c r="CH11" s="323">
        <f t="shared" si="15"/>
        <v>0</v>
      </c>
      <c r="CI11" s="122"/>
      <c r="CJ11" s="122"/>
      <c r="CK11" s="322">
        <f t="shared" si="31"/>
        <v>0</v>
      </c>
      <c r="CL11" s="123">
        <v>8</v>
      </c>
      <c r="CM11" s="122"/>
      <c r="CN11" s="122"/>
      <c r="CO11" s="122"/>
      <c r="CP11" s="317">
        <f t="shared" si="16"/>
        <v>0</v>
      </c>
      <c r="CQ11" s="122"/>
      <c r="CR11" s="122"/>
      <c r="CS11" s="323">
        <f t="shared" si="17"/>
        <v>0</v>
      </c>
      <c r="CT11" s="122"/>
      <c r="CU11" s="122"/>
      <c r="CV11" s="322">
        <f t="shared" si="32"/>
        <v>0</v>
      </c>
      <c r="CW11" s="123">
        <v>8</v>
      </c>
      <c r="CX11" s="122"/>
      <c r="CY11" s="122"/>
      <c r="CZ11" s="122"/>
      <c r="DA11" s="317">
        <f t="shared" si="18"/>
        <v>0</v>
      </c>
      <c r="DB11" s="122"/>
      <c r="DC11" s="122"/>
      <c r="DD11" s="323">
        <f t="shared" si="19"/>
        <v>0</v>
      </c>
      <c r="DE11" s="122"/>
      <c r="DF11" s="122"/>
      <c r="DG11" s="323">
        <f t="shared" si="33"/>
        <v>0</v>
      </c>
      <c r="DH11" s="123">
        <v>8</v>
      </c>
      <c r="DI11" s="122"/>
      <c r="DJ11" s="122"/>
      <c r="DK11" s="122"/>
      <c r="DL11" s="317">
        <f t="shared" si="20"/>
        <v>0</v>
      </c>
      <c r="DM11" s="122"/>
      <c r="DN11" s="122"/>
      <c r="DO11" s="323">
        <f t="shared" si="21"/>
        <v>0</v>
      </c>
      <c r="DP11" s="122"/>
      <c r="DQ11" s="122"/>
      <c r="DR11" s="322">
        <f t="shared" si="34"/>
        <v>0</v>
      </c>
      <c r="DS11" s="123">
        <v>8</v>
      </c>
      <c r="DT11" s="122"/>
      <c r="DU11" s="122"/>
      <c r="DV11" s="122"/>
      <c r="DW11" s="317">
        <f t="shared" si="22"/>
        <v>0</v>
      </c>
      <c r="DX11" s="122"/>
      <c r="DY11" s="122"/>
      <c r="DZ11" s="323">
        <f t="shared" si="23"/>
        <v>0</v>
      </c>
      <c r="EA11" s="122"/>
      <c r="EB11" s="122"/>
      <c r="EC11" s="322">
        <f t="shared" si="35"/>
        <v>0</v>
      </c>
    </row>
    <row r="12" spans="1:133" ht="16.8" thickTop="1" thickBot="1" x14ac:dyDescent="0.35">
      <c r="B12" s="123">
        <v>9</v>
      </c>
      <c r="C12" s="122"/>
      <c r="D12" s="122"/>
      <c r="E12" s="122"/>
      <c r="F12" s="317">
        <f t="shared" si="0"/>
        <v>0</v>
      </c>
      <c r="G12" s="122"/>
      <c r="H12" s="122"/>
      <c r="I12" s="323">
        <f t="shared" si="1"/>
        <v>0</v>
      </c>
      <c r="J12" s="122"/>
      <c r="K12" s="122"/>
      <c r="L12" s="323">
        <f t="shared" si="24"/>
        <v>0</v>
      </c>
      <c r="M12" s="123">
        <v>9</v>
      </c>
      <c r="N12" s="122"/>
      <c r="O12" s="122"/>
      <c r="P12" s="122"/>
      <c r="Q12" s="317">
        <f t="shared" si="2"/>
        <v>0</v>
      </c>
      <c r="R12" s="122"/>
      <c r="S12" s="122"/>
      <c r="T12" s="323">
        <f t="shared" si="3"/>
        <v>0</v>
      </c>
      <c r="U12" s="122"/>
      <c r="V12" s="122"/>
      <c r="W12" s="322">
        <f t="shared" si="25"/>
        <v>0</v>
      </c>
      <c r="X12" s="123">
        <v>9</v>
      </c>
      <c r="Y12" s="122"/>
      <c r="Z12" s="122"/>
      <c r="AA12" s="122"/>
      <c r="AB12" s="317">
        <f t="shared" si="4"/>
        <v>0</v>
      </c>
      <c r="AC12" s="122"/>
      <c r="AD12" s="122"/>
      <c r="AE12" s="323">
        <f t="shared" si="5"/>
        <v>0</v>
      </c>
      <c r="AF12" s="122"/>
      <c r="AG12" s="122"/>
      <c r="AH12" s="322">
        <f t="shared" si="26"/>
        <v>0</v>
      </c>
      <c r="AI12" s="123">
        <v>9</v>
      </c>
      <c r="AJ12" s="122"/>
      <c r="AK12" s="122"/>
      <c r="AL12" s="122"/>
      <c r="AM12" s="317">
        <f t="shared" si="6"/>
        <v>0</v>
      </c>
      <c r="AN12" s="122"/>
      <c r="AO12" s="122"/>
      <c r="AP12" s="323">
        <f t="shared" si="7"/>
        <v>0</v>
      </c>
      <c r="AQ12" s="122"/>
      <c r="AR12" s="122"/>
      <c r="AS12" s="323">
        <f t="shared" si="27"/>
        <v>0</v>
      </c>
      <c r="AT12" s="123">
        <v>9</v>
      </c>
      <c r="AU12" s="122"/>
      <c r="AV12" s="122"/>
      <c r="AW12" s="122"/>
      <c r="AX12" s="317">
        <f t="shared" si="8"/>
        <v>0</v>
      </c>
      <c r="AY12" s="122"/>
      <c r="AZ12" s="122"/>
      <c r="BA12" s="323">
        <f t="shared" si="9"/>
        <v>0</v>
      </c>
      <c r="BB12" s="122"/>
      <c r="BC12" s="122"/>
      <c r="BD12" s="322">
        <f t="shared" si="28"/>
        <v>0</v>
      </c>
      <c r="BE12" s="123">
        <v>9</v>
      </c>
      <c r="BF12" s="122"/>
      <c r="BG12" s="122"/>
      <c r="BH12" s="122"/>
      <c r="BI12" s="317">
        <f t="shared" si="10"/>
        <v>0</v>
      </c>
      <c r="BJ12" s="122"/>
      <c r="BK12" s="122"/>
      <c r="BL12" s="323">
        <f t="shared" si="11"/>
        <v>0</v>
      </c>
      <c r="BM12" s="122"/>
      <c r="BN12" s="122"/>
      <c r="BO12" s="322">
        <f t="shared" si="29"/>
        <v>0</v>
      </c>
      <c r="BP12" s="123">
        <v>9</v>
      </c>
      <c r="BQ12" s="122"/>
      <c r="BR12" s="122"/>
      <c r="BS12" s="122"/>
      <c r="BT12" s="317">
        <f t="shared" si="12"/>
        <v>0</v>
      </c>
      <c r="BU12" s="122"/>
      <c r="BV12" s="122"/>
      <c r="BW12" s="323">
        <f t="shared" si="13"/>
        <v>0</v>
      </c>
      <c r="BX12" s="122"/>
      <c r="BY12" s="122"/>
      <c r="BZ12" s="323">
        <f t="shared" si="30"/>
        <v>0</v>
      </c>
      <c r="CA12" s="123">
        <v>9</v>
      </c>
      <c r="CB12" s="122"/>
      <c r="CC12" s="122"/>
      <c r="CD12" s="122"/>
      <c r="CE12" s="317">
        <f t="shared" si="14"/>
        <v>0</v>
      </c>
      <c r="CF12" s="122"/>
      <c r="CG12" s="122"/>
      <c r="CH12" s="323">
        <f t="shared" si="15"/>
        <v>0</v>
      </c>
      <c r="CI12" s="122"/>
      <c r="CJ12" s="122"/>
      <c r="CK12" s="322">
        <f t="shared" si="31"/>
        <v>0</v>
      </c>
      <c r="CL12" s="123">
        <v>9</v>
      </c>
      <c r="CM12" s="122"/>
      <c r="CN12" s="122"/>
      <c r="CO12" s="122"/>
      <c r="CP12" s="317">
        <f t="shared" si="16"/>
        <v>0</v>
      </c>
      <c r="CQ12" s="122"/>
      <c r="CR12" s="122"/>
      <c r="CS12" s="323">
        <f t="shared" si="17"/>
        <v>0</v>
      </c>
      <c r="CT12" s="122"/>
      <c r="CU12" s="122"/>
      <c r="CV12" s="322">
        <f t="shared" si="32"/>
        <v>0</v>
      </c>
      <c r="CW12" s="123">
        <v>9</v>
      </c>
      <c r="CX12" s="122"/>
      <c r="CY12" s="122"/>
      <c r="CZ12" s="122"/>
      <c r="DA12" s="317">
        <f t="shared" si="18"/>
        <v>0</v>
      </c>
      <c r="DB12" s="122"/>
      <c r="DC12" s="122"/>
      <c r="DD12" s="323">
        <f t="shared" si="19"/>
        <v>0</v>
      </c>
      <c r="DE12" s="122"/>
      <c r="DF12" s="122"/>
      <c r="DG12" s="323">
        <f t="shared" si="33"/>
        <v>0</v>
      </c>
      <c r="DH12" s="123">
        <v>9</v>
      </c>
      <c r="DI12" s="122"/>
      <c r="DJ12" s="122"/>
      <c r="DK12" s="122"/>
      <c r="DL12" s="317">
        <f t="shared" si="20"/>
        <v>0</v>
      </c>
      <c r="DM12" s="122"/>
      <c r="DN12" s="122"/>
      <c r="DO12" s="323">
        <f t="shared" si="21"/>
        <v>0</v>
      </c>
      <c r="DP12" s="122"/>
      <c r="DQ12" s="122"/>
      <c r="DR12" s="322">
        <f t="shared" si="34"/>
        <v>0</v>
      </c>
      <c r="DS12" s="123">
        <v>9</v>
      </c>
      <c r="DT12" s="122"/>
      <c r="DU12" s="122"/>
      <c r="DV12" s="122"/>
      <c r="DW12" s="317">
        <f t="shared" si="22"/>
        <v>0</v>
      </c>
      <c r="DX12" s="122"/>
      <c r="DY12" s="122"/>
      <c r="DZ12" s="323">
        <f t="shared" si="23"/>
        <v>0</v>
      </c>
      <c r="EA12" s="122"/>
      <c r="EB12" s="122"/>
      <c r="EC12" s="322">
        <f t="shared" si="35"/>
        <v>0</v>
      </c>
    </row>
    <row r="13" spans="1:133" ht="16.8" thickTop="1" thickBot="1" x14ac:dyDescent="0.35">
      <c r="B13" s="123">
        <v>10</v>
      </c>
      <c r="C13" s="122"/>
      <c r="D13" s="122"/>
      <c r="E13" s="122"/>
      <c r="F13" s="317">
        <f t="shared" si="0"/>
        <v>0</v>
      </c>
      <c r="G13" s="122"/>
      <c r="H13" s="122"/>
      <c r="I13" s="323">
        <f t="shared" si="1"/>
        <v>0</v>
      </c>
      <c r="J13" s="122"/>
      <c r="K13" s="122"/>
      <c r="L13" s="323">
        <f t="shared" si="24"/>
        <v>0</v>
      </c>
      <c r="M13" s="123">
        <v>10</v>
      </c>
      <c r="N13" s="122"/>
      <c r="O13" s="122"/>
      <c r="P13" s="122"/>
      <c r="Q13" s="317">
        <f t="shared" si="2"/>
        <v>0</v>
      </c>
      <c r="R13" s="122"/>
      <c r="S13" s="122"/>
      <c r="T13" s="323">
        <f t="shared" si="3"/>
        <v>0</v>
      </c>
      <c r="U13" s="122"/>
      <c r="V13" s="122"/>
      <c r="W13" s="322">
        <f t="shared" si="25"/>
        <v>0</v>
      </c>
      <c r="X13" s="123">
        <v>10</v>
      </c>
      <c r="Y13" s="122"/>
      <c r="Z13" s="122"/>
      <c r="AA13" s="122"/>
      <c r="AB13" s="317">
        <f t="shared" si="4"/>
        <v>0</v>
      </c>
      <c r="AC13" s="122"/>
      <c r="AD13" s="122"/>
      <c r="AE13" s="323">
        <f t="shared" si="5"/>
        <v>0</v>
      </c>
      <c r="AF13" s="122"/>
      <c r="AG13" s="122"/>
      <c r="AH13" s="322">
        <f t="shared" si="26"/>
        <v>0</v>
      </c>
      <c r="AI13" s="123">
        <v>10</v>
      </c>
      <c r="AJ13" s="122"/>
      <c r="AK13" s="122"/>
      <c r="AL13" s="122"/>
      <c r="AM13" s="317">
        <f t="shared" si="6"/>
        <v>0</v>
      </c>
      <c r="AN13" s="122"/>
      <c r="AO13" s="122"/>
      <c r="AP13" s="323">
        <f t="shared" si="7"/>
        <v>0</v>
      </c>
      <c r="AQ13" s="122"/>
      <c r="AR13" s="122"/>
      <c r="AS13" s="323">
        <f t="shared" si="27"/>
        <v>0</v>
      </c>
      <c r="AT13" s="123">
        <v>10</v>
      </c>
      <c r="AU13" s="122"/>
      <c r="AV13" s="122"/>
      <c r="AW13" s="122"/>
      <c r="AX13" s="317">
        <f t="shared" si="8"/>
        <v>0</v>
      </c>
      <c r="AY13" s="122"/>
      <c r="AZ13" s="122"/>
      <c r="BA13" s="323">
        <f t="shared" si="9"/>
        <v>0</v>
      </c>
      <c r="BB13" s="122"/>
      <c r="BC13" s="122"/>
      <c r="BD13" s="322">
        <f t="shared" si="28"/>
        <v>0</v>
      </c>
      <c r="BE13" s="123">
        <v>10</v>
      </c>
      <c r="BF13" s="122"/>
      <c r="BG13" s="122"/>
      <c r="BH13" s="122"/>
      <c r="BI13" s="317">
        <f t="shared" si="10"/>
        <v>0</v>
      </c>
      <c r="BJ13" s="122"/>
      <c r="BK13" s="122"/>
      <c r="BL13" s="323">
        <f t="shared" si="11"/>
        <v>0</v>
      </c>
      <c r="BM13" s="122"/>
      <c r="BN13" s="122"/>
      <c r="BO13" s="322">
        <f t="shared" si="29"/>
        <v>0</v>
      </c>
      <c r="BP13" s="123">
        <v>10</v>
      </c>
      <c r="BQ13" s="122"/>
      <c r="BR13" s="122"/>
      <c r="BS13" s="122"/>
      <c r="BT13" s="317">
        <f t="shared" si="12"/>
        <v>0</v>
      </c>
      <c r="BU13" s="122"/>
      <c r="BV13" s="122"/>
      <c r="BW13" s="323">
        <f t="shared" si="13"/>
        <v>0</v>
      </c>
      <c r="BX13" s="122"/>
      <c r="BY13" s="122"/>
      <c r="BZ13" s="323">
        <f t="shared" si="30"/>
        <v>0</v>
      </c>
      <c r="CA13" s="123">
        <v>10</v>
      </c>
      <c r="CB13" s="122"/>
      <c r="CC13" s="122"/>
      <c r="CD13" s="122"/>
      <c r="CE13" s="317">
        <f t="shared" si="14"/>
        <v>0</v>
      </c>
      <c r="CF13" s="122"/>
      <c r="CG13" s="122"/>
      <c r="CH13" s="323">
        <f t="shared" si="15"/>
        <v>0</v>
      </c>
      <c r="CI13" s="122"/>
      <c r="CJ13" s="122"/>
      <c r="CK13" s="322">
        <f t="shared" si="31"/>
        <v>0</v>
      </c>
      <c r="CL13" s="123">
        <v>10</v>
      </c>
      <c r="CM13" s="122"/>
      <c r="CN13" s="122"/>
      <c r="CO13" s="122"/>
      <c r="CP13" s="317">
        <f t="shared" si="16"/>
        <v>0</v>
      </c>
      <c r="CQ13" s="122"/>
      <c r="CR13" s="122"/>
      <c r="CS13" s="323">
        <f t="shared" si="17"/>
        <v>0</v>
      </c>
      <c r="CT13" s="122"/>
      <c r="CU13" s="122"/>
      <c r="CV13" s="322">
        <f t="shared" si="32"/>
        <v>0</v>
      </c>
      <c r="CW13" s="123">
        <v>10</v>
      </c>
      <c r="CX13" s="122"/>
      <c r="CY13" s="122"/>
      <c r="CZ13" s="122"/>
      <c r="DA13" s="317">
        <f t="shared" si="18"/>
        <v>0</v>
      </c>
      <c r="DB13" s="122"/>
      <c r="DC13" s="122"/>
      <c r="DD13" s="323">
        <f t="shared" si="19"/>
        <v>0</v>
      </c>
      <c r="DE13" s="122"/>
      <c r="DF13" s="122"/>
      <c r="DG13" s="323">
        <f t="shared" si="33"/>
        <v>0</v>
      </c>
      <c r="DH13" s="123">
        <v>10</v>
      </c>
      <c r="DI13" s="122"/>
      <c r="DJ13" s="122"/>
      <c r="DK13" s="122"/>
      <c r="DL13" s="317">
        <f t="shared" si="20"/>
        <v>0</v>
      </c>
      <c r="DM13" s="122"/>
      <c r="DN13" s="122"/>
      <c r="DO13" s="323">
        <f t="shared" si="21"/>
        <v>0</v>
      </c>
      <c r="DP13" s="122"/>
      <c r="DQ13" s="122"/>
      <c r="DR13" s="322">
        <f t="shared" si="34"/>
        <v>0</v>
      </c>
      <c r="DS13" s="123">
        <v>10</v>
      </c>
      <c r="DT13" s="122"/>
      <c r="DU13" s="122"/>
      <c r="DV13" s="122"/>
      <c r="DW13" s="317">
        <f t="shared" si="22"/>
        <v>0</v>
      </c>
      <c r="DX13" s="122"/>
      <c r="DY13" s="122"/>
      <c r="DZ13" s="323">
        <f t="shared" si="23"/>
        <v>0</v>
      </c>
      <c r="EA13" s="122"/>
      <c r="EB13" s="122"/>
      <c r="EC13" s="322">
        <f t="shared" si="35"/>
        <v>0</v>
      </c>
    </row>
    <row r="14" spans="1:133" ht="16.8" thickTop="1" thickBot="1" x14ac:dyDescent="0.35">
      <c r="B14" s="123">
        <v>11</v>
      </c>
      <c r="C14" s="122"/>
      <c r="D14" s="122"/>
      <c r="E14" s="122"/>
      <c r="F14" s="317">
        <f t="shared" si="0"/>
        <v>0</v>
      </c>
      <c r="G14" s="122"/>
      <c r="H14" s="122"/>
      <c r="I14" s="323">
        <f t="shared" si="1"/>
        <v>0</v>
      </c>
      <c r="J14" s="122"/>
      <c r="K14" s="122"/>
      <c r="L14" s="323">
        <f t="shared" si="24"/>
        <v>0</v>
      </c>
      <c r="M14" s="123">
        <v>11</v>
      </c>
      <c r="N14" s="122"/>
      <c r="O14" s="122"/>
      <c r="P14" s="122"/>
      <c r="Q14" s="317">
        <f t="shared" si="2"/>
        <v>0</v>
      </c>
      <c r="R14" s="122"/>
      <c r="S14" s="122"/>
      <c r="T14" s="323">
        <f t="shared" si="3"/>
        <v>0</v>
      </c>
      <c r="U14" s="122"/>
      <c r="V14" s="122"/>
      <c r="W14" s="322">
        <f t="shared" si="25"/>
        <v>0</v>
      </c>
      <c r="X14" s="123">
        <v>11</v>
      </c>
      <c r="Y14" s="122"/>
      <c r="Z14" s="122"/>
      <c r="AA14" s="122"/>
      <c r="AB14" s="317">
        <f t="shared" si="4"/>
        <v>0</v>
      </c>
      <c r="AC14" s="122"/>
      <c r="AD14" s="122"/>
      <c r="AE14" s="323">
        <f t="shared" si="5"/>
        <v>0</v>
      </c>
      <c r="AF14" s="122"/>
      <c r="AG14" s="122"/>
      <c r="AH14" s="322">
        <f t="shared" si="26"/>
        <v>0</v>
      </c>
      <c r="AI14" s="123">
        <v>11</v>
      </c>
      <c r="AJ14" s="122"/>
      <c r="AK14" s="122"/>
      <c r="AL14" s="122"/>
      <c r="AM14" s="317">
        <f t="shared" si="6"/>
        <v>0</v>
      </c>
      <c r="AN14" s="122"/>
      <c r="AO14" s="122"/>
      <c r="AP14" s="323">
        <f t="shared" si="7"/>
        <v>0</v>
      </c>
      <c r="AQ14" s="122"/>
      <c r="AR14" s="122"/>
      <c r="AS14" s="323">
        <f t="shared" si="27"/>
        <v>0</v>
      </c>
      <c r="AT14" s="123">
        <v>11</v>
      </c>
      <c r="AU14" s="122"/>
      <c r="AV14" s="122"/>
      <c r="AW14" s="122"/>
      <c r="AX14" s="317">
        <f t="shared" si="8"/>
        <v>0</v>
      </c>
      <c r="AY14" s="122"/>
      <c r="AZ14" s="122"/>
      <c r="BA14" s="323">
        <f t="shared" si="9"/>
        <v>0</v>
      </c>
      <c r="BB14" s="122"/>
      <c r="BC14" s="122"/>
      <c r="BD14" s="322">
        <f t="shared" si="28"/>
        <v>0</v>
      </c>
      <c r="BE14" s="123">
        <v>11</v>
      </c>
      <c r="BF14" s="122"/>
      <c r="BG14" s="122"/>
      <c r="BH14" s="122"/>
      <c r="BI14" s="317">
        <f t="shared" si="10"/>
        <v>0</v>
      </c>
      <c r="BJ14" s="122"/>
      <c r="BK14" s="122"/>
      <c r="BL14" s="323">
        <f t="shared" si="11"/>
        <v>0</v>
      </c>
      <c r="BM14" s="122"/>
      <c r="BN14" s="122"/>
      <c r="BO14" s="322">
        <f t="shared" si="29"/>
        <v>0</v>
      </c>
      <c r="BP14" s="123">
        <v>11</v>
      </c>
      <c r="BQ14" s="122"/>
      <c r="BR14" s="122"/>
      <c r="BS14" s="122"/>
      <c r="BT14" s="317">
        <f t="shared" si="12"/>
        <v>0</v>
      </c>
      <c r="BU14" s="122"/>
      <c r="BV14" s="122"/>
      <c r="BW14" s="323">
        <f t="shared" si="13"/>
        <v>0</v>
      </c>
      <c r="BX14" s="122"/>
      <c r="BY14" s="122"/>
      <c r="BZ14" s="323">
        <f t="shared" si="30"/>
        <v>0</v>
      </c>
      <c r="CA14" s="123">
        <v>11</v>
      </c>
      <c r="CB14" s="122"/>
      <c r="CC14" s="122"/>
      <c r="CD14" s="122"/>
      <c r="CE14" s="317">
        <f t="shared" si="14"/>
        <v>0</v>
      </c>
      <c r="CF14" s="122"/>
      <c r="CG14" s="122"/>
      <c r="CH14" s="323">
        <f t="shared" si="15"/>
        <v>0</v>
      </c>
      <c r="CI14" s="122"/>
      <c r="CJ14" s="122"/>
      <c r="CK14" s="322">
        <f t="shared" si="31"/>
        <v>0</v>
      </c>
      <c r="CL14" s="123">
        <v>11</v>
      </c>
      <c r="CM14" s="122"/>
      <c r="CN14" s="122"/>
      <c r="CO14" s="122"/>
      <c r="CP14" s="317">
        <f t="shared" si="16"/>
        <v>0</v>
      </c>
      <c r="CQ14" s="122"/>
      <c r="CR14" s="122"/>
      <c r="CS14" s="323">
        <f t="shared" si="17"/>
        <v>0</v>
      </c>
      <c r="CT14" s="122"/>
      <c r="CU14" s="122"/>
      <c r="CV14" s="322">
        <f t="shared" si="32"/>
        <v>0</v>
      </c>
      <c r="CW14" s="123">
        <v>11</v>
      </c>
      <c r="CX14" s="122"/>
      <c r="CY14" s="122"/>
      <c r="CZ14" s="122"/>
      <c r="DA14" s="317">
        <f t="shared" si="18"/>
        <v>0</v>
      </c>
      <c r="DB14" s="122"/>
      <c r="DC14" s="122"/>
      <c r="DD14" s="323">
        <f t="shared" si="19"/>
        <v>0</v>
      </c>
      <c r="DE14" s="122"/>
      <c r="DF14" s="122"/>
      <c r="DG14" s="323">
        <f t="shared" si="33"/>
        <v>0</v>
      </c>
      <c r="DH14" s="123">
        <v>11</v>
      </c>
      <c r="DI14" s="122"/>
      <c r="DJ14" s="122"/>
      <c r="DK14" s="122"/>
      <c r="DL14" s="317">
        <f t="shared" si="20"/>
        <v>0</v>
      </c>
      <c r="DM14" s="122"/>
      <c r="DN14" s="122"/>
      <c r="DO14" s="323">
        <f t="shared" si="21"/>
        <v>0</v>
      </c>
      <c r="DP14" s="122"/>
      <c r="DQ14" s="122"/>
      <c r="DR14" s="322">
        <f t="shared" si="34"/>
        <v>0</v>
      </c>
      <c r="DS14" s="123">
        <v>11</v>
      </c>
      <c r="DT14" s="122"/>
      <c r="DU14" s="122"/>
      <c r="DV14" s="122"/>
      <c r="DW14" s="317">
        <f t="shared" si="22"/>
        <v>0</v>
      </c>
      <c r="DX14" s="122"/>
      <c r="DY14" s="122"/>
      <c r="DZ14" s="323">
        <f t="shared" si="23"/>
        <v>0</v>
      </c>
      <c r="EA14" s="122"/>
      <c r="EB14" s="122"/>
      <c r="EC14" s="322">
        <f t="shared" si="35"/>
        <v>0</v>
      </c>
    </row>
    <row r="15" spans="1:133" ht="16.8" thickTop="1" thickBot="1" x14ac:dyDescent="0.35">
      <c r="B15" s="123">
        <v>12</v>
      </c>
      <c r="C15" s="122"/>
      <c r="D15" s="122"/>
      <c r="E15" s="122"/>
      <c r="F15" s="317">
        <f t="shared" si="0"/>
        <v>0</v>
      </c>
      <c r="G15" s="122"/>
      <c r="H15" s="122"/>
      <c r="I15" s="323">
        <f t="shared" si="1"/>
        <v>0</v>
      </c>
      <c r="J15" s="122"/>
      <c r="K15" s="122"/>
      <c r="L15" s="323">
        <f t="shared" si="24"/>
        <v>0</v>
      </c>
      <c r="M15" s="123">
        <v>12</v>
      </c>
      <c r="N15" s="122"/>
      <c r="O15" s="122"/>
      <c r="P15" s="122"/>
      <c r="Q15" s="317">
        <f t="shared" si="2"/>
        <v>0</v>
      </c>
      <c r="R15" s="122"/>
      <c r="S15" s="122"/>
      <c r="T15" s="323">
        <f t="shared" si="3"/>
        <v>0</v>
      </c>
      <c r="U15" s="122"/>
      <c r="V15" s="122"/>
      <c r="W15" s="322">
        <f t="shared" si="25"/>
        <v>0</v>
      </c>
      <c r="X15" s="123">
        <v>12</v>
      </c>
      <c r="Y15" s="122"/>
      <c r="Z15" s="122"/>
      <c r="AA15" s="122"/>
      <c r="AB15" s="317">
        <f t="shared" si="4"/>
        <v>0</v>
      </c>
      <c r="AC15" s="122"/>
      <c r="AD15" s="122"/>
      <c r="AE15" s="323">
        <f t="shared" si="5"/>
        <v>0</v>
      </c>
      <c r="AF15" s="122"/>
      <c r="AG15" s="122"/>
      <c r="AH15" s="322">
        <f t="shared" si="26"/>
        <v>0</v>
      </c>
      <c r="AI15" s="123">
        <v>12</v>
      </c>
      <c r="AJ15" s="122"/>
      <c r="AK15" s="122"/>
      <c r="AL15" s="122"/>
      <c r="AM15" s="317">
        <f t="shared" si="6"/>
        <v>0</v>
      </c>
      <c r="AN15" s="122"/>
      <c r="AO15" s="122"/>
      <c r="AP15" s="323">
        <f t="shared" si="7"/>
        <v>0</v>
      </c>
      <c r="AQ15" s="122"/>
      <c r="AR15" s="122"/>
      <c r="AS15" s="323">
        <f t="shared" si="27"/>
        <v>0</v>
      </c>
      <c r="AT15" s="123">
        <v>12</v>
      </c>
      <c r="AU15" s="122"/>
      <c r="AV15" s="122"/>
      <c r="AW15" s="122"/>
      <c r="AX15" s="317">
        <f t="shared" si="8"/>
        <v>0</v>
      </c>
      <c r="AY15" s="122"/>
      <c r="AZ15" s="122"/>
      <c r="BA15" s="323">
        <f t="shared" si="9"/>
        <v>0</v>
      </c>
      <c r="BB15" s="122"/>
      <c r="BC15" s="122"/>
      <c r="BD15" s="322">
        <f t="shared" si="28"/>
        <v>0</v>
      </c>
      <c r="BE15" s="123">
        <v>12</v>
      </c>
      <c r="BF15" s="122"/>
      <c r="BG15" s="122"/>
      <c r="BH15" s="122"/>
      <c r="BI15" s="317">
        <f t="shared" si="10"/>
        <v>0</v>
      </c>
      <c r="BJ15" s="122"/>
      <c r="BK15" s="122"/>
      <c r="BL15" s="323">
        <f t="shared" si="11"/>
        <v>0</v>
      </c>
      <c r="BM15" s="122"/>
      <c r="BN15" s="122"/>
      <c r="BO15" s="322">
        <f t="shared" si="29"/>
        <v>0</v>
      </c>
      <c r="BP15" s="123">
        <v>12</v>
      </c>
      <c r="BQ15" s="122"/>
      <c r="BR15" s="122"/>
      <c r="BS15" s="122"/>
      <c r="BT15" s="317">
        <f t="shared" si="12"/>
        <v>0</v>
      </c>
      <c r="BU15" s="122"/>
      <c r="BV15" s="122"/>
      <c r="BW15" s="323">
        <f t="shared" si="13"/>
        <v>0</v>
      </c>
      <c r="BX15" s="122"/>
      <c r="BY15" s="122"/>
      <c r="BZ15" s="323">
        <f t="shared" si="30"/>
        <v>0</v>
      </c>
      <c r="CA15" s="123">
        <v>12</v>
      </c>
      <c r="CB15" s="122"/>
      <c r="CC15" s="122"/>
      <c r="CD15" s="122"/>
      <c r="CE15" s="317">
        <f t="shared" si="14"/>
        <v>0</v>
      </c>
      <c r="CF15" s="122"/>
      <c r="CG15" s="122"/>
      <c r="CH15" s="323">
        <f t="shared" si="15"/>
        <v>0</v>
      </c>
      <c r="CI15" s="122"/>
      <c r="CJ15" s="122"/>
      <c r="CK15" s="322">
        <f t="shared" si="31"/>
        <v>0</v>
      </c>
      <c r="CL15" s="123">
        <v>12</v>
      </c>
      <c r="CM15" s="122"/>
      <c r="CN15" s="122"/>
      <c r="CO15" s="122"/>
      <c r="CP15" s="317">
        <f t="shared" si="16"/>
        <v>0</v>
      </c>
      <c r="CQ15" s="122"/>
      <c r="CR15" s="122"/>
      <c r="CS15" s="323">
        <f t="shared" si="17"/>
        <v>0</v>
      </c>
      <c r="CT15" s="122"/>
      <c r="CU15" s="122"/>
      <c r="CV15" s="322">
        <f t="shared" si="32"/>
        <v>0</v>
      </c>
      <c r="CW15" s="123">
        <v>12</v>
      </c>
      <c r="CX15" s="122"/>
      <c r="CY15" s="122"/>
      <c r="CZ15" s="122"/>
      <c r="DA15" s="317">
        <f t="shared" si="18"/>
        <v>0</v>
      </c>
      <c r="DB15" s="122"/>
      <c r="DC15" s="122"/>
      <c r="DD15" s="323">
        <f t="shared" si="19"/>
        <v>0</v>
      </c>
      <c r="DE15" s="122"/>
      <c r="DF15" s="122"/>
      <c r="DG15" s="323">
        <f t="shared" si="33"/>
        <v>0</v>
      </c>
      <c r="DH15" s="123">
        <v>12</v>
      </c>
      <c r="DI15" s="122"/>
      <c r="DJ15" s="122"/>
      <c r="DK15" s="122"/>
      <c r="DL15" s="317">
        <f t="shared" si="20"/>
        <v>0</v>
      </c>
      <c r="DM15" s="122"/>
      <c r="DN15" s="122"/>
      <c r="DO15" s="323">
        <f t="shared" si="21"/>
        <v>0</v>
      </c>
      <c r="DP15" s="122"/>
      <c r="DQ15" s="122"/>
      <c r="DR15" s="322">
        <f t="shared" si="34"/>
        <v>0</v>
      </c>
      <c r="DS15" s="123">
        <v>12</v>
      </c>
      <c r="DT15" s="122"/>
      <c r="DU15" s="122"/>
      <c r="DV15" s="122"/>
      <c r="DW15" s="317">
        <f t="shared" si="22"/>
        <v>0</v>
      </c>
      <c r="DX15" s="122"/>
      <c r="DY15" s="122"/>
      <c r="DZ15" s="323">
        <f t="shared" si="23"/>
        <v>0</v>
      </c>
      <c r="EA15" s="122"/>
      <c r="EB15" s="122"/>
      <c r="EC15" s="322">
        <f t="shared" si="35"/>
        <v>0</v>
      </c>
    </row>
    <row r="16" spans="1:133" ht="16.8" thickTop="1" thickBot="1" x14ac:dyDescent="0.35">
      <c r="B16" s="123">
        <v>13</v>
      </c>
      <c r="C16" s="122"/>
      <c r="D16" s="122"/>
      <c r="E16" s="122"/>
      <c r="F16" s="317">
        <f t="shared" si="0"/>
        <v>0</v>
      </c>
      <c r="G16" s="122"/>
      <c r="H16" s="122"/>
      <c r="I16" s="323">
        <f t="shared" si="1"/>
        <v>0</v>
      </c>
      <c r="J16" s="122"/>
      <c r="K16" s="122"/>
      <c r="L16" s="323">
        <f t="shared" si="24"/>
        <v>0</v>
      </c>
      <c r="M16" s="123">
        <v>13</v>
      </c>
      <c r="N16" s="122"/>
      <c r="O16" s="122"/>
      <c r="P16" s="122"/>
      <c r="Q16" s="317">
        <f t="shared" si="2"/>
        <v>0</v>
      </c>
      <c r="R16" s="122"/>
      <c r="S16" s="122"/>
      <c r="T16" s="323">
        <f t="shared" si="3"/>
        <v>0</v>
      </c>
      <c r="U16" s="122"/>
      <c r="V16" s="122"/>
      <c r="W16" s="322">
        <f t="shared" si="25"/>
        <v>0</v>
      </c>
      <c r="X16" s="123">
        <v>13</v>
      </c>
      <c r="Y16" s="122"/>
      <c r="Z16" s="122"/>
      <c r="AA16" s="122"/>
      <c r="AB16" s="317">
        <f t="shared" si="4"/>
        <v>0</v>
      </c>
      <c r="AC16" s="122"/>
      <c r="AD16" s="122"/>
      <c r="AE16" s="323">
        <f t="shared" si="5"/>
        <v>0</v>
      </c>
      <c r="AF16" s="122"/>
      <c r="AG16" s="122"/>
      <c r="AH16" s="322">
        <f t="shared" si="26"/>
        <v>0</v>
      </c>
      <c r="AI16" s="123">
        <v>13</v>
      </c>
      <c r="AJ16" s="122"/>
      <c r="AK16" s="122"/>
      <c r="AL16" s="122"/>
      <c r="AM16" s="317">
        <f t="shared" si="6"/>
        <v>0</v>
      </c>
      <c r="AN16" s="122"/>
      <c r="AO16" s="122"/>
      <c r="AP16" s="323">
        <f t="shared" si="7"/>
        <v>0</v>
      </c>
      <c r="AQ16" s="122"/>
      <c r="AR16" s="122"/>
      <c r="AS16" s="323">
        <f t="shared" si="27"/>
        <v>0</v>
      </c>
      <c r="AT16" s="123">
        <v>13</v>
      </c>
      <c r="AU16" s="122"/>
      <c r="AV16" s="122"/>
      <c r="AW16" s="122"/>
      <c r="AX16" s="317">
        <f t="shared" si="8"/>
        <v>0</v>
      </c>
      <c r="AY16" s="122"/>
      <c r="AZ16" s="122"/>
      <c r="BA16" s="323">
        <f t="shared" si="9"/>
        <v>0</v>
      </c>
      <c r="BB16" s="122"/>
      <c r="BC16" s="122"/>
      <c r="BD16" s="322">
        <f t="shared" si="28"/>
        <v>0</v>
      </c>
      <c r="BE16" s="123">
        <v>13</v>
      </c>
      <c r="BF16" s="122"/>
      <c r="BG16" s="122"/>
      <c r="BH16" s="122"/>
      <c r="BI16" s="317">
        <f t="shared" si="10"/>
        <v>0</v>
      </c>
      <c r="BJ16" s="122"/>
      <c r="BK16" s="122"/>
      <c r="BL16" s="323">
        <f t="shared" si="11"/>
        <v>0</v>
      </c>
      <c r="BM16" s="122"/>
      <c r="BN16" s="122"/>
      <c r="BO16" s="322">
        <f t="shared" si="29"/>
        <v>0</v>
      </c>
      <c r="BP16" s="123">
        <v>13</v>
      </c>
      <c r="BQ16" s="122"/>
      <c r="BR16" s="122"/>
      <c r="BS16" s="122"/>
      <c r="BT16" s="317">
        <f t="shared" si="12"/>
        <v>0</v>
      </c>
      <c r="BU16" s="122"/>
      <c r="BV16" s="122"/>
      <c r="BW16" s="323">
        <f t="shared" si="13"/>
        <v>0</v>
      </c>
      <c r="BX16" s="122"/>
      <c r="BY16" s="122"/>
      <c r="BZ16" s="323">
        <f t="shared" si="30"/>
        <v>0</v>
      </c>
      <c r="CA16" s="123">
        <v>13</v>
      </c>
      <c r="CB16" s="122"/>
      <c r="CC16" s="122"/>
      <c r="CD16" s="122"/>
      <c r="CE16" s="317">
        <f t="shared" si="14"/>
        <v>0</v>
      </c>
      <c r="CF16" s="122"/>
      <c r="CG16" s="122"/>
      <c r="CH16" s="323">
        <f t="shared" si="15"/>
        <v>0</v>
      </c>
      <c r="CI16" s="122"/>
      <c r="CJ16" s="122"/>
      <c r="CK16" s="322">
        <f t="shared" si="31"/>
        <v>0</v>
      </c>
      <c r="CL16" s="123">
        <v>13</v>
      </c>
      <c r="CM16" s="122"/>
      <c r="CN16" s="122"/>
      <c r="CO16" s="122"/>
      <c r="CP16" s="317">
        <f t="shared" si="16"/>
        <v>0</v>
      </c>
      <c r="CQ16" s="122"/>
      <c r="CR16" s="122"/>
      <c r="CS16" s="323">
        <f t="shared" si="17"/>
        <v>0</v>
      </c>
      <c r="CT16" s="122"/>
      <c r="CU16" s="122"/>
      <c r="CV16" s="322">
        <f t="shared" si="32"/>
        <v>0</v>
      </c>
      <c r="CW16" s="123">
        <v>13</v>
      </c>
      <c r="CX16" s="122"/>
      <c r="CY16" s="122"/>
      <c r="CZ16" s="122"/>
      <c r="DA16" s="317">
        <f t="shared" si="18"/>
        <v>0</v>
      </c>
      <c r="DB16" s="122"/>
      <c r="DC16" s="122"/>
      <c r="DD16" s="323">
        <f t="shared" si="19"/>
        <v>0</v>
      </c>
      <c r="DE16" s="122"/>
      <c r="DF16" s="122"/>
      <c r="DG16" s="323">
        <f t="shared" si="33"/>
        <v>0</v>
      </c>
      <c r="DH16" s="123">
        <v>13</v>
      </c>
      <c r="DI16" s="122"/>
      <c r="DJ16" s="122"/>
      <c r="DK16" s="122"/>
      <c r="DL16" s="317">
        <f t="shared" si="20"/>
        <v>0</v>
      </c>
      <c r="DM16" s="122"/>
      <c r="DN16" s="122"/>
      <c r="DO16" s="323">
        <f t="shared" si="21"/>
        <v>0</v>
      </c>
      <c r="DP16" s="122"/>
      <c r="DQ16" s="122"/>
      <c r="DR16" s="322">
        <f t="shared" si="34"/>
        <v>0</v>
      </c>
      <c r="DS16" s="123">
        <v>13</v>
      </c>
      <c r="DT16" s="122"/>
      <c r="DU16" s="122"/>
      <c r="DV16" s="122"/>
      <c r="DW16" s="317">
        <f t="shared" si="22"/>
        <v>0</v>
      </c>
      <c r="DX16" s="122"/>
      <c r="DY16" s="122"/>
      <c r="DZ16" s="323">
        <f t="shared" si="23"/>
        <v>0</v>
      </c>
      <c r="EA16" s="122"/>
      <c r="EB16" s="122"/>
      <c r="EC16" s="322">
        <f t="shared" si="35"/>
        <v>0</v>
      </c>
    </row>
    <row r="17" spans="2:133" ht="16.8" thickTop="1" thickBot="1" x14ac:dyDescent="0.35">
      <c r="B17" s="123">
        <v>14</v>
      </c>
      <c r="C17" s="122"/>
      <c r="D17" s="122"/>
      <c r="E17" s="122"/>
      <c r="F17" s="317">
        <f t="shared" si="0"/>
        <v>0</v>
      </c>
      <c r="G17" s="122"/>
      <c r="H17" s="122"/>
      <c r="I17" s="323">
        <f t="shared" si="1"/>
        <v>0</v>
      </c>
      <c r="J17" s="122"/>
      <c r="K17" s="122"/>
      <c r="L17" s="323">
        <f t="shared" si="24"/>
        <v>0</v>
      </c>
      <c r="M17" s="123">
        <v>14</v>
      </c>
      <c r="N17" s="122"/>
      <c r="O17" s="122"/>
      <c r="P17" s="122"/>
      <c r="Q17" s="317">
        <f t="shared" si="2"/>
        <v>0</v>
      </c>
      <c r="R17" s="122"/>
      <c r="S17" s="122"/>
      <c r="T17" s="323">
        <f t="shared" si="3"/>
        <v>0</v>
      </c>
      <c r="U17" s="122"/>
      <c r="V17" s="122"/>
      <c r="W17" s="322">
        <f t="shared" si="25"/>
        <v>0</v>
      </c>
      <c r="X17" s="123">
        <v>14</v>
      </c>
      <c r="Y17" s="122"/>
      <c r="Z17" s="122"/>
      <c r="AA17" s="122"/>
      <c r="AB17" s="317">
        <f t="shared" si="4"/>
        <v>0</v>
      </c>
      <c r="AC17" s="122"/>
      <c r="AD17" s="122"/>
      <c r="AE17" s="323">
        <f t="shared" si="5"/>
        <v>0</v>
      </c>
      <c r="AF17" s="122"/>
      <c r="AG17" s="122"/>
      <c r="AH17" s="322">
        <f t="shared" si="26"/>
        <v>0</v>
      </c>
      <c r="AI17" s="123">
        <v>14</v>
      </c>
      <c r="AJ17" s="122"/>
      <c r="AK17" s="122"/>
      <c r="AL17" s="122"/>
      <c r="AM17" s="317">
        <f t="shared" si="6"/>
        <v>0</v>
      </c>
      <c r="AN17" s="122"/>
      <c r="AO17" s="122"/>
      <c r="AP17" s="323">
        <f t="shared" si="7"/>
        <v>0</v>
      </c>
      <c r="AQ17" s="122"/>
      <c r="AR17" s="122"/>
      <c r="AS17" s="323">
        <f t="shared" si="27"/>
        <v>0</v>
      </c>
      <c r="AT17" s="123">
        <v>14</v>
      </c>
      <c r="AU17" s="122"/>
      <c r="AV17" s="122"/>
      <c r="AW17" s="122"/>
      <c r="AX17" s="317">
        <f t="shared" si="8"/>
        <v>0</v>
      </c>
      <c r="AY17" s="122"/>
      <c r="AZ17" s="122"/>
      <c r="BA17" s="323">
        <f t="shared" si="9"/>
        <v>0</v>
      </c>
      <c r="BB17" s="122"/>
      <c r="BC17" s="122"/>
      <c r="BD17" s="322">
        <f t="shared" si="28"/>
        <v>0</v>
      </c>
      <c r="BE17" s="123">
        <v>14</v>
      </c>
      <c r="BF17" s="122"/>
      <c r="BG17" s="122"/>
      <c r="BH17" s="122"/>
      <c r="BI17" s="317">
        <f t="shared" si="10"/>
        <v>0</v>
      </c>
      <c r="BJ17" s="122"/>
      <c r="BK17" s="122"/>
      <c r="BL17" s="323">
        <f t="shared" si="11"/>
        <v>0</v>
      </c>
      <c r="BM17" s="122"/>
      <c r="BN17" s="122"/>
      <c r="BO17" s="322">
        <f t="shared" si="29"/>
        <v>0</v>
      </c>
      <c r="BP17" s="123">
        <v>14</v>
      </c>
      <c r="BQ17" s="122"/>
      <c r="BR17" s="122"/>
      <c r="BS17" s="122"/>
      <c r="BT17" s="317">
        <f t="shared" si="12"/>
        <v>0</v>
      </c>
      <c r="BU17" s="122"/>
      <c r="BV17" s="122"/>
      <c r="BW17" s="323">
        <f t="shared" si="13"/>
        <v>0</v>
      </c>
      <c r="BX17" s="122"/>
      <c r="BY17" s="122"/>
      <c r="BZ17" s="323">
        <f t="shared" si="30"/>
        <v>0</v>
      </c>
      <c r="CA17" s="123">
        <v>14</v>
      </c>
      <c r="CB17" s="122"/>
      <c r="CC17" s="122"/>
      <c r="CD17" s="122"/>
      <c r="CE17" s="317">
        <f t="shared" si="14"/>
        <v>0</v>
      </c>
      <c r="CF17" s="122"/>
      <c r="CG17" s="122"/>
      <c r="CH17" s="323">
        <f t="shared" si="15"/>
        <v>0</v>
      </c>
      <c r="CI17" s="122"/>
      <c r="CJ17" s="122"/>
      <c r="CK17" s="322">
        <f t="shared" si="31"/>
        <v>0</v>
      </c>
      <c r="CL17" s="123">
        <v>14</v>
      </c>
      <c r="CM17" s="122"/>
      <c r="CN17" s="122"/>
      <c r="CO17" s="122"/>
      <c r="CP17" s="317">
        <f t="shared" si="16"/>
        <v>0</v>
      </c>
      <c r="CQ17" s="122"/>
      <c r="CR17" s="122"/>
      <c r="CS17" s="323">
        <f t="shared" si="17"/>
        <v>0</v>
      </c>
      <c r="CT17" s="122"/>
      <c r="CU17" s="122"/>
      <c r="CV17" s="322">
        <f t="shared" si="32"/>
        <v>0</v>
      </c>
      <c r="CW17" s="123">
        <v>14</v>
      </c>
      <c r="CX17" s="122"/>
      <c r="CY17" s="122"/>
      <c r="CZ17" s="122"/>
      <c r="DA17" s="317">
        <f t="shared" si="18"/>
        <v>0</v>
      </c>
      <c r="DB17" s="122"/>
      <c r="DC17" s="122"/>
      <c r="DD17" s="323">
        <f t="shared" si="19"/>
        <v>0</v>
      </c>
      <c r="DE17" s="122"/>
      <c r="DF17" s="122"/>
      <c r="DG17" s="323">
        <f t="shared" si="33"/>
        <v>0</v>
      </c>
      <c r="DH17" s="123">
        <v>14</v>
      </c>
      <c r="DI17" s="122"/>
      <c r="DJ17" s="122"/>
      <c r="DK17" s="122"/>
      <c r="DL17" s="317">
        <f t="shared" si="20"/>
        <v>0</v>
      </c>
      <c r="DM17" s="122"/>
      <c r="DN17" s="122"/>
      <c r="DO17" s="323">
        <f t="shared" si="21"/>
        <v>0</v>
      </c>
      <c r="DP17" s="122"/>
      <c r="DQ17" s="122"/>
      <c r="DR17" s="322">
        <f t="shared" si="34"/>
        <v>0</v>
      </c>
      <c r="DS17" s="123">
        <v>14</v>
      </c>
      <c r="DT17" s="122"/>
      <c r="DU17" s="122"/>
      <c r="DV17" s="122"/>
      <c r="DW17" s="317">
        <f t="shared" si="22"/>
        <v>0</v>
      </c>
      <c r="DX17" s="122"/>
      <c r="DY17" s="122"/>
      <c r="DZ17" s="323">
        <f t="shared" si="23"/>
        <v>0</v>
      </c>
      <c r="EA17" s="122"/>
      <c r="EB17" s="122"/>
      <c r="EC17" s="322">
        <f t="shared" si="35"/>
        <v>0</v>
      </c>
    </row>
    <row r="18" spans="2:133" ht="16.8" thickTop="1" thickBot="1" x14ac:dyDescent="0.35">
      <c r="B18" s="123">
        <v>15</v>
      </c>
      <c r="C18" s="122"/>
      <c r="D18" s="122"/>
      <c r="E18" s="122"/>
      <c r="F18" s="317">
        <f t="shared" si="0"/>
        <v>0</v>
      </c>
      <c r="G18" s="122"/>
      <c r="H18" s="122"/>
      <c r="I18" s="323">
        <f t="shared" si="1"/>
        <v>0</v>
      </c>
      <c r="J18" s="122"/>
      <c r="K18" s="122"/>
      <c r="L18" s="323">
        <f t="shared" si="24"/>
        <v>0</v>
      </c>
      <c r="M18" s="123">
        <v>15</v>
      </c>
      <c r="N18" s="122"/>
      <c r="O18" s="122"/>
      <c r="P18" s="122"/>
      <c r="Q18" s="317">
        <f t="shared" si="2"/>
        <v>0</v>
      </c>
      <c r="R18" s="122"/>
      <c r="S18" s="122"/>
      <c r="T18" s="323">
        <f t="shared" si="3"/>
        <v>0</v>
      </c>
      <c r="U18" s="122"/>
      <c r="V18" s="122"/>
      <c r="W18" s="322">
        <f t="shared" si="25"/>
        <v>0</v>
      </c>
      <c r="X18" s="123">
        <v>15</v>
      </c>
      <c r="Y18" s="122"/>
      <c r="Z18" s="122"/>
      <c r="AA18" s="122"/>
      <c r="AB18" s="317">
        <f t="shared" si="4"/>
        <v>0</v>
      </c>
      <c r="AC18" s="122"/>
      <c r="AD18" s="122"/>
      <c r="AE18" s="323">
        <f t="shared" si="5"/>
        <v>0</v>
      </c>
      <c r="AF18" s="122"/>
      <c r="AG18" s="122"/>
      <c r="AH18" s="322">
        <f t="shared" si="26"/>
        <v>0</v>
      </c>
      <c r="AI18" s="123">
        <v>15</v>
      </c>
      <c r="AJ18" s="122"/>
      <c r="AK18" s="122"/>
      <c r="AL18" s="122"/>
      <c r="AM18" s="317">
        <f t="shared" si="6"/>
        <v>0</v>
      </c>
      <c r="AN18" s="122"/>
      <c r="AO18" s="122"/>
      <c r="AP18" s="323">
        <f t="shared" si="7"/>
        <v>0</v>
      </c>
      <c r="AQ18" s="122"/>
      <c r="AR18" s="122"/>
      <c r="AS18" s="323">
        <f t="shared" si="27"/>
        <v>0</v>
      </c>
      <c r="AT18" s="123">
        <v>15</v>
      </c>
      <c r="AU18" s="122"/>
      <c r="AV18" s="122"/>
      <c r="AW18" s="122"/>
      <c r="AX18" s="317">
        <f t="shared" si="8"/>
        <v>0</v>
      </c>
      <c r="AY18" s="122"/>
      <c r="AZ18" s="122"/>
      <c r="BA18" s="323">
        <f t="shared" si="9"/>
        <v>0</v>
      </c>
      <c r="BB18" s="122"/>
      <c r="BC18" s="122"/>
      <c r="BD18" s="322">
        <f t="shared" si="28"/>
        <v>0</v>
      </c>
      <c r="BE18" s="123">
        <v>15</v>
      </c>
      <c r="BF18" s="122"/>
      <c r="BG18" s="122"/>
      <c r="BH18" s="122"/>
      <c r="BI18" s="317">
        <f t="shared" si="10"/>
        <v>0</v>
      </c>
      <c r="BJ18" s="122"/>
      <c r="BK18" s="122"/>
      <c r="BL18" s="323">
        <f t="shared" si="11"/>
        <v>0</v>
      </c>
      <c r="BM18" s="122"/>
      <c r="BN18" s="122"/>
      <c r="BO18" s="322">
        <f t="shared" si="29"/>
        <v>0</v>
      </c>
      <c r="BP18" s="123">
        <v>15</v>
      </c>
      <c r="BQ18" s="122"/>
      <c r="BR18" s="122"/>
      <c r="BS18" s="122"/>
      <c r="BT18" s="317">
        <f t="shared" si="12"/>
        <v>0</v>
      </c>
      <c r="BU18" s="122"/>
      <c r="BV18" s="122"/>
      <c r="BW18" s="323">
        <f t="shared" si="13"/>
        <v>0</v>
      </c>
      <c r="BX18" s="122"/>
      <c r="BY18" s="122"/>
      <c r="BZ18" s="323">
        <f t="shared" si="30"/>
        <v>0</v>
      </c>
      <c r="CA18" s="123">
        <v>15</v>
      </c>
      <c r="CB18" s="122"/>
      <c r="CC18" s="122"/>
      <c r="CD18" s="122"/>
      <c r="CE18" s="317">
        <f t="shared" si="14"/>
        <v>0</v>
      </c>
      <c r="CF18" s="122"/>
      <c r="CG18" s="122"/>
      <c r="CH18" s="323">
        <f t="shared" si="15"/>
        <v>0</v>
      </c>
      <c r="CI18" s="122"/>
      <c r="CJ18" s="122"/>
      <c r="CK18" s="322">
        <f t="shared" si="31"/>
        <v>0</v>
      </c>
      <c r="CL18" s="123">
        <v>15</v>
      </c>
      <c r="CM18" s="122"/>
      <c r="CN18" s="122"/>
      <c r="CO18" s="122"/>
      <c r="CP18" s="317">
        <f t="shared" si="16"/>
        <v>0</v>
      </c>
      <c r="CQ18" s="122"/>
      <c r="CR18" s="122"/>
      <c r="CS18" s="323">
        <f t="shared" si="17"/>
        <v>0</v>
      </c>
      <c r="CT18" s="122"/>
      <c r="CU18" s="122"/>
      <c r="CV18" s="322">
        <f t="shared" si="32"/>
        <v>0</v>
      </c>
      <c r="CW18" s="123">
        <v>15</v>
      </c>
      <c r="CX18" s="122"/>
      <c r="CY18" s="122"/>
      <c r="CZ18" s="122"/>
      <c r="DA18" s="317">
        <f t="shared" si="18"/>
        <v>0</v>
      </c>
      <c r="DB18" s="122"/>
      <c r="DC18" s="122"/>
      <c r="DD18" s="323">
        <f t="shared" si="19"/>
        <v>0</v>
      </c>
      <c r="DE18" s="122"/>
      <c r="DF18" s="122"/>
      <c r="DG18" s="323">
        <f t="shared" si="33"/>
        <v>0</v>
      </c>
      <c r="DH18" s="123">
        <v>15</v>
      </c>
      <c r="DI18" s="122"/>
      <c r="DJ18" s="122"/>
      <c r="DK18" s="122"/>
      <c r="DL18" s="317">
        <f t="shared" si="20"/>
        <v>0</v>
      </c>
      <c r="DM18" s="122"/>
      <c r="DN18" s="122"/>
      <c r="DO18" s="323">
        <f t="shared" si="21"/>
        <v>0</v>
      </c>
      <c r="DP18" s="122"/>
      <c r="DQ18" s="122"/>
      <c r="DR18" s="322">
        <f t="shared" si="34"/>
        <v>0</v>
      </c>
      <c r="DS18" s="123">
        <v>15</v>
      </c>
      <c r="DT18" s="122"/>
      <c r="DU18" s="122"/>
      <c r="DV18" s="122"/>
      <c r="DW18" s="317">
        <f t="shared" si="22"/>
        <v>0</v>
      </c>
      <c r="DX18" s="122"/>
      <c r="DY18" s="122"/>
      <c r="DZ18" s="323">
        <f t="shared" si="23"/>
        <v>0</v>
      </c>
      <c r="EA18" s="122"/>
      <c r="EB18" s="122"/>
      <c r="EC18" s="322">
        <f t="shared" si="35"/>
        <v>0</v>
      </c>
    </row>
    <row r="19" spans="2:133" ht="16.8" thickTop="1" thickBot="1" x14ac:dyDescent="0.35">
      <c r="B19" s="123">
        <v>16</v>
      </c>
      <c r="C19" s="122"/>
      <c r="D19" s="122"/>
      <c r="E19" s="122"/>
      <c r="F19" s="317">
        <f t="shared" si="0"/>
        <v>0</v>
      </c>
      <c r="G19" s="122"/>
      <c r="H19" s="122"/>
      <c r="I19" s="323">
        <f t="shared" si="1"/>
        <v>0</v>
      </c>
      <c r="J19" s="122"/>
      <c r="K19" s="122"/>
      <c r="L19" s="323">
        <f t="shared" si="24"/>
        <v>0</v>
      </c>
      <c r="M19" s="123">
        <v>16</v>
      </c>
      <c r="N19" s="122"/>
      <c r="O19" s="122"/>
      <c r="P19" s="122"/>
      <c r="Q19" s="317">
        <f t="shared" si="2"/>
        <v>0</v>
      </c>
      <c r="R19" s="122"/>
      <c r="S19" s="122"/>
      <c r="T19" s="323">
        <f t="shared" si="3"/>
        <v>0</v>
      </c>
      <c r="U19" s="122"/>
      <c r="V19" s="122"/>
      <c r="W19" s="322">
        <f t="shared" si="25"/>
        <v>0</v>
      </c>
      <c r="X19" s="123">
        <v>16</v>
      </c>
      <c r="Y19" s="122"/>
      <c r="Z19" s="122"/>
      <c r="AA19" s="122"/>
      <c r="AB19" s="317">
        <f t="shared" si="4"/>
        <v>0</v>
      </c>
      <c r="AC19" s="122"/>
      <c r="AD19" s="122"/>
      <c r="AE19" s="323">
        <f t="shared" si="5"/>
        <v>0</v>
      </c>
      <c r="AF19" s="122"/>
      <c r="AG19" s="122"/>
      <c r="AH19" s="322">
        <f t="shared" si="26"/>
        <v>0</v>
      </c>
      <c r="AI19" s="123">
        <v>16</v>
      </c>
      <c r="AJ19" s="122"/>
      <c r="AK19" s="122"/>
      <c r="AL19" s="122"/>
      <c r="AM19" s="317">
        <f t="shared" si="6"/>
        <v>0</v>
      </c>
      <c r="AN19" s="122"/>
      <c r="AO19" s="122"/>
      <c r="AP19" s="323">
        <f t="shared" si="7"/>
        <v>0</v>
      </c>
      <c r="AQ19" s="122"/>
      <c r="AR19" s="122"/>
      <c r="AS19" s="323">
        <f t="shared" si="27"/>
        <v>0</v>
      </c>
      <c r="AT19" s="123">
        <v>16</v>
      </c>
      <c r="AU19" s="122"/>
      <c r="AV19" s="122"/>
      <c r="AW19" s="122"/>
      <c r="AX19" s="317">
        <f t="shared" si="8"/>
        <v>0</v>
      </c>
      <c r="AY19" s="122"/>
      <c r="AZ19" s="122"/>
      <c r="BA19" s="323">
        <f t="shared" si="9"/>
        <v>0</v>
      </c>
      <c r="BB19" s="122"/>
      <c r="BC19" s="122"/>
      <c r="BD19" s="322">
        <f t="shared" si="28"/>
        <v>0</v>
      </c>
      <c r="BE19" s="123">
        <v>16</v>
      </c>
      <c r="BF19" s="122"/>
      <c r="BG19" s="122"/>
      <c r="BH19" s="122"/>
      <c r="BI19" s="317">
        <f t="shared" si="10"/>
        <v>0</v>
      </c>
      <c r="BJ19" s="122"/>
      <c r="BK19" s="122"/>
      <c r="BL19" s="323">
        <f t="shared" si="11"/>
        <v>0</v>
      </c>
      <c r="BM19" s="122"/>
      <c r="BN19" s="122"/>
      <c r="BO19" s="322">
        <f t="shared" si="29"/>
        <v>0</v>
      </c>
      <c r="BP19" s="123">
        <v>16</v>
      </c>
      <c r="BQ19" s="122"/>
      <c r="BR19" s="122"/>
      <c r="BS19" s="122"/>
      <c r="BT19" s="317">
        <f t="shared" si="12"/>
        <v>0</v>
      </c>
      <c r="BU19" s="122"/>
      <c r="BV19" s="122"/>
      <c r="BW19" s="323">
        <f t="shared" si="13"/>
        <v>0</v>
      </c>
      <c r="BX19" s="122"/>
      <c r="BY19" s="122"/>
      <c r="BZ19" s="323">
        <f t="shared" si="30"/>
        <v>0</v>
      </c>
      <c r="CA19" s="123">
        <v>16</v>
      </c>
      <c r="CB19" s="122"/>
      <c r="CC19" s="122"/>
      <c r="CD19" s="122"/>
      <c r="CE19" s="317">
        <f t="shared" si="14"/>
        <v>0</v>
      </c>
      <c r="CF19" s="122"/>
      <c r="CG19" s="122"/>
      <c r="CH19" s="323">
        <f t="shared" si="15"/>
        <v>0</v>
      </c>
      <c r="CI19" s="122"/>
      <c r="CJ19" s="122"/>
      <c r="CK19" s="322">
        <f t="shared" si="31"/>
        <v>0</v>
      </c>
      <c r="CL19" s="123">
        <v>16</v>
      </c>
      <c r="CM19" s="122"/>
      <c r="CN19" s="122"/>
      <c r="CO19" s="122"/>
      <c r="CP19" s="317">
        <f t="shared" si="16"/>
        <v>0</v>
      </c>
      <c r="CQ19" s="122"/>
      <c r="CR19" s="122"/>
      <c r="CS19" s="323">
        <f t="shared" si="17"/>
        <v>0</v>
      </c>
      <c r="CT19" s="122"/>
      <c r="CU19" s="122"/>
      <c r="CV19" s="322">
        <f t="shared" si="32"/>
        <v>0</v>
      </c>
      <c r="CW19" s="123">
        <v>16</v>
      </c>
      <c r="CX19" s="122"/>
      <c r="CY19" s="122"/>
      <c r="CZ19" s="122"/>
      <c r="DA19" s="317">
        <f t="shared" si="18"/>
        <v>0</v>
      </c>
      <c r="DB19" s="122"/>
      <c r="DC19" s="122"/>
      <c r="DD19" s="323">
        <f t="shared" si="19"/>
        <v>0</v>
      </c>
      <c r="DE19" s="122"/>
      <c r="DF19" s="122"/>
      <c r="DG19" s="323">
        <f t="shared" si="33"/>
        <v>0</v>
      </c>
      <c r="DH19" s="123">
        <v>16</v>
      </c>
      <c r="DI19" s="122"/>
      <c r="DJ19" s="122"/>
      <c r="DK19" s="122"/>
      <c r="DL19" s="317">
        <f t="shared" si="20"/>
        <v>0</v>
      </c>
      <c r="DM19" s="122"/>
      <c r="DN19" s="122"/>
      <c r="DO19" s="323">
        <f t="shared" si="21"/>
        <v>0</v>
      </c>
      <c r="DP19" s="122"/>
      <c r="DQ19" s="122"/>
      <c r="DR19" s="322">
        <f t="shared" si="34"/>
        <v>0</v>
      </c>
      <c r="DS19" s="123">
        <v>16</v>
      </c>
      <c r="DT19" s="122"/>
      <c r="DU19" s="122"/>
      <c r="DV19" s="122"/>
      <c r="DW19" s="317">
        <f t="shared" si="22"/>
        <v>0</v>
      </c>
      <c r="DX19" s="122"/>
      <c r="DY19" s="122"/>
      <c r="DZ19" s="323">
        <f t="shared" si="23"/>
        <v>0</v>
      </c>
      <c r="EA19" s="122"/>
      <c r="EB19" s="122"/>
      <c r="EC19" s="322">
        <f t="shared" si="35"/>
        <v>0</v>
      </c>
    </row>
    <row r="20" spans="2:133" ht="16.8" thickTop="1" thickBot="1" x14ac:dyDescent="0.35">
      <c r="B20" s="123">
        <v>17</v>
      </c>
      <c r="C20" s="122"/>
      <c r="D20" s="122"/>
      <c r="E20" s="122"/>
      <c r="F20" s="317">
        <f t="shared" si="0"/>
        <v>0</v>
      </c>
      <c r="G20" s="122"/>
      <c r="H20" s="122"/>
      <c r="I20" s="323">
        <f t="shared" si="1"/>
        <v>0</v>
      </c>
      <c r="J20" s="122"/>
      <c r="K20" s="122"/>
      <c r="L20" s="323">
        <f t="shared" si="24"/>
        <v>0</v>
      </c>
      <c r="M20" s="123">
        <v>17</v>
      </c>
      <c r="N20" s="122"/>
      <c r="O20" s="122"/>
      <c r="P20" s="122"/>
      <c r="Q20" s="317">
        <f t="shared" si="2"/>
        <v>0</v>
      </c>
      <c r="R20" s="122"/>
      <c r="S20" s="122"/>
      <c r="T20" s="323">
        <f t="shared" si="3"/>
        <v>0</v>
      </c>
      <c r="U20" s="122"/>
      <c r="V20" s="122"/>
      <c r="W20" s="322">
        <f t="shared" si="25"/>
        <v>0</v>
      </c>
      <c r="X20" s="123">
        <v>17</v>
      </c>
      <c r="Y20" s="122"/>
      <c r="Z20" s="122"/>
      <c r="AA20" s="122"/>
      <c r="AB20" s="317">
        <f t="shared" si="4"/>
        <v>0</v>
      </c>
      <c r="AC20" s="122"/>
      <c r="AD20" s="122"/>
      <c r="AE20" s="323">
        <f t="shared" si="5"/>
        <v>0</v>
      </c>
      <c r="AF20" s="122"/>
      <c r="AG20" s="122"/>
      <c r="AH20" s="322">
        <f t="shared" si="26"/>
        <v>0</v>
      </c>
      <c r="AI20" s="123">
        <v>17</v>
      </c>
      <c r="AJ20" s="122"/>
      <c r="AK20" s="122"/>
      <c r="AL20" s="122"/>
      <c r="AM20" s="317">
        <f t="shared" si="6"/>
        <v>0</v>
      </c>
      <c r="AN20" s="122"/>
      <c r="AO20" s="122"/>
      <c r="AP20" s="323">
        <f t="shared" si="7"/>
        <v>0</v>
      </c>
      <c r="AQ20" s="122"/>
      <c r="AR20" s="122"/>
      <c r="AS20" s="323">
        <f t="shared" si="27"/>
        <v>0</v>
      </c>
      <c r="AT20" s="123">
        <v>17</v>
      </c>
      <c r="AU20" s="122"/>
      <c r="AV20" s="122"/>
      <c r="AW20" s="122"/>
      <c r="AX20" s="317">
        <f t="shared" si="8"/>
        <v>0</v>
      </c>
      <c r="AY20" s="122"/>
      <c r="AZ20" s="122"/>
      <c r="BA20" s="323">
        <f t="shared" si="9"/>
        <v>0</v>
      </c>
      <c r="BB20" s="122"/>
      <c r="BC20" s="122"/>
      <c r="BD20" s="322">
        <f t="shared" si="28"/>
        <v>0</v>
      </c>
      <c r="BE20" s="123">
        <v>17</v>
      </c>
      <c r="BF20" s="122"/>
      <c r="BG20" s="122"/>
      <c r="BH20" s="122"/>
      <c r="BI20" s="317">
        <f t="shared" si="10"/>
        <v>0</v>
      </c>
      <c r="BJ20" s="122"/>
      <c r="BK20" s="122"/>
      <c r="BL20" s="323">
        <f t="shared" si="11"/>
        <v>0</v>
      </c>
      <c r="BM20" s="122"/>
      <c r="BN20" s="122"/>
      <c r="BO20" s="322">
        <f t="shared" si="29"/>
        <v>0</v>
      </c>
      <c r="BP20" s="123">
        <v>17</v>
      </c>
      <c r="BQ20" s="122"/>
      <c r="BR20" s="122"/>
      <c r="BS20" s="122"/>
      <c r="BT20" s="317">
        <f t="shared" si="12"/>
        <v>0</v>
      </c>
      <c r="BU20" s="122"/>
      <c r="BV20" s="122"/>
      <c r="BW20" s="323">
        <f t="shared" si="13"/>
        <v>0</v>
      </c>
      <c r="BX20" s="122"/>
      <c r="BY20" s="122"/>
      <c r="BZ20" s="323">
        <f t="shared" si="30"/>
        <v>0</v>
      </c>
      <c r="CA20" s="123">
        <v>17</v>
      </c>
      <c r="CB20" s="122"/>
      <c r="CC20" s="122"/>
      <c r="CD20" s="122"/>
      <c r="CE20" s="317">
        <f t="shared" si="14"/>
        <v>0</v>
      </c>
      <c r="CF20" s="122"/>
      <c r="CG20" s="122"/>
      <c r="CH20" s="323">
        <f t="shared" si="15"/>
        <v>0</v>
      </c>
      <c r="CI20" s="122"/>
      <c r="CJ20" s="122"/>
      <c r="CK20" s="322">
        <f t="shared" si="31"/>
        <v>0</v>
      </c>
      <c r="CL20" s="123">
        <v>17</v>
      </c>
      <c r="CM20" s="122"/>
      <c r="CN20" s="122"/>
      <c r="CO20" s="122"/>
      <c r="CP20" s="317">
        <f t="shared" si="16"/>
        <v>0</v>
      </c>
      <c r="CQ20" s="122"/>
      <c r="CR20" s="122"/>
      <c r="CS20" s="323">
        <f t="shared" si="17"/>
        <v>0</v>
      </c>
      <c r="CT20" s="122"/>
      <c r="CU20" s="122"/>
      <c r="CV20" s="322">
        <f t="shared" si="32"/>
        <v>0</v>
      </c>
      <c r="CW20" s="123">
        <v>17</v>
      </c>
      <c r="CX20" s="122"/>
      <c r="CY20" s="122"/>
      <c r="CZ20" s="122"/>
      <c r="DA20" s="317">
        <f t="shared" si="18"/>
        <v>0</v>
      </c>
      <c r="DB20" s="122"/>
      <c r="DC20" s="122"/>
      <c r="DD20" s="323">
        <f t="shared" si="19"/>
        <v>0</v>
      </c>
      <c r="DE20" s="122"/>
      <c r="DF20" s="122"/>
      <c r="DG20" s="323">
        <f t="shared" si="33"/>
        <v>0</v>
      </c>
      <c r="DH20" s="123">
        <v>17</v>
      </c>
      <c r="DI20" s="122"/>
      <c r="DJ20" s="122"/>
      <c r="DK20" s="122"/>
      <c r="DL20" s="317">
        <f t="shared" si="20"/>
        <v>0</v>
      </c>
      <c r="DM20" s="122"/>
      <c r="DN20" s="122"/>
      <c r="DO20" s="323">
        <f t="shared" si="21"/>
        <v>0</v>
      </c>
      <c r="DP20" s="122"/>
      <c r="DQ20" s="122"/>
      <c r="DR20" s="322">
        <f t="shared" si="34"/>
        <v>0</v>
      </c>
      <c r="DS20" s="123">
        <v>17</v>
      </c>
      <c r="DT20" s="122"/>
      <c r="DU20" s="122"/>
      <c r="DV20" s="122"/>
      <c r="DW20" s="317">
        <f t="shared" si="22"/>
        <v>0</v>
      </c>
      <c r="DX20" s="122"/>
      <c r="DY20" s="122"/>
      <c r="DZ20" s="323">
        <f t="shared" si="23"/>
        <v>0</v>
      </c>
      <c r="EA20" s="122"/>
      <c r="EB20" s="122"/>
      <c r="EC20" s="322">
        <f t="shared" si="35"/>
        <v>0</v>
      </c>
    </row>
    <row r="21" spans="2:133" ht="16.8" thickTop="1" thickBot="1" x14ac:dyDescent="0.35">
      <c r="B21" s="123">
        <v>18</v>
      </c>
      <c r="C21" s="122"/>
      <c r="D21" s="122"/>
      <c r="E21" s="122"/>
      <c r="F21" s="317">
        <f t="shared" si="0"/>
        <v>0</v>
      </c>
      <c r="G21" s="122"/>
      <c r="H21" s="122"/>
      <c r="I21" s="323">
        <f t="shared" si="1"/>
        <v>0</v>
      </c>
      <c r="J21" s="122"/>
      <c r="K21" s="122"/>
      <c r="L21" s="323">
        <f t="shared" si="24"/>
        <v>0</v>
      </c>
      <c r="M21" s="123">
        <v>18</v>
      </c>
      <c r="N21" s="122"/>
      <c r="O21" s="122"/>
      <c r="P21" s="122"/>
      <c r="Q21" s="317">
        <f t="shared" si="2"/>
        <v>0</v>
      </c>
      <c r="R21" s="122"/>
      <c r="S21" s="122"/>
      <c r="T21" s="323">
        <f t="shared" si="3"/>
        <v>0</v>
      </c>
      <c r="U21" s="122"/>
      <c r="V21" s="122"/>
      <c r="W21" s="322">
        <f t="shared" si="25"/>
        <v>0</v>
      </c>
      <c r="X21" s="123">
        <v>18</v>
      </c>
      <c r="Y21" s="122"/>
      <c r="Z21" s="122"/>
      <c r="AA21" s="122"/>
      <c r="AB21" s="317">
        <f t="shared" si="4"/>
        <v>0</v>
      </c>
      <c r="AC21" s="122"/>
      <c r="AD21" s="122"/>
      <c r="AE21" s="323">
        <f t="shared" si="5"/>
        <v>0</v>
      </c>
      <c r="AF21" s="122"/>
      <c r="AG21" s="122"/>
      <c r="AH21" s="322">
        <f t="shared" si="26"/>
        <v>0</v>
      </c>
      <c r="AI21" s="123">
        <v>18</v>
      </c>
      <c r="AJ21" s="122"/>
      <c r="AK21" s="122"/>
      <c r="AL21" s="122"/>
      <c r="AM21" s="317">
        <f t="shared" si="6"/>
        <v>0</v>
      </c>
      <c r="AN21" s="122"/>
      <c r="AO21" s="122"/>
      <c r="AP21" s="323">
        <f t="shared" si="7"/>
        <v>0</v>
      </c>
      <c r="AQ21" s="122"/>
      <c r="AR21" s="122"/>
      <c r="AS21" s="323">
        <f t="shared" si="27"/>
        <v>0</v>
      </c>
      <c r="AT21" s="123">
        <v>18</v>
      </c>
      <c r="AU21" s="122"/>
      <c r="AV21" s="122"/>
      <c r="AW21" s="122"/>
      <c r="AX21" s="317">
        <f t="shared" si="8"/>
        <v>0</v>
      </c>
      <c r="AY21" s="122"/>
      <c r="AZ21" s="122"/>
      <c r="BA21" s="323">
        <f t="shared" si="9"/>
        <v>0</v>
      </c>
      <c r="BB21" s="122"/>
      <c r="BC21" s="122"/>
      <c r="BD21" s="322">
        <f t="shared" si="28"/>
        <v>0</v>
      </c>
      <c r="BE21" s="123">
        <v>18</v>
      </c>
      <c r="BF21" s="122"/>
      <c r="BG21" s="122"/>
      <c r="BH21" s="122"/>
      <c r="BI21" s="317">
        <f t="shared" si="10"/>
        <v>0</v>
      </c>
      <c r="BJ21" s="122"/>
      <c r="BK21" s="122"/>
      <c r="BL21" s="323">
        <f t="shared" si="11"/>
        <v>0</v>
      </c>
      <c r="BM21" s="122"/>
      <c r="BN21" s="122"/>
      <c r="BO21" s="322">
        <f t="shared" si="29"/>
        <v>0</v>
      </c>
      <c r="BP21" s="123">
        <v>18</v>
      </c>
      <c r="BQ21" s="122"/>
      <c r="BR21" s="122"/>
      <c r="BS21" s="122"/>
      <c r="BT21" s="317">
        <f t="shared" si="12"/>
        <v>0</v>
      </c>
      <c r="BU21" s="122"/>
      <c r="BV21" s="122"/>
      <c r="BW21" s="323">
        <f t="shared" si="13"/>
        <v>0</v>
      </c>
      <c r="BX21" s="122"/>
      <c r="BY21" s="122"/>
      <c r="BZ21" s="323">
        <f t="shared" si="30"/>
        <v>0</v>
      </c>
      <c r="CA21" s="123">
        <v>18</v>
      </c>
      <c r="CB21" s="122"/>
      <c r="CC21" s="122"/>
      <c r="CD21" s="122"/>
      <c r="CE21" s="317">
        <f t="shared" si="14"/>
        <v>0</v>
      </c>
      <c r="CF21" s="122"/>
      <c r="CG21" s="122"/>
      <c r="CH21" s="323">
        <f t="shared" si="15"/>
        <v>0</v>
      </c>
      <c r="CI21" s="122"/>
      <c r="CJ21" s="122"/>
      <c r="CK21" s="322">
        <f t="shared" si="31"/>
        <v>0</v>
      </c>
      <c r="CL21" s="123">
        <v>18</v>
      </c>
      <c r="CM21" s="122"/>
      <c r="CN21" s="122"/>
      <c r="CO21" s="122"/>
      <c r="CP21" s="317">
        <f t="shared" si="16"/>
        <v>0</v>
      </c>
      <c r="CQ21" s="122"/>
      <c r="CR21" s="122"/>
      <c r="CS21" s="323">
        <f t="shared" si="17"/>
        <v>0</v>
      </c>
      <c r="CT21" s="122"/>
      <c r="CU21" s="122"/>
      <c r="CV21" s="322">
        <f t="shared" si="32"/>
        <v>0</v>
      </c>
      <c r="CW21" s="123">
        <v>18</v>
      </c>
      <c r="CX21" s="122"/>
      <c r="CY21" s="122"/>
      <c r="CZ21" s="122"/>
      <c r="DA21" s="317">
        <f t="shared" si="18"/>
        <v>0</v>
      </c>
      <c r="DB21" s="122"/>
      <c r="DC21" s="122"/>
      <c r="DD21" s="323">
        <f t="shared" si="19"/>
        <v>0</v>
      </c>
      <c r="DE21" s="122"/>
      <c r="DF21" s="122"/>
      <c r="DG21" s="323">
        <f t="shared" si="33"/>
        <v>0</v>
      </c>
      <c r="DH21" s="123">
        <v>18</v>
      </c>
      <c r="DI21" s="122"/>
      <c r="DJ21" s="122"/>
      <c r="DK21" s="122"/>
      <c r="DL21" s="317">
        <f t="shared" si="20"/>
        <v>0</v>
      </c>
      <c r="DM21" s="122"/>
      <c r="DN21" s="122"/>
      <c r="DO21" s="323">
        <f t="shared" si="21"/>
        <v>0</v>
      </c>
      <c r="DP21" s="122"/>
      <c r="DQ21" s="122"/>
      <c r="DR21" s="322">
        <f t="shared" si="34"/>
        <v>0</v>
      </c>
      <c r="DS21" s="123">
        <v>18</v>
      </c>
      <c r="DT21" s="122"/>
      <c r="DU21" s="122"/>
      <c r="DV21" s="122"/>
      <c r="DW21" s="317">
        <f t="shared" si="22"/>
        <v>0</v>
      </c>
      <c r="DX21" s="122"/>
      <c r="DY21" s="122"/>
      <c r="DZ21" s="323">
        <f t="shared" si="23"/>
        <v>0</v>
      </c>
      <c r="EA21" s="122"/>
      <c r="EB21" s="122"/>
      <c r="EC21" s="322">
        <f t="shared" si="35"/>
        <v>0</v>
      </c>
    </row>
    <row r="22" spans="2:133" ht="16.8" thickTop="1" thickBot="1" x14ac:dyDescent="0.35">
      <c r="B22" s="123">
        <v>19</v>
      </c>
      <c r="C22" s="122"/>
      <c r="D22" s="122"/>
      <c r="E22" s="122"/>
      <c r="F22" s="317">
        <f t="shared" si="0"/>
        <v>0</v>
      </c>
      <c r="G22" s="122"/>
      <c r="H22" s="122"/>
      <c r="I22" s="323">
        <f t="shared" si="1"/>
        <v>0</v>
      </c>
      <c r="J22" s="122"/>
      <c r="K22" s="122"/>
      <c r="L22" s="323">
        <f t="shared" si="24"/>
        <v>0</v>
      </c>
      <c r="M22" s="123">
        <v>19</v>
      </c>
      <c r="N22" s="122"/>
      <c r="O22" s="122"/>
      <c r="P22" s="122"/>
      <c r="Q22" s="317">
        <f t="shared" si="2"/>
        <v>0</v>
      </c>
      <c r="R22" s="122"/>
      <c r="S22" s="122"/>
      <c r="T22" s="323">
        <f t="shared" si="3"/>
        <v>0</v>
      </c>
      <c r="U22" s="122"/>
      <c r="V22" s="122"/>
      <c r="W22" s="322">
        <f t="shared" si="25"/>
        <v>0</v>
      </c>
      <c r="X22" s="123">
        <v>19</v>
      </c>
      <c r="Y22" s="122"/>
      <c r="Z22" s="122"/>
      <c r="AA22" s="122"/>
      <c r="AB22" s="317">
        <f t="shared" si="4"/>
        <v>0</v>
      </c>
      <c r="AC22" s="122"/>
      <c r="AD22" s="122"/>
      <c r="AE22" s="323">
        <f t="shared" si="5"/>
        <v>0</v>
      </c>
      <c r="AF22" s="122"/>
      <c r="AG22" s="122"/>
      <c r="AH22" s="322">
        <f t="shared" si="26"/>
        <v>0</v>
      </c>
      <c r="AI22" s="123">
        <v>19</v>
      </c>
      <c r="AJ22" s="122"/>
      <c r="AK22" s="122"/>
      <c r="AL22" s="122"/>
      <c r="AM22" s="317">
        <f t="shared" si="6"/>
        <v>0</v>
      </c>
      <c r="AN22" s="122"/>
      <c r="AO22" s="122"/>
      <c r="AP22" s="323">
        <f t="shared" si="7"/>
        <v>0</v>
      </c>
      <c r="AQ22" s="122"/>
      <c r="AR22" s="122"/>
      <c r="AS22" s="323">
        <f t="shared" si="27"/>
        <v>0</v>
      </c>
      <c r="AT22" s="123">
        <v>19</v>
      </c>
      <c r="AU22" s="122"/>
      <c r="AV22" s="122"/>
      <c r="AW22" s="122"/>
      <c r="AX22" s="317">
        <f t="shared" si="8"/>
        <v>0</v>
      </c>
      <c r="AY22" s="122"/>
      <c r="AZ22" s="122"/>
      <c r="BA22" s="323">
        <f t="shared" si="9"/>
        <v>0</v>
      </c>
      <c r="BB22" s="122"/>
      <c r="BC22" s="122"/>
      <c r="BD22" s="322">
        <f t="shared" si="28"/>
        <v>0</v>
      </c>
      <c r="BE22" s="123">
        <v>19</v>
      </c>
      <c r="BF22" s="122"/>
      <c r="BG22" s="122"/>
      <c r="BH22" s="122"/>
      <c r="BI22" s="317">
        <f t="shared" si="10"/>
        <v>0</v>
      </c>
      <c r="BJ22" s="122"/>
      <c r="BK22" s="122"/>
      <c r="BL22" s="323">
        <f t="shared" si="11"/>
        <v>0</v>
      </c>
      <c r="BM22" s="122"/>
      <c r="BN22" s="122"/>
      <c r="BO22" s="322">
        <f t="shared" si="29"/>
        <v>0</v>
      </c>
      <c r="BP22" s="123">
        <v>19</v>
      </c>
      <c r="BQ22" s="122"/>
      <c r="BR22" s="122"/>
      <c r="BS22" s="122"/>
      <c r="BT22" s="317">
        <f t="shared" si="12"/>
        <v>0</v>
      </c>
      <c r="BU22" s="122"/>
      <c r="BV22" s="122"/>
      <c r="BW22" s="323">
        <f t="shared" si="13"/>
        <v>0</v>
      </c>
      <c r="BX22" s="122"/>
      <c r="BY22" s="122"/>
      <c r="BZ22" s="323">
        <f t="shared" si="30"/>
        <v>0</v>
      </c>
      <c r="CA22" s="123">
        <v>19</v>
      </c>
      <c r="CB22" s="122"/>
      <c r="CC22" s="122"/>
      <c r="CD22" s="122"/>
      <c r="CE22" s="317">
        <f t="shared" si="14"/>
        <v>0</v>
      </c>
      <c r="CF22" s="122"/>
      <c r="CG22" s="122"/>
      <c r="CH22" s="323">
        <f t="shared" si="15"/>
        <v>0</v>
      </c>
      <c r="CI22" s="122"/>
      <c r="CJ22" s="122"/>
      <c r="CK22" s="322">
        <f t="shared" si="31"/>
        <v>0</v>
      </c>
      <c r="CL22" s="123">
        <v>19</v>
      </c>
      <c r="CM22" s="122"/>
      <c r="CN22" s="122"/>
      <c r="CO22" s="122"/>
      <c r="CP22" s="317">
        <f t="shared" si="16"/>
        <v>0</v>
      </c>
      <c r="CQ22" s="122"/>
      <c r="CR22" s="122"/>
      <c r="CS22" s="323">
        <f t="shared" si="17"/>
        <v>0</v>
      </c>
      <c r="CT22" s="122"/>
      <c r="CU22" s="122"/>
      <c r="CV22" s="322">
        <f t="shared" si="32"/>
        <v>0</v>
      </c>
      <c r="CW22" s="123">
        <v>19</v>
      </c>
      <c r="CX22" s="122"/>
      <c r="CY22" s="122"/>
      <c r="CZ22" s="122"/>
      <c r="DA22" s="317">
        <f t="shared" si="18"/>
        <v>0</v>
      </c>
      <c r="DB22" s="122"/>
      <c r="DC22" s="122"/>
      <c r="DD22" s="323">
        <f t="shared" si="19"/>
        <v>0</v>
      </c>
      <c r="DE22" s="122"/>
      <c r="DF22" s="122"/>
      <c r="DG22" s="323">
        <f t="shared" si="33"/>
        <v>0</v>
      </c>
      <c r="DH22" s="123">
        <v>19</v>
      </c>
      <c r="DI22" s="122"/>
      <c r="DJ22" s="122"/>
      <c r="DK22" s="122"/>
      <c r="DL22" s="317">
        <f t="shared" si="20"/>
        <v>0</v>
      </c>
      <c r="DM22" s="122"/>
      <c r="DN22" s="122"/>
      <c r="DO22" s="323">
        <f t="shared" si="21"/>
        <v>0</v>
      </c>
      <c r="DP22" s="122"/>
      <c r="DQ22" s="122"/>
      <c r="DR22" s="322">
        <f t="shared" si="34"/>
        <v>0</v>
      </c>
      <c r="DS22" s="123">
        <v>19</v>
      </c>
      <c r="DT22" s="122"/>
      <c r="DU22" s="122"/>
      <c r="DV22" s="122"/>
      <c r="DW22" s="317">
        <f t="shared" si="22"/>
        <v>0</v>
      </c>
      <c r="DX22" s="122"/>
      <c r="DY22" s="122"/>
      <c r="DZ22" s="323">
        <f t="shared" si="23"/>
        <v>0</v>
      </c>
      <c r="EA22" s="122"/>
      <c r="EB22" s="122"/>
      <c r="EC22" s="322">
        <f t="shared" si="35"/>
        <v>0</v>
      </c>
    </row>
    <row r="23" spans="2:133" ht="16.8" thickTop="1" thickBot="1" x14ac:dyDescent="0.35">
      <c r="B23" s="123">
        <v>20</v>
      </c>
      <c r="C23" s="122"/>
      <c r="D23" s="122"/>
      <c r="E23" s="122"/>
      <c r="F23" s="317">
        <f t="shared" si="0"/>
        <v>0</v>
      </c>
      <c r="G23" s="122"/>
      <c r="H23" s="122"/>
      <c r="I23" s="323">
        <f t="shared" si="1"/>
        <v>0</v>
      </c>
      <c r="J23" s="122"/>
      <c r="K23" s="122"/>
      <c r="L23" s="323">
        <f t="shared" si="24"/>
        <v>0</v>
      </c>
      <c r="M23" s="123">
        <v>20</v>
      </c>
      <c r="N23" s="122"/>
      <c r="O23" s="122"/>
      <c r="P23" s="122"/>
      <c r="Q23" s="317">
        <f t="shared" si="2"/>
        <v>0</v>
      </c>
      <c r="R23" s="122"/>
      <c r="S23" s="122"/>
      <c r="T23" s="323">
        <f t="shared" si="3"/>
        <v>0</v>
      </c>
      <c r="U23" s="122"/>
      <c r="V23" s="122"/>
      <c r="W23" s="322">
        <f t="shared" si="25"/>
        <v>0</v>
      </c>
      <c r="X23" s="123">
        <v>20</v>
      </c>
      <c r="Y23" s="122"/>
      <c r="Z23" s="122"/>
      <c r="AA23" s="122"/>
      <c r="AB23" s="317">
        <f t="shared" si="4"/>
        <v>0</v>
      </c>
      <c r="AC23" s="122"/>
      <c r="AD23" s="122"/>
      <c r="AE23" s="323">
        <f t="shared" si="5"/>
        <v>0</v>
      </c>
      <c r="AF23" s="122"/>
      <c r="AG23" s="122"/>
      <c r="AH23" s="322">
        <f t="shared" si="26"/>
        <v>0</v>
      </c>
      <c r="AI23" s="123">
        <v>20</v>
      </c>
      <c r="AJ23" s="122"/>
      <c r="AK23" s="122"/>
      <c r="AL23" s="122"/>
      <c r="AM23" s="317">
        <f t="shared" si="6"/>
        <v>0</v>
      </c>
      <c r="AN23" s="122"/>
      <c r="AO23" s="122"/>
      <c r="AP23" s="323">
        <f t="shared" si="7"/>
        <v>0</v>
      </c>
      <c r="AQ23" s="122"/>
      <c r="AR23" s="122"/>
      <c r="AS23" s="323">
        <f t="shared" si="27"/>
        <v>0</v>
      </c>
      <c r="AT23" s="123">
        <v>20</v>
      </c>
      <c r="AU23" s="122"/>
      <c r="AV23" s="122"/>
      <c r="AW23" s="122"/>
      <c r="AX23" s="317">
        <f t="shared" si="8"/>
        <v>0</v>
      </c>
      <c r="AY23" s="122"/>
      <c r="AZ23" s="122"/>
      <c r="BA23" s="323">
        <f t="shared" si="9"/>
        <v>0</v>
      </c>
      <c r="BB23" s="122"/>
      <c r="BC23" s="122"/>
      <c r="BD23" s="322">
        <f t="shared" si="28"/>
        <v>0</v>
      </c>
      <c r="BE23" s="123">
        <v>20</v>
      </c>
      <c r="BF23" s="122"/>
      <c r="BG23" s="122"/>
      <c r="BH23" s="122"/>
      <c r="BI23" s="317">
        <f t="shared" si="10"/>
        <v>0</v>
      </c>
      <c r="BJ23" s="122"/>
      <c r="BK23" s="122"/>
      <c r="BL23" s="323">
        <f t="shared" si="11"/>
        <v>0</v>
      </c>
      <c r="BM23" s="122"/>
      <c r="BN23" s="122"/>
      <c r="BO23" s="322">
        <f t="shared" si="29"/>
        <v>0</v>
      </c>
      <c r="BP23" s="123">
        <v>20</v>
      </c>
      <c r="BQ23" s="122"/>
      <c r="BR23" s="122"/>
      <c r="BS23" s="122"/>
      <c r="BT23" s="317">
        <f t="shared" si="12"/>
        <v>0</v>
      </c>
      <c r="BU23" s="122"/>
      <c r="BV23" s="122"/>
      <c r="BW23" s="323">
        <f t="shared" si="13"/>
        <v>0</v>
      </c>
      <c r="BX23" s="122"/>
      <c r="BY23" s="122"/>
      <c r="BZ23" s="323">
        <f t="shared" si="30"/>
        <v>0</v>
      </c>
      <c r="CA23" s="123">
        <v>20</v>
      </c>
      <c r="CB23" s="122"/>
      <c r="CC23" s="122"/>
      <c r="CD23" s="122"/>
      <c r="CE23" s="317">
        <f t="shared" si="14"/>
        <v>0</v>
      </c>
      <c r="CF23" s="122"/>
      <c r="CG23" s="122"/>
      <c r="CH23" s="323">
        <f t="shared" si="15"/>
        <v>0</v>
      </c>
      <c r="CI23" s="122"/>
      <c r="CJ23" s="122"/>
      <c r="CK23" s="322">
        <f t="shared" si="31"/>
        <v>0</v>
      </c>
      <c r="CL23" s="123">
        <v>20</v>
      </c>
      <c r="CM23" s="122"/>
      <c r="CN23" s="122"/>
      <c r="CO23" s="122"/>
      <c r="CP23" s="317">
        <f t="shared" si="16"/>
        <v>0</v>
      </c>
      <c r="CQ23" s="122"/>
      <c r="CR23" s="122"/>
      <c r="CS23" s="323">
        <f t="shared" si="17"/>
        <v>0</v>
      </c>
      <c r="CT23" s="122"/>
      <c r="CU23" s="122"/>
      <c r="CV23" s="322">
        <f t="shared" si="32"/>
        <v>0</v>
      </c>
      <c r="CW23" s="123">
        <v>20</v>
      </c>
      <c r="CX23" s="122"/>
      <c r="CY23" s="122"/>
      <c r="CZ23" s="122"/>
      <c r="DA23" s="317">
        <f t="shared" si="18"/>
        <v>0</v>
      </c>
      <c r="DB23" s="122"/>
      <c r="DC23" s="122"/>
      <c r="DD23" s="323">
        <f t="shared" si="19"/>
        <v>0</v>
      </c>
      <c r="DE23" s="122"/>
      <c r="DF23" s="122"/>
      <c r="DG23" s="323">
        <f t="shared" si="33"/>
        <v>0</v>
      </c>
      <c r="DH23" s="123">
        <v>20</v>
      </c>
      <c r="DI23" s="122"/>
      <c r="DJ23" s="122"/>
      <c r="DK23" s="122"/>
      <c r="DL23" s="317">
        <f t="shared" si="20"/>
        <v>0</v>
      </c>
      <c r="DM23" s="122"/>
      <c r="DN23" s="122"/>
      <c r="DO23" s="323">
        <f t="shared" si="21"/>
        <v>0</v>
      </c>
      <c r="DP23" s="122"/>
      <c r="DQ23" s="122"/>
      <c r="DR23" s="322">
        <f t="shared" si="34"/>
        <v>0</v>
      </c>
      <c r="DS23" s="123">
        <v>20</v>
      </c>
      <c r="DT23" s="122"/>
      <c r="DU23" s="122"/>
      <c r="DV23" s="122"/>
      <c r="DW23" s="317">
        <f t="shared" si="22"/>
        <v>0</v>
      </c>
      <c r="DX23" s="122"/>
      <c r="DY23" s="122"/>
      <c r="DZ23" s="323">
        <f t="shared" si="23"/>
        <v>0</v>
      </c>
      <c r="EA23" s="122"/>
      <c r="EB23" s="122"/>
      <c r="EC23" s="322">
        <f t="shared" si="35"/>
        <v>0</v>
      </c>
    </row>
    <row r="24" spans="2:133" ht="16.8" thickTop="1" thickBot="1" x14ac:dyDescent="0.35">
      <c r="B24" s="123">
        <v>21</v>
      </c>
      <c r="C24" s="122"/>
      <c r="D24" s="122"/>
      <c r="E24" s="122"/>
      <c r="F24" s="317">
        <f t="shared" si="0"/>
        <v>0</v>
      </c>
      <c r="G24" s="122"/>
      <c r="H24" s="122"/>
      <c r="I24" s="323">
        <f t="shared" si="1"/>
        <v>0</v>
      </c>
      <c r="J24" s="122"/>
      <c r="K24" s="122"/>
      <c r="L24" s="323">
        <f t="shared" si="24"/>
        <v>0</v>
      </c>
      <c r="M24" s="123">
        <v>21</v>
      </c>
      <c r="N24" s="122"/>
      <c r="O24" s="122"/>
      <c r="P24" s="122"/>
      <c r="Q24" s="317">
        <f t="shared" si="2"/>
        <v>0</v>
      </c>
      <c r="R24" s="122"/>
      <c r="S24" s="122"/>
      <c r="T24" s="323">
        <f t="shared" si="3"/>
        <v>0</v>
      </c>
      <c r="U24" s="122"/>
      <c r="V24" s="122"/>
      <c r="W24" s="322">
        <f t="shared" si="25"/>
        <v>0</v>
      </c>
      <c r="X24" s="123">
        <v>21</v>
      </c>
      <c r="Y24" s="122"/>
      <c r="Z24" s="122"/>
      <c r="AA24" s="122"/>
      <c r="AB24" s="317">
        <f t="shared" si="4"/>
        <v>0</v>
      </c>
      <c r="AC24" s="122"/>
      <c r="AD24" s="122"/>
      <c r="AE24" s="323">
        <f t="shared" si="5"/>
        <v>0</v>
      </c>
      <c r="AF24" s="122"/>
      <c r="AG24" s="122"/>
      <c r="AH24" s="322">
        <f t="shared" si="26"/>
        <v>0</v>
      </c>
      <c r="AI24" s="123">
        <v>21</v>
      </c>
      <c r="AJ24" s="122"/>
      <c r="AK24" s="122"/>
      <c r="AL24" s="122"/>
      <c r="AM24" s="317">
        <f t="shared" si="6"/>
        <v>0</v>
      </c>
      <c r="AN24" s="122"/>
      <c r="AO24" s="122"/>
      <c r="AP24" s="323">
        <f t="shared" si="7"/>
        <v>0</v>
      </c>
      <c r="AQ24" s="122"/>
      <c r="AR24" s="122"/>
      <c r="AS24" s="323">
        <f t="shared" si="27"/>
        <v>0</v>
      </c>
      <c r="AT24" s="123">
        <v>21</v>
      </c>
      <c r="AU24" s="122"/>
      <c r="AV24" s="122"/>
      <c r="AW24" s="122"/>
      <c r="AX24" s="317">
        <f t="shared" si="8"/>
        <v>0</v>
      </c>
      <c r="AY24" s="122"/>
      <c r="AZ24" s="122"/>
      <c r="BA24" s="323">
        <f t="shared" si="9"/>
        <v>0</v>
      </c>
      <c r="BB24" s="122"/>
      <c r="BC24" s="122"/>
      <c r="BD24" s="322">
        <f t="shared" si="28"/>
        <v>0</v>
      </c>
      <c r="BE24" s="123">
        <v>21</v>
      </c>
      <c r="BF24" s="122"/>
      <c r="BG24" s="122"/>
      <c r="BH24" s="122"/>
      <c r="BI24" s="317">
        <f t="shared" si="10"/>
        <v>0</v>
      </c>
      <c r="BJ24" s="122"/>
      <c r="BK24" s="122"/>
      <c r="BL24" s="323">
        <f t="shared" si="11"/>
        <v>0</v>
      </c>
      <c r="BM24" s="122"/>
      <c r="BN24" s="122"/>
      <c r="BO24" s="322">
        <f t="shared" si="29"/>
        <v>0</v>
      </c>
      <c r="BP24" s="123">
        <v>21</v>
      </c>
      <c r="BQ24" s="122"/>
      <c r="BR24" s="122"/>
      <c r="BS24" s="122"/>
      <c r="BT24" s="317">
        <f t="shared" si="12"/>
        <v>0</v>
      </c>
      <c r="BU24" s="122"/>
      <c r="BV24" s="122"/>
      <c r="BW24" s="323">
        <f t="shared" si="13"/>
        <v>0</v>
      </c>
      <c r="BX24" s="122"/>
      <c r="BY24" s="122"/>
      <c r="BZ24" s="323">
        <f t="shared" si="30"/>
        <v>0</v>
      </c>
      <c r="CA24" s="123">
        <v>21</v>
      </c>
      <c r="CB24" s="122"/>
      <c r="CC24" s="122"/>
      <c r="CD24" s="122"/>
      <c r="CE24" s="317">
        <f t="shared" si="14"/>
        <v>0</v>
      </c>
      <c r="CF24" s="122"/>
      <c r="CG24" s="122"/>
      <c r="CH24" s="323">
        <f t="shared" si="15"/>
        <v>0</v>
      </c>
      <c r="CI24" s="122"/>
      <c r="CJ24" s="122"/>
      <c r="CK24" s="322">
        <f t="shared" si="31"/>
        <v>0</v>
      </c>
      <c r="CL24" s="123">
        <v>21</v>
      </c>
      <c r="CM24" s="122"/>
      <c r="CN24" s="122"/>
      <c r="CO24" s="122"/>
      <c r="CP24" s="317">
        <f t="shared" si="16"/>
        <v>0</v>
      </c>
      <c r="CQ24" s="122"/>
      <c r="CR24" s="122"/>
      <c r="CS24" s="323">
        <f t="shared" si="17"/>
        <v>0</v>
      </c>
      <c r="CT24" s="122"/>
      <c r="CU24" s="122"/>
      <c r="CV24" s="322">
        <f t="shared" si="32"/>
        <v>0</v>
      </c>
      <c r="CW24" s="123">
        <v>21</v>
      </c>
      <c r="CX24" s="122"/>
      <c r="CY24" s="122"/>
      <c r="CZ24" s="122"/>
      <c r="DA24" s="317">
        <f t="shared" si="18"/>
        <v>0</v>
      </c>
      <c r="DB24" s="122"/>
      <c r="DC24" s="122"/>
      <c r="DD24" s="323">
        <f t="shared" si="19"/>
        <v>0</v>
      </c>
      <c r="DE24" s="122"/>
      <c r="DF24" s="122"/>
      <c r="DG24" s="323">
        <f t="shared" si="33"/>
        <v>0</v>
      </c>
      <c r="DH24" s="123">
        <v>21</v>
      </c>
      <c r="DI24" s="122"/>
      <c r="DJ24" s="122"/>
      <c r="DK24" s="122"/>
      <c r="DL24" s="317">
        <f t="shared" si="20"/>
        <v>0</v>
      </c>
      <c r="DM24" s="122"/>
      <c r="DN24" s="122"/>
      <c r="DO24" s="323">
        <f t="shared" si="21"/>
        <v>0</v>
      </c>
      <c r="DP24" s="122"/>
      <c r="DQ24" s="122"/>
      <c r="DR24" s="322">
        <f t="shared" si="34"/>
        <v>0</v>
      </c>
      <c r="DS24" s="123">
        <v>21</v>
      </c>
      <c r="DT24" s="122"/>
      <c r="DU24" s="122"/>
      <c r="DV24" s="122"/>
      <c r="DW24" s="317">
        <f t="shared" si="22"/>
        <v>0</v>
      </c>
      <c r="DX24" s="122"/>
      <c r="DY24" s="122"/>
      <c r="DZ24" s="323">
        <f t="shared" si="23"/>
        <v>0</v>
      </c>
      <c r="EA24" s="122"/>
      <c r="EB24" s="122"/>
      <c r="EC24" s="322">
        <f t="shared" si="35"/>
        <v>0</v>
      </c>
    </row>
    <row r="25" spans="2:133" ht="16.8" thickTop="1" thickBot="1" x14ac:dyDescent="0.35">
      <c r="B25" s="123">
        <v>22</v>
      </c>
      <c r="C25" s="122"/>
      <c r="D25" s="122"/>
      <c r="E25" s="122"/>
      <c r="F25" s="317">
        <f t="shared" si="0"/>
        <v>0</v>
      </c>
      <c r="G25" s="122"/>
      <c r="H25" s="122"/>
      <c r="I25" s="323">
        <f t="shared" si="1"/>
        <v>0</v>
      </c>
      <c r="J25" s="122"/>
      <c r="K25" s="122"/>
      <c r="L25" s="323">
        <f t="shared" si="24"/>
        <v>0</v>
      </c>
      <c r="M25" s="123">
        <v>22</v>
      </c>
      <c r="N25" s="122"/>
      <c r="O25" s="122"/>
      <c r="P25" s="122"/>
      <c r="Q25" s="317">
        <f t="shared" si="2"/>
        <v>0</v>
      </c>
      <c r="R25" s="122"/>
      <c r="S25" s="122"/>
      <c r="T25" s="323">
        <f t="shared" si="3"/>
        <v>0</v>
      </c>
      <c r="U25" s="122"/>
      <c r="V25" s="122"/>
      <c r="W25" s="322">
        <f t="shared" si="25"/>
        <v>0</v>
      </c>
      <c r="X25" s="123">
        <v>22</v>
      </c>
      <c r="Y25" s="122"/>
      <c r="Z25" s="122"/>
      <c r="AA25" s="122"/>
      <c r="AB25" s="317">
        <f t="shared" si="4"/>
        <v>0</v>
      </c>
      <c r="AC25" s="122"/>
      <c r="AD25" s="122"/>
      <c r="AE25" s="323">
        <f t="shared" si="5"/>
        <v>0</v>
      </c>
      <c r="AF25" s="122"/>
      <c r="AG25" s="122"/>
      <c r="AH25" s="322">
        <f t="shared" si="26"/>
        <v>0</v>
      </c>
      <c r="AI25" s="123">
        <v>22</v>
      </c>
      <c r="AJ25" s="122"/>
      <c r="AK25" s="122"/>
      <c r="AL25" s="122"/>
      <c r="AM25" s="317">
        <f t="shared" si="6"/>
        <v>0</v>
      </c>
      <c r="AN25" s="122"/>
      <c r="AO25" s="122"/>
      <c r="AP25" s="323">
        <f t="shared" si="7"/>
        <v>0</v>
      </c>
      <c r="AQ25" s="122"/>
      <c r="AR25" s="122"/>
      <c r="AS25" s="323">
        <f t="shared" si="27"/>
        <v>0</v>
      </c>
      <c r="AT25" s="123">
        <v>22</v>
      </c>
      <c r="AU25" s="122"/>
      <c r="AV25" s="122"/>
      <c r="AW25" s="122"/>
      <c r="AX25" s="317">
        <f t="shared" si="8"/>
        <v>0</v>
      </c>
      <c r="AY25" s="122"/>
      <c r="AZ25" s="122"/>
      <c r="BA25" s="323">
        <f t="shared" si="9"/>
        <v>0</v>
      </c>
      <c r="BB25" s="122"/>
      <c r="BC25" s="122"/>
      <c r="BD25" s="322">
        <f t="shared" si="28"/>
        <v>0</v>
      </c>
      <c r="BE25" s="123">
        <v>22</v>
      </c>
      <c r="BF25" s="122"/>
      <c r="BG25" s="122"/>
      <c r="BH25" s="122"/>
      <c r="BI25" s="317">
        <f t="shared" si="10"/>
        <v>0</v>
      </c>
      <c r="BJ25" s="122"/>
      <c r="BK25" s="122"/>
      <c r="BL25" s="323">
        <f t="shared" si="11"/>
        <v>0</v>
      </c>
      <c r="BM25" s="122"/>
      <c r="BN25" s="122"/>
      <c r="BO25" s="322">
        <f t="shared" si="29"/>
        <v>0</v>
      </c>
      <c r="BP25" s="123">
        <v>22</v>
      </c>
      <c r="BQ25" s="122"/>
      <c r="BR25" s="122"/>
      <c r="BS25" s="122"/>
      <c r="BT25" s="317">
        <f t="shared" si="12"/>
        <v>0</v>
      </c>
      <c r="BU25" s="122"/>
      <c r="BV25" s="122"/>
      <c r="BW25" s="323">
        <f t="shared" si="13"/>
        <v>0</v>
      </c>
      <c r="BX25" s="122"/>
      <c r="BY25" s="122"/>
      <c r="BZ25" s="323">
        <f t="shared" si="30"/>
        <v>0</v>
      </c>
      <c r="CA25" s="123">
        <v>22</v>
      </c>
      <c r="CB25" s="122"/>
      <c r="CC25" s="122"/>
      <c r="CD25" s="122"/>
      <c r="CE25" s="317">
        <f t="shared" si="14"/>
        <v>0</v>
      </c>
      <c r="CF25" s="122"/>
      <c r="CG25" s="122"/>
      <c r="CH25" s="323">
        <f t="shared" si="15"/>
        <v>0</v>
      </c>
      <c r="CI25" s="122"/>
      <c r="CJ25" s="122"/>
      <c r="CK25" s="322">
        <f t="shared" si="31"/>
        <v>0</v>
      </c>
      <c r="CL25" s="123">
        <v>22</v>
      </c>
      <c r="CM25" s="122"/>
      <c r="CN25" s="122"/>
      <c r="CO25" s="122"/>
      <c r="CP25" s="317">
        <f t="shared" si="16"/>
        <v>0</v>
      </c>
      <c r="CQ25" s="122"/>
      <c r="CR25" s="122"/>
      <c r="CS25" s="323">
        <f t="shared" si="17"/>
        <v>0</v>
      </c>
      <c r="CT25" s="122"/>
      <c r="CU25" s="122"/>
      <c r="CV25" s="322">
        <f t="shared" si="32"/>
        <v>0</v>
      </c>
      <c r="CW25" s="123">
        <v>22</v>
      </c>
      <c r="CX25" s="122"/>
      <c r="CY25" s="122"/>
      <c r="CZ25" s="122"/>
      <c r="DA25" s="317">
        <f t="shared" si="18"/>
        <v>0</v>
      </c>
      <c r="DB25" s="122"/>
      <c r="DC25" s="122"/>
      <c r="DD25" s="323">
        <f t="shared" si="19"/>
        <v>0</v>
      </c>
      <c r="DE25" s="122"/>
      <c r="DF25" s="122"/>
      <c r="DG25" s="323">
        <f t="shared" si="33"/>
        <v>0</v>
      </c>
      <c r="DH25" s="123">
        <v>22</v>
      </c>
      <c r="DI25" s="122"/>
      <c r="DJ25" s="122"/>
      <c r="DK25" s="122"/>
      <c r="DL25" s="317">
        <f t="shared" si="20"/>
        <v>0</v>
      </c>
      <c r="DM25" s="122"/>
      <c r="DN25" s="122"/>
      <c r="DO25" s="323">
        <f t="shared" si="21"/>
        <v>0</v>
      </c>
      <c r="DP25" s="122"/>
      <c r="DQ25" s="122"/>
      <c r="DR25" s="322">
        <f t="shared" si="34"/>
        <v>0</v>
      </c>
      <c r="DS25" s="123">
        <v>22</v>
      </c>
      <c r="DT25" s="122"/>
      <c r="DU25" s="122"/>
      <c r="DV25" s="122"/>
      <c r="DW25" s="317">
        <f t="shared" si="22"/>
        <v>0</v>
      </c>
      <c r="DX25" s="122"/>
      <c r="DY25" s="122"/>
      <c r="DZ25" s="323">
        <f t="shared" si="23"/>
        <v>0</v>
      </c>
      <c r="EA25" s="122"/>
      <c r="EB25" s="122"/>
      <c r="EC25" s="322">
        <f t="shared" si="35"/>
        <v>0</v>
      </c>
    </row>
    <row r="26" spans="2:133" ht="16.8" thickTop="1" thickBot="1" x14ac:dyDescent="0.35">
      <c r="B26" s="123">
        <v>23</v>
      </c>
      <c r="C26" s="122"/>
      <c r="D26" s="122"/>
      <c r="E26" s="122"/>
      <c r="F26" s="317">
        <f t="shared" si="0"/>
        <v>0</v>
      </c>
      <c r="G26" s="122"/>
      <c r="H26" s="122"/>
      <c r="I26" s="323">
        <f t="shared" si="1"/>
        <v>0</v>
      </c>
      <c r="J26" s="122"/>
      <c r="K26" s="122"/>
      <c r="L26" s="323">
        <f t="shared" si="24"/>
        <v>0</v>
      </c>
      <c r="M26" s="123">
        <v>23</v>
      </c>
      <c r="N26" s="122"/>
      <c r="O26" s="122"/>
      <c r="P26" s="122"/>
      <c r="Q26" s="317">
        <f t="shared" si="2"/>
        <v>0</v>
      </c>
      <c r="R26" s="122"/>
      <c r="S26" s="122"/>
      <c r="T26" s="323">
        <f t="shared" si="3"/>
        <v>0</v>
      </c>
      <c r="U26" s="122"/>
      <c r="V26" s="122"/>
      <c r="W26" s="322">
        <f t="shared" si="25"/>
        <v>0</v>
      </c>
      <c r="X26" s="123">
        <v>23</v>
      </c>
      <c r="Y26" s="122"/>
      <c r="Z26" s="122"/>
      <c r="AA26" s="122"/>
      <c r="AB26" s="317">
        <f t="shared" si="4"/>
        <v>0</v>
      </c>
      <c r="AC26" s="122"/>
      <c r="AD26" s="122"/>
      <c r="AE26" s="323">
        <f t="shared" si="5"/>
        <v>0</v>
      </c>
      <c r="AF26" s="122"/>
      <c r="AG26" s="122"/>
      <c r="AH26" s="322">
        <f t="shared" si="26"/>
        <v>0</v>
      </c>
      <c r="AI26" s="123">
        <v>23</v>
      </c>
      <c r="AJ26" s="122"/>
      <c r="AK26" s="122"/>
      <c r="AL26" s="122"/>
      <c r="AM26" s="317">
        <f t="shared" si="6"/>
        <v>0</v>
      </c>
      <c r="AN26" s="122"/>
      <c r="AO26" s="122"/>
      <c r="AP26" s="323">
        <f t="shared" si="7"/>
        <v>0</v>
      </c>
      <c r="AQ26" s="122"/>
      <c r="AR26" s="122"/>
      <c r="AS26" s="323">
        <f t="shared" si="27"/>
        <v>0</v>
      </c>
      <c r="AT26" s="123">
        <v>23</v>
      </c>
      <c r="AU26" s="122"/>
      <c r="AV26" s="122"/>
      <c r="AW26" s="122"/>
      <c r="AX26" s="317">
        <f t="shared" si="8"/>
        <v>0</v>
      </c>
      <c r="AY26" s="122"/>
      <c r="AZ26" s="122"/>
      <c r="BA26" s="323">
        <f t="shared" si="9"/>
        <v>0</v>
      </c>
      <c r="BB26" s="122"/>
      <c r="BC26" s="122"/>
      <c r="BD26" s="322">
        <f t="shared" si="28"/>
        <v>0</v>
      </c>
      <c r="BE26" s="123">
        <v>23</v>
      </c>
      <c r="BF26" s="122"/>
      <c r="BG26" s="122"/>
      <c r="BH26" s="122"/>
      <c r="BI26" s="317">
        <f t="shared" si="10"/>
        <v>0</v>
      </c>
      <c r="BJ26" s="122"/>
      <c r="BK26" s="122"/>
      <c r="BL26" s="323">
        <f t="shared" si="11"/>
        <v>0</v>
      </c>
      <c r="BM26" s="122"/>
      <c r="BN26" s="122"/>
      <c r="BO26" s="322">
        <f t="shared" si="29"/>
        <v>0</v>
      </c>
      <c r="BP26" s="123">
        <v>23</v>
      </c>
      <c r="BQ26" s="122"/>
      <c r="BR26" s="122"/>
      <c r="BS26" s="122"/>
      <c r="BT26" s="317">
        <f t="shared" si="12"/>
        <v>0</v>
      </c>
      <c r="BU26" s="122"/>
      <c r="BV26" s="122"/>
      <c r="BW26" s="323">
        <f t="shared" si="13"/>
        <v>0</v>
      </c>
      <c r="BX26" s="122"/>
      <c r="BY26" s="122"/>
      <c r="BZ26" s="323">
        <f t="shared" si="30"/>
        <v>0</v>
      </c>
      <c r="CA26" s="123">
        <v>23</v>
      </c>
      <c r="CB26" s="122"/>
      <c r="CC26" s="122"/>
      <c r="CD26" s="122"/>
      <c r="CE26" s="317">
        <f t="shared" si="14"/>
        <v>0</v>
      </c>
      <c r="CF26" s="122"/>
      <c r="CG26" s="122"/>
      <c r="CH26" s="323">
        <f t="shared" si="15"/>
        <v>0</v>
      </c>
      <c r="CI26" s="122"/>
      <c r="CJ26" s="122"/>
      <c r="CK26" s="322">
        <f t="shared" si="31"/>
        <v>0</v>
      </c>
      <c r="CL26" s="123">
        <v>23</v>
      </c>
      <c r="CM26" s="122"/>
      <c r="CN26" s="122"/>
      <c r="CO26" s="122"/>
      <c r="CP26" s="317">
        <f t="shared" si="16"/>
        <v>0</v>
      </c>
      <c r="CQ26" s="122"/>
      <c r="CR26" s="122"/>
      <c r="CS26" s="323">
        <f t="shared" si="17"/>
        <v>0</v>
      </c>
      <c r="CT26" s="122"/>
      <c r="CU26" s="122"/>
      <c r="CV26" s="322">
        <f t="shared" si="32"/>
        <v>0</v>
      </c>
      <c r="CW26" s="123">
        <v>23</v>
      </c>
      <c r="CX26" s="122"/>
      <c r="CY26" s="122"/>
      <c r="CZ26" s="122"/>
      <c r="DA26" s="317">
        <f t="shared" si="18"/>
        <v>0</v>
      </c>
      <c r="DB26" s="122"/>
      <c r="DC26" s="122"/>
      <c r="DD26" s="323">
        <f t="shared" si="19"/>
        <v>0</v>
      </c>
      <c r="DE26" s="122"/>
      <c r="DF26" s="122"/>
      <c r="DG26" s="323">
        <f t="shared" si="33"/>
        <v>0</v>
      </c>
      <c r="DH26" s="123">
        <v>23</v>
      </c>
      <c r="DI26" s="122"/>
      <c r="DJ26" s="122"/>
      <c r="DK26" s="122"/>
      <c r="DL26" s="317">
        <f t="shared" si="20"/>
        <v>0</v>
      </c>
      <c r="DM26" s="122"/>
      <c r="DN26" s="122"/>
      <c r="DO26" s="323">
        <f t="shared" si="21"/>
        <v>0</v>
      </c>
      <c r="DP26" s="122"/>
      <c r="DQ26" s="122"/>
      <c r="DR26" s="322">
        <f t="shared" si="34"/>
        <v>0</v>
      </c>
      <c r="DS26" s="123">
        <v>23</v>
      </c>
      <c r="DT26" s="122"/>
      <c r="DU26" s="122"/>
      <c r="DV26" s="122"/>
      <c r="DW26" s="317">
        <f t="shared" si="22"/>
        <v>0</v>
      </c>
      <c r="DX26" s="122"/>
      <c r="DY26" s="122"/>
      <c r="DZ26" s="323">
        <f t="shared" si="23"/>
        <v>0</v>
      </c>
      <c r="EA26" s="122"/>
      <c r="EB26" s="122"/>
      <c r="EC26" s="322">
        <f t="shared" si="35"/>
        <v>0</v>
      </c>
    </row>
    <row r="27" spans="2:133" ht="16.8" thickTop="1" thickBot="1" x14ac:dyDescent="0.35">
      <c r="B27" s="123">
        <v>24</v>
      </c>
      <c r="C27" s="122"/>
      <c r="D27" s="122"/>
      <c r="E27" s="122"/>
      <c r="F27" s="317">
        <f t="shared" si="0"/>
        <v>0</v>
      </c>
      <c r="G27" s="122"/>
      <c r="H27" s="122"/>
      <c r="I27" s="323">
        <f t="shared" si="1"/>
        <v>0</v>
      </c>
      <c r="J27" s="122"/>
      <c r="K27" s="122"/>
      <c r="L27" s="323">
        <f t="shared" si="24"/>
        <v>0</v>
      </c>
      <c r="M27" s="123">
        <v>24</v>
      </c>
      <c r="N27" s="122"/>
      <c r="O27" s="122"/>
      <c r="P27" s="122"/>
      <c r="Q27" s="317">
        <f t="shared" si="2"/>
        <v>0</v>
      </c>
      <c r="R27" s="122"/>
      <c r="S27" s="122"/>
      <c r="T27" s="323">
        <f t="shared" si="3"/>
        <v>0</v>
      </c>
      <c r="U27" s="122"/>
      <c r="V27" s="122"/>
      <c r="W27" s="322">
        <f t="shared" si="25"/>
        <v>0</v>
      </c>
      <c r="X27" s="123">
        <v>24</v>
      </c>
      <c r="Y27" s="122"/>
      <c r="Z27" s="122"/>
      <c r="AA27" s="122"/>
      <c r="AB27" s="317">
        <f t="shared" si="4"/>
        <v>0</v>
      </c>
      <c r="AC27" s="122"/>
      <c r="AD27" s="122"/>
      <c r="AE27" s="323">
        <f t="shared" si="5"/>
        <v>0</v>
      </c>
      <c r="AF27" s="122"/>
      <c r="AG27" s="122"/>
      <c r="AH27" s="322">
        <f t="shared" si="26"/>
        <v>0</v>
      </c>
      <c r="AI27" s="123">
        <v>24</v>
      </c>
      <c r="AJ27" s="122"/>
      <c r="AK27" s="122"/>
      <c r="AL27" s="122"/>
      <c r="AM27" s="317">
        <f t="shared" si="6"/>
        <v>0</v>
      </c>
      <c r="AN27" s="122"/>
      <c r="AO27" s="122"/>
      <c r="AP27" s="323">
        <f t="shared" si="7"/>
        <v>0</v>
      </c>
      <c r="AQ27" s="122"/>
      <c r="AR27" s="122"/>
      <c r="AS27" s="323">
        <f t="shared" si="27"/>
        <v>0</v>
      </c>
      <c r="AT27" s="123">
        <v>24</v>
      </c>
      <c r="AU27" s="122"/>
      <c r="AV27" s="122"/>
      <c r="AW27" s="122"/>
      <c r="AX27" s="317">
        <f t="shared" si="8"/>
        <v>0</v>
      </c>
      <c r="AY27" s="122"/>
      <c r="AZ27" s="122"/>
      <c r="BA27" s="323">
        <f t="shared" si="9"/>
        <v>0</v>
      </c>
      <c r="BB27" s="122"/>
      <c r="BC27" s="122"/>
      <c r="BD27" s="322">
        <f t="shared" si="28"/>
        <v>0</v>
      </c>
      <c r="BE27" s="123">
        <v>24</v>
      </c>
      <c r="BF27" s="122"/>
      <c r="BG27" s="122"/>
      <c r="BH27" s="122"/>
      <c r="BI27" s="317">
        <f t="shared" si="10"/>
        <v>0</v>
      </c>
      <c r="BJ27" s="122"/>
      <c r="BK27" s="122"/>
      <c r="BL27" s="323">
        <f t="shared" si="11"/>
        <v>0</v>
      </c>
      <c r="BM27" s="122"/>
      <c r="BN27" s="122"/>
      <c r="BO27" s="322">
        <f t="shared" si="29"/>
        <v>0</v>
      </c>
      <c r="BP27" s="123">
        <v>24</v>
      </c>
      <c r="BQ27" s="122"/>
      <c r="BR27" s="122"/>
      <c r="BS27" s="122"/>
      <c r="BT27" s="317">
        <f t="shared" si="12"/>
        <v>0</v>
      </c>
      <c r="BU27" s="122"/>
      <c r="BV27" s="122"/>
      <c r="BW27" s="323">
        <f t="shared" si="13"/>
        <v>0</v>
      </c>
      <c r="BX27" s="122"/>
      <c r="BY27" s="122"/>
      <c r="BZ27" s="323">
        <f t="shared" si="30"/>
        <v>0</v>
      </c>
      <c r="CA27" s="123">
        <v>24</v>
      </c>
      <c r="CB27" s="122"/>
      <c r="CC27" s="122"/>
      <c r="CD27" s="122"/>
      <c r="CE27" s="317">
        <f t="shared" si="14"/>
        <v>0</v>
      </c>
      <c r="CF27" s="122"/>
      <c r="CG27" s="122"/>
      <c r="CH27" s="323">
        <f t="shared" si="15"/>
        <v>0</v>
      </c>
      <c r="CI27" s="122"/>
      <c r="CJ27" s="122"/>
      <c r="CK27" s="322">
        <f t="shared" si="31"/>
        <v>0</v>
      </c>
      <c r="CL27" s="123">
        <v>24</v>
      </c>
      <c r="CM27" s="122"/>
      <c r="CN27" s="122"/>
      <c r="CO27" s="122"/>
      <c r="CP27" s="317">
        <f t="shared" si="16"/>
        <v>0</v>
      </c>
      <c r="CQ27" s="122"/>
      <c r="CR27" s="122"/>
      <c r="CS27" s="323">
        <f t="shared" si="17"/>
        <v>0</v>
      </c>
      <c r="CT27" s="122"/>
      <c r="CU27" s="122"/>
      <c r="CV27" s="322">
        <f t="shared" si="32"/>
        <v>0</v>
      </c>
      <c r="CW27" s="123">
        <v>24</v>
      </c>
      <c r="CX27" s="122"/>
      <c r="CY27" s="122"/>
      <c r="CZ27" s="122"/>
      <c r="DA27" s="317">
        <f t="shared" si="18"/>
        <v>0</v>
      </c>
      <c r="DB27" s="122"/>
      <c r="DC27" s="122"/>
      <c r="DD27" s="323">
        <f t="shared" si="19"/>
        <v>0</v>
      </c>
      <c r="DE27" s="122"/>
      <c r="DF27" s="122"/>
      <c r="DG27" s="323">
        <f t="shared" si="33"/>
        <v>0</v>
      </c>
      <c r="DH27" s="123">
        <v>24</v>
      </c>
      <c r="DI27" s="122"/>
      <c r="DJ27" s="122"/>
      <c r="DK27" s="122"/>
      <c r="DL27" s="317">
        <f t="shared" si="20"/>
        <v>0</v>
      </c>
      <c r="DM27" s="122"/>
      <c r="DN27" s="122"/>
      <c r="DO27" s="323">
        <f t="shared" si="21"/>
        <v>0</v>
      </c>
      <c r="DP27" s="122"/>
      <c r="DQ27" s="122"/>
      <c r="DR27" s="322">
        <f t="shared" si="34"/>
        <v>0</v>
      </c>
      <c r="DS27" s="123">
        <v>24</v>
      </c>
      <c r="DT27" s="122"/>
      <c r="DU27" s="122"/>
      <c r="DV27" s="122"/>
      <c r="DW27" s="317">
        <f t="shared" si="22"/>
        <v>0</v>
      </c>
      <c r="DX27" s="122"/>
      <c r="DY27" s="122"/>
      <c r="DZ27" s="323">
        <f t="shared" si="23"/>
        <v>0</v>
      </c>
      <c r="EA27" s="122"/>
      <c r="EB27" s="122"/>
      <c r="EC27" s="322">
        <f t="shared" si="35"/>
        <v>0</v>
      </c>
    </row>
    <row r="28" spans="2:133" ht="16.8" thickTop="1" thickBot="1" x14ac:dyDescent="0.35">
      <c r="B28" s="123">
        <v>25</v>
      </c>
      <c r="C28" s="122"/>
      <c r="D28" s="122"/>
      <c r="E28" s="122"/>
      <c r="F28" s="317">
        <f t="shared" si="0"/>
        <v>0</v>
      </c>
      <c r="G28" s="122"/>
      <c r="H28" s="122"/>
      <c r="I28" s="323">
        <f t="shared" si="1"/>
        <v>0</v>
      </c>
      <c r="J28" s="122"/>
      <c r="K28" s="122"/>
      <c r="L28" s="323">
        <f t="shared" si="24"/>
        <v>0</v>
      </c>
      <c r="M28" s="123">
        <v>25</v>
      </c>
      <c r="N28" s="122"/>
      <c r="O28" s="122"/>
      <c r="P28" s="122"/>
      <c r="Q28" s="317">
        <f t="shared" si="2"/>
        <v>0</v>
      </c>
      <c r="R28" s="122"/>
      <c r="S28" s="122"/>
      <c r="T28" s="323">
        <f t="shared" si="3"/>
        <v>0</v>
      </c>
      <c r="U28" s="122"/>
      <c r="V28" s="122"/>
      <c r="W28" s="322">
        <f t="shared" si="25"/>
        <v>0</v>
      </c>
      <c r="X28" s="123">
        <v>25</v>
      </c>
      <c r="Y28" s="122"/>
      <c r="Z28" s="122"/>
      <c r="AA28" s="122"/>
      <c r="AB28" s="317">
        <f t="shared" si="4"/>
        <v>0</v>
      </c>
      <c r="AC28" s="122"/>
      <c r="AD28" s="122"/>
      <c r="AE28" s="323">
        <f t="shared" si="5"/>
        <v>0</v>
      </c>
      <c r="AF28" s="122"/>
      <c r="AG28" s="122"/>
      <c r="AH28" s="322">
        <f t="shared" si="26"/>
        <v>0</v>
      </c>
      <c r="AI28" s="123">
        <v>25</v>
      </c>
      <c r="AJ28" s="122"/>
      <c r="AK28" s="122"/>
      <c r="AL28" s="122"/>
      <c r="AM28" s="317">
        <f t="shared" si="6"/>
        <v>0</v>
      </c>
      <c r="AN28" s="122"/>
      <c r="AO28" s="122"/>
      <c r="AP28" s="323">
        <f t="shared" si="7"/>
        <v>0</v>
      </c>
      <c r="AQ28" s="122"/>
      <c r="AR28" s="122"/>
      <c r="AS28" s="323">
        <f t="shared" si="27"/>
        <v>0</v>
      </c>
      <c r="AT28" s="123">
        <v>25</v>
      </c>
      <c r="AU28" s="122"/>
      <c r="AV28" s="122"/>
      <c r="AW28" s="122"/>
      <c r="AX28" s="317">
        <f t="shared" si="8"/>
        <v>0</v>
      </c>
      <c r="AY28" s="122"/>
      <c r="AZ28" s="122"/>
      <c r="BA28" s="323">
        <f t="shared" si="9"/>
        <v>0</v>
      </c>
      <c r="BB28" s="122"/>
      <c r="BC28" s="122"/>
      <c r="BD28" s="322">
        <f t="shared" si="28"/>
        <v>0</v>
      </c>
      <c r="BE28" s="123">
        <v>25</v>
      </c>
      <c r="BF28" s="122"/>
      <c r="BG28" s="122"/>
      <c r="BH28" s="122"/>
      <c r="BI28" s="317">
        <f t="shared" si="10"/>
        <v>0</v>
      </c>
      <c r="BJ28" s="122"/>
      <c r="BK28" s="122"/>
      <c r="BL28" s="323">
        <f t="shared" si="11"/>
        <v>0</v>
      </c>
      <c r="BM28" s="122"/>
      <c r="BN28" s="122"/>
      <c r="BO28" s="322">
        <f t="shared" si="29"/>
        <v>0</v>
      </c>
      <c r="BP28" s="123">
        <v>25</v>
      </c>
      <c r="BQ28" s="122"/>
      <c r="BR28" s="122"/>
      <c r="BS28" s="122"/>
      <c r="BT28" s="317">
        <f t="shared" si="12"/>
        <v>0</v>
      </c>
      <c r="BU28" s="122"/>
      <c r="BV28" s="122"/>
      <c r="BW28" s="323">
        <f t="shared" si="13"/>
        <v>0</v>
      </c>
      <c r="BX28" s="122"/>
      <c r="BY28" s="122"/>
      <c r="BZ28" s="323">
        <f t="shared" si="30"/>
        <v>0</v>
      </c>
      <c r="CA28" s="123">
        <v>25</v>
      </c>
      <c r="CB28" s="122"/>
      <c r="CC28" s="122"/>
      <c r="CD28" s="122"/>
      <c r="CE28" s="317">
        <f t="shared" si="14"/>
        <v>0</v>
      </c>
      <c r="CF28" s="122"/>
      <c r="CG28" s="122"/>
      <c r="CH28" s="323">
        <f t="shared" si="15"/>
        <v>0</v>
      </c>
      <c r="CI28" s="122"/>
      <c r="CJ28" s="122"/>
      <c r="CK28" s="322">
        <f t="shared" si="31"/>
        <v>0</v>
      </c>
      <c r="CL28" s="123">
        <v>25</v>
      </c>
      <c r="CM28" s="122"/>
      <c r="CN28" s="122"/>
      <c r="CO28" s="122"/>
      <c r="CP28" s="317">
        <f t="shared" si="16"/>
        <v>0</v>
      </c>
      <c r="CQ28" s="122"/>
      <c r="CR28" s="122"/>
      <c r="CS28" s="323">
        <f t="shared" si="17"/>
        <v>0</v>
      </c>
      <c r="CT28" s="122"/>
      <c r="CU28" s="122"/>
      <c r="CV28" s="322">
        <f t="shared" si="32"/>
        <v>0</v>
      </c>
      <c r="CW28" s="123">
        <v>25</v>
      </c>
      <c r="CX28" s="122"/>
      <c r="CY28" s="122"/>
      <c r="CZ28" s="122"/>
      <c r="DA28" s="317">
        <f t="shared" si="18"/>
        <v>0</v>
      </c>
      <c r="DB28" s="122"/>
      <c r="DC28" s="122"/>
      <c r="DD28" s="323">
        <f t="shared" si="19"/>
        <v>0</v>
      </c>
      <c r="DE28" s="122"/>
      <c r="DF28" s="122"/>
      <c r="DG28" s="323">
        <f t="shared" si="33"/>
        <v>0</v>
      </c>
      <c r="DH28" s="123">
        <v>25</v>
      </c>
      <c r="DI28" s="122"/>
      <c r="DJ28" s="122"/>
      <c r="DK28" s="122"/>
      <c r="DL28" s="317">
        <f t="shared" si="20"/>
        <v>0</v>
      </c>
      <c r="DM28" s="122"/>
      <c r="DN28" s="122"/>
      <c r="DO28" s="323">
        <f t="shared" si="21"/>
        <v>0</v>
      </c>
      <c r="DP28" s="122"/>
      <c r="DQ28" s="122"/>
      <c r="DR28" s="322">
        <f t="shared" si="34"/>
        <v>0</v>
      </c>
      <c r="DS28" s="123">
        <v>25</v>
      </c>
      <c r="DT28" s="122"/>
      <c r="DU28" s="122"/>
      <c r="DV28" s="122"/>
      <c r="DW28" s="317">
        <f t="shared" si="22"/>
        <v>0</v>
      </c>
      <c r="DX28" s="122"/>
      <c r="DY28" s="122"/>
      <c r="DZ28" s="323">
        <f t="shared" si="23"/>
        <v>0</v>
      </c>
      <c r="EA28" s="122"/>
      <c r="EB28" s="122"/>
      <c r="EC28" s="322">
        <f t="shared" si="35"/>
        <v>0</v>
      </c>
    </row>
    <row r="29" spans="2:133" ht="16.8" thickTop="1" thickBot="1" x14ac:dyDescent="0.35">
      <c r="B29" s="123">
        <v>26</v>
      </c>
      <c r="C29" s="122"/>
      <c r="D29" s="122"/>
      <c r="E29" s="122"/>
      <c r="F29" s="317">
        <f t="shared" si="0"/>
        <v>0</v>
      </c>
      <c r="G29" s="122"/>
      <c r="H29" s="122"/>
      <c r="I29" s="323">
        <f t="shared" si="1"/>
        <v>0</v>
      </c>
      <c r="J29" s="122"/>
      <c r="K29" s="122"/>
      <c r="L29" s="323">
        <f t="shared" si="24"/>
        <v>0</v>
      </c>
      <c r="M29" s="123">
        <v>26</v>
      </c>
      <c r="N29" s="122"/>
      <c r="O29" s="122"/>
      <c r="P29" s="122"/>
      <c r="Q29" s="317">
        <f t="shared" si="2"/>
        <v>0</v>
      </c>
      <c r="R29" s="122"/>
      <c r="S29" s="122"/>
      <c r="T29" s="323">
        <f t="shared" si="3"/>
        <v>0</v>
      </c>
      <c r="U29" s="122"/>
      <c r="V29" s="122"/>
      <c r="W29" s="322">
        <f t="shared" si="25"/>
        <v>0</v>
      </c>
      <c r="X29" s="123">
        <v>26</v>
      </c>
      <c r="Y29" s="122"/>
      <c r="Z29" s="122"/>
      <c r="AA29" s="122"/>
      <c r="AB29" s="317">
        <f t="shared" si="4"/>
        <v>0</v>
      </c>
      <c r="AC29" s="122"/>
      <c r="AD29" s="122"/>
      <c r="AE29" s="323">
        <f t="shared" si="5"/>
        <v>0</v>
      </c>
      <c r="AF29" s="122"/>
      <c r="AG29" s="122"/>
      <c r="AH29" s="322">
        <f t="shared" si="26"/>
        <v>0</v>
      </c>
      <c r="AI29" s="123">
        <v>26</v>
      </c>
      <c r="AJ29" s="122"/>
      <c r="AK29" s="122"/>
      <c r="AL29" s="122"/>
      <c r="AM29" s="317">
        <f t="shared" si="6"/>
        <v>0</v>
      </c>
      <c r="AN29" s="122"/>
      <c r="AO29" s="122"/>
      <c r="AP29" s="323">
        <f t="shared" si="7"/>
        <v>0</v>
      </c>
      <c r="AQ29" s="122"/>
      <c r="AR29" s="122"/>
      <c r="AS29" s="323">
        <f t="shared" si="27"/>
        <v>0</v>
      </c>
      <c r="AT29" s="123">
        <v>26</v>
      </c>
      <c r="AU29" s="122"/>
      <c r="AV29" s="122"/>
      <c r="AW29" s="122"/>
      <c r="AX29" s="317">
        <f t="shared" si="8"/>
        <v>0</v>
      </c>
      <c r="AY29" s="122"/>
      <c r="AZ29" s="122"/>
      <c r="BA29" s="323">
        <f t="shared" si="9"/>
        <v>0</v>
      </c>
      <c r="BB29" s="122"/>
      <c r="BC29" s="122"/>
      <c r="BD29" s="322">
        <f t="shared" si="28"/>
        <v>0</v>
      </c>
      <c r="BE29" s="123">
        <v>26</v>
      </c>
      <c r="BF29" s="122"/>
      <c r="BG29" s="122"/>
      <c r="BH29" s="122"/>
      <c r="BI29" s="317">
        <f t="shared" si="10"/>
        <v>0</v>
      </c>
      <c r="BJ29" s="122"/>
      <c r="BK29" s="122"/>
      <c r="BL29" s="323">
        <f t="shared" si="11"/>
        <v>0</v>
      </c>
      <c r="BM29" s="122"/>
      <c r="BN29" s="122"/>
      <c r="BO29" s="322">
        <f t="shared" si="29"/>
        <v>0</v>
      </c>
      <c r="BP29" s="123">
        <v>26</v>
      </c>
      <c r="BQ29" s="122"/>
      <c r="BR29" s="122"/>
      <c r="BS29" s="122"/>
      <c r="BT29" s="317">
        <f t="shared" si="12"/>
        <v>0</v>
      </c>
      <c r="BU29" s="122"/>
      <c r="BV29" s="122"/>
      <c r="BW29" s="323">
        <f t="shared" si="13"/>
        <v>0</v>
      </c>
      <c r="BX29" s="122"/>
      <c r="BY29" s="122"/>
      <c r="BZ29" s="323">
        <f t="shared" si="30"/>
        <v>0</v>
      </c>
      <c r="CA29" s="123">
        <v>26</v>
      </c>
      <c r="CB29" s="122"/>
      <c r="CC29" s="122"/>
      <c r="CD29" s="122"/>
      <c r="CE29" s="317">
        <f t="shared" si="14"/>
        <v>0</v>
      </c>
      <c r="CF29" s="122"/>
      <c r="CG29" s="122"/>
      <c r="CH29" s="323">
        <f t="shared" si="15"/>
        <v>0</v>
      </c>
      <c r="CI29" s="122"/>
      <c r="CJ29" s="122"/>
      <c r="CK29" s="322">
        <f t="shared" si="31"/>
        <v>0</v>
      </c>
      <c r="CL29" s="123">
        <v>26</v>
      </c>
      <c r="CM29" s="122"/>
      <c r="CN29" s="122"/>
      <c r="CO29" s="122"/>
      <c r="CP29" s="317">
        <f t="shared" si="16"/>
        <v>0</v>
      </c>
      <c r="CQ29" s="122"/>
      <c r="CR29" s="122"/>
      <c r="CS29" s="323">
        <f t="shared" si="17"/>
        <v>0</v>
      </c>
      <c r="CT29" s="122"/>
      <c r="CU29" s="122"/>
      <c r="CV29" s="322">
        <f t="shared" si="32"/>
        <v>0</v>
      </c>
      <c r="CW29" s="123">
        <v>26</v>
      </c>
      <c r="CX29" s="122"/>
      <c r="CY29" s="122"/>
      <c r="CZ29" s="122"/>
      <c r="DA29" s="317">
        <f t="shared" si="18"/>
        <v>0</v>
      </c>
      <c r="DB29" s="122"/>
      <c r="DC29" s="122"/>
      <c r="DD29" s="323">
        <f t="shared" si="19"/>
        <v>0</v>
      </c>
      <c r="DE29" s="122"/>
      <c r="DF29" s="122"/>
      <c r="DG29" s="323">
        <f t="shared" si="33"/>
        <v>0</v>
      </c>
      <c r="DH29" s="123">
        <v>26</v>
      </c>
      <c r="DI29" s="122"/>
      <c r="DJ29" s="122"/>
      <c r="DK29" s="122"/>
      <c r="DL29" s="317">
        <f t="shared" si="20"/>
        <v>0</v>
      </c>
      <c r="DM29" s="122"/>
      <c r="DN29" s="122"/>
      <c r="DO29" s="323">
        <f t="shared" si="21"/>
        <v>0</v>
      </c>
      <c r="DP29" s="122"/>
      <c r="DQ29" s="122"/>
      <c r="DR29" s="322">
        <f t="shared" si="34"/>
        <v>0</v>
      </c>
      <c r="DS29" s="123">
        <v>26</v>
      </c>
      <c r="DT29" s="122"/>
      <c r="DU29" s="122"/>
      <c r="DV29" s="122"/>
      <c r="DW29" s="317">
        <f t="shared" si="22"/>
        <v>0</v>
      </c>
      <c r="DX29" s="122"/>
      <c r="DY29" s="122"/>
      <c r="DZ29" s="323">
        <f t="shared" si="23"/>
        <v>0</v>
      </c>
      <c r="EA29" s="122"/>
      <c r="EB29" s="122"/>
      <c r="EC29" s="322">
        <f t="shared" si="35"/>
        <v>0</v>
      </c>
    </row>
    <row r="30" spans="2:133" ht="16.8" thickTop="1" thickBot="1" x14ac:dyDescent="0.35">
      <c r="B30" s="123">
        <v>27</v>
      </c>
      <c r="C30" s="122"/>
      <c r="D30" s="122"/>
      <c r="E30" s="122"/>
      <c r="F30" s="317">
        <f t="shared" si="0"/>
        <v>0</v>
      </c>
      <c r="G30" s="122"/>
      <c r="H30" s="122"/>
      <c r="I30" s="323">
        <f t="shared" si="1"/>
        <v>0</v>
      </c>
      <c r="J30" s="122"/>
      <c r="K30" s="122"/>
      <c r="L30" s="323">
        <f t="shared" si="24"/>
        <v>0</v>
      </c>
      <c r="M30" s="123">
        <v>27</v>
      </c>
      <c r="N30" s="122"/>
      <c r="O30" s="122"/>
      <c r="P30" s="122"/>
      <c r="Q30" s="317">
        <f t="shared" si="2"/>
        <v>0</v>
      </c>
      <c r="R30" s="122"/>
      <c r="S30" s="122"/>
      <c r="T30" s="323">
        <f t="shared" si="3"/>
        <v>0</v>
      </c>
      <c r="U30" s="122"/>
      <c r="V30" s="122"/>
      <c r="W30" s="322">
        <f t="shared" si="25"/>
        <v>0</v>
      </c>
      <c r="X30" s="123">
        <v>27</v>
      </c>
      <c r="Y30" s="122"/>
      <c r="Z30" s="122"/>
      <c r="AA30" s="122"/>
      <c r="AB30" s="317">
        <f t="shared" si="4"/>
        <v>0</v>
      </c>
      <c r="AC30" s="122"/>
      <c r="AD30" s="122"/>
      <c r="AE30" s="323">
        <f t="shared" si="5"/>
        <v>0</v>
      </c>
      <c r="AF30" s="122"/>
      <c r="AG30" s="122"/>
      <c r="AH30" s="322">
        <f t="shared" si="26"/>
        <v>0</v>
      </c>
      <c r="AI30" s="123">
        <v>27</v>
      </c>
      <c r="AJ30" s="122"/>
      <c r="AK30" s="122"/>
      <c r="AL30" s="122"/>
      <c r="AM30" s="317">
        <f t="shared" si="6"/>
        <v>0</v>
      </c>
      <c r="AN30" s="122"/>
      <c r="AO30" s="122"/>
      <c r="AP30" s="323">
        <f t="shared" si="7"/>
        <v>0</v>
      </c>
      <c r="AQ30" s="122"/>
      <c r="AR30" s="122"/>
      <c r="AS30" s="323">
        <f t="shared" si="27"/>
        <v>0</v>
      </c>
      <c r="AT30" s="123">
        <v>27</v>
      </c>
      <c r="AU30" s="122"/>
      <c r="AV30" s="122"/>
      <c r="AW30" s="122"/>
      <c r="AX30" s="317">
        <f t="shared" si="8"/>
        <v>0</v>
      </c>
      <c r="AY30" s="122"/>
      <c r="AZ30" s="122"/>
      <c r="BA30" s="323">
        <f t="shared" si="9"/>
        <v>0</v>
      </c>
      <c r="BB30" s="122"/>
      <c r="BC30" s="122"/>
      <c r="BD30" s="322">
        <f t="shared" si="28"/>
        <v>0</v>
      </c>
      <c r="BE30" s="123">
        <v>27</v>
      </c>
      <c r="BF30" s="122"/>
      <c r="BG30" s="122"/>
      <c r="BH30" s="122"/>
      <c r="BI30" s="317">
        <f t="shared" si="10"/>
        <v>0</v>
      </c>
      <c r="BJ30" s="122"/>
      <c r="BK30" s="122"/>
      <c r="BL30" s="323">
        <f t="shared" si="11"/>
        <v>0</v>
      </c>
      <c r="BM30" s="122"/>
      <c r="BN30" s="122"/>
      <c r="BO30" s="322">
        <f t="shared" si="29"/>
        <v>0</v>
      </c>
      <c r="BP30" s="123">
        <v>27</v>
      </c>
      <c r="BQ30" s="122"/>
      <c r="BR30" s="122"/>
      <c r="BS30" s="122"/>
      <c r="BT30" s="317">
        <f t="shared" si="12"/>
        <v>0</v>
      </c>
      <c r="BU30" s="122"/>
      <c r="BV30" s="122"/>
      <c r="BW30" s="323">
        <f t="shared" si="13"/>
        <v>0</v>
      </c>
      <c r="BX30" s="122"/>
      <c r="BY30" s="122"/>
      <c r="BZ30" s="323">
        <f t="shared" si="30"/>
        <v>0</v>
      </c>
      <c r="CA30" s="123">
        <v>27</v>
      </c>
      <c r="CB30" s="122"/>
      <c r="CC30" s="122"/>
      <c r="CD30" s="122"/>
      <c r="CE30" s="317">
        <f t="shared" si="14"/>
        <v>0</v>
      </c>
      <c r="CF30" s="122"/>
      <c r="CG30" s="122"/>
      <c r="CH30" s="323">
        <f t="shared" si="15"/>
        <v>0</v>
      </c>
      <c r="CI30" s="122"/>
      <c r="CJ30" s="122"/>
      <c r="CK30" s="322">
        <f t="shared" si="31"/>
        <v>0</v>
      </c>
      <c r="CL30" s="123">
        <v>27</v>
      </c>
      <c r="CM30" s="122"/>
      <c r="CN30" s="122"/>
      <c r="CO30" s="122"/>
      <c r="CP30" s="317">
        <f t="shared" si="16"/>
        <v>0</v>
      </c>
      <c r="CQ30" s="122"/>
      <c r="CR30" s="122"/>
      <c r="CS30" s="323">
        <f t="shared" si="17"/>
        <v>0</v>
      </c>
      <c r="CT30" s="122"/>
      <c r="CU30" s="122"/>
      <c r="CV30" s="322">
        <f t="shared" si="32"/>
        <v>0</v>
      </c>
      <c r="CW30" s="123">
        <v>27</v>
      </c>
      <c r="CX30" s="122"/>
      <c r="CY30" s="122"/>
      <c r="CZ30" s="122"/>
      <c r="DA30" s="317">
        <f t="shared" si="18"/>
        <v>0</v>
      </c>
      <c r="DB30" s="122"/>
      <c r="DC30" s="122"/>
      <c r="DD30" s="323">
        <f t="shared" si="19"/>
        <v>0</v>
      </c>
      <c r="DE30" s="122"/>
      <c r="DF30" s="122"/>
      <c r="DG30" s="323">
        <f t="shared" si="33"/>
        <v>0</v>
      </c>
      <c r="DH30" s="123">
        <v>27</v>
      </c>
      <c r="DI30" s="122"/>
      <c r="DJ30" s="122"/>
      <c r="DK30" s="122"/>
      <c r="DL30" s="317">
        <f t="shared" si="20"/>
        <v>0</v>
      </c>
      <c r="DM30" s="122"/>
      <c r="DN30" s="122"/>
      <c r="DO30" s="323">
        <f t="shared" si="21"/>
        <v>0</v>
      </c>
      <c r="DP30" s="122"/>
      <c r="DQ30" s="122"/>
      <c r="DR30" s="322">
        <f t="shared" si="34"/>
        <v>0</v>
      </c>
      <c r="DS30" s="123">
        <v>27</v>
      </c>
      <c r="DT30" s="122"/>
      <c r="DU30" s="122"/>
      <c r="DV30" s="122"/>
      <c r="DW30" s="317">
        <f t="shared" si="22"/>
        <v>0</v>
      </c>
      <c r="DX30" s="122"/>
      <c r="DY30" s="122"/>
      <c r="DZ30" s="323">
        <f t="shared" si="23"/>
        <v>0</v>
      </c>
      <c r="EA30" s="122"/>
      <c r="EB30" s="122"/>
      <c r="EC30" s="322">
        <f t="shared" si="35"/>
        <v>0</v>
      </c>
    </row>
    <row r="31" spans="2:133" ht="16.8" thickTop="1" thickBot="1" x14ac:dyDescent="0.35">
      <c r="B31" s="123">
        <v>28</v>
      </c>
      <c r="C31" s="122"/>
      <c r="D31" s="122"/>
      <c r="E31" s="122"/>
      <c r="F31" s="317">
        <f t="shared" si="0"/>
        <v>0</v>
      </c>
      <c r="G31" s="122"/>
      <c r="H31" s="122"/>
      <c r="I31" s="323">
        <f t="shared" si="1"/>
        <v>0</v>
      </c>
      <c r="J31" s="122"/>
      <c r="K31" s="122"/>
      <c r="L31" s="323">
        <f t="shared" si="24"/>
        <v>0</v>
      </c>
      <c r="M31" s="123">
        <v>28</v>
      </c>
      <c r="N31" s="122"/>
      <c r="O31" s="122"/>
      <c r="P31" s="122"/>
      <c r="Q31" s="317">
        <f t="shared" si="2"/>
        <v>0</v>
      </c>
      <c r="R31" s="122"/>
      <c r="S31" s="122"/>
      <c r="T31" s="323">
        <f t="shared" si="3"/>
        <v>0</v>
      </c>
      <c r="U31" s="122"/>
      <c r="V31" s="122"/>
      <c r="W31" s="322">
        <f t="shared" si="25"/>
        <v>0</v>
      </c>
      <c r="X31" s="123">
        <v>28</v>
      </c>
      <c r="Y31" s="122"/>
      <c r="Z31" s="122"/>
      <c r="AA31" s="122"/>
      <c r="AB31" s="317">
        <f t="shared" si="4"/>
        <v>0</v>
      </c>
      <c r="AC31" s="122"/>
      <c r="AD31" s="122"/>
      <c r="AE31" s="323">
        <f t="shared" si="5"/>
        <v>0</v>
      </c>
      <c r="AF31" s="122"/>
      <c r="AG31" s="122"/>
      <c r="AH31" s="322">
        <f t="shared" si="26"/>
        <v>0</v>
      </c>
      <c r="AI31" s="123">
        <v>28</v>
      </c>
      <c r="AJ31" s="122"/>
      <c r="AK31" s="122"/>
      <c r="AL31" s="122"/>
      <c r="AM31" s="317">
        <f t="shared" si="6"/>
        <v>0</v>
      </c>
      <c r="AN31" s="122"/>
      <c r="AO31" s="122"/>
      <c r="AP31" s="323">
        <f t="shared" si="7"/>
        <v>0</v>
      </c>
      <c r="AQ31" s="122"/>
      <c r="AR31" s="122"/>
      <c r="AS31" s="323">
        <f t="shared" si="27"/>
        <v>0</v>
      </c>
      <c r="AT31" s="123">
        <v>28</v>
      </c>
      <c r="AU31" s="122"/>
      <c r="AV31" s="122"/>
      <c r="AW31" s="122"/>
      <c r="AX31" s="317">
        <f t="shared" si="8"/>
        <v>0</v>
      </c>
      <c r="AY31" s="122"/>
      <c r="AZ31" s="122"/>
      <c r="BA31" s="323">
        <f t="shared" si="9"/>
        <v>0</v>
      </c>
      <c r="BB31" s="122"/>
      <c r="BC31" s="122"/>
      <c r="BD31" s="322">
        <f t="shared" si="28"/>
        <v>0</v>
      </c>
      <c r="BE31" s="123">
        <v>28</v>
      </c>
      <c r="BF31" s="122"/>
      <c r="BG31" s="122"/>
      <c r="BH31" s="122"/>
      <c r="BI31" s="317">
        <f t="shared" si="10"/>
        <v>0</v>
      </c>
      <c r="BJ31" s="122"/>
      <c r="BK31" s="122"/>
      <c r="BL31" s="323">
        <f t="shared" si="11"/>
        <v>0</v>
      </c>
      <c r="BM31" s="122"/>
      <c r="BN31" s="122"/>
      <c r="BO31" s="322">
        <f t="shared" si="29"/>
        <v>0</v>
      </c>
      <c r="BP31" s="123">
        <v>28</v>
      </c>
      <c r="BQ31" s="122"/>
      <c r="BR31" s="122"/>
      <c r="BS31" s="122"/>
      <c r="BT31" s="317">
        <f t="shared" si="12"/>
        <v>0</v>
      </c>
      <c r="BU31" s="122"/>
      <c r="BV31" s="122"/>
      <c r="BW31" s="323">
        <f t="shared" si="13"/>
        <v>0</v>
      </c>
      <c r="BX31" s="122"/>
      <c r="BY31" s="122"/>
      <c r="BZ31" s="323">
        <f t="shared" si="30"/>
        <v>0</v>
      </c>
      <c r="CA31" s="123">
        <v>28</v>
      </c>
      <c r="CB31" s="122"/>
      <c r="CC31" s="122"/>
      <c r="CD31" s="122"/>
      <c r="CE31" s="317">
        <f t="shared" si="14"/>
        <v>0</v>
      </c>
      <c r="CF31" s="122"/>
      <c r="CG31" s="122"/>
      <c r="CH31" s="323">
        <f t="shared" si="15"/>
        <v>0</v>
      </c>
      <c r="CI31" s="122"/>
      <c r="CJ31" s="122"/>
      <c r="CK31" s="322">
        <f t="shared" si="31"/>
        <v>0</v>
      </c>
      <c r="CL31" s="123">
        <v>28</v>
      </c>
      <c r="CM31" s="122"/>
      <c r="CN31" s="122"/>
      <c r="CO31" s="122"/>
      <c r="CP31" s="317">
        <f t="shared" si="16"/>
        <v>0</v>
      </c>
      <c r="CQ31" s="122"/>
      <c r="CR31" s="122"/>
      <c r="CS31" s="323">
        <f t="shared" si="17"/>
        <v>0</v>
      </c>
      <c r="CT31" s="122"/>
      <c r="CU31" s="122"/>
      <c r="CV31" s="322">
        <f t="shared" si="32"/>
        <v>0</v>
      </c>
      <c r="CW31" s="123">
        <v>28</v>
      </c>
      <c r="CX31" s="122"/>
      <c r="CY31" s="122"/>
      <c r="CZ31" s="122"/>
      <c r="DA31" s="317">
        <f t="shared" si="18"/>
        <v>0</v>
      </c>
      <c r="DB31" s="122"/>
      <c r="DC31" s="122"/>
      <c r="DD31" s="323">
        <f t="shared" si="19"/>
        <v>0</v>
      </c>
      <c r="DE31" s="122"/>
      <c r="DF31" s="122"/>
      <c r="DG31" s="323">
        <f t="shared" si="33"/>
        <v>0</v>
      </c>
      <c r="DH31" s="123">
        <v>28</v>
      </c>
      <c r="DI31" s="122"/>
      <c r="DJ31" s="122"/>
      <c r="DK31" s="122"/>
      <c r="DL31" s="317">
        <f t="shared" si="20"/>
        <v>0</v>
      </c>
      <c r="DM31" s="122"/>
      <c r="DN31" s="122"/>
      <c r="DO31" s="323">
        <f t="shared" si="21"/>
        <v>0</v>
      </c>
      <c r="DP31" s="122"/>
      <c r="DQ31" s="122"/>
      <c r="DR31" s="322">
        <f t="shared" si="34"/>
        <v>0</v>
      </c>
      <c r="DS31" s="123">
        <v>28</v>
      </c>
      <c r="DT31" s="122"/>
      <c r="DU31" s="122"/>
      <c r="DV31" s="122"/>
      <c r="DW31" s="317">
        <f t="shared" si="22"/>
        <v>0</v>
      </c>
      <c r="DX31" s="122"/>
      <c r="DY31" s="122"/>
      <c r="DZ31" s="323">
        <f t="shared" si="23"/>
        <v>0</v>
      </c>
      <c r="EA31" s="122"/>
      <c r="EB31" s="122"/>
      <c r="EC31" s="322">
        <f t="shared" si="35"/>
        <v>0</v>
      </c>
    </row>
    <row r="32" spans="2:133" ht="16.8" thickTop="1" thickBot="1" x14ac:dyDescent="0.35">
      <c r="B32" s="123">
        <v>29</v>
      </c>
      <c r="C32" s="122"/>
      <c r="D32" s="124"/>
      <c r="E32" s="124"/>
      <c r="F32" s="317">
        <f t="shared" si="0"/>
        <v>0</v>
      </c>
      <c r="G32" s="122"/>
      <c r="H32" s="122"/>
      <c r="I32" s="323">
        <f t="shared" si="1"/>
        <v>0</v>
      </c>
      <c r="J32" s="122"/>
      <c r="K32" s="122"/>
      <c r="L32" s="323">
        <f t="shared" si="24"/>
        <v>0</v>
      </c>
      <c r="M32" s="123">
        <v>29</v>
      </c>
      <c r="N32" s="122"/>
      <c r="O32" s="124"/>
      <c r="P32" s="124"/>
      <c r="Q32" s="317">
        <f t="shared" si="2"/>
        <v>0</v>
      </c>
      <c r="R32" s="122"/>
      <c r="S32" s="122"/>
      <c r="T32" s="323">
        <f t="shared" si="3"/>
        <v>0</v>
      </c>
      <c r="U32" s="122"/>
      <c r="V32" s="122"/>
      <c r="W32" s="322">
        <f t="shared" si="25"/>
        <v>0</v>
      </c>
      <c r="X32" s="123">
        <v>29</v>
      </c>
      <c r="Y32" s="122"/>
      <c r="Z32" s="124"/>
      <c r="AA32" s="124"/>
      <c r="AB32" s="317">
        <f t="shared" si="4"/>
        <v>0</v>
      </c>
      <c r="AC32" s="122"/>
      <c r="AD32" s="122"/>
      <c r="AE32" s="323">
        <f t="shared" si="5"/>
        <v>0</v>
      </c>
      <c r="AF32" s="122"/>
      <c r="AG32" s="122"/>
      <c r="AH32" s="322">
        <f t="shared" si="26"/>
        <v>0</v>
      </c>
      <c r="AI32" s="123">
        <v>29</v>
      </c>
      <c r="AJ32" s="122"/>
      <c r="AK32" s="124"/>
      <c r="AL32" s="124"/>
      <c r="AM32" s="317">
        <f t="shared" si="6"/>
        <v>0</v>
      </c>
      <c r="AN32" s="122"/>
      <c r="AO32" s="122"/>
      <c r="AP32" s="323">
        <f t="shared" si="7"/>
        <v>0</v>
      </c>
      <c r="AQ32" s="122"/>
      <c r="AR32" s="122"/>
      <c r="AS32" s="323">
        <f t="shared" si="27"/>
        <v>0</v>
      </c>
      <c r="AT32" s="123">
        <v>29</v>
      </c>
      <c r="AU32" s="122"/>
      <c r="AV32" s="124"/>
      <c r="AW32" s="124"/>
      <c r="AX32" s="317">
        <f t="shared" si="8"/>
        <v>0</v>
      </c>
      <c r="AY32" s="122"/>
      <c r="AZ32" s="122"/>
      <c r="BA32" s="323">
        <f t="shared" si="9"/>
        <v>0</v>
      </c>
      <c r="BB32" s="122"/>
      <c r="BC32" s="122"/>
      <c r="BD32" s="322">
        <f t="shared" si="28"/>
        <v>0</v>
      </c>
      <c r="BE32" s="123">
        <v>29</v>
      </c>
      <c r="BF32" s="122"/>
      <c r="BG32" s="124"/>
      <c r="BH32" s="124"/>
      <c r="BI32" s="317">
        <f t="shared" si="10"/>
        <v>0</v>
      </c>
      <c r="BJ32" s="122"/>
      <c r="BK32" s="122"/>
      <c r="BL32" s="323">
        <f t="shared" si="11"/>
        <v>0</v>
      </c>
      <c r="BM32" s="122"/>
      <c r="BN32" s="122"/>
      <c r="BO32" s="322">
        <f t="shared" si="29"/>
        <v>0</v>
      </c>
      <c r="BP32" s="123">
        <v>29</v>
      </c>
      <c r="BQ32" s="122"/>
      <c r="BR32" s="124"/>
      <c r="BS32" s="124"/>
      <c r="BT32" s="317">
        <f t="shared" si="12"/>
        <v>0</v>
      </c>
      <c r="BU32" s="122"/>
      <c r="BV32" s="122"/>
      <c r="BW32" s="323">
        <f t="shared" si="13"/>
        <v>0</v>
      </c>
      <c r="BX32" s="122"/>
      <c r="BY32" s="122"/>
      <c r="BZ32" s="323">
        <f t="shared" si="30"/>
        <v>0</v>
      </c>
      <c r="CA32" s="123">
        <v>29</v>
      </c>
      <c r="CB32" s="122"/>
      <c r="CC32" s="124"/>
      <c r="CD32" s="124"/>
      <c r="CE32" s="317">
        <f t="shared" si="14"/>
        <v>0</v>
      </c>
      <c r="CF32" s="122"/>
      <c r="CG32" s="122"/>
      <c r="CH32" s="323">
        <f t="shared" si="15"/>
        <v>0</v>
      </c>
      <c r="CI32" s="122"/>
      <c r="CJ32" s="122"/>
      <c r="CK32" s="322">
        <f t="shared" si="31"/>
        <v>0</v>
      </c>
      <c r="CL32" s="123">
        <v>29</v>
      </c>
      <c r="CM32" s="122"/>
      <c r="CN32" s="124"/>
      <c r="CO32" s="124"/>
      <c r="CP32" s="317">
        <f t="shared" si="16"/>
        <v>0</v>
      </c>
      <c r="CQ32" s="122"/>
      <c r="CR32" s="122"/>
      <c r="CS32" s="323">
        <f t="shared" si="17"/>
        <v>0</v>
      </c>
      <c r="CT32" s="122"/>
      <c r="CU32" s="122"/>
      <c r="CV32" s="322">
        <f t="shared" si="32"/>
        <v>0</v>
      </c>
      <c r="CW32" s="123">
        <v>29</v>
      </c>
      <c r="CX32" s="122"/>
      <c r="CY32" s="124"/>
      <c r="CZ32" s="124"/>
      <c r="DA32" s="317">
        <f t="shared" si="18"/>
        <v>0</v>
      </c>
      <c r="DB32" s="122"/>
      <c r="DC32" s="122"/>
      <c r="DD32" s="323">
        <f t="shared" si="19"/>
        <v>0</v>
      </c>
      <c r="DE32" s="122"/>
      <c r="DF32" s="122"/>
      <c r="DG32" s="323">
        <f t="shared" si="33"/>
        <v>0</v>
      </c>
      <c r="DH32" s="123">
        <v>29</v>
      </c>
      <c r="DI32" s="122"/>
      <c r="DJ32" s="124"/>
      <c r="DK32" s="124"/>
      <c r="DL32" s="317">
        <f t="shared" si="20"/>
        <v>0</v>
      </c>
      <c r="DM32" s="122"/>
      <c r="DN32" s="122"/>
      <c r="DO32" s="323">
        <f t="shared" si="21"/>
        <v>0</v>
      </c>
      <c r="DP32" s="122"/>
      <c r="DQ32" s="122"/>
      <c r="DR32" s="322">
        <f t="shared" si="34"/>
        <v>0</v>
      </c>
      <c r="DS32" s="123">
        <v>29</v>
      </c>
      <c r="DT32" s="122"/>
      <c r="DU32" s="124"/>
      <c r="DV32" s="124"/>
      <c r="DW32" s="317">
        <f t="shared" si="22"/>
        <v>0</v>
      </c>
      <c r="DX32" s="122"/>
      <c r="DY32" s="122"/>
      <c r="DZ32" s="323">
        <f t="shared" si="23"/>
        <v>0</v>
      </c>
      <c r="EA32" s="122"/>
      <c r="EB32" s="122"/>
      <c r="EC32" s="322">
        <f t="shared" si="35"/>
        <v>0</v>
      </c>
    </row>
    <row r="33" spans="2:133" ht="16.8" thickTop="1" thickBot="1" x14ac:dyDescent="0.35">
      <c r="B33" s="123">
        <v>30</v>
      </c>
      <c r="C33" s="122"/>
      <c r="D33" s="122"/>
      <c r="E33" s="122"/>
      <c r="F33" s="317">
        <f t="shared" si="0"/>
        <v>0</v>
      </c>
      <c r="G33" s="122"/>
      <c r="H33" s="122"/>
      <c r="I33" s="323">
        <f t="shared" si="1"/>
        <v>0</v>
      </c>
      <c r="J33" s="122"/>
      <c r="K33" s="122"/>
      <c r="L33" s="323">
        <f t="shared" si="24"/>
        <v>0</v>
      </c>
      <c r="M33" s="123">
        <v>30</v>
      </c>
      <c r="N33" s="122"/>
      <c r="O33" s="122"/>
      <c r="P33" s="122"/>
      <c r="Q33" s="317">
        <f t="shared" si="2"/>
        <v>0</v>
      </c>
      <c r="R33" s="122"/>
      <c r="S33" s="122"/>
      <c r="T33" s="323">
        <f t="shared" si="3"/>
        <v>0</v>
      </c>
      <c r="U33" s="122"/>
      <c r="V33" s="122"/>
      <c r="W33" s="322">
        <f t="shared" si="25"/>
        <v>0</v>
      </c>
      <c r="X33" s="123">
        <v>30</v>
      </c>
      <c r="Y33" s="122"/>
      <c r="Z33" s="122"/>
      <c r="AA33" s="122"/>
      <c r="AB33" s="317">
        <f t="shared" si="4"/>
        <v>0</v>
      </c>
      <c r="AC33" s="122"/>
      <c r="AD33" s="122"/>
      <c r="AE33" s="323">
        <f t="shared" si="5"/>
        <v>0</v>
      </c>
      <c r="AF33" s="122"/>
      <c r="AG33" s="122"/>
      <c r="AH33" s="322">
        <f t="shared" si="26"/>
        <v>0</v>
      </c>
      <c r="AI33" s="123">
        <v>30</v>
      </c>
      <c r="AJ33" s="122"/>
      <c r="AK33" s="122"/>
      <c r="AL33" s="122"/>
      <c r="AM33" s="317">
        <f t="shared" si="6"/>
        <v>0</v>
      </c>
      <c r="AN33" s="122"/>
      <c r="AO33" s="122"/>
      <c r="AP33" s="323">
        <f t="shared" si="7"/>
        <v>0</v>
      </c>
      <c r="AQ33" s="122"/>
      <c r="AR33" s="122"/>
      <c r="AS33" s="323">
        <f t="shared" si="27"/>
        <v>0</v>
      </c>
      <c r="AT33" s="123">
        <v>30</v>
      </c>
      <c r="AU33" s="122"/>
      <c r="AV33" s="122"/>
      <c r="AW33" s="122"/>
      <c r="AX33" s="317">
        <f t="shared" si="8"/>
        <v>0</v>
      </c>
      <c r="AY33" s="122"/>
      <c r="AZ33" s="122"/>
      <c r="BA33" s="323">
        <f t="shared" si="9"/>
        <v>0</v>
      </c>
      <c r="BB33" s="122"/>
      <c r="BC33" s="122"/>
      <c r="BD33" s="322">
        <f t="shared" si="28"/>
        <v>0</v>
      </c>
      <c r="BE33" s="123">
        <v>30</v>
      </c>
      <c r="BF33" s="122"/>
      <c r="BG33" s="122"/>
      <c r="BH33" s="122"/>
      <c r="BI33" s="317">
        <f t="shared" si="10"/>
        <v>0</v>
      </c>
      <c r="BJ33" s="122"/>
      <c r="BK33" s="122"/>
      <c r="BL33" s="323">
        <f t="shared" si="11"/>
        <v>0</v>
      </c>
      <c r="BM33" s="122"/>
      <c r="BN33" s="122"/>
      <c r="BO33" s="322">
        <f t="shared" si="29"/>
        <v>0</v>
      </c>
      <c r="BP33" s="123">
        <v>30</v>
      </c>
      <c r="BQ33" s="122"/>
      <c r="BR33" s="122"/>
      <c r="BS33" s="122"/>
      <c r="BT33" s="317">
        <f t="shared" si="12"/>
        <v>0</v>
      </c>
      <c r="BU33" s="122"/>
      <c r="BV33" s="122"/>
      <c r="BW33" s="323">
        <f t="shared" si="13"/>
        <v>0</v>
      </c>
      <c r="BX33" s="122"/>
      <c r="BY33" s="122"/>
      <c r="BZ33" s="323">
        <f t="shared" si="30"/>
        <v>0</v>
      </c>
      <c r="CA33" s="123">
        <v>30</v>
      </c>
      <c r="CB33" s="122"/>
      <c r="CC33" s="122"/>
      <c r="CD33" s="122"/>
      <c r="CE33" s="317">
        <f t="shared" si="14"/>
        <v>0</v>
      </c>
      <c r="CF33" s="122"/>
      <c r="CG33" s="122"/>
      <c r="CH33" s="323">
        <f t="shared" si="15"/>
        <v>0</v>
      </c>
      <c r="CI33" s="122"/>
      <c r="CJ33" s="122"/>
      <c r="CK33" s="322">
        <f t="shared" si="31"/>
        <v>0</v>
      </c>
      <c r="CL33" s="123">
        <v>30</v>
      </c>
      <c r="CM33" s="122"/>
      <c r="CN33" s="122"/>
      <c r="CO33" s="122"/>
      <c r="CP33" s="317">
        <f t="shared" si="16"/>
        <v>0</v>
      </c>
      <c r="CQ33" s="122"/>
      <c r="CR33" s="122"/>
      <c r="CS33" s="323">
        <f t="shared" si="17"/>
        <v>0</v>
      </c>
      <c r="CT33" s="122"/>
      <c r="CU33" s="122"/>
      <c r="CV33" s="322">
        <f t="shared" si="32"/>
        <v>0</v>
      </c>
      <c r="CW33" s="123">
        <v>30</v>
      </c>
      <c r="CX33" s="122"/>
      <c r="CY33" s="122"/>
      <c r="CZ33" s="122"/>
      <c r="DA33" s="317">
        <f t="shared" si="18"/>
        <v>0</v>
      </c>
      <c r="DB33" s="122"/>
      <c r="DC33" s="122"/>
      <c r="DD33" s="323">
        <f t="shared" si="19"/>
        <v>0</v>
      </c>
      <c r="DE33" s="122"/>
      <c r="DF33" s="122"/>
      <c r="DG33" s="323">
        <f t="shared" si="33"/>
        <v>0</v>
      </c>
      <c r="DH33" s="123">
        <v>30</v>
      </c>
      <c r="DI33" s="122"/>
      <c r="DJ33" s="122"/>
      <c r="DK33" s="122"/>
      <c r="DL33" s="317">
        <f t="shared" si="20"/>
        <v>0</v>
      </c>
      <c r="DM33" s="122"/>
      <c r="DN33" s="122"/>
      <c r="DO33" s="323">
        <f t="shared" si="21"/>
        <v>0</v>
      </c>
      <c r="DP33" s="122"/>
      <c r="DQ33" s="122"/>
      <c r="DR33" s="322">
        <f t="shared" si="34"/>
        <v>0</v>
      </c>
      <c r="DS33" s="123">
        <v>30</v>
      </c>
      <c r="DT33" s="122"/>
      <c r="DU33" s="122"/>
      <c r="DV33" s="122"/>
      <c r="DW33" s="317">
        <f t="shared" si="22"/>
        <v>0</v>
      </c>
      <c r="DX33" s="122"/>
      <c r="DY33" s="122"/>
      <c r="DZ33" s="323">
        <f t="shared" si="23"/>
        <v>0</v>
      </c>
      <c r="EA33" s="122"/>
      <c r="EB33" s="122"/>
      <c r="EC33" s="322">
        <f t="shared" si="35"/>
        <v>0</v>
      </c>
    </row>
    <row r="34" spans="2:133" ht="16.2" thickTop="1" x14ac:dyDescent="0.3">
      <c r="B34" s="123">
        <v>31</v>
      </c>
      <c r="C34" s="125"/>
      <c r="D34" s="125"/>
      <c r="E34" s="125"/>
      <c r="F34" s="318">
        <f t="shared" si="0"/>
        <v>0</v>
      </c>
      <c r="G34" s="125"/>
      <c r="H34" s="125"/>
      <c r="I34" s="324">
        <f t="shared" si="1"/>
        <v>0</v>
      </c>
      <c r="J34" s="125"/>
      <c r="K34" s="125"/>
      <c r="L34" s="324">
        <f t="shared" si="24"/>
        <v>0</v>
      </c>
      <c r="M34" s="123">
        <v>31</v>
      </c>
      <c r="N34" s="125"/>
      <c r="O34" s="125"/>
      <c r="P34" s="125"/>
      <c r="Q34" s="318">
        <f t="shared" si="2"/>
        <v>0</v>
      </c>
      <c r="R34" s="125"/>
      <c r="S34" s="125"/>
      <c r="T34" s="324">
        <f t="shared" si="3"/>
        <v>0</v>
      </c>
      <c r="U34" s="125"/>
      <c r="V34" s="125"/>
      <c r="W34" s="322">
        <f t="shared" si="25"/>
        <v>0</v>
      </c>
      <c r="X34" s="123">
        <v>31</v>
      </c>
      <c r="Y34" s="125"/>
      <c r="Z34" s="125"/>
      <c r="AA34" s="125"/>
      <c r="AB34" s="318">
        <f t="shared" si="4"/>
        <v>0</v>
      </c>
      <c r="AC34" s="125"/>
      <c r="AD34" s="125"/>
      <c r="AE34" s="324">
        <f t="shared" si="5"/>
        <v>0</v>
      </c>
      <c r="AF34" s="125"/>
      <c r="AG34" s="125"/>
      <c r="AH34" s="322">
        <f t="shared" si="26"/>
        <v>0</v>
      </c>
      <c r="AI34" s="123">
        <v>31</v>
      </c>
      <c r="AJ34" s="125"/>
      <c r="AK34" s="125"/>
      <c r="AL34" s="125"/>
      <c r="AM34" s="318">
        <f t="shared" si="6"/>
        <v>0</v>
      </c>
      <c r="AN34" s="125"/>
      <c r="AO34" s="125"/>
      <c r="AP34" s="324">
        <f t="shared" si="7"/>
        <v>0</v>
      </c>
      <c r="AQ34" s="125"/>
      <c r="AR34" s="125"/>
      <c r="AS34" s="324">
        <f t="shared" si="27"/>
        <v>0</v>
      </c>
      <c r="AT34" s="123">
        <v>31</v>
      </c>
      <c r="AU34" s="125"/>
      <c r="AV34" s="125"/>
      <c r="AW34" s="125"/>
      <c r="AX34" s="318">
        <f t="shared" si="8"/>
        <v>0</v>
      </c>
      <c r="AY34" s="125"/>
      <c r="AZ34" s="125"/>
      <c r="BA34" s="324">
        <f t="shared" si="9"/>
        <v>0</v>
      </c>
      <c r="BB34" s="125"/>
      <c r="BC34" s="125"/>
      <c r="BD34" s="322">
        <f t="shared" si="28"/>
        <v>0</v>
      </c>
      <c r="BE34" s="123">
        <v>31</v>
      </c>
      <c r="BF34" s="125"/>
      <c r="BG34" s="125"/>
      <c r="BH34" s="125"/>
      <c r="BI34" s="318">
        <f t="shared" si="10"/>
        <v>0</v>
      </c>
      <c r="BJ34" s="125"/>
      <c r="BK34" s="125"/>
      <c r="BL34" s="324">
        <f t="shared" si="11"/>
        <v>0</v>
      </c>
      <c r="BM34" s="125"/>
      <c r="BN34" s="125"/>
      <c r="BO34" s="322">
        <f t="shared" si="29"/>
        <v>0</v>
      </c>
      <c r="BP34" s="123">
        <v>31</v>
      </c>
      <c r="BQ34" s="125"/>
      <c r="BR34" s="125"/>
      <c r="BS34" s="125"/>
      <c r="BT34" s="318">
        <f t="shared" si="12"/>
        <v>0</v>
      </c>
      <c r="BU34" s="125"/>
      <c r="BV34" s="125"/>
      <c r="BW34" s="324">
        <f t="shared" si="13"/>
        <v>0</v>
      </c>
      <c r="BX34" s="125"/>
      <c r="BY34" s="125"/>
      <c r="BZ34" s="324">
        <f t="shared" si="30"/>
        <v>0</v>
      </c>
      <c r="CA34" s="123">
        <v>31</v>
      </c>
      <c r="CB34" s="125"/>
      <c r="CC34" s="125"/>
      <c r="CD34" s="125"/>
      <c r="CE34" s="318">
        <f t="shared" si="14"/>
        <v>0</v>
      </c>
      <c r="CF34" s="125"/>
      <c r="CG34" s="125"/>
      <c r="CH34" s="324">
        <f t="shared" si="15"/>
        <v>0</v>
      </c>
      <c r="CI34" s="125"/>
      <c r="CJ34" s="125"/>
      <c r="CK34" s="322">
        <f t="shared" si="31"/>
        <v>0</v>
      </c>
      <c r="CL34" s="123">
        <v>31</v>
      </c>
      <c r="CM34" s="125"/>
      <c r="CN34" s="125"/>
      <c r="CO34" s="125"/>
      <c r="CP34" s="318">
        <f t="shared" si="16"/>
        <v>0</v>
      </c>
      <c r="CQ34" s="125"/>
      <c r="CR34" s="125"/>
      <c r="CS34" s="324">
        <f t="shared" si="17"/>
        <v>0</v>
      </c>
      <c r="CT34" s="125"/>
      <c r="CU34" s="125"/>
      <c r="CV34" s="322">
        <f t="shared" si="32"/>
        <v>0</v>
      </c>
      <c r="CW34" s="123">
        <v>31</v>
      </c>
      <c r="CX34" s="125"/>
      <c r="CY34" s="125"/>
      <c r="CZ34" s="125"/>
      <c r="DA34" s="318">
        <f t="shared" si="18"/>
        <v>0</v>
      </c>
      <c r="DB34" s="125"/>
      <c r="DC34" s="125"/>
      <c r="DD34" s="324">
        <f t="shared" si="19"/>
        <v>0</v>
      </c>
      <c r="DE34" s="125"/>
      <c r="DF34" s="125"/>
      <c r="DG34" s="324">
        <f t="shared" si="33"/>
        <v>0</v>
      </c>
      <c r="DH34" s="123">
        <v>31</v>
      </c>
      <c r="DI34" s="125"/>
      <c r="DJ34" s="125"/>
      <c r="DK34" s="125"/>
      <c r="DL34" s="318">
        <f t="shared" si="20"/>
        <v>0</v>
      </c>
      <c r="DM34" s="125"/>
      <c r="DN34" s="125"/>
      <c r="DO34" s="324">
        <f t="shared" si="21"/>
        <v>0</v>
      </c>
      <c r="DP34" s="125"/>
      <c r="DQ34" s="125"/>
      <c r="DR34" s="322">
        <f t="shared" si="34"/>
        <v>0</v>
      </c>
      <c r="DS34" s="123">
        <v>31</v>
      </c>
      <c r="DT34" s="125"/>
      <c r="DU34" s="125"/>
      <c r="DV34" s="125"/>
      <c r="DW34" s="318">
        <f t="shared" si="22"/>
        <v>0</v>
      </c>
      <c r="DX34" s="125"/>
      <c r="DY34" s="125"/>
      <c r="DZ34" s="324">
        <f t="shared" si="23"/>
        <v>0</v>
      </c>
      <c r="EA34" s="125"/>
      <c r="EB34" s="125"/>
      <c r="EC34" s="322">
        <f t="shared" si="35"/>
        <v>0</v>
      </c>
    </row>
    <row r="35" spans="2:133" ht="55.2" x14ac:dyDescent="0.3">
      <c r="B35" s="126" t="s">
        <v>70</v>
      </c>
      <c r="C35" s="127">
        <f>SUM(C4:C34)</f>
        <v>0</v>
      </c>
      <c r="D35" s="127">
        <f>SUM(D4:D34)</f>
        <v>0</v>
      </c>
      <c r="E35" s="127">
        <f>SUM(E4:E34)</f>
        <v>0</v>
      </c>
      <c r="F35" s="319">
        <f>SUM(C35:E35)</f>
        <v>0</v>
      </c>
      <c r="G35" s="128">
        <f t="shared" ref="G35:J35" si="36">SUM(G4:G34)</f>
        <v>0</v>
      </c>
      <c r="H35" s="128">
        <f t="shared" si="36"/>
        <v>0</v>
      </c>
      <c r="I35" s="325">
        <f t="shared" si="36"/>
        <v>0</v>
      </c>
      <c r="J35" s="128">
        <f t="shared" si="36"/>
        <v>0</v>
      </c>
      <c r="K35" s="128">
        <f t="shared" ref="K35:L35" si="37">SUM(K4:K34)</f>
        <v>0</v>
      </c>
      <c r="L35" s="325">
        <f t="shared" si="37"/>
        <v>0</v>
      </c>
      <c r="M35" s="126" t="s">
        <v>70</v>
      </c>
      <c r="N35" s="127">
        <f>SUM(N4:N34)</f>
        <v>0</v>
      </c>
      <c r="O35" s="127">
        <f>SUM(O4:O34)</f>
        <v>0</v>
      </c>
      <c r="P35" s="127">
        <f>SUM(P4:P34)</f>
        <v>0</v>
      </c>
      <c r="Q35" s="319">
        <f>SUM(N35:P35)</f>
        <v>0</v>
      </c>
      <c r="R35" s="128">
        <f t="shared" ref="R35:V35" si="38">SUM(R4:R34)</f>
        <v>0</v>
      </c>
      <c r="S35" s="128">
        <f t="shared" si="38"/>
        <v>0</v>
      </c>
      <c r="T35" s="325">
        <f t="shared" si="38"/>
        <v>0</v>
      </c>
      <c r="U35" s="128">
        <f t="shared" ref="U35" si="39">SUM(U4:U34)</f>
        <v>0</v>
      </c>
      <c r="V35" s="128">
        <f t="shared" si="38"/>
        <v>0</v>
      </c>
      <c r="W35" s="329">
        <f t="shared" si="25"/>
        <v>0</v>
      </c>
      <c r="X35" s="126" t="s">
        <v>70</v>
      </c>
      <c r="Y35" s="127">
        <f>SUM(Y4:Y34)</f>
        <v>17878</v>
      </c>
      <c r="Z35" s="127">
        <f>SUM(Z4:Z34)</f>
        <v>0</v>
      </c>
      <c r="AA35" s="127">
        <f>SUM(AA4:AA34)</f>
        <v>0</v>
      </c>
      <c r="AB35" s="319">
        <f>SUM(Y35:AA35)</f>
        <v>17878</v>
      </c>
      <c r="AC35" s="128">
        <f t="shared" ref="AC35:AG35" si="40">SUM(AC4:AC34)</f>
        <v>25783</v>
      </c>
      <c r="AD35" s="128">
        <f t="shared" si="40"/>
        <v>0</v>
      </c>
      <c r="AE35" s="325">
        <f t="shared" si="40"/>
        <v>25783</v>
      </c>
      <c r="AF35" s="128">
        <f t="shared" si="40"/>
        <v>2025</v>
      </c>
      <c r="AG35" s="128">
        <f t="shared" si="40"/>
        <v>0</v>
      </c>
      <c r="AH35" s="329">
        <f t="shared" si="26"/>
        <v>2025</v>
      </c>
      <c r="AI35" s="126" t="s">
        <v>70</v>
      </c>
      <c r="AJ35" s="127">
        <f>SUM(AJ4:AJ34)</f>
        <v>17878</v>
      </c>
      <c r="AK35" s="127">
        <f>SUM(AK4:AK34)</f>
        <v>0</v>
      </c>
      <c r="AL35" s="127">
        <f>SUM(AL4:AL34)</f>
        <v>0</v>
      </c>
      <c r="AM35" s="319">
        <f>SUM(AJ35:AL35)</f>
        <v>17878</v>
      </c>
      <c r="AN35" s="128">
        <f t="shared" ref="AN35:AS35" si="41">SUM(AN4:AN34)</f>
        <v>10000</v>
      </c>
      <c r="AO35" s="128">
        <f t="shared" si="41"/>
        <v>0</v>
      </c>
      <c r="AP35" s="325">
        <f t="shared" si="41"/>
        <v>10000</v>
      </c>
      <c r="AQ35" s="128">
        <f t="shared" si="41"/>
        <v>2025</v>
      </c>
      <c r="AR35" s="128">
        <f t="shared" si="41"/>
        <v>0</v>
      </c>
      <c r="AS35" s="325">
        <f t="shared" si="41"/>
        <v>2025</v>
      </c>
      <c r="AT35" s="126" t="s">
        <v>70</v>
      </c>
      <c r="AU35" s="127">
        <f>SUM(AU4:AU34)</f>
        <v>0</v>
      </c>
      <c r="AV35" s="127">
        <f>SUM(AV4:AV34)</f>
        <v>0</v>
      </c>
      <c r="AW35" s="127">
        <f>SUM(AW4:AW34)</f>
        <v>0</v>
      </c>
      <c r="AX35" s="319">
        <f>SUM(AU35:AW35)</f>
        <v>0</v>
      </c>
      <c r="AY35" s="128">
        <f t="shared" ref="AY35:BC35" si="42">SUM(AY4:AY34)</f>
        <v>0</v>
      </c>
      <c r="AZ35" s="128">
        <f t="shared" si="42"/>
        <v>0</v>
      </c>
      <c r="BA35" s="325">
        <f t="shared" si="42"/>
        <v>0</v>
      </c>
      <c r="BB35" s="128">
        <f t="shared" si="42"/>
        <v>0</v>
      </c>
      <c r="BC35" s="128">
        <f t="shared" si="42"/>
        <v>0</v>
      </c>
      <c r="BD35" s="329">
        <f t="shared" si="28"/>
        <v>0</v>
      </c>
      <c r="BE35" s="126" t="s">
        <v>70</v>
      </c>
      <c r="BF35" s="127">
        <f>SUM(BF4:BF34)</f>
        <v>0</v>
      </c>
      <c r="BG35" s="127">
        <f>SUM(BG4:BG34)</f>
        <v>0</v>
      </c>
      <c r="BH35" s="127">
        <f>SUM(BH4:BH34)</f>
        <v>0</v>
      </c>
      <c r="BI35" s="319">
        <f>SUM(BF35:BH35)</f>
        <v>0</v>
      </c>
      <c r="BJ35" s="128">
        <f t="shared" ref="BJ35:BN35" si="43">SUM(BJ4:BJ34)</f>
        <v>0</v>
      </c>
      <c r="BK35" s="128">
        <f t="shared" si="43"/>
        <v>0</v>
      </c>
      <c r="BL35" s="325">
        <f t="shared" si="43"/>
        <v>0</v>
      </c>
      <c r="BM35" s="128">
        <f t="shared" si="43"/>
        <v>0</v>
      </c>
      <c r="BN35" s="128">
        <f t="shared" si="43"/>
        <v>0</v>
      </c>
      <c r="BO35" s="329">
        <f t="shared" si="29"/>
        <v>0</v>
      </c>
      <c r="BP35" s="126" t="s">
        <v>70</v>
      </c>
      <c r="BQ35" s="127">
        <f>SUM(BQ4:BQ34)</f>
        <v>0</v>
      </c>
      <c r="BR35" s="127">
        <f>SUM(BR4:BR34)</f>
        <v>0</v>
      </c>
      <c r="BS35" s="127">
        <f>SUM(BS4:BS34)</f>
        <v>0</v>
      </c>
      <c r="BT35" s="319">
        <f>SUM(BQ35:BS35)</f>
        <v>0</v>
      </c>
      <c r="BU35" s="128">
        <f t="shared" ref="BU35:BZ35" si="44">SUM(BU4:BU34)</f>
        <v>0</v>
      </c>
      <c r="BV35" s="128">
        <f t="shared" si="44"/>
        <v>0</v>
      </c>
      <c r="BW35" s="325">
        <f t="shared" si="44"/>
        <v>0</v>
      </c>
      <c r="BX35" s="128">
        <f t="shared" si="44"/>
        <v>0</v>
      </c>
      <c r="BY35" s="128">
        <f t="shared" si="44"/>
        <v>0</v>
      </c>
      <c r="BZ35" s="325">
        <f t="shared" si="44"/>
        <v>0</v>
      </c>
      <c r="CA35" s="126" t="s">
        <v>70</v>
      </c>
      <c r="CB35" s="127">
        <f>SUM(CB4:CB34)</f>
        <v>0</v>
      </c>
      <c r="CC35" s="127">
        <f>SUM(CC4:CC34)</f>
        <v>0</v>
      </c>
      <c r="CD35" s="127">
        <f>SUM(CD4:CD34)</f>
        <v>0</v>
      </c>
      <c r="CE35" s="319">
        <f>SUM(CB35:CD35)</f>
        <v>0</v>
      </c>
      <c r="CF35" s="128">
        <f t="shared" ref="CF35:CJ35" si="45">SUM(CF4:CF34)</f>
        <v>0</v>
      </c>
      <c r="CG35" s="128">
        <f t="shared" si="45"/>
        <v>0</v>
      </c>
      <c r="CH35" s="325">
        <f t="shared" si="45"/>
        <v>0</v>
      </c>
      <c r="CI35" s="128">
        <f t="shared" si="45"/>
        <v>0</v>
      </c>
      <c r="CJ35" s="128">
        <f t="shared" si="45"/>
        <v>0</v>
      </c>
      <c r="CK35" s="329">
        <f t="shared" si="31"/>
        <v>0</v>
      </c>
      <c r="CL35" s="126" t="s">
        <v>70</v>
      </c>
      <c r="CM35" s="127">
        <f>SUM(CM4:CM34)</f>
        <v>0</v>
      </c>
      <c r="CN35" s="127">
        <f>SUM(CN4:CN34)</f>
        <v>0</v>
      </c>
      <c r="CO35" s="127">
        <f>SUM(CO4:CO34)</f>
        <v>0</v>
      </c>
      <c r="CP35" s="319">
        <f>SUM(CM35:CO35)</f>
        <v>0</v>
      </c>
      <c r="CQ35" s="128">
        <f t="shared" ref="CQ35:CU35" si="46">SUM(CQ4:CQ34)</f>
        <v>0</v>
      </c>
      <c r="CR35" s="128">
        <f t="shared" si="46"/>
        <v>0</v>
      </c>
      <c r="CS35" s="325">
        <f t="shared" si="46"/>
        <v>0</v>
      </c>
      <c r="CT35" s="128">
        <f t="shared" si="46"/>
        <v>0</v>
      </c>
      <c r="CU35" s="128">
        <f t="shared" si="46"/>
        <v>0</v>
      </c>
      <c r="CV35" s="329">
        <f t="shared" si="32"/>
        <v>0</v>
      </c>
      <c r="CW35" s="126" t="s">
        <v>70</v>
      </c>
      <c r="CX35" s="127">
        <f>SUM(CX4:CX34)</f>
        <v>0</v>
      </c>
      <c r="CY35" s="127">
        <f>SUM(CY4:CY34)</f>
        <v>0</v>
      </c>
      <c r="CZ35" s="127">
        <f>SUM(CZ4:CZ34)</f>
        <v>0</v>
      </c>
      <c r="DA35" s="319">
        <f>SUM(CX35:CZ35)</f>
        <v>0</v>
      </c>
      <c r="DB35" s="128">
        <f t="shared" ref="DB35:DG35" si="47">SUM(DB4:DB34)</f>
        <v>0</v>
      </c>
      <c r="DC35" s="128">
        <f t="shared" si="47"/>
        <v>0</v>
      </c>
      <c r="DD35" s="325">
        <f t="shared" si="47"/>
        <v>0</v>
      </c>
      <c r="DE35" s="128">
        <f t="shared" si="47"/>
        <v>0</v>
      </c>
      <c r="DF35" s="128">
        <f t="shared" si="47"/>
        <v>0</v>
      </c>
      <c r="DG35" s="325">
        <f t="shared" si="47"/>
        <v>0</v>
      </c>
      <c r="DH35" s="126" t="s">
        <v>70</v>
      </c>
      <c r="DI35" s="127">
        <f>SUM(DI4:DI34)</f>
        <v>0</v>
      </c>
      <c r="DJ35" s="127">
        <f>SUM(DJ4:DJ34)</f>
        <v>0</v>
      </c>
      <c r="DK35" s="127">
        <f>SUM(DK4:DK34)</f>
        <v>0</v>
      </c>
      <c r="DL35" s="319">
        <f>SUM(DI35:DK35)</f>
        <v>0</v>
      </c>
      <c r="DM35" s="128">
        <f t="shared" ref="DM35:DQ35" si="48">SUM(DM4:DM34)</f>
        <v>0</v>
      </c>
      <c r="DN35" s="128">
        <f t="shared" si="48"/>
        <v>0</v>
      </c>
      <c r="DO35" s="325">
        <f t="shared" si="48"/>
        <v>0</v>
      </c>
      <c r="DP35" s="128">
        <f t="shared" si="48"/>
        <v>0</v>
      </c>
      <c r="DQ35" s="128">
        <f t="shared" si="48"/>
        <v>0</v>
      </c>
      <c r="DR35" s="329">
        <f t="shared" si="34"/>
        <v>0</v>
      </c>
      <c r="DS35" s="126" t="s">
        <v>70</v>
      </c>
      <c r="DT35" s="127">
        <f>SUM(DT4:DT34)</f>
        <v>0</v>
      </c>
      <c r="DU35" s="127">
        <f>SUM(DU4:DU34)</f>
        <v>0</v>
      </c>
      <c r="DV35" s="127">
        <f>SUM(DV4:DV34)</f>
        <v>0</v>
      </c>
      <c r="DW35" s="319">
        <f>SUM(DT35:DV35)</f>
        <v>0</v>
      </c>
      <c r="DX35" s="128">
        <f t="shared" ref="DX35:EB35" si="49">SUM(DX4:DX34)</f>
        <v>0</v>
      </c>
      <c r="DY35" s="128">
        <f t="shared" si="49"/>
        <v>0</v>
      </c>
      <c r="DZ35" s="325">
        <f t="shared" si="49"/>
        <v>0</v>
      </c>
      <c r="EA35" s="128">
        <f t="shared" si="49"/>
        <v>0</v>
      </c>
      <c r="EB35" s="128">
        <f t="shared" si="49"/>
        <v>0</v>
      </c>
      <c r="EC35" s="329">
        <f t="shared" si="35"/>
        <v>0</v>
      </c>
    </row>
    <row r="36" spans="2:133" ht="27" thickBot="1" x14ac:dyDescent="0.35">
      <c r="B36" s="129" t="s">
        <v>71</v>
      </c>
      <c r="C36" s="130" t="e">
        <f>C35/F35</f>
        <v>#DIV/0!</v>
      </c>
      <c r="D36" s="130" t="e">
        <f>D35/F35</f>
        <v>#DIV/0!</v>
      </c>
      <c r="E36" s="130" t="e">
        <f>E35/F35</f>
        <v>#DIV/0!</v>
      </c>
      <c r="F36" s="320" t="e">
        <f>SUM(C36:E36)</f>
        <v>#DIV/0!</v>
      </c>
      <c r="G36" s="131" t="e">
        <f>G35/I35</f>
        <v>#DIV/0!</v>
      </c>
      <c r="H36" s="131" t="e">
        <f>H35/I35</f>
        <v>#DIV/0!</v>
      </c>
      <c r="I36" s="326" t="e">
        <f>SUM(G36:H36)</f>
        <v>#DIV/0!</v>
      </c>
      <c r="J36" s="131" t="e">
        <f>J35/L35</f>
        <v>#DIV/0!</v>
      </c>
      <c r="K36" s="131" t="e">
        <f>K35/L35</f>
        <v>#DIV/0!</v>
      </c>
      <c r="L36" s="327" t="e">
        <f>K35/L35</f>
        <v>#DIV/0!</v>
      </c>
      <c r="M36" s="129" t="s">
        <v>71</v>
      </c>
      <c r="N36" s="130" t="e">
        <f>N35/Q35</f>
        <v>#DIV/0!</v>
      </c>
      <c r="O36" s="130" t="e">
        <f>O35/Q35</f>
        <v>#DIV/0!</v>
      </c>
      <c r="P36" s="130" t="e">
        <f>P35/Q35</f>
        <v>#DIV/0!</v>
      </c>
      <c r="Q36" s="320" t="e">
        <f>SUM(N36:P36)</f>
        <v>#DIV/0!</v>
      </c>
      <c r="R36" s="131" t="e">
        <f>R35/T35</f>
        <v>#DIV/0!</v>
      </c>
      <c r="S36" s="131" t="e">
        <f>S35/T35</f>
        <v>#DIV/0!</v>
      </c>
      <c r="T36" s="326" t="e">
        <f>SUM(R36:S36)</f>
        <v>#DIV/0!</v>
      </c>
      <c r="U36" s="131" t="e">
        <f>U35/V35</f>
        <v>#DIV/0!</v>
      </c>
      <c r="V36" s="131" t="e">
        <f>V35/W35</f>
        <v>#DIV/0!</v>
      </c>
      <c r="W36" s="327" t="e">
        <f>V35/W35</f>
        <v>#DIV/0!</v>
      </c>
      <c r="X36" s="129" t="s">
        <v>71</v>
      </c>
      <c r="Y36" s="130">
        <f>Y35/AB35</f>
        <v>1</v>
      </c>
      <c r="Z36" s="130">
        <f>Z35/AB35</f>
        <v>0</v>
      </c>
      <c r="AA36" s="130">
        <f>AA35/AB35</f>
        <v>0</v>
      </c>
      <c r="AB36" s="320">
        <f>SUM(Y36:AA36)</f>
        <v>1</v>
      </c>
      <c r="AC36" s="131">
        <f>AC35/AE35</f>
        <v>1</v>
      </c>
      <c r="AD36" s="131">
        <f>AD35/AE35</f>
        <v>0</v>
      </c>
      <c r="AE36" s="326">
        <f>SUM(AC36:AD36)</f>
        <v>1</v>
      </c>
      <c r="AF36" s="131" t="e">
        <f>AF35/AG35</f>
        <v>#DIV/0!</v>
      </c>
      <c r="AG36" s="131">
        <f>AG35/AH35</f>
        <v>0</v>
      </c>
      <c r="AH36" s="327">
        <f>AG35/AH35</f>
        <v>0</v>
      </c>
      <c r="AI36" s="129" t="s">
        <v>71</v>
      </c>
      <c r="AJ36" s="130">
        <f>AJ35/AM35</f>
        <v>1</v>
      </c>
      <c r="AK36" s="130">
        <f>AK35/AM35</f>
        <v>0</v>
      </c>
      <c r="AL36" s="130">
        <f>AL35/AM35</f>
        <v>0</v>
      </c>
      <c r="AM36" s="320">
        <f>SUM(AJ36:AL36)</f>
        <v>1</v>
      </c>
      <c r="AN36" s="131">
        <f>AN35/AP35</f>
        <v>1</v>
      </c>
      <c r="AO36" s="131">
        <f>AO35/AP35</f>
        <v>0</v>
      </c>
      <c r="AP36" s="326">
        <f>SUM(AN36:AO36)</f>
        <v>1</v>
      </c>
      <c r="AQ36" s="131" t="e">
        <f>AQ35/AR35</f>
        <v>#DIV/0!</v>
      </c>
      <c r="AR36" s="131">
        <f>AR35/AS35</f>
        <v>0</v>
      </c>
      <c r="AS36" s="327">
        <f>AR35/AS35</f>
        <v>0</v>
      </c>
      <c r="AT36" s="129" t="s">
        <v>71</v>
      </c>
      <c r="AU36" s="130" t="e">
        <f>AU35/AX35</f>
        <v>#DIV/0!</v>
      </c>
      <c r="AV36" s="130" t="e">
        <f>AV35/AX35</f>
        <v>#DIV/0!</v>
      </c>
      <c r="AW36" s="130" t="e">
        <f>AW35/AX35</f>
        <v>#DIV/0!</v>
      </c>
      <c r="AX36" s="320" t="e">
        <f>SUM(AU36:AW36)</f>
        <v>#DIV/0!</v>
      </c>
      <c r="AY36" s="131" t="e">
        <f>AY35/BA35</f>
        <v>#DIV/0!</v>
      </c>
      <c r="AZ36" s="131" t="e">
        <f>AZ35/BA35</f>
        <v>#DIV/0!</v>
      </c>
      <c r="BA36" s="326" t="e">
        <f>SUM(AY36:AZ36)</f>
        <v>#DIV/0!</v>
      </c>
      <c r="BB36" s="131" t="e">
        <f>BB35/BC35</f>
        <v>#DIV/0!</v>
      </c>
      <c r="BC36" s="131" t="e">
        <f>BC35/BD35</f>
        <v>#DIV/0!</v>
      </c>
      <c r="BD36" s="327" t="e">
        <f>BC35/BD35</f>
        <v>#DIV/0!</v>
      </c>
      <c r="BE36" s="129" t="s">
        <v>71</v>
      </c>
      <c r="BF36" s="130" t="e">
        <f>BF35/BI35</f>
        <v>#DIV/0!</v>
      </c>
      <c r="BG36" s="130" t="e">
        <f>BG35/BI35</f>
        <v>#DIV/0!</v>
      </c>
      <c r="BH36" s="130" t="e">
        <f>BH35/BI35</f>
        <v>#DIV/0!</v>
      </c>
      <c r="BI36" s="320" t="e">
        <f>SUM(BF36:BH36)</f>
        <v>#DIV/0!</v>
      </c>
      <c r="BJ36" s="131" t="e">
        <f>BJ35/BL35</f>
        <v>#DIV/0!</v>
      </c>
      <c r="BK36" s="131" t="e">
        <f>BK35/BL35</f>
        <v>#DIV/0!</v>
      </c>
      <c r="BL36" s="326" t="e">
        <f>SUM(BJ36:BK36)</f>
        <v>#DIV/0!</v>
      </c>
      <c r="BM36" s="131" t="e">
        <f>BM35/BN35</f>
        <v>#DIV/0!</v>
      </c>
      <c r="BN36" s="131" t="e">
        <f>BN35/BO35</f>
        <v>#DIV/0!</v>
      </c>
      <c r="BO36" s="327" t="e">
        <f>BN35/BO35</f>
        <v>#DIV/0!</v>
      </c>
      <c r="BP36" s="129" t="s">
        <v>71</v>
      </c>
      <c r="BQ36" s="130" t="e">
        <f>BQ35/BT35</f>
        <v>#DIV/0!</v>
      </c>
      <c r="BR36" s="130" t="e">
        <f>BR35/BT35</f>
        <v>#DIV/0!</v>
      </c>
      <c r="BS36" s="130" t="e">
        <f>BS35/BT35</f>
        <v>#DIV/0!</v>
      </c>
      <c r="BT36" s="320" t="e">
        <f>SUM(BQ36:BS36)</f>
        <v>#DIV/0!</v>
      </c>
      <c r="BU36" s="131" t="e">
        <f>BU35/BW35</f>
        <v>#DIV/0!</v>
      </c>
      <c r="BV36" s="131" t="e">
        <f>BV35/BW35</f>
        <v>#DIV/0!</v>
      </c>
      <c r="BW36" s="326" t="e">
        <f>SUM(BU36:BV36)</f>
        <v>#DIV/0!</v>
      </c>
      <c r="BX36" s="131" t="e">
        <f>BX35/BY35</f>
        <v>#DIV/0!</v>
      </c>
      <c r="BY36" s="131" t="e">
        <f>BY35/BZ35</f>
        <v>#DIV/0!</v>
      </c>
      <c r="BZ36" s="327" t="e">
        <f>BY35/BZ35</f>
        <v>#DIV/0!</v>
      </c>
      <c r="CA36" s="129" t="s">
        <v>71</v>
      </c>
      <c r="CB36" s="130" t="e">
        <f>CB35/CE35</f>
        <v>#DIV/0!</v>
      </c>
      <c r="CC36" s="130" t="e">
        <f>CC35/CE35</f>
        <v>#DIV/0!</v>
      </c>
      <c r="CD36" s="130" t="e">
        <f>CD35/CE35</f>
        <v>#DIV/0!</v>
      </c>
      <c r="CE36" s="320" t="e">
        <f>SUM(CB36:CD36)</f>
        <v>#DIV/0!</v>
      </c>
      <c r="CF36" s="131" t="e">
        <f>CF35/CH35</f>
        <v>#DIV/0!</v>
      </c>
      <c r="CG36" s="131" t="e">
        <f>CG35/CH35</f>
        <v>#DIV/0!</v>
      </c>
      <c r="CH36" s="326" t="e">
        <f>SUM(CF36:CG36)</f>
        <v>#DIV/0!</v>
      </c>
      <c r="CI36" s="131" t="e">
        <f>CI35/CJ35</f>
        <v>#DIV/0!</v>
      </c>
      <c r="CJ36" s="131" t="e">
        <f>CJ35/CK35</f>
        <v>#DIV/0!</v>
      </c>
      <c r="CK36" s="327" t="e">
        <f>CJ35/CK35</f>
        <v>#DIV/0!</v>
      </c>
      <c r="CL36" s="129" t="s">
        <v>71</v>
      </c>
      <c r="CM36" s="130" t="e">
        <f>CM35/CP35</f>
        <v>#DIV/0!</v>
      </c>
      <c r="CN36" s="130" t="e">
        <f>CN35/CP35</f>
        <v>#DIV/0!</v>
      </c>
      <c r="CO36" s="130" t="e">
        <f>CO35/CP35</f>
        <v>#DIV/0!</v>
      </c>
      <c r="CP36" s="320" t="e">
        <f>SUM(CM36:CO36)</f>
        <v>#DIV/0!</v>
      </c>
      <c r="CQ36" s="131" t="e">
        <f>CQ35/CS35</f>
        <v>#DIV/0!</v>
      </c>
      <c r="CR36" s="131" t="e">
        <f>CR35/CS35</f>
        <v>#DIV/0!</v>
      </c>
      <c r="CS36" s="326" t="e">
        <f>SUM(CQ36:CR36)</f>
        <v>#DIV/0!</v>
      </c>
      <c r="CT36" s="131" t="e">
        <f>CT35/CU35</f>
        <v>#DIV/0!</v>
      </c>
      <c r="CU36" s="131" t="e">
        <f>CU35/CV35</f>
        <v>#DIV/0!</v>
      </c>
      <c r="CV36" s="327" t="e">
        <f>CU35/CV35</f>
        <v>#DIV/0!</v>
      </c>
      <c r="CW36" s="129" t="s">
        <v>71</v>
      </c>
      <c r="CX36" s="130" t="e">
        <f>CX35/DA35</f>
        <v>#DIV/0!</v>
      </c>
      <c r="CY36" s="130" t="e">
        <f>CY35/DA35</f>
        <v>#DIV/0!</v>
      </c>
      <c r="CZ36" s="130" t="e">
        <f>CZ35/DA35</f>
        <v>#DIV/0!</v>
      </c>
      <c r="DA36" s="320" t="e">
        <f>SUM(CX36:CZ36)</f>
        <v>#DIV/0!</v>
      </c>
      <c r="DB36" s="131" t="e">
        <f>DB35/DD35</f>
        <v>#DIV/0!</v>
      </c>
      <c r="DC36" s="131" t="e">
        <f>DC35/DD35</f>
        <v>#DIV/0!</v>
      </c>
      <c r="DD36" s="326" t="e">
        <f>SUM(DB36:DC36)</f>
        <v>#DIV/0!</v>
      </c>
      <c r="DE36" s="131" t="e">
        <f>DE35/DF35</f>
        <v>#DIV/0!</v>
      </c>
      <c r="DF36" s="131" t="e">
        <f>DF35/DG35</f>
        <v>#DIV/0!</v>
      </c>
      <c r="DG36" s="327" t="e">
        <f>DF35/DG35</f>
        <v>#DIV/0!</v>
      </c>
      <c r="DH36" s="129" t="s">
        <v>71</v>
      </c>
      <c r="DI36" s="130" t="e">
        <f>DI35/DL35</f>
        <v>#DIV/0!</v>
      </c>
      <c r="DJ36" s="130" t="e">
        <f>DJ35/DL35</f>
        <v>#DIV/0!</v>
      </c>
      <c r="DK36" s="130" t="e">
        <f>DK35/DL35</f>
        <v>#DIV/0!</v>
      </c>
      <c r="DL36" s="320" t="e">
        <f>SUM(DI36:DK36)</f>
        <v>#DIV/0!</v>
      </c>
      <c r="DM36" s="131" t="e">
        <f>DM35/DO35</f>
        <v>#DIV/0!</v>
      </c>
      <c r="DN36" s="131" t="e">
        <f>DN35/DO35</f>
        <v>#DIV/0!</v>
      </c>
      <c r="DO36" s="326" t="e">
        <f>SUM(DM36:DN36)</f>
        <v>#DIV/0!</v>
      </c>
      <c r="DP36" s="131" t="e">
        <f>DP35/DQ35</f>
        <v>#DIV/0!</v>
      </c>
      <c r="DQ36" s="131" t="e">
        <f>DQ35/DR35</f>
        <v>#DIV/0!</v>
      </c>
      <c r="DR36" s="327" t="e">
        <f>DQ35/DR35</f>
        <v>#DIV/0!</v>
      </c>
      <c r="DS36" s="129" t="s">
        <v>71</v>
      </c>
      <c r="DT36" s="130" t="e">
        <f>DT35/DW35</f>
        <v>#DIV/0!</v>
      </c>
      <c r="DU36" s="130" t="e">
        <f>DU35/DW35</f>
        <v>#DIV/0!</v>
      </c>
      <c r="DV36" s="130" t="e">
        <f>DV35/DW35</f>
        <v>#DIV/0!</v>
      </c>
      <c r="DW36" s="320" t="e">
        <f>SUM(DT36:DV36)</f>
        <v>#DIV/0!</v>
      </c>
      <c r="DX36" s="131" t="e">
        <f>DX35/DZ35</f>
        <v>#DIV/0!</v>
      </c>
      <c r="DY36" s="131" t="e">
        <f>DY35/DZ35</f>
        <v>#DIV/0!</v>
      </c>
      <c r="DZ36" s="326" t="e">
        <f>SUM(DX36:DY36)</f>
        <v>#DIV/0!</v>
      </c>
      <c r="EA36" s="131" t="e">
        <f>EA35/EB35</f>
        <v>#DIV/0!</v>
      </c>
      <c r="EB36" s="131" t="e">
        <f>EB35/EC35</f>
        <v>#DIV/0!</v>
      </c>
      <c r="EC36" s="327" t="e">
        <f>EB35/EC35</f>
        <v>#DIV/0!</v>
      </c>
    </row>
    <row r="37" spans="2:133" ht="17.25" customHeight="1" thickTop="1" thickBot="1" x14ac:dyDescent="0.35">
      <c r="B37" s="132"/>
      <c r="C37" s="133"/>
      <c r="D37" s="764" t="s">
        <v>72</v>
      </c>
      <c r="E37" s="765"/>
      <c r="F37" s="321">
        <f>SUM(F4:F34)</f>
        <v>0</v>
      </c>
      <c r="G37" s="133"/>
      <c r="H37" s="133"/>
      <c r="I37" s="321">
        <f>SUM(I4:I34)</f>
        <v>0</v>
      </c>
      <c r="J37" s="133"/>
      <c r="K37" s="133"/>
      <c r="L37" s="321">
        <f>SUM(L4:L34)</f>
        <v>0</v>
      </c>
      <c r="M37" s="132"/>
      <c r="N37" s="133"/>
      <c r="O37" s="764" t="s">
        <v>72</v>
      </c>
      <c r="P37" s="765"/>
      <c r="Q37" s="321">
        <f>SUM(Q4:Q34)</f>
        <v>0</v>
      </c>
      <c r="R37" s="133"/>
      <c r="S37" s="133"/>
      <c r="T37" s="321">
        <f>SUM(T4:T34)</f>
        <v>0</v>
      </c>
      <c r="U37" s="133"/>
      <c r="V37" s="133"/>
      <c r="W37" s="321">
        <f>SUM(W4:W34)</f>
        <v>0</v>
      </c>
      <c r="X37" s="132"/>
      <c r="Y37" s="133"/>
      <c r="Z37" s="764" t="s">
        <v>72</v>
      </c>
      <c r="AA37" s="765"/>
      <c r="AB37" s="321">
        <f>SUM(AB4:AB34)</f>
        <v>17878</v>
      </c>
      <c r="AC37" s="133"/>
      <c r="AD37" s="133"/>
      <c r="AE37" s="321">
        <f>SUM(AE4:AE34)</f>
        <v>25783</v>
      </c>
      <c r="AF37" s="133"/>
      <c r="AG37" s="133"/>
      <c r="AH37" s="321">
        <f>SUM(AH4:AH34)</f>
        <v>2025</v>
      </c>
      <c r="AI37" s="132"/>
      <c r="AJ37" s="133"/>
      <c r="AK37" s="764" t="s">
        <v>72</v>
      </c>
      <c r="AL37" s="765"/>
      <c r="AM37" s="321">
        <f>SUM(AM4:AM34)</f>
        <v>17878</v>
      </c>
      <c r="AN37" s="133"/>
      <c r="AO37" s="133"/>
      <c r="AP37" s="321">
        <f>SUM(AP4:AP34)</f>
        <v>10000</v>
      </c>
      <c r="AQ37" s="133"/>
      <c r="AR37" s="133"/>
      <c r="AS37" s="321">
        <f>SUM(AS4:AS34)</f>
        <v>2025</v>
      </c>
      <c r="AT37" s="132"/>
      <c r="AU37" s="133"/>
      <c r="AV37" s="764" t="s">
        <v>72</v>
      </c>
      <c r="AW37" s="765"/>
      <c r="AX37" s="321">
        <f>SUM(AX4:AX34)</f>
        <v>0</v>
      </c>
      <c r="AY37" s="133"/>
      <c r="AZ37" s="133"/>
      <c r="BA37" s="321">
        <f>SUM(BA4:BA34)</f>
        <v>0</v>
      </c>
      <c r="BB37" s="133"/>
      <c r="BC37" s="133"/>
      <c r="BD37" s="321">
        <f>SUM(BD4:BD34)</f>
        <v>0</v>
      </c>
      <c r="BE37" s="132"/>
      <c r="BF37" s="133"/>
      <c r="BG37" s="764" t="s">
        <v>72</v>
      </c>
      <c r="BH37" s="765"/>
      <c r="BI37" s="321">
        <f>SUM(BI4:BI34)</f>
        <v>0</v>
      </c>
      <c r="BJ37" s="133"/>
      <c r="BK37" s="133"/>
      <c r="BL37" s="321">
        <f>SUM(BL4:BL34)</f>
        <v>0</v>
      </c>
      <c r="BM37" s="133"/>
      <c r="BN37" s="133"/>
      <c r="BO37" s="321">
        <f>SUM(BO4:BO34)</f>
        <v>0</v>
      </c>
      <c r="BP37" s="132"/>
      <c r="BQ37" s="133"/>
      <c r="BR37" s="764" t="s">
        <v>72</v>
      </c>
      <c r="BS37" s="765"/>
      <c r="BT37" s="321">
        <f>SUM(BT4:BT34)</f>
        <v>0</v>
      </c>
      <c r="BU37" s="133"/>
      <c r="BV37" s="133"/>
      <c r="BW37" s="321">
        <f>SUM(BW4:BW34)</f>
        <v>0</v>
      </c>
      <c r="BX37" s="133"/>
      <c r="BY37" s="133"/>
      <c r="BZ37" s="321">
        <f>SUM(BZ4:BZ34)</f>
        <v>0</v>
      </c>
      <c r="CA37" s="132"/>
      <c r="CB37" s="133"/>
      <c r="CC37" s="764" t="s">
        <v>72</v>
      </c>
      <c r="CD37" s="765"/>
      <c r="CE37" s="321">
        <f>SUM(CE4:CE34)</f>
        <v>0</v>
      </c>
      <c r="CF37" s="133"/>
      <c r="CG37" s="133"/>
      <c r="CH37" s="321">
        <f>SUM(CH4:CH34)</f>
        <v>0</v>
      </c>
      <c r="CI37" s="133"/>
      <c r="CJ37" s="133"/>
      <c r="CK37" s="321">
        <f>SUM(CK4:CK34)</f>
        <v>0</v>
      </c>
      <c r="CL37" s="132"/>
      <c r="CM37" s="133"/>
      <c r="CN37" s="764" t="s">
        <v>72</v>
      </c>
      <c r="CO37" s="765"/>
      <c r="CP37" s="321">
        <f>SUM(CP4:CP34)</f>
        <v>0</v>
      </c>
      <c r="CQ37" s="133"/>
      <c r="CR37" s="133"/>
      <c r="CS37" s="321">
        <f>SUM(CS4:CS34)</f>
        <v>0</v>
      </c>
      <c r="CT37" s="133"/>
      <c r="CU37" s="133"/>
      <c r="CV37" s="321">
        <f>SUM(CV4:CV34)</f>
        <v>0</v>
      </c>
      <c r="CW37" s="132"/>
      <c r="CX37" s="133"/>
      <c r="CY37" s="764" t="s">
        <v>72</v>
      </c>
      <c r="CZ37" s="765"/>
      <c r="DA37" s="321">
        <f>SUM(DA4:DA34)</f>
        <v>0</v>
      </c>
      <c r="DB37" s="133"/>
      <c r="DC37" s="133"/>
      <c r="DD37" s="321">
        <f>SUM(DD4:DD34)</f>
        <v>0</v>
      </c>
      <c r="DE37" s="133"/>
      <c r="DF37" s="133"/>
      <c r="DG37" s="321">
        <f>SUM(DG4:DG34)</f>
        <v>0</v>
      </c>
      <c r="DH37" s="132"/>
      <c r="DI37" s="133"/>
      <c r="DJ37" s="764" t="s">
        <v>72</v>
      </c>
      <c r="DK37" s="765"/>
      <c r="DL37" s="321">
        <f>SUM(DL4:DL34)</f>
        <v>0</v>
      </c>
      <c r="DM37" s="133"/>
      <c r="DN37" s="133"/>
      <c r="DO37" s="321">
        <f>SUM(DO4:DO34)</f>
        <v>0</v>
      </c>
      <c r="DP37" s="133"/>
      <c r="DQ37" s="133"/>
      <c r="DR37" s="321">
        <f>SUM(DR4:DR34)</f>
        <v>0</v>
      </c>
      <c r="DS37" s="132"/>
      <c r="DT37" s="133"/>
      <c r="DU37" s="764" t="s">
        <v>72</v>
      </c>
      <c r="DV37" s="765"/>
      <c r="DW37" s="321">
        <f>SUM(DW4:DW34)</f>
        <v>0</v>
      </c>
      <c r="DX37" s="133"/>
      <c r="DY37" s="133"/>
      <c r="DZ37" s="321">
        <f>SUM(DZ4:DZ34)</f>
        <v>0</v>
      </c>
      <c r="EA37" s="133"/>
      <c r="EB37" s="133"/>
      <c r="EC37" s="321">
        <f>SUM(EC4:EC34)</f>
        <v>0</v>
      </c>
    </row>
    <row r="38" spans="2:133" ht="17.25" customHeight="1" thickTop="1" x14ac:dyDescent="0.3">
      <c r="B38" s="37"/>
      <c r="C38" s="37"/>
      <c r="D38" s="37"/>
      <c r="E38" s="37"/>
      <c r="F38" s="37"/>
      <c r="G38" s="37"/>
      <c r="H38" s="37"/>
      <c r="I38" s="37"/>
      <c r="J38" s="37"/>
      <c r="K38" s="37"/>
      <c r="L38" s="37"/>
    </row>
    <row r="39" spans="2:133" ht="17.25" customHeight="1" x14ac:dyDescent="0.3">
      <c r="B39" s="37"/>
      <c r="C39" s="37"/>
      <c r="D39" s="37"/>
      <c r="E39" s="37"/>
      <c r="F39" s="37"/>
      <c r="G39" s="37"/>
      <c r="H39" s="37"/>
      <c r="I39" s="37"/>
      <c r="J39" s="37"/>
      <c r="K39" s="37"/>
      <c r="L39" s="37"/>
    </row>
    <row r="40" spans="2:133" ht="17.25" customHeight="1" x14ac:dyDescent="0.3">
      <c r="B40" s="37"/>
      <c r="C40" s="37"/>
      <c r="D40" s="37"/>
      <c r="E40" s="37"/>
      <c r="F40" s="37"/>
      <c r="G40" s="37"/>
      <c r="H40" s="37"/>
      <c r="I40" s="37"/>
      <c r="J40" s="37"/>
      <c r="K40" s="37"/>
      <c r="L40" s="37"/>
    </row>
  </sheetData>
  <mergeCells count="44">
    <mergeCell ref="D2:E2"/>
    <mergeCell ref="O2:P2"/>
    <mergeCell ref="O37:P37"/>
    <mergeCell ref="R2:S2"/>
    <mergeCell ref="K2:L2"/>
    <mergeCell ref="D37:E37"/>
    <mergeCell ref="Z37:AA37"/>
    <mergeCell ref="Z2:AA2"/>
    <mergeCell ref="AC2:AD2"/>
    <mergeCell ref="AF2:AH2"/>
    <mergeCell ref="U2:W2"/>
    <mergeCell ref="BJ2:BK2"/>
    <mergeCell ref="BM2:BO2"/>
    <mergeCell ref="AK37:AL37"/>
    <mergeCell ref="AV37:AW37"/>
    <mergeCell ref="BG37:BH37"/>
    <mergeCell ref="AK2:AL2"/>
    <mergeCell ref="AR2:AS2"/>
    <mergeCell ref="AV2:AW2"/>
    <mergeCell ref="AY2:AZ2"/>
    <mergeCell ref="BB2:BD2"/>
    <mergeCell ref="BG2:BH2"/>
    <mergeCell ref="DF2:DG2"/>
    <mergeCell ref="BR2:BS2"/>
    <mergeCell ref="BY2:BZ2"/>
    <mergeCell ref="CC2:CD2"/>
    <mergeCell ref="CF2:CG2"/>
    <mergeCell ref="CI2:CK2"/>
    <mergeCell ref="EA2:EC2"/>
    <mergeCell ref="BR37:BS37"/>
    <mergeCell ref="CC37:CD37"/>
    <mergeCell ref="CN37:CO37"/>
    <mergeCell ref="CY37:CZ37"/>
    <mergeCell ref="DJ37:DK37"/>
    <mergeCell ref="DU37:DV37"/>
    <mergeCell ref="DJ2:DK2"/>
    <mergeCell ref="DM2:DN2"/>
    <mergeCell ref="DP2:DR2"/>
    <mergeCell ref="DU2:DV2"/>
    <mergeCell ref="DX2:DY2"/>
    <mergeCell ref="CN2:CO2"/>
    <mergeCell ref="CQ2:CR2"/>
    <mergeCell ref="CT2:CV2"/>
    <mergeCell ref="CY2:CZ2"/>
  </mergeCells>
  <hyperlinks>
    <hyperlink ref="A1" location="Menu!A1" display="Menu" xr:uid="{00000000-0004-0000-1F00-000000000000}"/>
  </hyperlinks>
  <pageMargins left="0.511811024" right="0.511811024" top="0.78740157499999996" bottom="0.78740157499999996" header="0.31496062000000002" footer="0.31496062000000002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P84"/>
  <sheetViews>
    <sheetView zoomScale="106" zoomScaleNormal="106" workbookViewId="0">
      <selection activeCell="E1" sqref="E1:E2"/>
    </sheetView>
  </sheetViews>
  <sheetFormatPr defaultColWidth="9.109375" defaultRowHeight="14.4" x14ac:dyDescent="0.3"/>
  <cols>
    <col min="1" max="1" width="11.109375" style="103" bestFit="1" customWidth="1"/>
    <col min="2" max="2" width="27.5546875" style="103" bestFit="1" customWidth="1"/>
    <col min="3" max="3" width="12.88671875" style="103" bestFit="1" customWidth="1"/>
    <col min="4" max="4" width="18.6640625" style="103" bestFit="1" customWidth="1"/>
    <col min="5" max="5" width="11.88671875" style="103" bestFit="1" customWidth="1"/>
    <col min="6" max="6" width="16" style="103" bestFit="1" customWidth="1"/>
    <col min="7" max="7" width="12.6640625" style="103" bestFit="1" customWidth="1"/>
    <col min="8" max="8" width="9.109375" style="103"/>
    <col min="9" max="9" width="11.109375" style="103" bestFit="1" customWidth="1"/>
    <col min="10" max="10" width="24.6640625" style="103" bestFit="1" customWidth="1"/>
    <col min="11" max="11" width="12.88671875" style="103" bestFit="1" customWidth="1"/>
    <col min="12" max="12" width="18.6640625" style="103" bestFit="1" customWidth="1"/>
    <col min="13" max="13" width="11.88671875" style="103" bestFit="1" customWidth="1"/>
    <col min="14" max="14" width="16" style="103" bestFit="1" customWidth="1"/>
    <col min="15" max="15" width="10.6640625" style="103" bestFit="1" customWidth="1"/>
    <col min="16" max="16384" width="9.109375" style="103"/>
  </cols>
  <sheetData>
    <row r="1" spans="1:16" ht="21" x14ac:dyDescent="0.4">
      <c r="A1" s="773" t="s">
        <v>88</v>
      </c>
      <c r="B1" s="773"/>
      <c r="C1" s="773"/>
      <c r="D1" s="773"/>
      <c r="E1" s="775" t="s">
        <v>110</v>
      </c>
      <c r="F1" s="425"/>
      <c r="G1" s="425"/>
      <c r="H1" s="425"/>
      <c r="I1" s="425"/>
      <c r="J1" s="425"/>
      <c r="K1" s="425"/>
      <c r="L1" s="425"/>
      <c r="M1" s="425"/>
      <c r="N1" s="425"/>
      <c r="O1" s="425"/>
      <c r="P1" s="426"/>
    </row>
    <row r="2" spans="1:16" ht="21" x14ac:dyDescent="0.4">
      <c r="A2" s="774"/>
      <c r="B2" s="774"/>
      <c r="C2" s="774"/>
      <c r="D2" s="774"/>
      <c r="E2" s="776"/>
      <c r="F2" s="427"/>
      <c r="G2" s="427"/>
      <c r="H2" s="427"/>
      <c r="I2" s="427"/>
      <c r="J2" s="427"/>
      <c r="K2" s="427"/>
      <c r="L2" s="427"/>
      <c r="M2" s="427"/>
      <c r="N2" s="427"/>
      <c r="O2" s="427"/>
      <c r="P2" s="428"/>
    </row>
    <row r="3" spans="1:16" ht="15" thickBot="1" x14ac:dyDescent="0.35">
      <c r="A3" s="429"/>
      <c r="B3" s="429"/>
      <c r="C3" s="429"/>
      <c r="D3" s="429"/>
      <c r="E3" s="429"/>
      <c r="F3" s="429"/>
      <c r="G3" s="429"/>
      <c r="H3" s="429"/>
      <c r="I3" s="429"/>
      <c r="J3" s="429"/>
      <c r="K3" s="429"/>
      <c r="L3" s="429"/>
      <c r="M3" s="429"/>
      <c r="N3" s="429"/>
      <c r="O3" s="429"/>
      <c r="P3" s="430"/>
    </row>
    <row r="4" spans="1:16" ht="16.2" thickBot="1" x14ac:dyDescent="0.35">
      <c r="A4" s="777"/>
      <c r="B4" s="778"/>
      <c r="C4" s="778"/>
      <c r="D4" s="778"/>
      <c r="E4" s="778"/>
      <c r="F4" s="778"/>
      <c r="G4" s="779"/>
      <c r="H4" s="431"/>
      <c r="I4" s="788" t="s">
        <v>12</v>
      </c>
      <c r="J4" s="789"/>
      <c r="K4" s="789"/>
      <c r="L4" s="789"/>
      <c r="M4" s="789"/>
      <c r="N4" s="789"/>
      <c r="O4" s="790"/>
      <c r="P4" s="432"/>
    </row>
    <row r="5" spans="1:16" x14ac:dyDescent="0.3">
      <c r="G5" s="40">
        <f ca="1">TODAY()</f>
        <v>46101</v>
      </c>
      <c r="H5" s="401"/>
      <c r="I5" s="433"/>
      <c r="P5" s="434"/>
    </row>
    <row r="6" spans="1:16" x14ac:dyDescent="0.3">
      <c r="A6" s="409" t="s">
        <v>68</v>
      </c>
      <c r="B6" s="404" t="s">
        <v>89</v>
      </c>
      <c r="C6" s="404" t="s">
        <v>90</v>
      </c>
      <c r="D6" s="404" t="s">
        <v>91</v>
      </c>
      <c r="E6" s="404" t="s">
        <v>92</v>
      </c>
      <c r="F6" s="404" t="s">
        <v>93</v>
      </c>
      <c r="G6" s="404" t="s">
        <v>94</v>
      </c>
      <c r="H6" s="435"/>
      <c r="I6" s="409" t="s">
        <v>68</v>
      </c>
      <c r="J6" s="404" t="s">
        <v>89</v>
      </c>
      <c r="K6" s="404" t="s">
        <v>90</v>
      </c>
      <c r="L6" s="404" t="s">
        <v>91</v>
      </c>
      <c r="M6" s="404" t="s">
        <v>92</v>
      </c>
      <c r="N6" s="404" t="s">
        <v>93</v>
      </c>
      <c r="O6" s="67" t="s">
        <v>94</v>
      </c>
      <c r="P6" s="436"/>
    </row>
    <row r="7" spans="1:16" x14ac:dyDescent="0.3">
      <c r="A7" s="437">
        <v>45453</v>
      </c>
      <c r="B7" s="438" t="s">
        <v>0</v>
      </c>
      <c r="C7" s="404" t="s">
        <v>95</v>
      </c>
      <c r="D7" s="404">
        <v>12</v>
      </c>
      <c r="E7" s="438">
        <f>EDATE(A7,D7)</f>
        <v>45818</v>
      </c>
      <c r="F7" s="439">
        <v>0</v>
      </c>
      <c r="G7" s="440">
        <f ca="1">IF(H7&gt;=1,(F7/D7),0)</f>
        <v>0</v>
      </c>
      <c r="H7" s="441">
        <f t="shared" ref="H7:H17" ca="1" si="0">E7-$G$5</f>
        <v>-283</v>
      </c>
      <c r="I7" s="442">
        <v>45489</v>
      </c>
      <c r="J7" s="84" t="s">
        <v>131</v>
      </c>
      <c r="K7" s="404" t="s">
        <v>95</v>
      </c>
      <c r="L7" s="404">
        <v>1</v>
      </c>
      <c r="M7" s="438">
        <f>EDATE(I7,L7)</f>
        <v>45520</v>
      </c>
      <c r="N7" s="443">
        <v>0</v>
      </c>
      <c r="O7" s="440">
        <f t="shared" ref="O7:O37" ca="1" si="1">IF(P7&gt;=1,(N7/L7),0)</f>
        <v>0</v>
      </c>
      <c r="P7" s="444">
        <f ca="1">M7-$G$5</f>
        <v>-581</v>
      </c>
    </row>
    <row r="8" spans="1:16" x14ac:dyDescent="0.3">
      <c r="A8" s="437">
        <v>45454</v>
      </c>
      <c r="B8" s="445" t="s">
        <v>163</v>
      </c>
      <c r="C8" s="446"/>
      <c r="D8" s="446">
        <v>1</v>
      </c>
      <c r="E8" s="438">
        <f t="shared" ref="E8:E9" si="2">EDATE(A8,D8)</f>
        <v>45484</v>
      </c>
      <c r="F8" s="447">
        <v>0</v>
      </c>
      <c r="G8" s="440">
        <f ca="1">IF(H8&gt;=1,(F8/D8),0)</f>
        <v>0</v>
      </c>
      <c r="H8" s="441">
        <f t="shared" ca="1" si="0"/>
        <v>-617</v>
      </c>
      <c r="I8" s="442">
        <v>45490</v>
      </c>
      <c r="J8" s="407" t="s">
        <v>171</v>
      </c>
      <c r="K8" s="404"/>
      <c r="L8" s="404">
        <v>1</v>
      </c>
      <c r="M8" s="438">
        <f t="shared" ref="M8:M9" si="3">EDATE(I8,L8)</f>
        <v>45521</v>
      </c>
      <c r="N8" s="443">
        <v>0</v>
      </c>
      <c r="O8" s="440">
        <f t="shared" ca="1" si="1"/>
        <v>0</v>
      </c>
      <c r="P8" s="444">
        <f t="shared" ref="P8:P9" ca="1" si="4">M8-$G$5</f>
        <v>-580</v>
      </c>
    </row>
    <row r="9" spans="1:16" x14ac:dyDescent="0.3">
      <c r="A9" s="448">
        <v>45454</v>
      </c>
      <c r="B9" s="445" t="s">
        <v>163</v>
      </c>
      <c r="C9" s="446" t="s">
        <v>96</v>
      </c>
      <c r="D9" s="446">
        <v>1</v>
      </c>
      <c r="E9" s="438">
        <f t="shared" si="2"/>
        <v>45484</v>
      </c>
      <c r="F9" s="447">
        <v>0</v>
      </c>
      <c r="G9" s="449">
        <f t="shared" ref="G9:G17" ca="1" si="5">IF(H9&gt;=1,(F9/D9),0)</f>
        <v>0</v>
      </c>
      <c r="H9" s="441">
        <f t="shared" ca="1" si="0"/>
        <v>-617</v>
      </c>
      <c r="I9" s="442">
        <v>45491</v>
      </c>
      <c r="J9" s="407" t="s">
        <v>171</v>
      </c>
      <c r="K9" s="404"/>
      <c r="L9" s="404">
        <v>1</v>
      </c>
      <c r="M9" s="438">
        <f t="shared" si="3"/>
        <v>45522</v>
      </c>
      <c r="N9" s="443">
        <v>0</v>
      </c>
      <c r="O9" s="440">
        <f t="shared" ca="1" si="1"/>
        <v>0</v>
      </c>
      <c r="P9" s="444">
        <f t="shared" ca="1" si="4"/>
        <v>-579</v>
      </c>
    </row>
    <row r="10" spans="1:16" ht="15" thickBot="1" x14ac:dyDescent="0.35">
      <c r="A10" s="781"/>
      <c r="B10" s="782"/>
      <c r="C10" s="782"/>
      <c r="D10" s="782"/>
      <c r="E10" s="783"/>
      <c r="F10" s="450" t="s">
        <v>8</v>
      </c>
      <c r="G10" s="451">
        <f ca="1">SUM(G7:G9)</f>
        <v>0</v>
      </c>
      <c r="H10" s="452"/>
      <c r="I10" s="781"/>
      <c r="J10" s="782"/>
      <c r="K10" s="782"/>
      <c r="L10" s="782"/>
      <c r="M10" s="786"/>
      <c r="N10" s="450" t="s">
        <v>8</v>
      </c>
      <c r="O10" s="453">
        <f ca="1">SUM(O7:O9)</f>
        <v>0</v>
      </c>
      <c r="P10" s="454"/>
    </row>
    <row r="11" spans="1:16" x14ac:dyDescent="0.3">
      <c r="A11" s="455">
        <v>45455</v>
      </c>
      <c r="B11" s="456" t="s">
        <v>111</v>
      </c>
      <c r="C11" s="457"/>
      <c r="D11" s="457">
        <v>12</v>
      </c>
      <c r="E11" s="456">
        <f>EDATE(A11,D11)</f>
        <v>45820</v>
      </c>
      <c r="F11" s="458">
        <v>0</v>
      </c>
      <c r="G11" s="459">
        <f t="shared" ca="1" si="5"/>
        <v>0</v>
      </c>
      <c r="H11" s="441">
        <f t="shared" ca="1" si="0"/>
        <v>-281</v>
      </c>
      <c r="I11" s="460">
        <v>45490</v>
      </c>
      <c r="J11" s="461" t="s">
        <v>113</v>
      </c>
      <c r="K11" s="462" t="s">
        <v>95</v>
      </c>
      <c r="L11" s="462">
        <v>1</v>
      </c>
      <c r="M11" s="463">
        <f>EDATE(I11,L11)</f>
        <v>45521</v>
      </c>
      <c r="N11" s="464">
        <v>0</v>
      </c>
      <c r="O11" s="459">
        <f t="shared" ca="1" si="1"/>
        <v>0</v>
      </c>
      <c r="P11" s="444">
        <f ca="1">M11-$G$5</f>
        <v>-580</v>
      </c>
    </row>
    <row r="12" spans="1:16" x14ac:dyDescent="0.3">
      <c r="A12" s="455">
        <v>45456</v>
      </c>
      <c r="B12" s="465" t="s">
        <v>164</v>
      </c>
      <c r="C12" s="462"/>
      <c r="D12" s="462">
        <v>1</v>
      </c>
      <c r="E12" s="456">
        <f t="shared" ref="E12:E13" si="6">EDATE(A12,D12)</f>
        <v>45486</v>
      </c>
      <c r="F12" s="466">
        <v>0</v>
      </c>
      <c r="G12" s="459">
        <f t="shared" ca="1" si="5"/>
        <v>0</v>
      </c>
      <c r="H12" s="441">
        <f t="shared" ca="1" si="0"/>
        <v>-615</v>
      </c>
      <c r="I12" s="460">
        <v>45491</v>
      </c>
      <c r="J12" s="409" t="s">
        <v>172</v>
      </c>
      <c r="K12" s="404"/>
      <c r="L12" s="404">
        <v>1</v>
      </c>
      <c r="M12" s="437">
        <f t="shared" ref="M12:M13" si="7">EDATE(I12,L12)</f>
        <v>45522</v>
      </c>
      <c r="N12" s="412">
        <v>0</v>
      </c>
      <c r="O12" s="459">
        <f t="shared" ca="1" si="1"/>
        <v>0</v>
      </c>
      <c r="P12" s="444">
        <f t="shared" ref="P12:P13" ca="1" si="8">M12-$G$5</f>
        <v>-579</v>
      </c>
    </row>
    <row r="13" spans="1:16" x14ac:dyDescent="0.3">
      <c r="A13" s="437">
        <v>45456</v>
      </c>
      <c r="B13" s="445" t="s">
        <v>164</v>
      </c>
      <c r="C13" s="446"/>
      <c r="D13" s="446">
        <v>1</v>
      </c>
      <c r="E13" s="456">
        <f t="shared" si="6"/>
        <v>45486</v>
      </c>
      <c r="F13" s="447">
        <v>0</v>
      </c>
      <c r="G13" s="449">
        <f t="shared" ca="1" si="5"/>
        <v>0</v>
      </c>
      <c r="H13" s="441">
        <f t="shared" ca="1" si="0"/>
        <v>-615</v>
      </c>
      <c r="I13" s="460">
        <v>45492</v>
      </c>
      <c r="J13" s="409" t="s">
        <v>172</v>
      </c>
      <c r="K13" s="404"/>
      <c r="L13" s="404">
        <v>1</v>
      </c>
      <c r="M13" s="437">
        <f t="shared" si="7"/>
        <v>45523</v>
      </c>
      <c r="N13" s="412">
        <v>0</v>
      </c>
      <c r="O13" s="459">
        <f t="shared" ca="1" si="1"/>
        <v>0</v>
      </c>
      <c r="P13" s="444">
        <f t="shared" ca="1" si="8"/>
        <v>-578</v>
      </c>
    </row>
    <row r="14" spans="1:16" ht="15" thickBot="1" x14ac:dyDescent="0.35">
      <c r="A14" s="467"/>
      <c r="B14" s="468"/>
      <c r="C14" s="468"/>
      <c r="D14" s="468"/>
      <c r="E14" s="468"/>
      <c r="F14" s="469" t="s">
        <v>8</v>
      </c>
      <c r="G14" s="451">
        <f ca="1">SUM(G11:G13)</f>
        <v>0</v>
      </c>
      <c r="H14" s="452"/>
      <c r="I14" s="787"/>
      <c r="J14" s="782"/>
      <c r="K14" s="782"/>
      <c r="L14" s="782"/>
      <c r="M14" s="783"/>
      <c r="N14" s="470" t="s">
        <v>8</v>
      </c>
      <c r="O14" s="471">
        <f ca="1">SUM(O11:O13)</f>
        <v>0</v>
      </c>
      <c r="P14" s="444"/>
    </row>
    <row r="15" spans="1:16" ht="15" thickBot="1" x14ac:dyDescent="0.35">
      <c r="A15" s="455">
        <v>45457</v>
      </c>
      <c r="B15" s="456" t="s">
        <v>50</v>
      </c>
      <c r="C15" s="457"/>
      <c r="D15" s="457">
        <v>10</v>
      </c>
      <c r="E15" s="456">
        <f>EDATE(A15,D15)</f>
        <v>45761</v>
      </c>
      <c r="F15" s="458">
        <v>0</v>
      </c>
      <c r="G15" s="472">
        <f t="shared" ca="1" si="5"/>
        <v>0</v>
      </c>
      <c r="H15" s="441">
        <f t="shared" ca="1" si="0"/>
        <v>-340</v>
      </c>
      <c r="I15" s="473">
        <v>45491</v>
      </c>
      <c r="J15" s="474" t="s">
        <v>114</v>
      </c>
      <c r="K15" s="475" t="s">
        <v>213</v>
      </c>
      <c r="L15" s="475">
        <v>1</v>
      </c>
      <c r="M15" s="476">
        <f>EDATE(I15,L15)</f>
        <v>45522</v>
      </c>
      <c r="N15" s="477">
        <v>0</v>
      </c>
      <c r="O15" s="478">
        <f t="shared" ca="1" si="1"/>
        <v>0</v>
      </c>
      <c r="P15" s="479">
        <f ca="1">M15-$G$5</f>
        <v>-579</v>
      </c>
    </row>
    <row r="16" spans="1:16" ht="15" thickBot="1" x14ac:dyDescent="0.35">
      <c r="A16" s="455">
        <v>45458</v>
      </c>
      <c r="B16" s="455" t="s">
        <v>165</v>
      </c>
      <c r="C16" s="457"/>
      <c r="D16" s="457">
        <v>10</v>
      </c>
      <c r="E16" s="456">
        <f t="shared" ref="E16:E17" si="9">EDATE(A16,D16)</f>
        <v>45762</v>
      </c>
      <c r="F16" s="458">
        <v>0</v>
      </c>
      <c r="G16" s="459">
        <f t="shared" ca="1" si="5"/>
        <v>0</v>
      </c>
      <c r="H16" s="441">
        <f t="shared" ca="1" si="0"/>
        <v>-339</v>
      </c>
      <c r="I16" s="442">
        <v>45492</v>
      </c>
      <c r="J16" s="409" t="s">
        <v>173</v>
      </c>
      <c r="K16" s="409"/>
      <c r="L16" s="409">
        <v>1</v>
      </c>
      <c r="M16" s="476">
        <f t="shared" ref="M16:M17" si="10">EDATE(I16,L16)</f>
        <v>45523</v>
      </c>
      <c r="N16" s="412">
        <v>0</v>
      </c>
      <c r="O16" s="480">
        <f t="shared" ca="1" si="1"/>
        <v>0</v>
      </c>
      <c r="P16" s="444">
        <f t="shared" ref="P16:P17" ca="1" si="11">M16-$G$5</f>
        <v>-578</v>
      </c>
    </row>
    <row r="17" spans="1:16" x14ac:dyDescent="0.3">
      <c r="A17" s="437">
        <v>45459</v>
      </c>
      <c r="B17" s="456" t="s">
        <v>165</v>
      </c>
      <c r="C17" s="404"/>
      <c r="D17" s="404">
        <v>10</v>
      </c>
      <c r="E17" s="456">
        <f t="shared" si="9"/>
        <v>45763</v>
      </c>
      <c r="F17" s="439">
        <v>0</v>
      </c>
      <c r="G17" s="440">
        <f t="shared" ca="1" si="5"/>
        <v>0</v>
      </c>
      <c r="H17" s="441">
        <f t="shared" ca="1" si="0"/>
        <v>-338</v>
      </c>
      <c r="I17" s="442">
        <v>45493</v>
      </c>
      <c r="J17" s="409" t="s">
        <v>173</v>
      </c>
      <c r="K17" s="409"/>
      <c r="L17" s="409">
        <v>1</v>
      </c>
      <c r="M17" s="476">
        <f t="shared" si="10"/>
        <v>45524</v>
      </c>
      <c r="N17" s="412">
        <v>0</v>
      </c>
      <c r="O17" s="472">
        <f t="shared" ca="1" si="1"/>
        <v>0</v>
      </c>
      <c r="P17" s="444">
        <f t="shared" ca="1" si="11"/>
        <v>-577</v>
      </c>
    </row>
    <row r="18" spans="1:16" ht="15" thickBot="1" x14ac:dyDescent="0.35">
      <c r="A18" s="481"/>
      <c r="B18" s="481"/>
      <c r="C18" s="481"/>
      <c r="D18" s="481"/>
      <c r="E18" s="482"/>
      <c r="F18" s="483" t="s">
        <v>8</v>
      </c>
      <c r="G18" s="451">
        <f ca="1">SUM(G15:G17)</f>
        <v>0</v>
      </c>
      <c r="H18" s="484"/>
      <c r="I18" s="485"/>
      <c r="J18" s="486"/>
      <c r="K18" s="487"/>
      <c r="L18" s="487"/>
      <c r="M18" s="488"/>
      <c r="N18" s="489" t="s">
        <v>8</v>
      </c>
      <c r="O18" s="490">
        <f ca="1">SUM(O15:O17)</f>
        <v>0</v>
      </c>
      <c r="P18" s="454"/>
    </row>
    <row r="19" spans="1:16" x14ac:dyDescent="0.3">
      <c r="H19" s="491"/>
      <c r="I19" s="473">
        <v>45453</v>
      </c>
      <c r="J19" s="492" t="s">
        <v>129</v>
      </c>
      <c r="K19" s="457" t="s">
        <v>95</v>
      </c>
      <c r="L19" s="457">
        <v>12</v>
      </c>
      <c r="M19" s="456">
        <f>EDATE(I19,L19)</f>
        <v>45818</v>
      </c>
      <c r="N19" s="493">
        <v>0</v>
      </c>
      <c r="O19" s="472">
        <f t="shared" ca="1" si="1"/>
        <v>0</v>
      </c>
      <c r="P19" s="444">
        <f t="shared" ref="P19:P37" ca="1" si="12">M19-$G$5</f>
        <v>-283</v>
      </c>
    </row>
    <row r="20" spans="1:16" x14ac:dyDescent="0.3">
      <c r="A20" s="409" t="s">
        <v>68</v>
      </c>
      <c r="B20" s="404" t="s">
        <v>89</v>
      </c>
      <c r="C20" s="404" t="s">
        <v>90</v>
      </c>
      <c r="D20" s="404" t="s">
        <v>91</v>
      </c>
      <c r="E20" s="404" t="s">
        <v>92</v>
      </c>
      <c r="F20" s="404" t="s">
        <v>93</v>
      </c>
      <c r="G20" s="404" t="s">
        <v>94</v>
      </c>
      <c r="H20" s="484"/>
      <c r="I20" s="442">
        <v>45492</v>
      </c>
      <c r="J20" s="492" t="s">
        <v>214</v>
      </c>
      <c r="K20" s="457"/>
      <c r="L20" s="457">
        <v>1</v>
      </c>
      <c r="M20" s="456">
        <f t="shared" ref="M20:M21" si="13">EDATE(I20,L20)</f>
        <v>45523</v>
      </c>
      <c r="N20" s="493">
        <v>0</v>
      </c>
      <c r="O20" s="472">
        <f t="shared" ca="1" si="1"/>
        <v>0</v>
      </c>
      <c r="P20" s="444">
        <f t="shared" ca="1" si="12"/>
        <v>-578</v>
      </c>
    </row>
    <row r="21" spans="1:16" x14ac:dyDescent="0.3">
      <c r="A21" s="442">
        <v>45489</v>
      </c>
      <c r="B21" s="437" t="s">
        <v>10</v>
      </c>
      <c r="C21" s="404" t="s">
        <v>95</v>
      </c>
      <c r="D21" s="404">
        <v>12</v>
      </c>
      <c r="E21" s="438">
        <f>EDATE(A21,D21)</f>
        <v>45854</v>
      </c>
      <c r="F21" s="443">
        <v>0</v>
      </c>
      <c r="G21" s="440">
        <f t="shared" ref="G21:G38" ca="1" si="14">IF(H21&gt;=1,(F21/D21),0)</f>
        <v>0</v>
      </c>
      <c r="H21" s="441">
        <f ca="1">E21-$G$5</f>
        <v>-247</v>
      </c>
      <c r="I21" s="442">
        <v>45493</v>
      </c>
      <c r="J21" s="492" t="s">
        <v>214</v>
      </c>
      <c r="K21" s="457"/>
      <c r="L21" s="457">
        <v>1</v>
      </c>
      <c r="M21" s="456">
        <f t="shared" si="13"/>
        <v>45524</v>
      </c>
      <c r="N21" s="493">
        <v>0</v>
      </c>
      <c r="O21" s="472">
        <f t="shared" ca="1" si="1"/>
        <v>0</v>
      </c>
      <c r="P21" s="444">
        <f t="shared" ca="1" si="12"/>
        <v>-577</v>
      </c>
    </row>
    <row r="22" spans="1:16" ht="15" thickBot="1" x14ac:dyDescent="0.35">
      <c r="A22" s="442">
        <v>45490</v>
      </c>
      <c r="B22" s="456" t="s">
        <v>166</v>
      </c>
      <c r="C22" s="404" t="s">
        <v>95</v>
      </c>
      <c r="D22" s="404">
        <v>12</v>
      </c>
      <c r="E22" s="438">
        <f t="shared" ref="E22:E23" si="15">EDATE(A22,D22)</f>
        <v>45855</v>
      </c>
      <c r="F22" s="443">
        <v>0</v>
      </c>
      <c r="G22" s="440">
        <f t="shared" ca="1" si="14"/>
        <v>0</v>
      </c>
      <c r="H22" s="441">
        <f t="shared" ref="H22:H39" ca="1" si="16">E22-$G$5</f>
        <v>-246</v>
      </c>
      <c r="I22" s="781"/>
      <c r="J22" s="782"/>
      <c r="K22" s="782"/>
      <c r="L22" s="782"/>
      <c r="M22" s="783"/>
      <c r="N22" s="494" t="s">
        <v>8</v>
      </c>
      <c r="O22" s="471">
        <f ca="1">SUM(O19:O21)</f>
        <v>0</v>
      </c>
      <c r="P22" s="454"/>
    </row>
    <row r="23" spans="1:16" x14ac:dyDescent="0.3">
      <c r="A23" s="442">
        <v>45491</v>
      </c>
      <c r="B23" s="456" t="s">
        <v>166</v>
      </c>
      <c r="C23" s="404" t="s">
        <v>95</v>
      </c>
      <c r="D23" s="404">
        <v>12</v>
      </c>
      <c r="E23" s="438">
        <f t="shared" si="15"/>
        <v>45856</v>
      </c>
      <c r="F23" s="443">
        <v>0</v>
      </c>
      <c r="G23" s="440">
        <f t="shared" ca="1" si="14"/>
        <v>0</v>
      </c>
      <c r="H23" s="441">
        <f t="shared" ca="1" si="16"/>
        <v>-245</v>
      </c>
      <c r="I23" s="460">
        <v>45492</v>
      </c>
      <c r="J23" s="492" t="s">
        <v>120</v>
      </c>
      <c r="K23" s="457" t="s">
        <v>216</v>
      </c>
      <c r="L23" s="457">
        <v>12</v>
      </c>
      <c r="M23" s="456">
        <f>EDATE(I23,L23)</f>
        <v>45857</v>
      </c>
      <c r="N23" s="493">
        <v>0</v>
      </c>
      <c r="O23" s="459">
        <f ca="1">IF(P23&gt;=1,(N23/L23),0)</f>
        <v>0</v>
      </c>
      <c r="P23" s="444">
        <f t="shared" ca="1" si="12"/>
        <v>-244</v>
      </c>
    </row>
    <row r="24" spans="1:16" ht="15" thickBot="1" x14ac:dyDescent="0.35">
      <c r="A24" s="781"/>
      <c r="B24" s="782"/>
      <c r="C24" s="782"/>
      <c r="D24" s="782"/>
      <c r="E24" s="783"/>
      <c r="F24" s="450" t="s">
        <v>8</v>
      </c>
      <c r="G24" s="451">
        <f ca="1">SUM(G21:G23)</f>
        <v>0</v>
      </c>
      <c r="H24" s="452"/>
      <c r="I24" s="460">
        <v>45493</v>
      </c>
      <c r="J24" s="404" t="s">
        <v>215</v>
      </c>
      <c r="K24" s="404"/>
      <c r="L24" s="404">
        <v>1</v>
      </c>
      <c r="M24" s="456">
        <f t="shared" ref="M24:M25" si="17">EDATE(I24,L24)</f>
        <v>45524</v>
      </c>
      <c r="N24" s="412">
        <v>0</v>
      </c>
      <c r="O24" s="459">
        <f t="shared" ref="O24:O25" ca="1" si="18">IF(P24&gt;=1,(N24/L24),0)</f>
        <v>0</v>
      </c>
      <c r="P24" s="444">
        <f t="shared" ca="1" si="12"/>
        <v>-577</v>
      </c>
    </row>
    <row r="25" spans="1:16" x14ac:dyDescent="0.3">
      <c r="A25" s="442">
        <v>45492</v>
      </c>
      <c r="B25" s="456" t="s">
        <v>14</v>
      </c>
      <c r="C25" s="404" t="s">
        <v>95</v>
      </c>
      <c r="D25" s="404">
        <v>1</v>
      </c>
      <c r="E25" s="438">
        <f>EDATE(A25,D25)</f>
        <v>45523</v>
      </c>
      <c r="F25" s="443">
        <v>0</v>
      </c>
      <c r="G25" s="440">
        <f t="shared" ca="1" si="14"/>
        <v>0</v>
      </c>
      <c r="H25" s="441">
        <f t="shared" ca="1" si="16"/>
        <v>-578</v>
      </c>
      <c r="I25" s="460">
        <v>45494</v>
      </c>
      <c r="J25" s="404" t="s">
        <v>215</v>
      </c>
      <c r="K25" s="404"/>
      <c r="L25" s="404">
        <v>1</v>
      </c>
      <c r="M25" s="456">
        <f t="shared" si="17"/>
        <v>45525</v>
      </c>
      <c r="N25" s="412">
        <v>0</v>
      </c>
      <c r="O25" s="459">
        <f t="shared" ca="1" si="18"/>
        <v>0</v>
      </c>
      <c r="P25" s="444">
        <f t="shared" ca="1" si="12"/>
        <v>-576</v>
      </c>
    </row>
    <row r="26" spans="1:16" ht="15" thickBot="1" x14ac:dyDescent="0.35">
      <c r="A26" s="442">
        <v>45493</v>
      </c>
      <c r="B26" s="456" t="s">
        <v>167</v>
      </c>
      <c r="C26" s="404" t="s">
        <v>95</v>
      </c>
      <c r="D26" s="404">
        <v>1</v>
      </c>
      <c r="E26" s="438">
        <f t="shared" ref="E26:E27" si="19">EDATE(A26,D26)</f>
        <v>45524</v>
      </c>
      <c r="F26" s="443">
        <v>0</v>
      </c>
      <c r="G26" s="440">
        <f t="shared" ca="1" si="14"/>
        <v>0</v>
      </c>
      <c r="H26" s="441">
        <f t="shared" ca="1" si="16"/>
        <v>-577</v>
      </c>
      <c r="I26" s="781"/>
      <c r="J26" s="782"/>
      <c r="K26" s="782"/>
      <c r="L26" s="782"/>
      <c r="M26" s="783"/>
      <c r="N26" s="495" t="s">
        <v>8</v>
      </c>
      <c r="O26" s="471">
        <f ca="1">SUM(O23:O25)</f>
        <v>0</v>
      </c>
      <c r="P26" s="454"/>
    </row>
    <row r="27" spans="1:16" x14ac:dyDescent="0.3">
      <c r="A27" s="442">
        <v>45494</v>
      </c>
      <c r="B27" s="456" t="s">
        <v>167</v>
      </c>
      <c r="C27" s="404" t="s">
        <v>95</v>
      </c>
      <c r="D27" s="404">
        <v>1</v>
      </c>
      <c r="E27" s="438">
        <f t="shared" si="19"/>
        <v>45525</v>
      </c>
      <c r="F27" s="443">
        <v>0</v>
      </c>
      <c r="G27" s="440">
        <f t="shared" ca="1" si="14"/>
        <v>0</v>
      </c>
      <c r="H27" s="441">
        <f t="shared" ca="1" si="16"/>
        <v>-576</v>
      </c>
      <c r="I27" s="460">
        <v>45493</v>
      </c>
      <c r="J27" s="492" t="s">
        <v>130</v>
      </c>
      <c r="K27" s="492" t="s">
        <v>219</v>
      </c>
      <c r="L27" s="492">
        <v>12</v>
      </c>
      <c r="M27" s="455">
        <f>EDATE(I27,L27)</f>
        <v>45858</v>
      </c>
      <c r="N27" s="496">
        <v>0</v>
      </c>
      <c r="O27" s="459">
        <f ca="1">IF(P27&gt;=1,(N27/L27),0)</f>
        <v>0</v>
      </c>
      <c r="P27" s="444">
        <f t="shared" ca="1" si="12"/>
        <v>-243</v>
      </c>
    </row>
    <row r="28" spans="1:16" ht="15" thickBot="1" x14ac:dyDescent="0.35">
      <c r="A28" s="781"/>
      <c r="B28" s="782"/>
      <c r="C28" s="782"/>
      <c r="D28" s="782"/>
      <c r="E28" s="783"/>
      <c r="F28" s="450" t="s">
        <v>8</v>
      </c>
      <c r="G28" s="451">
        <f ca="1">SUM(G25:G27)</f>
        <v>0</v>
      </c>
      <c r="H28" s="452"/>
      <c r="I28" s="460">
        <v>45494</v>
      </c>
      <c r="J28" s="409" t="s">
        <v>217</v>
      </c>
      <c r="K28" s="409"/>
      <c r="L28" s="409">
        <v>1</v>
      </c>
      <c r="M28" s="455">
        <f t="shared" ref="M28:M29" si="20">EDATE(I28,L28)</f>
        <v>45525</v>
      </c>
      <c r="N28" s="412">
        <v>0</v>
      </c>
      <c r="O28" s="459">
        <f t="shared" ref="O28:O29" ca="1" si="21">IF(P28&gt;=1,(N28/L28),0)</f>
        <v>0</v>
      </c>
      <c r="P28" s="444">
        <f t="shared" ca="1" si="12"/>
        <v>-576</v>
      </c>
    </row>
    <row r="29" spans="1:16" x14ac:dyDescent="0.3">
      <c r="A29" s="460">
        <v>45495</v>
      </c>
      <c r="B29" s="456" t="s">
        <v>51</v>
      </c>
      <c r="C29" s="457" t="s">
        <v>95</v>
      </c>
      <c r="D29" s="457">
        <v>1</v>
      </c>
      <c r="E29" s="456">
        <f>EDATE(A29,D29)</f>
        <v>45526</v>
      </c>
      <c r="F29" s="493">
        <v>0</v>
      </c>
      <c r="G29" s="459">
        <f t="shared" ca="1" si="14"/>
        <v>0</v>
      </c>
      <c r="H29" s="441">
        <f t="shared" ca="1" si="16"/>
        <v>-575</v>
      </c>
      <c r="I29" s="460">
        <v>45495</v>
      </c>
      <c r="J29" s="409" t="s">
        <v>218</v>
      </c>
      <c r="K29" s="409"/>
      <c r="L29" s="409">
        <v>1</v>
      </c>
      <c r="M29" s="455">
        <f t="shared" si="20"/>
        <v>45526</v>
      </c>
      <c r="N29" s="412">
        <v>0</v>
      </c>
      <c r="O29" s="459">
        <f t="shared" ca="1" si="21"/>
        <v>0</v>
      </c>
      <c r="P29" s="444">
        <f t="shared" ca="1" si="12"/>
        <v>-575</v>
      </c>
    </row>
    <row r="30" spans="1:16" ht="15" thickBot="1" x14ac:dyDescent="0.35">
      <c r="A30" s="442">
        <v>45496</v>
      </c>
      <c r="B30" s="409" t="s">
        <v>168</v>
      </c>
      <c r="C30" s="404" t="s">
        <v>95</v>
      </c>
      <c r="D30" s="404">
        <v>1</v>
      </c>
      <c r="E30" s="456">
        <f t="shared" ref="E30:E31" si="22">EDATE(A30,D30)</f>
        <v>45527</v>
      </c>
      <c r="F30" s="443">
        <v>0</v>
      </c>
      <c r="G30" s="440">
        <f t="shared" ca="1" si="14"/>
        <v>0</v>
      </c>
      <c r="H30" s="441">
        <f t="shared" ca="1" si="16"/>
        <v>-574</v>
      </c>
      <c r="I30" s="497"/>
      <c r="J30" s="498"/>
      <c r="K30" s="498"/>
      <c r="L30" s="498"/>
      <c r="M30" s="499"/>
      <c r="N30" s="489" t="s">
        <v>8</v>
      </c>
      <c r="O30" s="471">
        <f ca="1">SUM(O27:O29)</f>
        <v>0</v>
      </c>
      <c r="P30" s="454"/>
    </row>
    <row r="31" spans="1:16" x14ac:dyDescent="0.3">
      <c r="A31" s="442">
        <v>45497</v>
      </c>
      <c r="B31" s="409" t="s">
        <v>168</v>
      </c>
      <c r="C31" s="404" t="s">
        <v>95</v>
      </c>
      <c r="D31" s="404">
        <v>1</v>
      </c>
      <c r="E31" s="456">
        <f t="shared" si="22"/>
        <v>45528</v>
      </c>
      <c r="F31" s="443">
        <v>0</v>
      </c>
      <c r="G31" s="440">
        <f t="shared" ca="1" si="14"/>
        <v>0</v>
      </c>
      <c r="H31" s="441">
        <f t="shared" ca="1" si="16"/>
        <v>-573</v>
      </c>
      <c r="I31" s="460">
        <v>45492</v>
      </c>
      <c r="J31" s="492" t="s">
        <v>15</v>
      </c>
      <c r="K31" s="457" t="s">
        <v>95</v>
      </c>
      <c r="L31" s="457">
        <v>12</v>
      </c>
      <c r="M31" s="456">
        <f>EDATE(I31,L31)</f>
        <v>45857</v>
      </c>
      <c r="N31" s="493">
        <v>0</v>
      </c>
      <c r="O31" s="472">
        <f t="shared" ca="1" si="1"/>
        <v>0</v>
      </c>
      <c r="P31" s="444">
        <f t="shared" ca="1" si="12"/>
        <v>-244</v>
      </c>
    </row>
    <row r="32" spans="1:16" ht="15" thickBot="1" x14ac:dyDescent="0.35">
      <c r="A32" s="781"/>
      <c r="B32" s="782"/>
      <c r="C32" s="782"/>
      <c r="D32" s="782"/>
      <c r="E32" s="783"/>
      <c r="F32" s="450" t="s">
        <v>8</v>
      </c>
      <c r="G32" s="451">
        <f ca="1">SUM(G29:G31)</f>
        <v>0</v>
      </c>
      <c r="H32" s="452"/>
      <c r="I32" s="460">
        <v>45493</v>
      </c>
      <c r="J32" s="409" t="s">
        <v>220</v>
      </c>
      <c r="K32" s="457"/>
      <c r="L32" s="457">
        <v>1</v>
      </c>
      <c r="M32" s="456">
        <f t="shared" ref="M32:M33" si="23">EDATE(I32,L32)</f>
        <v>45524</v>
      </c>
      <c r="N32" s="493">
        <v>0</v>
      </c>
      <c r="O32" s="472">
        <f t="shared" ca="1" si="1"/>
        <v>0</v>
      </c>
      <c r="P32" s="444">
        <f t="shared" ca="1" si="12"/>
        <v>-577</v>
      </c>
    </row>
    <row r="33" spans="1:16" x14ac:dyDescent="0.3">
      <c r="A33" s="460">
        <v>45498</v>
      </c>
      <c r="B33" s="492" t="s">
        <v>208</v>
      </c>
      <c r="C33" s="457" t="s">
        <v>95</v>
      </c>
      <c r="D33" s="457">
        <v>1</v>
      </c>
      <c r="E33" s="456">
        <f>EDATE(A33,D33)</f>
        <v>45529</v>
      </c>
      <c r="F33" s="493">
        <v>0</v>
      </c>
      <c r="G33" s="459">
        <f t="shared" ca="1" si="14"/>
        <v>0</v>
      </c>
      <c r="H33" s="441">
        <f t="shared" ca="1" si="16"/>
        <v>-572</v>
      </c>
      <c r="I33" s="460">
        <v>45494</v>
      </c>
      <c r="J33" s="409" t="s">
        <v>220</v>
      </c>
      <c r="K33" s="457"/>
      <c r="L33" s="457">
        <v>1</v>
      </c>
      <c r="M33" s="456">
        <f t="shared" si="23"/>
        <v>45525</v>
      </c>
      <c r="N33" s="493">
        <v>0</v>
      </c>
      <c r="O33" s="472">
        <f t="shared" ca="1" si="1"/>
        <v>0</v>
      </c>
      <c r="P33" s="444">
        <f t="shared" ca="1" si="12"/>
        <v>-576</v>
      </c>
    </row>
    <row r="34" spans="1:16" ht="15" thickBot="1" x14ac:dyDescent="0.35">
      <c r="A34" s="442">
        <v>45499</v>
      </c>
      <c r="B34" s="409" t="s">
        <v>169</v>
      </c>
      <c r="C34" s="404" t="s">
        <v>95</v>
      </c>
      <c r="D34" s="404">
        <v>1</v>
      </c>
      <c r="E34" s="456">
        <f t="shared" ref="E34:E35" si="24">EDATE(A34,D34)</f>
        <v>45530</v>
      </c>
      <c r="F34" s="443">
        <v>0</v>
      </c>
      <c r="G34" s="440">
        <f t="shared" ca="1" si="14"/>
        <v>0</v>
      </c>
      <c r="H34" s="441">
        <f t="shared" ca="1" si="16"/>
        <v>-571</v>
      </c>
      <c r="I34" s="781"/>
      <c r="J34" s="782"/>
      <c r="K34" s="782"/>
      <c r="L34" s="782"/>
      <c r="M34" s="783"/>
      <c r="N34" s="494" t="s">
        <v>8</v>
      </c>
      <c r="O34" s="471">
        <f ca="1">SUM(O31:O33)</f>
        <v>0</v>
      </c>
      <c r="P34" s="454"/>
    </row>
    <row r="35" spans="1:16" x14ac:dyDescent="0.3">
      <c r="A35" s="442">
        <v>45500</v>
      </c>
      <c r="B35" s="409" t="s">
        <v>169</v>
      </c>
      <c r="C35" s="404"/>
      <c r="D35" s="404">
        <v>1</v>
      </c>
      <c r="E35" s="456">
        <f t="shared" si="24"/>
        <v>45531</v>
      </c>
      <c r="F35" s="443">
        <v>0</v>
      </c>
      <c r="G35" s="440">
        <f t="shared" ca="1" si="14"/>
        <v>0</v>
      </c>
      <c r="H35" s="441">
        <f t="shared" ca="1" si="16"/>
        <v>-570</v>
      </c>
      <c r="I35" s="500">
        <v>45493</v>
      </c>
      <c r="J35" s="41" t="s">
        <v>53</v>
      </c>
      <c r="K35" s="462"/>
      <c r="L35" s="462">
        <v>12</v>
      </c>
      <c r="M35" s="465">
        <f>EDATE(I35,L35)</f>
        <v>45858</v>
      </c>
      <c r="N35" s="464">
        <v>0</v>
      </c>
      <c r="O35" s="459">
        <f t="shared" ca="1" si="1"/>
        <v>0</v>
      </c>
      <c r="P35" s="444">
        <f t="shared" ca="1" si="12"/>
        <v>-243</v>
      </c>
    </row>
    <row r="36" spans="1:16" ht="15" thickBot="1" x14ac:dyDescent="0.35">
      <c r="A36" s="782"/>
      <c r="B36" s="782"/>
      <c r="C36" s="782"/>
      <c r="D36" s="782"/>
      <c r="E36" s="783"/>
      <c r="F36" s="450" t="s">
        <v>8</v>
      </c>
      <c r="G36" s="453">
        <f ca="1">SUM(G33:G35)</f>
        <v>0</v>
      </c>
      <c r="H36" s="452"/>
      <c r="I36" s="442">
        <v>45494</v>
      </c>
      <c r="J36" s="409" t="s">
        <v>221</v>
      </c>
      <c r="K36" s="409"/>
      <c r="L36" s="409">
        <v>1</v>
      </c>
      <c r="M36" s="437">
        <f t="shared" ref="M36:M37" si="25">EDATE(I36,L36)</f>
        <v>45525</v>
      </c>
      <c r="N36" s="412">
        <v>0</v>
      </c>
      <c r="O36" s="459">
        <f t="shared" ca="1" si="1"/>
        <v>0</v>
      </c>
      <c r="P36" s="444">
        <f t="shared" ca="1" si="12"/>
        <v>-576</v>
      </c>
    </row>
    <row r="37" spans="1:16" x14ac:dyDescent="0.3">
      <c r="A37" s="460">
        <v>45501</v>
      </c>
      <c r="B37" s="501" t="s">
        <v>52</v>
      </c>
      <c r="C37" s="457"/>
      <c r="D37" s="457">
        <v>1</v>
      </c>
      <c r="E37" s="456">
        <f>EDATE(A37,D37)</f>
        <v>45532</v>
      </c>
      <c r="F37" s="493">
        <v>0</v>
      </c>
      <c r="G37" s="459">
        <f t="shared" ca="1" si="14"/>
        <v>0</v>
      </c>
      <c r="H37" s="441">
        <f t="shared" ca="1" si="16"/>
        <v>-569</v>
      </c>
      <c r="I37" s="500">
        <v>45495</v>
      </c>
      <c r="J37" s="409" t="s">
        <v>221</v>
      </c>
      <c r="K37" s="409"/>
      <c r="L37" s="409">
        <v>1</v>
      </c>
      <c r="M37" s="465">
        <f t="shared" si="25"/>
        <v>45526</v>
      </c>
      <c r="N37" s="412">
        <v>0</v>
      </c>
      <c r="O37" s="502">
        <f t="shared" ca="1" si="1"/>
        <v>0</v>
      </c>
      <c r="P37" s="444">
        <f t="shared" ca="1" si="12"/>
        <v>-575</v>
      </c>
    </row>
    <row r="38" spans="1:16" ht="15" thickBot="1" x14ac:dyDescent="0.35">
      <c r="A38" s="442">
        <v>45502</v>
      </c>
      <c r="B38" s="409" t="s">
        <v>170</v>
      </c>
      <c r="C38" s="404"/>
      <c r="D38" s="404">
        <v>1</v>
      </c>
      <c r="E38" s="456">
        <f t="shared" ref="E38:E39" si="26">EDATE(A38,D38)</f>
        <v>45533</v>
      </c>
      <c r="F38" s="443">
        <v>0</v>
      </c>
      <c r="G38" s="440">
        <f t="shared" ca="1" si="14"/>
        <v>0</v>
      </c>
      <c r="H38" s="441">
        <f t="shared" ca="1" si="16"/>
        <v>-568</v>
      </c>
      <c r="I38" s="784"/>
      <c r="J38" s="785"/>
      <c r="K38" s="785"/>
      <c r="L38" s="785"/>
      <c r="M38" s="785"/>
      <c r="N38" s="503" t="s">
        <v>8</v>
      </c>
      <c r="O38" s="451">
        <f ca="1">SUM(O35:O37)</f>
        <v>0</v>
      </c>
      <c r="P38" s="504"/>
    </row>
    <row r="39" spans="1:16" x14ac:dyDescent="0.3">
      <c r="A39" s="442">
        <v>45503</v>
      </c>
      <c r="B39" s="409" t="s">
        <v>170</v>
      </c>
      <c r="C39" s="404"/>
      <c r="D39" s="404">
        <v>1</v>
      </c>
      <c r="E39" s="456">
        <f t="shared" si="26"/>
        <v>45534</v>
      </c>
      <c r="F39" s="443">
        <v>0</v>
      </c>
      <c r="G39" s="440">
        <f t="shared" ref="G39" ca="1" si="27">IF(H39&gt;=1,(F39/D39),0)</f>
        <v>0</v>
      </c>
      <c r="H39" s="505">
        <f t="shared" ca="1" si="16"/>
        <v>-567</v>
      </c>
      <c r="I39" s="40"/>
      <c r="J39" s="506"/>
      <c r="K39" s="41"/>
      <c r="L39" s="41"/>
      <c r="M39" s="506"/>
      <c r="N39" s="507"/>
      <c r="O39" s="508"/>
      <c r="P39" s="509"/>
    </row>
    <row r="40" spans="1:16" ht="15" thickBot="1" x14ac:dyDescent="0.35">
      <c r="A40" s="481"/>
      <c r="B40" s="510"/>
      <c r="C40" s="481"/>
      <c r="D40" s="481"/>
      <c r="E40" s="482"/>
      <c r="F40" s="511" t="s">
        <v>8</v>
      </c>
      <c r="G40" s="451">
        <f ca="1">SUM(G37:G39)</f>
        <v>0</v>
      </c>
      <c r="H40" s="512"/>
      <c r="I40" s="780"/>
      <c r="J40" s="780"/>
      <c r="K40" s="780"/>
      <c r="L40" s="780"/>
      <c r="M40" s="780"/>
      <c r="N40" s="41"/>
      <c r="O40" s="508"/>
    </row>
    <row r="41" spans="1:16" ht="15.6" x14ac:dyDescent="0.3">
      <c r="I41" s="771"/>
      <c r="J41" s="771"/>
      <c r="K41" s="771"/>
      <c r="L41" s="771"/>
      <c r="M41" s="771"/>
      <c r="N41" s="771"/>
      <c r="O41" s="771"/>
    </row>
    <row r="43" spans="1:16" x14ac:dyDescent="0.3">
      <c r="I43" s="41"/>
      <c r="J43" s="41"/>
      <c r="K43" s="41"/>
      <c r="L43" s="41"/>
      <c r="M43" s="41"/>
      <c r="N43" s="41"/>
      <c r="O43" s="37"/>
      <c r="P43" s="37"/>
    </row>
    <row r="44" spans="1:16" x14ac:dyDescent="0.3">
      <c r="I44" s="40"/>
      <c r="J44" s="506"/>
      <c r="K44" s="41"/>
      <c r="L44" s="41"/>
      <c r="M44" s="506"/>
      <c r="N44" s="513"/>
      <c r="O44" s="514"/>
      <c r="P44" s="515"/>
    </row>
    <row r="45" spans="1:16" x14ac:dyDescent="0.3">
      <c r="I45" s="40"/>
      <c r="J45" s="506"/>
      <c r="K45" s="41"/>
      <c r="L45" s="41"/>
      <c r="M45" s="506"/>
      <c r="N45" s="513"/>
      <c r="O45" s="514"/>
      <c r="P45" s="515"/>
    </row>
    <row r="46" spans="1:16" x14ac:dyDescent="0.3">
      <c r="I46" s="40"/>
      <c r="J46" s="506"/>
      <c r="K46" s="41"/>
      <c r="L46" s="41"/>
      <c r="M46" s="506"/>
      <c r="N46" s="513"/>
      <c r="O46" s="514"/>
      <c r="P46" s="515"/>
    </row>
    <row r="47" spans="1:16" x14ac:dyDescent="0.3">
      <c r="I47" s="40"/>
      <c r="J47" s="506"/>
      <c r="K47" s="41"/>
      <c r="L47" s="41"/>
      <c r="M47" s="506"/>
      <c r="N47" s="513"/>
      <c r="O47" s="514"/>
      <c r="P47" s="515"/>
    </row>
    <row r="48" spans="1:16" x14ac:dyDescent="0.3">
      <c r="I48" s="40"/>
      <c r="J48" s="506"/>
      <c r="K48" s="41"/>
      <c r="L48" s="41"/>
      <c r="M48" s="506"/>
      <c r="N48" s="513"/>
      <c r="O48" s="514"/>
      <c r="P48" s="515"/>
    </row>
    <row r="49" spans="9:16" x14ac:dyDescent="0.3">
      <c r="I49" s="40"/>
      <c r="J49" s="506"/>
      <c r="K49" s="41"/>
      <c r="L49" s="41"/>
      <c r="M49" s="506"/>
      <c r="N49" s="513"/>
      <c r="O49" s="514"/>
      <c r="P49" s="515"/>
    </row>
    <row r="50" spans="9:16" x14ac:dyDescent="0.3">
      <c r="I50" s="40"/>
      <c r="J50" s="506"/>
      <c r="K50" s="41"/>
      <c r="L50" s="41"/>
      <c r="M50" s="506"/>
      <c r="N50" s="513"/>
      <c r="O50" s="514"/>
      <c r="P50" s="515"/>
    </row>
    <row r="51" spans="9:16" x14ac:dyDescent="0.3">
      <c r="I51" s="40"/>
      <c r="J51" s="506"/>
      <c r="K51" s="41"/>
      <c r="L51" s="41"/>
      <c r="M51" s="506"/>
      <c r="N51" s="513"/>
      <c r="O51" s="514"/>
      <c r="P51" s="515"/>
    </row>
    <row r="52" spans="9:16" x14ac:dyDescent="0.3">
      <c r="I52" s="40"/>
      <c r="J52" s="506"/>
      <c r="K52" s="41"/>
      <c r="L52" s="41"/>
      <c r="M52" s="506"/>
      <c r="N52" s="513"/>
      <c r="O52" s="514"/>
      <c r="P52" s="515"/>
    </row>
    <row r="53" spans="9:16" x14ac:dyDescent="0.3">
      <c r="I53" s="40"/>
      <c r="J53" s="506"/>
      <c r="K53" s="41"/>
      <c r="L53" s="41"/>
      <c r="M53" s="506"/>
      <c r="N53" s="513"/>
      <c r="O53" s="514"/>
      <c r="P53" s="515"/>
    </row>
    <row r="54" spans="9:16" x14ac:dyDescent="0.3">
      <c r="I54" s="40"/>
      <c r="J54" s="506"/>
      <c r="K54" s="41"/>
      <c r="L54" s="41"/>
      <c r="M54" s="506"/>
      <c r="N54" s="513"/>
      <c r="O54" s="514"/>
      <c r="P54" s="515"/>
    </row>
    <row r="55" spans="9:16" x14ac:dyDescent="0.3">
      <c r="I55" s="40"/>
      <c r="J55" s="506"/>
      <c r="K55" s="41"/>
      <c r="L55" s="41"/>
      <c r="M55" s="506"/>
      <c r="N55" s="513"/>
      <c r="O55" s="514"/>
      <c r="P55" s="515"/>
    </row>
    <row r="56" spans="9:16" x14ac:dyDescent="0.3">
      <c r="I56" s="40"/>
      <c r="J56" s="506"/>
      <c r="K56" s="41"/>
      <c r="L56" s="41"/>
      <c r="M56" s="506"/>
      <c r="N56" s="513"/>
      <c r="O56" s="514"/>
      <c r="P56" s="515"/>
    </row>
    <row r="57" spans="9:16" x14ac:dyDescent="0.3">
      <c r="I57" s="40"/>
      <c r="J57" s="506"/>
      <c r="K57" s="41"/>
      <c r="L57" s="41"/>
      <c r="M57" s="506"/>
      <c r="N57" s="513"/>
      <c r="O57" s="514"/>
      <c r="P57" s="515"/>
    </row>
    <row r="58" spans="9:16" x14ac:dyDescent="0.3">
      <c r="I58" s="40"/>
      <c r="J58" s="506"/>
      <c r="K58" s="41"/>
      <c r="L58" s="41"/>
      <c r="M58" s="506"/>
      <c r="N58" s="513"/>
      <c r="O58" s="514"/>
      <c r="P58" s="515"/>
    </row>
    <row r="59" spans="9:16" x14ac:dyDescent="0.3">
      <c r="I59" s="40"/>
      <c r="J59" s="506"/>
      <c r="K59" s="41"/>
      <c r="L59" s="41"/>
      <c r="M59" s="506"/>
      <c r="N59" s="513"/>
      <c r="O59" s="514"/>
      <c r="P59" s="515"/>
    </row>
    <row r="60" spans="9:16" x14ac:dyDescent="0.3">
      <c r="I60" s="40"/>
      <c r="J60" s="506"/>
      <c r="K60" s="41"/>
      <c r="L60" s="41"/>
      <c r="M60" s="506"/>
      <c r="N60" s="513"/>
      <c r="O60" s="514"/>
      <c r="P60" s="515"/>
    </row>
    <row r="61" spans="9:16" x14ac:dyDescent="0.3">
      <c r="I61" s="40"/>
      <c r="J61" s="506"/>
      <c r="K61" s="41"/>
      <c r="L61" s="41"/>
      <c r="M61" s="506"/>
      <c r="N61" s="513"/>
      <c r="O61" s="514"/>
      <c r="P61" s="515"/>
    </row>
    <row r="62" spans="9:16" x14ac:dyDescent="0.3">
      <c r="I62" s="40"/>
      <c r="J62" s="506"/>
      <c r="K62" s="41"/>
      <c r="L62" s="41"/>
      <c r="M62" s="506"/>
      <c r="N62" s="513"/>
      <c r="O62" s="514"/>
      <c r="P62" s="515"/>
    </row>
    <row r="63" spans="9:16" x14ac:dyDescent="0.3">
      <c r="I63" s="40"/>
      <c r="J63" s="506"/>
      <c r="K63" s="41"/>
      <c r="L63" s="41"/>
      <c r="M63" s="506"/>
      <c r="N63" s="513"/>
      <c r="O63" s="514"/>
      <c r="P63" s="515"/>
    </row>
    <row r="64" spans="9:16" x14ac:dyDescent="0.3">
      <c r="I64" s="40"/>
      <c r="J64" s="506"/>
      <c r="K64" s="41"/>
      <c r="L64" s="41"/>
      <c r="M64" s="506"/>
      <c r="N64" s="513"/>
      <c r="O64" s="514"/>
      <c r="P64" s="515"/>
    </row>
    <row r="65" spans="1:16" x14ac:dyDescent="0.3">
      <c r="I65" s="40"/>
      <c r="J65" s="506"/>
      <c r="K65" s="41"/>
      <c r="L65" s="41"/>
      <c r="M65" s="506"/>
      <c r="N65" s="513"/>
      <c r="O65" s="514"/>
      <c r="P65" s="515"/>
    </row>
    <row r="66" spans="1:16" x14ac:dyDescent="0.3">
      <c r="I66" s="40"/>
      <c r="J66" s="506"/>
      <c r="K66" s="41"/>
      <c r="L66" s="41"/>
      <c r="M66" s="506"/>
      <c r="N66" s="513"/>
      <c r="O66" s="514"/>
      <c r="P66" s="515"/>
    </row>
    <row r="67" spans="1:16" x14ac:dyDescent="0.3">
      <c r="I67" s="40"/>
      <c r="J67" s="506"/>
      <c r="K67" s="41"/>
      <c r="L67" s="41"/>
      <c r="M67" s="506"/>
      <c r="N67" s="513"/>
      <c r="O67" s="514"/>
      <c r="P67" s="515"/>
    </row>
    <row r="68" spans="1:16" x14ac:dyDescent="0.3">
      <c r="I68" s="40"/>
      <c r="J68" s="506"/>
      <c r="K68" s="41"/>
      <c r="L68" s="41"/>
      <c r="M68" s="506"/>
      <c r="N68" s="513"/>
      <c r="O68" s="514"/>
      <c r="P68" s="515"/>
    </row>
    <row r="69" spans="1:16" x14ac:dyDescent="0.3">
      <c r="I69" s="40"/>
      <c r="J69" s="506"/>
      <c r="K69" s="41"/>
      <c r="L69" s="41"/>
      <c r="M69" s="506"/>
      <c r="N69" s="513"/>
      <c r="O69" s="514"/>
      <c r="P69" s="515"/>
    </row>
    <row r="70" spans="1:16" x14ac:dyDescent="0.3">
      <c r="I70" s="40"/>
      <c r="J70" s="506"/>
      <c r="K70" s="41"/>
      <c r="L70" s="41"/>
      <c r="M70" s="506"/>
      <c r="N70" s="513"/>
      <c r="O70" s="514"/>
      <c r="P70" s="515"/>
    </row>
    <row r="71" spans="1:16" x14ac:dyDescent="0.3">
      <c r="I71" s="40"/>
      <c r="J71" s="506"/>
      <c r="K71" s="41"/>
      <c r="L71" s="41"/>
      <c r="M71" s="506"/>
      <c r="N71" s="513"/>
      <c r="O71" s="514"/>
      <c r="P71" s="515"/>
    </row>
    <row r="72" spans="1:16" x14ac:dyDescent="0.3">
      <c r="I72" s="40"/>
      <c r="J72" s="506"/>
      <c r="K72" s="41"/>
      <c r="L72" s="41"/>
      <c r="M72" s="506"/>
      <c r="N72" s="513"/>
      <c r="O72" s="514"/>
      <c r="P72" s="515"/>
    </row>
    <row r="73" spans="1:16" x14ac:dyDescent="0.3">
      <c r="I73" s="40"/>
      <c r="J73" s="506"/>
      <c r="K73" s="41"/>
      <c r="L73" s="41"/>
      <c r="M73" s="506"/>
      <c r="N73" s="513"/>
      <c r="O73" s="514"/>
      <c r="P73" s="515"/>
    </row>
    <row r="74" spans="1:16" x14ac:dyDescent="0.3">
      <c r="I74" s="40"/>
      <c r="J74" s="506"/>
      <c r="K74" s="41"/>
      <c r="L74" s="41"/>
      <c r="M74" s="506"/>
      <c r="N74" s="513"/>
      <c r="O74" s="514"/>
      <c r="P74" s="515"/>
    </row>
    <row r="75" spans="1:16" x14ac:dyDescent="0.3">
      <c r="N75" s="41"/>
      <c r="O75" s="516"/>
    </row>
    <row r="76" spans="1:16" ht="15.6" x14ac:dyDescent="0.3">
      <c r="A76" s="772"/>
      <c r="B76" s="772"/>
      <c r="C76" s="772"/>
      <c r="D76" s="772"/>
      <c r="E76" s="772"/>
      <c r="F76" s="772"/>
      <c r="G76" s="772"/>
      <c r="H76" s="517"/>
    </row>
    <row r="77" spans="1:16" x14ac:dyDescent="0.3">
      <c r="A77" s="517"/>
      <c r="B77" s="517"/>
      <c r="C77" s="517"/>
      <c r="D77" s="517"/>
      <c r="E77" s="517"/>
      <c r="F77" s="517"/>
      <c r="G77" s="517"/>
      <c r="H77" s="517"/>
    </row>
    <row r="78" spans="1:16" x14ac:dyDescent="0.3">
      <c r="A78" s="518"/>
      <c r="B78" s="518"/>
      <c r="C78" s="518"/>
      <c r="D78" s="518"/>
      <c r="E78" s="518"/>
      <c r="F78" s="518"/>
      <c r="G78" s="517"/>
      <c r="H78" s="517"/>
    </row>
    <row r="79" spans="1:16" x14ac:dyDescent="0.3">
      <c r="A79" s="519"/>
      <c r="B79" s="520"/>
      <c r="C79" s="518"/>
      <c r="D79" s="518"/>
      <c r="E79" s="520"/>
      <c r="F79" s="521"/>
      <c r="G79" s="522"/>
      <c r="H79" s="523"/>
    </row>
    <row r="80" spans="1:16" x14ac:dyDescent="0.3">
      <c r="A80" s="519"/>
      <c r="B80" s="520"/>
      <c r="C80" s="518"/>
      <c r="D80" s="518"/>
      <c r="E80" s="520"/>
      <c r="F80" s="521"/>
      <c r="G80" s="522"/>
      <c r="H80" s="523"/>
    </row>
    <row r="81" spans="1:8" x14ac:dyDescent="0.3">
      <c r="A81" s="519"/>
      <c r="B81" s="520"/>
      <c r="C81" s="518"/>
      <c r="D81" s="518"/>
      <c r="E81" s="520"/>
      <c r="F81" s="521"/>
      <c r="G81" s="522"/>
      <c r="H81" s="523"/>
    </row>
    <row r="82" spans="1:8" x14ac:dyDescent="0.3">
      <c r="A82" s="519"/>
      <c r="B82" s="520"/>
      <c r="C82" s="518"/>
      <c r="D82" s="518"/>
      <c r="E82" s="520"/>
      <c r="F82" s="521"/>
      <c r="G82" s="522"/>
      <c r="H82" s="523"/>
    </row>
    <row r="83" spans="1:8" x14ac:dyDescent="0.3">
      <c r="A83" s="519"/>
      <c r="B83" s="520"/>
      <c r="C83" s="518"/>
      <c r="D83" s="518"/>
      <c r="E83" s="520"/>
      <c r="F83" s="521"/>
      <c r="G83" s="522"/>
      <c r="H83" s="523"/>
    </row>
    <row r="84" spans="1:8" x14ac:dyDescent="0.3">
      <c r="A84" s="517"/>
      <c r="B84" s="517"/>
      <c r="C84" s="517"/>
      <c r="D84" s="517"/>
      <c r="E84" s="517"/>
      <c r="F84" s="518"/>
      <c r="G84" s="522"/>
      <c r="H84" s="517"/>
    </row>
  </sheetData>
  <sheetProtection password="CAA7" sheet="1" objects="1" scenarios="1"/>
  <protectedRanges>
    <protectedRange sqref="I7:L9 N7:N9 I11:L13 N11:N13 I15:L17 N15:N17 I19:L21 N19:N21 I23:L25 N23:N25 I28 I28 I27:L29 N27:N29 I31:L33 N31:N33 I35:L37 N35:N37" name="Intervalo2"/>
    <protectedRange sqref="A7:D9 F7:F9 A11:D13 F11:F13 A15:D17 F15:F17 A21:D23 F21:F23 A25:D27 F25:F27 A29:D31 F29:F31 A33:D35 F33:F35 A37:D39 F37:F39" name="Intervalo1"/>
  </protectedRanges>
  <mergeCells count="18">
    <mergeCell ref="I14:M14"/>
    <mergeCell ref="I4:O4"/>
    <mergeCell ref="I41:O41"/>
    <mergeCell ref="A76:G76"/>
    <mergeCell ref="A1:D2"/>
    <mergeCell ref="E1:E2"/>
    <mergeCell ref="A4:G4"/>
    <mergeCell ref="I40:M40"/>
    <mergeCell ref="A10:E10"/>
    <mergeCell ref="A24:E24"/>
    <mergeCell ref="A28:E28"/>
    <mergeCell ref="A32:E32"/>
    <mergeCell ref="I22:M22"/>
    <mergeCell ref="I26:M26"/>
    <mergeCell ref="I34:M34"/>
    <mergeCell ref="I38:M38"/>
    <mergeCell ref="A36:E36"/>
    <mergeCell ref="I10:M10"/>
  </mergeCells>
  <hyperlinks>
    <hyperlink ref="E1:E2" location="Menu!A1" display="Menu" xr:uid="{00000000-0004-0000-2000-000000000000}"/>
  </hyperlinks>
  <pageMargins left="0.511811024" right="0.511811024" top="0.78740157499999996" bottom="0.78740157499999996" header="0.31496062000000002" footer="0.31496062000000002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M15"/>
  <sheetViews>
    <sheetView workbookViewId="0">
      <selection activeCell="G3" sqref="G3"/>
    </sheetView>
  </sheetViews>
  <sheetFormatPr defaultColWidth="9.109375" defaultRowHeight="14.4" x14ac:dyDescent="0.3"/>
  <cols>
    <col min="1" max="1" width="29.33203125" style="1" bestFit="1" customWidth="1"/>
    <col min="2" max="13" width="14.109375" style="1" bestFit="1" customWidth="1"/>
    <col min="14" max="16384" width="9.109375" style="1"/>
  </cols>
  <sheetData>
    <row r="1" spans="1:13" ht="21" x14ac:dyDescent="0.4">
      <c r="A1" s="217"/>
    </row>
    <row r="2" spans="1:13" ht="28.8" x14ac:dyDescent="0.3">
      <c r="A2" s="653"/>
    </row>
    <row r="3" spans="1:13" ht="28.8" x14ac:dyDescent="0.3">
      <c r="A3" s="654"/>
      <c r="B3" s="164"/>
    </row>
    <row r="4" spans="1:13" ht="15" customHeight="1" x14ac:dyDescent="0.3">
      <c r="A4" s="165"/>
      <c r="B4" s="165"/>
    </row>
    <row r="5" spans="1:13" x14ac:dyDescent="0.3">
      <c r="A5" s="7" t="s">
        <v>272</v>
      </c>
      <c r="B5" s="4" t="s">
        <v>273</v>
      </c>
      <c r="C5" s="11" t="s">
        <v>274</v>
      </c>
      <c r="D5" s="11" t="s">
        <v>275</v>
      </c>
      <c r="E5" s="11" t="s">
        <v>276</v>
      </c>
      <c r="F5" s="11" t="s">
        <v>277</v>
      </c>
      <c r="G5" s="11" t="s">
        <v>278</v>
      </c>
      <c r="H5" s="11" t="s">
        <v>279</v>
      </c>
      <c r="I5" s="11" t="s">
        <v>280</v>
      </c>
      <c r="J5" s="11" t="s">
        <v>281</v>
      </c>
      <c r="K5" s="11" t="s">
        <v>282</v>
      </c>
      <c r="L5" s="11" t="s">
        <v>283</v>
      </c>
      <c r="M5" s="655" t="s">
        <v>284</v>
      </c>
    </row>
    <row r="6" spans="1:13" x14ac:dyDescent="0.3">
      <c r="A6" s="5" t="s">
        <v>1</v>
      </c>
      <c r="B6" s="5" t="s">
        <v>5</v>
      </c>
      <c r="C6" s="13" t="s">
        <v>5</v>
      </c>
      <c r="D6" s="13" t="s">
        <v>5</v>
      </c>
      <c r="E6" s="13" t="s">
        <v>5</v>
      </c>
      <c r="F6" s="13" t="s">
        <v>5</v>
      </c>
      <c r="G6" s="13" t="s">
        <v>5</v>
      </c>
      <c r="H6" s="13" t="s">
        <v>5</v>
      </c>
      <c r="I6" s="13" t="s">
        <v>5</v>
      </c>
      <c r="J6" s="13" t="s">
        <v>5</v>
      </c>
      <c r="K6" s="13" t="s">
        <v>5</v>
      </c>
      <c r="L6" s="13" t="s">
        <v>5</v>
      </c>
      <c r="M6" s="134" t="s">
        <v>5</v>
      </c>
    </row>
    <row r="7" spans="1:13" x14ac:dyDescent="0.3">
      <c r="A7" s="170" t="s">
        <v>222</v>
      </c>
      <c r="B7" s="9">
        <v>0</v>
      </c>
      <c r="C7" s="14">
        <v>0</v>
      </c>
      <c r="D7" s="25">
        <v>125</v>
      </c>
      <c r="E7" s="14">
        <v>75</v>
      </c>
      <c r="F7" s="14">
        <v>0</v>
      </c>
      <c r="G7" s="14">
        <v>0</v>
      </c>
      <c r="H7" s="14">
        <v>0</v>
      </c>
      <c r="I7" s="14">
        <v>0</v>
      </c>
      <c r="J7" s="14">
        <v>0</v>
      </c>
      <c r="K7" s="14">
        <v>0</v>
      </c>
      <c r="L7" s="14">
        <v>0</v>
      </c>
      <c r="M7" s="656">
        <v>0</v>
      </c>
    </row>
    <row r="8" spans="1:13" x14ac:dyDescent="0.3">
      <c r="A8" s="170" t="s">
        <v>223</v>
      </c>
      <c r="B8" s="9">
        <v>0</v>
      </c>
      <c r="C8" s="14">
        <v>0</v>
      </c>
      <c r="D8" s="25">
        <v>75</v>
      </c>
      <c r="E8" s="14">
        <v>75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>
        <v>0</v>
      </c>
      <c r="L8" s="14">
        <v>0</v>
      </c>
      <c r="M8" s="656">
        <v>0</v>
      </c>
    </row>
    <row r="9" spans="1:13" x14ac:dyDescent="0.3">
      <c r="A9" s="170" t="s">
        <v>224</v>
      </c>
      <c r="B9" s="9">
        <v>0</v>
      </c>
      <c r="C9" s="14">
        <v>0</v>
      </c>
      <c r="D9" s="25">
        <v>0</v>
      </c>
      <c r="E9" s="14">
        <v>0</v>
      </c>
      <c r="F9" s="14">
        <v>0</v>
      </c>
      <c r="G9" s="14">
        <v>0</v>
      </c>
      <c r="H9" s="14">
        <v>0</v>
      </c>
      <c r="I9" s="14">
        <v>0</v>
      </c>
      <c r="J9" s="14">
        <v>0</v>
      </c>
      <c r="K9" s="14">
        <v>0</v>
      </c>
      <c r="L9" s="14">
        <v>0</v>
      </c>
      <c r="M9" s="656">
        <v>0</v>
      </c>
    </row>
    <row r="10" spans="1:13" x14ac:dyDescent="0.3">
      <c r="A10" s="170" t="s">
        <v>225</v>
      </c>
      <c r="B10" s="9">
        <v>0</v>
      </c>
      <c r="C10" s="14">
        <v>0</v>
      </c>
      <c r="D10" s="25">
        <v>50</v>
      </c>
      <c r="E10" s="14">
        <v>25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>
        <v>0</v>
      </c>
      <c r="L10" s="14">
        <v>0</v>
      </c>
      <c r="M10" s="656">
        <v>0</v>
      </c>
    </row>
    <row r="11" spans="1:13" x14ac:dyDescent="0.3">
      <c r="A11" s="170" t="s">
        <v>226</v>
      </c>
      <c r="B11" s="9">
        <v>0</v>
      </c>
      <c r="C11" s="14">
        <v>0</v>
      </c>
      <c r="D11" s="25">
        <v>175</v>
      </c>
      <c r="E11" s="14">
        <v>125</v>
      </c>
      <c r="F11" s="14">
        <v>0</v>
      </c>
      <c r="G11" s="14">
        <v>0</v>
      </c>
      <c r="H11" s="14">
        <v>0</v>
      </c>
      <c r="I11" s="14">
        <v>0</v>
      </c>
      <c r="J11" s="14">
        <v>0</v>
      </c>
      <c r="K11" s="14">
        <v>0</v>
      </c>
      <c r="L11" s="14">
        <v>0</v>
      </c>
      <c r="M11" s="656">
        <v>0</v>
      </c>
    </row>
    <row r="12" spans="1:13" x14ac:dyDescent="0.3">
      <c r="A12" s="199" t="s">
        <v>227</v>
      </c>
      <c r="B12" s="5">
        <v>0</v>
      </c>
      <c r="C12" s="13">
        <v>0</v>
      </c>
      <c r="D12" s="31">
        <v>0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>
        <v>0</v>
      </c>
      <c r="L12" s="13">
        <v>0</v>
      </c>
      <c r="M12" s="134">
        <v>0</v>
      </c>
    </row>
    <row r="13" spans="1:13" x14ac:dyDescent="0.3">
      <c r="A13" s="5" t="s">
        <v>228</v>
      </c>
      <c r="B13" s="5">
        <v>0</v>
      </c>
      <c r="C13" s="13">
        <v>0</v>
      </c>
      <c r="D13" s="32"/>
      <c r="E13" s="13">
        <v>0</v>
      </c>
      <c r="F13" s="13">
        <v>0</v>
      </c>
      <c r="G13" s="13">
        <v>0</v>
      </c>
      <c r="H13" s="13">
        <v>0</v>
      </c>
      <c r="I13" s="13">
        <v>0</v>
      </c>
      <c r="J13" s="13">
        <v>0</v>
      </c>
      <c r="K13" s="13">
        <v>0</v>
      </c>
      <c r="L13" s="13">
        <v>0</v>
      </c>
      <c r="M13" s="134">
        <v>0</v>
      </c>
    </row>
    <row r="14" spans="1:13" x14ac:dyDescent="0.3">
      <c r="A14" s="22"/>
      <c r="B14" s="5">
        <v>0</v>
      </c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657"/>
    </row>
    <row r="15" spans="1:13" x14ac:dyDescent="0.3">
      <c r="A15" s="22"/>
      <c r="B15" s="5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657"/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AN15"/>
  <sheetViews>
    <sheetView workbookViewId="0">
      <selection sqref="A1:XFD1048576"/>
    </sheetView>
  </sheetViews>
  <sheetFormatPr defaultColWidth="9.109375" defaultRowHeight="14.4" x14ac:dyDescent="0.3"/>
  <cols>
    <col min="1" max="1" width="29.33203125" style="1" bestFit="1" customWidth="1"/>
    <col min="2" max="2" width="10.109375" style="1" customWidth="1"/>
    <col min="3" max="3" width="18.88671875" style="1" bestFit="1" customWidth="1"/>
    <col min="4" max="4" width="16.6640625" style="1" bestFit="1" customWidth="1"/>
    <col min="5" max="5" width="14.109375" style="1" bestFit="1" customWidth="1"/>
    <col min="6" max="6" width="9.5546875" style="1" bestFit="1" customWidth="1"/>
    <col min="7" max="7" width="12.109375" style="1" bestFit="1" customWidth="1"/>
    <col min="8" max="8" width="14.109375" style="1" bestFit="1" customWidth="1"/>
    <col min="9" max="9" width="9.109375" style="1"/>
    <col min="10" max="10" width="10.88671875" style="1" bestFit="1" customWidth="1"/>
    <col min="11" max="11" width="14.109375" style="1" bestFit="1" customWidth="1"/>
    <col min="12" max="12" width="10.6640625" style="1" bestFit="1" customWidth="1"/>
    <col min="13" max="13" width="12.109375" style="1" bestFit="1" customWidth="1"/>
    <col min="14" max="14" width="14.109375" style="1" bestFit="1" customWidth="1"/>
    <col min="15" max="15" width="9.109375" style="1"/>
    <col min="16" max="16" width="10.88671875" style="1" bestFit="1" customWidth="1"/>
    <col min="17" max="17" width="14.109375" style="1" bestFit="1" customWidth="1"/>
    <col min="18" max="18" width="9.109375" style="1"/>
    <col min="19" max="19" width="10.88671875" style="1" bestFit="1" customWidth="1"/>
    <col min="20" max="20" width="14.109375" style="1" bestFit="1" customWidth="1"/>
    <col min="21" max="21" width="9.109375" style="1"/>
    <col min="22" max="22" width="10.88671875" style="1" bestFit="1" customWidth="1"/>
    <col min="23" max="23" width="14.109375" style="1" bestFit="1" customWidth="1"/>
    <col min="24" max="24" width="9.109375" style="1"/>
    <col min="25" max="25" width="10.88671875" style="1" bestFit="1" customWidth="1"/>
    <col min="26" max="26" width="14.109375" style="1" bestFit="1" customWidth="1"/>
    <col min="27" max="27" width="9.109375" style="1"/>
    <col min="28" max="28" width="10.88671875" style="1" bestFit="1" customWidth="1"/>
    <col min="29" max="29" width="14.109375" style="1" bestFit="1" customWidth="1"/>
    <col min="30" max="30" width="9.109375" style="1"/>
    <col min="31" max="31" width="10.88671875" style="1" bestFit="1" customWidth="1"/>
    <col min="32" max="32" width="14.109375" style="1" bestFit="1" customWidth="1"/>
    <col min="33" max="33" width="9.109375" style="1"/>
    <col min="34" max="34" width="10.88671875" style="1" bestFit="1" customWidth="1"/>
    <col min="35" max="35" width="14.109375" style="1" bestFit="1" customWidth="1"/>
    <col min="36" max="36" width="9.5546875" style="1" bestFit="1" customWidth="1"/>
    <col min="37" max="37" width="10.88671875" style="1" bestFit="1" customWidth="1"/>
    <col min="38" max="38" width="14.109375" style="1" bestFit="1" customWidth="1"/>
    <col min="39" max="39" width="9.5546875" style="1" bestFit="1" customWidth="1"/>
    <col min="40" max="40" width="10.88671875" style="1" bestFit="1" customWidth="1"/>
    <col min="41" max="16384" width="9.109375" style="1"/>
  </cols>
  <sheetData>
    <row r="1" spans="1:40" ht="21.6" thickBot="1" x14ac:dyDescent="0.45">
      <c r="A1" s="217"/>
      <c r="B1" s="217"/>
    </row>
    <row r="2" spans="1:40" ht="29.4" thickBot="1" x14ac:dyDescent="0.35">
      <c r="A2" s="262" t="s">
        <v>110</v>
      </c>
      <c r="B2" s="177"/>
    </row>
    <row r="3" spans="1:40" ht="29.4" thickBot="1" x14ac:dyDescent="0.35">
      <c r="A3" s="256" t="s">
        <v>0</v>
      </c>
      <c r="B3" s="244"/>
      <c r="C3" s="164"/>
      <c r="D3" s="164"/>
      <c r="E3" s="164"/>
      <c r="F3" s="164"/>
      <c r="G3" s="164"/>
    </row>
    <row r="4" spans="1:40" ht="15" customHeight="1" x14ac:dyDescent="0.3">
      <c r="A4" s="165"/>
      <c r="B4" s="165"/>
      <c r="C4" s="165"/>
      <c r="D4" s="165"/>
      <c r="E4" s="165"/>
      <c r="F4" s="165"/>
      <c r="G4" s="165"/>
    </row>
    <row r="5" spans="1:40" x14ac:dyDescent="0.3">
      <c r="A5" s="7"/>
      <c r="B5" s="7"/>
      <c r="C5" s="7"/>
      <c r="D5" s="7"/>
      <c r="E5" s="4">
        <v>45292</v>
      </c>
      <c r="F5" s="4">
        <v>45292</v>
      </c>
      <c r="G5" s="29">
        <v>45292</v>
      </c>
      <c r="H5" s="11">
        <v>45323</v>
      </c>
      <c r="I5" s="11">
        <v>45323</v>
      </c>
      <c r="J5" s="11">
        <v>45323</v>
      </c>
      <c r="K5" s="11">
        <v>45352</v>
      </c>
      <c r="L5" s="11">
        <v>45352</v>
      </c>
      <c r="M5" s="11">
        <v>45352</v>
      </c>
      <c r="N5" s="11">
        <v>45383</v>
      </c>
      <c r="O5" s="11">
        <v>45383</v>
      </c>
      <c r="P5" s="11">
        <v>45383</v>
      </c>
      <c r="Q5" s="11">
        <v>45413</v>
      </c>
      <c r="R5" s="11">
        <v>45413</v>
      </c>
      <c r="S5" s="11">
        <v>45413</v>
      </c>
      <c r="T5" s="11">
        <v>45444</v>
      </c>
      <c r="U5" s="11">
        <v>45444</v>
      </c>
      <c r="V5" s="11">
        <v>45444</v>
      </c>
      <c r="W5" s="11">
        <v>45474</v>
      </c>
      <c r="X5" s="11">
        <v>45474</v>
      </c>
      <c r="Y5" s="11">
        <v>45474</v>
      </c>
      <c r="Z5" s="11">
        <v>45505</v>
      </c>
      <c r="AA5" s="11">
        <v>45505</v>
      </c>
      <c r="AB5" s="11">
        <v>45505</v>
      </c>
      <c r="AC5" s="11">
        <v>45536</v>
      </c>
      <c r="AD5" s="11">
        <v>45536</v>
      </c>
      <c r="AE5" s="11">
        <v>45536</v>
      </c>
      <c r="AF5" s="11">
        <v>45566</v>
      </c>
      <c r="AG5" s="11">
        <v>45566</v>
      </c>
      <c r="AH5" s="11">
        <v>45566</v>
      </c>
      <c r="AI5" s="11">
        <v>45597</v>
      </c>
      <c r="AJ5" s="11">
        <v>45597</v>
      </c>
      <c r="AK5" s="11">
        <v>45597</v>
      </c>
      <c r="AL5" s="11">
        <v>45627</v>
      </c>
      <c r="AM5" s="11">
        <v>45627</v>
      </c>
      <c r="AN5" s="11">
        <v>45627</v>
      </c>
    </row>
    <row r="6" spans="1:40" x14ac:dyDescent="0.3">
      <c r="A6" s="5" t="s">
        <v>1</v>
      </c>
      <c r="B6" s="5" t="s">
        <v>2</v>
      </c>
      <c r="C6" s="5" t="s">
        <v>3</v>
      </c>
      <c r="D6" s="5" t="s">
        <v>9</v>
      </c>
      <c r="E6" s="5" t="s">
        <v>5</v>
      </c>
      <c r="F6" s="5" t="s">
        <v>6</v>
      </c>
      <c r="G6" s="23" t="s">
        <v>7</v>
      </c>
      <c r="H6" s="13" t="s">
        <v>5</v>
      </c>
      <c r="I6" s="13" t="s">
        <v>6</v>
      </c>
      <c r="J6" s="26" t="s">
        <v>7</v>
      </c>
      <c r="K6" s="13" t="s">
        <v>5</v>
      </c>
      <c r="L6" s="13" t="s">
        <v>116</v>
      </c>
      <c r="M6" s="26" t="s">
        <v>7</v>
      </c>
      <c r="N6" s="13" t="s">
        <v>5</v>
      </c>
      <c r="O6" s="13" t="s">
        <v>6</v>
      </c>
      <c r="P6" s="26" t="s">
        <v>7</v>
      </c>
      <c r="Q6" s="13" t="s">
        <v>5</v>
      </c>
      <c r="R6" s="13" t="s">
        <v>6</v>
      </c>
      <c r="S6" s="26" t="s">
        <v>7</v>
      </c>
      <c r="T6" s="13" t="s">
        <v>5</v>
      </c>
      <c r="U6" s="13" t="s">
        <v>6</v>
      </c>
      <c r="V6" s="26" t="s">
        <v>7</v>
      </c>
      <c r="W6" s="13" t="s">
        <v>5</v>
      </c>
      <c r="X6" s="13" t="s">
        <v>6</v>
      </c>
      <c r="Y6" s="26" t="s">
        <v>7</v>
      </c>
      <c r="Z6" s="13" t="s">
        <v>5</v>
      </c>
      <c r="AA6" s="13" t="s">
        <v>6</v>
      </c>
      <c r="AB6" s="26" t="s">
        <v>7</v>
      </c>
      <c r="AC6" s="13" t="s">
        <v>5</v>
      </c>
      <c r="AD6" s="13" t="s">
        <v>6</v>
      </c>
      <c r="AE6" s="26" t="s">
        <v>7</v>
      </c>
      <c r="AF6" s="13" t="s">
        <v>5</v>
      </c>
      <c r="AG6" s="13" t="s">
        <v>6</v>
      </c>
      <c r="AH6" s="26" t="s">
        <v>7</v>
      </c>
      <c r="AI6" s="13" t="s">
        <v>5</v>
      </c>
      <c r="AJ6" s="13" t="s">
        <v>6</v>
      </c>
      <c r="AK6" s="26" t="s">
        <v>7</v>
      </c>
      <c r="AL6" s="13" t="s">
        <v>5</v>
      </c>
      <c r="AM6" s="13" t="s">
        <v>6</v>
      </c>
      <c r="AN6" s="26" t="s">
        <v>7</v>
      </c>
    </row>
    <row r="7" spans="1:40" x14ac:dyDescent="0.3">
      <c r="A7" s="170" t="s">
        <v>222</v>
      </c>
      <c r="B7" s="169">
        <v>5643</v>
      </c>
      <c r="C7" s="8">
        <v>3000</v>
      </c>
      <c r="D7" s="5">
        <v>0</v>
      </c>
      <c r="E7" s="9">
        <v>0</v>
      </c>
      <c r="F7" s="223">
        <v>0</v>
      </c>
      <c r="G7" s="229">
        <f>F7*E7</f>
        <v>0</v>
      </c>
      <c r="H7" s="14">
        <v>0</v>
      </c>
      <c r="I7" s="231">
        <v>0</v>
      </c>
      <c r="J7" s="233">
        <f t="shared" ref="J7:J13" si="0">I7*H7</f>
        <v>0</v>
      </c>
      <c r="K7" s="25">
        <v>125</v>
      </c>
      <c r="L7" s="223">
        <v>0</v>
      </c>
      <c r="M7" s="233">
        <f t="shared" ref="M7:M13" si="1">L7*K7</f>
        <v>0</v>
      </c>
      <c r="N7" s="14">
        <v>75</v>
      </c>
      <c r="O7" s="231">
        <v>0</v>
      </c>
      <c r="P7" s="233">
        <f t="shared" ref="P7:P13" si="2">O7*N7</f>
        <v>0</v>
      </c>
      <c r="Q7" s="14">
        <v>0</v>
      </c>
      <c r="R7" s="231">
        <v>0</v>
      </c>
      <c r="S7" s="233">
        <f t="shared" ref="S7:S13" si="3">R7*Q7</f>
        <v>0</v>
      </c>
      <c r="T7" s="14">
        <v>0</v>
      </c>
      <c r="U7" s="231">
        <v>0</v>
      </c>
      <c r="V7" s="233">
        <f t="shared" ref="V7:V13" si="4">U7*T7</f>
        <v>0</v>
      </c>
      <c r="W7" s="14">
        <v>0</v>
      </c>
      <c r="X7" s="231">
        <v>0</v>
      </c>
      <c r="Y7" s="233">
        <f t="shared" ref="Y7:Y13" si="5">X7*W7</f>
        <v>0</v>
      </c>
      <c r="Z7" s="14">
        <v>0</v>
      </c>
      <c r="AA7" s="231">
        <v>0</v>
      </c>
      <c r="AB7" s="233">
        <f t="shared" ref="AB7:AB13" si="6">AA7*Z7</f>
        <v>0</v>
      </c>
      <c r="AC7" s="14">
        <v>0</v>
      </c>
      <c r="AD7" s="231">
        <v>0</v>
      </c>
      <c r="AE7" s="233">
        <f t="shared" ref="AE7:AE13" si="7">AD7*AC7</f>
        <v>0</v>
      </c>
      <c r="AF7" s="14">
        <v>0</v>
      </c>
      <c r="AG7" s="231">
        <v>0</v>
      </c>
      <c r="AH7" s="233">
        <f t="shared" ref="AH7:AH13" si="8">AG7*AF7</f>
        <v>0</v>
      </c>
      <c r="AI7" s="14">
        <v>0</v>
      </c>
      <c r="AJ7" s="231">
        <v>0</v>
      </c>
      <c r="AK7" s="233">
        <f t="shared" ref="AK7:AK13" si="9">AJ7*AI7</f>
        <v>0</v>
      </c>
      <c r="AL7" s="14">
        <v>0</v>
      </c>
      <c r="AM7" s="231">
        <v>0</v>
      </c>
      <c r="AN7" s="233">
        <f t="shared" ref="AN7:AN13" si="10">AM7*AL7</f>
        <v>0</v>
      </c>
    </row>
    <row r="8" spans="1:40" x14ac:dyDescent="0.3">
      <c r="A8" s="170" t="s">
        <v>223</v>
      </c>
      <c r="B8" s="245"/>
      <c r="C8" s="8">
        <v>0</v>
      </c>
      <c r="D8" s="5">
        <v>0</v>
      </c>
      <c r="E8" s="9">
        <v>0</v>
      </c>
      <c r="F8" s="223">
        <v>0</v>
      </c>
      <c r="G8" s="229">
        <f t="shared" ref="G8:G13" si="11">F8*E8</f>
        <v>0</v>
      </c>
      <c r="H8" s="14">
        <v>0</v>
      </c>
      <c r="I8" s="231">
        <v>0</v>
      </c>
      <c r="J8" s="233">
        <f t="shared" si="0"/>
        <v>0</v>
      </c>
      <c r="K8" s="25">
        <v>75</v>
      </c>
      <c r="L8" s="223">
        <v>10.5</v>
      </c>
      <c r="M8" s="233">
        <f t="shared" si="1"/>
        <v>787.5</v>
      </c>
      <c r="N8" s="14">
        <v>75</v>
      </c>
      <c r="O8" s="231">
        <v>10.5</v>
      </c>
      <c r="P8" s="233">
        <f t="shared" si="2"/>
        <v>787.5</v>
      </c>
      <c r="Q8" s="14">
        <v>0</v>
      </c>
      <c r="R8" s="231">
        <v>0</v>
      </c>
      <c r="S8" s="233">
        <f t="shared" si="3"/>
        <v>0</v>
      </c>
      <c r="T8" s="14">
        <v>0</v>
      </c>
      <c r="U8" s="231">
        <v>0</v>
      </c>
      <c r="V8" s="233">
        <f t="shared" si="4"/>
        <v>0</v>
      </c>
      <c r="W8" s="14">
        <v>0</v>
      </c>
      <c r="X8" s="231">
        <v>0</v>
      </c>
      <c r="Y8" s="233">
        <f t="shared" si="5"/>
        <v>0</v>
      </c>
      <c r="Z8" s="14">
        <v>0</v>
      </c>
      <c r="AA8" s="231">
        <v>0</v>
      </c>
      <c r="AB8" s="233">
        <f t="shared" si="6"/>
        <v>0</v>
      </c>
      <c r="AC8" s="14">
        <v>0</v>
      </c>
      <c r="AD8" s="231">
        <v>0</v>
      </c>
      <c r="AE8" s="233">
        <f t="shared" si="7"/>
        <v>0</v>
      </c>
      <c r="AF8" s="14">
        <v>0</v>
      </c>
      <c r="AG8" s="231">
        <v>0</v>
      </c>
      <c r="AH8" s="233">
        <f t="shared" si="8"/>
        <v>0</v>
      </c>
      <c r="AI8" s="14">
        <v>0</v>
      </c>
      <c r="AJ8" s="231">
        <v>0</v>
      </c>
      <c r="AK8" s="233">
        <f t="shared" si="9"/>
        <v>0</v>
      </c>
      <c r="AL8" s="14">
        <v>0</v>
      </c>
      <c r="AM8" s="231">
        <v>0</v>
      </c>
      <c r="AN8" s="233">
        <f t="shared" si="10"/>
        <v>0</v>
      </c>
    </row>
    <row r="9" spans="1:40" x14ac:dyDescent="0.3">
      <c r="A9" s="170" t="s">
        <v>224</v>
      </c>
      <c r="B9" s="245"/>
      <c r="C9" s="8">
        <v>0</v>
      </c>
      <c r="D9" s="5">
        <v>0</v>
      </c>
      <c r="E9" s="9">
        <v>0</v>
      </c>
      <c r="F9" s="223">
        <v>0</v>
      </c>
      <c r="G9" s="229">
        <f t="shared" si="11"/>
        <v>0</v>
      </c>
      <c r="H9" s="14">
        <v>0</v>
      </c>
      <c r="I9" s="231">
        <v>0</v>
      </c>
      <c r="J9" s="233">
        <f t="shared" si="0"/>
        <v>0</v>
      </c>
      <c r="K9" s="25">
        <v>0</v>
      </c>
      <c r="L9" s="223">
        <v>0</v>
      </c>
      <c r="M9" s="233">
        <f t="shared" si="1"/>
        <v>0</v>
      </c>
      <c r="N9" s="14">
        <v>0</v>
      </c>
      <c r="O9" s="231">
        <v>48.59</v>
      </c>
      <c r="P9" s="233">
        <f t="shared" si="2"/>
        <v>0</v>
      </c>
      <c r="Q9" s="14">
        <v>0</v>
      </c>
      <c r="R9" s="231">
        <v>0</v>
      </c>
      <c r="S9" s="233">
        <f t="shared" si="3"/>
        <v>0</v>
      </c>
      <c r="T9" s="14">
        <v>0</v>
      </c>
      <c r="U9" s="231">
        <v>0</v>
      </c>
      <c r="V9" s="233">
        <f t="shared" si="4"/>
        <v>0</v>
      </c>
      <c r="W9" s="14">
        <v>0</v>
      </c>
      <c r="X9" s="231">
        <v>0</v>
      </c>
      <c r="Y9" s="233">
        <f t="shared" si="5"/>
        <v>0</v>
      </c>
      <c r="Z9" s="14">
        <v>0</v>
      </c>
      <c r="AA9" s="231">
        <v>0</v>
      </c>
      <c r="AB9" s="233">
        <f t="shared" si="6"/>
        <v>0</v>
      </c>
      <c r="AC9" s="14">
        <v>0</v>
      </c>
      <c r="AD9" s="231">
        <v>0</v>
      </c>
      <c r="AE9" s="233">
        <f t="shared" si="7"/>
        <v>0</v>
      </c>
      <c r="AF9" s="14">
        <v>0</v>
      </c>
      <c r="AG9" s="231">
        <v>0</v>
      </c>
      <c r="AH9" s="233">
        <f t="shared" si="8"/>
        <v>0</v>
      </c>
      <c r="AI9" s="14">
        <v>0</v>
      </c>
      <c r="AJ9" s="231">
        <v>0</v>
      </c>
      <c r="AK9" s="233">
        <f t="shared" si="9"/>
        <v>0</v>
      </c>
      <c r="AL9" s="14">
        <v>0</v>
      </c>
      <c r="AM9" s="231">
        <v>0</v>
      </c>
      <c r="AN9" s="233">
        <f t="shared" si="10"/>
        <v>0</v>
      </c>
    </row>
    <row r="10" spans="1:40" x14ac:dyDescent="0.3">
      <c r="A10" s="170" t="s">
        <v>225</v>
      </c>
      <c r="C10" s="8">
        <v>0</v>
      </c>
      <c r="D10" s="5">
        <v>0</v>
      </c>
      <c r="E10" s="9">
        <v>0</v>
      </c>
      <c r="F10" s="223">
        <v>0</v>
      </c>
      <c r="G10" s="229">
        <f t="shared" si="11"/>
        <v>0</v>
      </c>
      <c r="H10" s="14">
        <v>0</v>
      </c>
      <c r="I10" s="231">
        <v>0</v>
      </c>
      <c r="J10" s="233">
        <f t="shared" si="0"/>
        <v>0</v>
      </c>
      <c r="K10" s="25">
        <v>50</v>
      </c>
      <c r="L10" s="223">
        <v>11.11</v>
      </c>
      <c r="M10" s="233">
        <f t="shared" si="1"/>
        <v>555.5</v>
      </c>
      <c r="N10" s="14">
        <v>25</v>
      </c>
      <c r="O10" s="231">
        <v>11.11</v>
      </c>
      <c r="P10" s="233">
        <f t="shared" si="2"/>
        <v>277.75</v>
      </c>
      <c r="Q10" s="14">
        <v>0</v>
      </c>
      <c r="R10" s="231">
        <v>0</v>
      </c>
      <c r="S10" s="233">
        <f t="shared" si="3"/>
        <v>0</v>
      </c>
      <c r="T10" s="14">
        <v>0</v>
      </c>
      <c r="U10" s="231">
        <v>0</v>
      </c>
      <c r="V10" s="233">
        <f t="shared" si="4"/>
        <v>0</v>
      </c>
      <c r="W10" s="14">
        <v>0</v>
      </c>
      <c r="X10" s="231">
        <v>0</v>
      </c>
      <c r="Y10" s="233">
        <f t="shared" si="5"/>
        <v>0</v>
      </c>
      <c r="Z10" s="14">
        <v>0</v>
      </c>
      <c r="AA10" s="231">
        <v>0</v>
      </c>
      <c r="AB10" s="233">
        <f t="shared" si="6"/>
        <v>0</v>
      </c>
      <c r="AC10" s="14">
        <v>0</v>
      </c>
      <c r="AD10" s="231">
        <v>0</v>
      </c>
      <c r="AE10" s="233">
        <f t="shared" si="7"/>
        <v>0</v>
      </c>
      <c r="AF10" s="14">
        <v>0</v>
      </c>
      <c r="AG10" s="231">
        <v>0</v>
      </c>
      <c r="AH10" s="233">
        <f t="shared" si="8"/>
        <v>0</v>
      </c>
      <c r="AI10" s="14">
        <v>0</v>
      </c>
      <c r="AJ10" s="231">
        <v>0</v>
      </c>
      <c r="AK10" s="233">
        <f t="shared" si="9"/>
        <v>0</v>
      </c>
      <c r="AL10" s="14">
        <v>0</v>
      </c>
      <c r="AM10" s="231">
        <v>0</v>
      </c>
      <c r="AN10" s="233">
        <f t="shared" si="10"/>
        <v>0</v>
      </c>
    </row>
    <row r="11" spans="1:40" x14ac:dyDescent="0.3">
      <c r="A11" s="170" t="s">
        <v>226</v>
      </c>
      <c r="B11" s="5">
        <v>65073</v>
      </c>
      <c r="C11" s="8">
        <v>600</v>
      </c>
      <c r="D11" s="5">
        <v>0</v>
      </c>
      <c r="E11" s="9">
        <v>0</v>
      </c>
      <c r="F11" s="223">
        <v>0</v>
      </c>
      <c r="G11" s="229">
        <f t="shared" si="11"/>
        <v>0</v>
      </c>
      <c r="H11" s="14">
        <v>0</v>
      </c>
      <c r="I11" s="231">
        <v>0</v>
      </c>
      <c r="J11" s="236">
        <f t="shared" si="0"/>
        <v>0</v>
      </c>
      <c r="K11" s="25">
        <v>175</v>
      </c>
      <c r="L11" s="223">
        <v>11.61</v>
      </c>
      <c r="M11" s="236">
        <f t="shared" si="1"/>
        <v>2031.75</v>
      </c>
      <c r="N11" s="14">
        <v>125</v>
      </c>
      <c r="O11" s="231">
        <v>11.61</v>
      </c>
      <c r="P11" s="236">
        <f t="shared" si="2"/>
        <v>1451.25</v>
      </c>
      <c r="Q11" s="14">
        <v>0</v>
      </c>
      <c r="R11" s="231">
        <v>0</v>
      </c>
      <c r="S11" s="236">
        <f t="shared" si="3"/>
        <v>0</v>
      </c>
      <c r="T11" s="14">
        <v>0</v>
      </c>
      <c r="U11" s="231">
        <v>0</v>
      </c>
      <c r="V11" s="236">
        <f t="shared" si="4"/>
        <v>0</v>
      </c>
      <c r="W11" s="14">
        <v>0</v>
      </c>
      <c r="X11" s="231">
        <v>0</v>
      </c>
      <c r="Y11" s="236">
        <f t="shared" si="5"/>
        <v>0</v>
      </c>
      <c r="Z11" s="14">
        <v>0</v>
      </c>
      <c r="AA11" s="231">
        <v>0</v>
      </c>
      <c r="AB11" s="236">
        <f t="shared" si="6"/>
        <v>0</v>
      </c>
      <c r="AC11" s="14">
        <v>0</v>
      </c>
      <c r="AD11" s="231">
        <v>0</v>
      </c>
      <c r="AE11" s="236">
        <f t="shared" si="7"/>
        <v>0</v>
      </c>
      <c r="AF11" s="14">
        <v>0</v>
      </c>
      <c r="AG11" s="231">
        <v>0</v>
      </c>
      <c r="AH11" s="236">
        <f t="shared" si="8"/>
        <v>0</v>
      </c>
      <c r="AI11" s="14">
        <v>0</v>
      </c>
      <c r="AJ11" s="231">
        <v>0</v>
      </c>
      <c r="AK11" s="236">
        <f t="shared" si="9"/>
        <v>0</v>
      </c>
      <c r="AL11" s="14">
        <v>0</v>
      </c>
      <c r="AM11" s="231">
        <v>0</v>
      </c>
      <c r="AN11" s="236">
        <f t="shared" si="10"/>
        <v>0</v>
      </c>
    </row>
    <row r="12" spans="1:40" x14ac:dyDescent="0.3">
      <c r="A12" s="199" t="s">
        <v>227</v>
      </c>
      <c r="B12" s="5">
        <v>64965</v>
      </c>
      <c r="C12" s="5">
        <v>300</v>
      </c>
      <c r="D12" s="5">
        <v>0</v>
      </c>
      <c r="E12" s="5">
        <v>0</v>
      </c>
      <c r="F12" s="223">
        <v>0</v>
      </c>
      <c r="G12" s="229">
        <f t="shared" si="11"/>
        <v>0</v>
      </c>
      <c r="H12" s="13">
        <v>0</v>
      </c>
      <c r="I12" s="231">
        <v>0</v>
      </c>
      <c r="J12" s="235">
        <f t="shared" si="0"/>
        <v>0</v>
      </c>
      <c r="K12" s="31">
        <v>0</v>
      </c>
      <c r="L12" s="223">
        <v>0</v>
      </c>
      <c r="M12" s="235">
        <f t="shared" si="1"/>
        <v>0</v>
      </c>
      <c r="N12" s="13">
        <v>0</v>
      </c>
      <c r="O12" s="231">
        <v>0</v>
      </c>
      <c r="P12" s="235">
        <f t="shared" si="2"/>
        <v>0</v>
      </c>
      <c r="Q12" s="13">
        <v>0</v>
      </c>
      <c r="R12" s="231">
        <v>0</v>
      </c>
      <c r="S12" s="235">
        <f t="shared" si="3"/>
        <v>0</v>
      </c>
      <c r="T12" s="13">
        <v>0</v>
      </c>
      <c r="U12" s="231">
        <v>0</v>
      </c>
      <c r="V12" s="235">
        <f t="shared" si="4"/>
        <v>0</v>
      </c>
      <c r="W12" s="13">
        <v>0</v>
      </c>
      <c r="X12" s="231">
        <v>0</v>
      </c>
      <c r="Y12" s="235">
        <f t="shared" si="5"/>
        <v>0</v>
      </c>
      <c r="Z12" s="13">
        <v>0</v>
      </c>
      <c r="AA12" s="231">
        <v>0</v>
      </c>
      <c r="AB12" s="235">
        <f t="shared" si="6"/>
        <v>0</v>
      </c>
      <c r="AC12" s="13">
        <v>0</v>
      </c>
      <c r="AD12" s="231">
        <v>0</v>
      </c>
      <c r="AE12" s="235">
        <f t="shared" si="7"/>
        <v>0</v>
      </c>
      <c r="AF12" s="13">
        <v>0</v>
      </c>
      <c r="AG12" s="231">
        <v>0</v>
      </c>
      <c r="AH12" s="235">
        <f t="shared" si="8"/>
        <v>0</v>
      </c>
      <c r="AI12" s="13">
        <v>0</v>
      </c>
      <c r="AJ12" s="231">
        <v>0</v>
      </c>
      <c r="AK12" s="235">
        <f t="shared" si="9"/>
        <v>0</v>
      </c>
      <c r="AL12" s="13">
        <v>0</v>
      </c>
      <c r="AM12" s="231">
        <v>0</v>
      </c>
      <c r="AN12" s="235">
        <f t="shared" si="10"/>
        <v>0</v>
      </c>
    </row>
    <row r="13" spans="1:40" x14ac:dyDescent="0.3">
      <c r="A13" s="5" t="s">
        <v>228</v>
      </c>
      <c r="B13" s="5">
        <v>67567</v>
      </c>
      <c r="C13" s="24">
        <v>400</v>
      </c>
      <c r="D13" s="5">
        <v>0</v>
      </c>
      <c r="E13" s="5">
        <v>0</v>
      </c>
      <c r="F13" s="223">
        <v>0</v>
      </c>
      <c r="G13" s="229">
        <f t="shared" si="11"/>
        <v>0</v>
      </c>
      <c r="H13" s="13">
        <v>0</v>
      </c>
      <c r="I13" s="231">
        <v>0</v>
      </c>
      <c r="J13" s="235">
        <f t="shared" si="0"/>
        <v>0</v>
      </c>
      <c r="K13" s="32"/>
      <c r="L13" s="558"/>
      <c r="M13" s="235">
        <f t="shared" si="1"/>
        <v>0</v>
      </c>
      <c r="N13" s="13">
        <v>0</v>
      </c>
      <c r="O13" s="231">
        <v>0</v>
      </c>
      <c r="P13" s="235">
        <f t="shared" si="2"/>
        <v>0</v>
      </c>
      <c r="Q13" s="13">
        <v>0</v>
      </c>
      <c r="R13" s="231">
        <v>0</v>
      </c>
      <c r="S13" s="235">
        <f t="shared" si="3"/>
        <v>0</v>
      </c>
      <c r="T13" s="13">
        <v>0</v>
      </c>
      <c r="U13" s="231">
        <v>0</v>
      </c>
      <c r="V13" s="235">
        <f t="shared" si="4"/>
        <v>0</v>
      </c>
      <c r="W13" s="13">
        <v>0</v>
      </c>
      <c r="X13" s="231">
        <v>0</v>
      </c>
      <c r="Y13" s="235">
        <f t="shared" si="5"/>
        <v>0</v>
      </c>
      <c r="Z13" s="13">
        <v>0</v>
      </c>
      <c r="AA13" s="231">
        <v>0</v>
      </c>
      <c r="AB13" s="235">
        <f t="shared" si="6"/>
        <v>0</v>
      </c>
      <c r="AC13" s="13">
        <v>0</v>
      </c>
      <c r="AD13" s="231">
        <v>0</v>
      </c>
      <c r="AE13" s="235">
        <f t="shared" si="7"/>
        <v>0</v>
      </c>
      <c r="AF13" s="13">
        <v>0</v>
      </c>
      <c r="AG13" s="231">
        <v>0</v>
      </c>
      <c r="AH13" s="235">
        <f t="shared" si="8"/>
        <v>0</v>
      </c>
      <c r="AI13" s="13">
        <v>0</v>
      </c>
      <c r="AJ13" s="231">
        <v>0</v>
      </c>
      <c r="AK13" s="235">
        <f t="shared" si="9"/>
        <v>0</v>
      </c>
      <c r="AL13" s="13">
        <v>0</v>
      </c>
      <c r="AM13" s="231">
        <v>0</v>
      </c>
      <c r="AN13" s="235">
        <f t="shared" si="10"/>
        <v>0</v>
      </c>
    </row>
    <row r="14" spans="1:40" x14ac:dyDescent="0.3">
      <c r="A14" s="22"/>
      <c r="B14" s="22"/>
      <c r="C14" s="8">
        <v>0</v>
      </c>
      <c r="D14" s="5">
        <v>0</v>
      </c>
      <c r="E14" s="5">
        <v>0</v>
      </c>
      <c r="F14" s="223"/>
      <c r="G14" s="230"/>
      <c r="H14" s="12"/>
      <c r="I14" s="232"/>
      <c r="J14" s="233"/>
      <c r="K14" s="12"/>
      <c r="L14" s="232"/>
      <c r="M14" s="233"/>
      <c r="N14" s="12"/>
      <c r="O14" s="232"/>
      <c r="P14" s="233"/>
      <c r="Q14" s="12"/>
      <c r="R14" s="232"/>
      <c r="S14" s="233"/>
      <c r="T14" s="12"/>
      <c r="U14" s="232"/>
      <c r="V14" s="233"/>
      <c r="W14" s="12"/>
      <c r="X14" s="232"/>
      <c r="Y14" s="233"/>
      <c r="Z14" s="12"/>
      <c r="AA14" s="232"/>
      <c r="AB14" s="233"/>
      <c r="AC14" s="12"/>
      <c r="AD14" s="232"/>
      <c r="AE14" s="233"/>
      <c r="AF14" s="12"/>
      <c r="AG14" s="232"/>
      <c r="AH14" s="233"/>
      <c r="AI14" s="12"/>
      <c r="AJ14" s="232"/>
      <c r="AK14" s="233"/>
      <c r="AL14" s="12"/>
      <c r="AM14" s="232"/>
      <c r="AN14" s="233"/>
    </row>
    <row r="15" spans="1:40" ht="16.2" x14ac:dyDescent="0.45">
      <c r="A15" s="22"/>
      <c r="B15" s="22"/>
      <c r="C15" s="8"/>
      <c r="D15" s="5"/>
      <c r="E15" s="5"/>
      <c r="F15" s="189" t="s">
        <v>8</v>
      </c>
      <c r="G15" s="239">
        <f>SUM(G7:G14)</f>
        <v>0</v>
      </c>
      <c r="H15" s="12"/>
      <c r="I15" s="191" t="s">
        <v>8</v>
      </c>
      <c r="J15" s="238">
        <f>SUM(J7:J14)</f>
        <v>0</v>
      </c>
      <c r="K15" s="12"/>
      <c r="L15" s="191" t="s">
        <v>8</v>
      </c>
      <c r="M15" s="238">
        <f>SUM(M7:M14)</f>
        <v>3374.75</v>
      </c>
      <c r="N15" s="12"/>
      <c r="O15" s="191" t="s">
        <v>8</v>
      </c>
      <c r="P15" s="238">
        <f>SUM(P7:P14)</f>
        <v>2516.5</v>
      </c>
      <c r="Q15" s="12"/>
      <c r="R15" s="191" t="s">
        <v>8</v>
      </c>
      <c r="S15" s="238">
        <f>SUM(S7:S14)</f>
        <v>0</v>
      </c>
      <c r="T15" s="12"/>
      <c r="U15" s="191" t="s">
        <v>8</v>
      </c>
      <c r="V15" s="238">
        <f>SUM(V7:V14)</f>
        <v>0</v>
      </c>
      <c r="W15" s="12"/>
      <c r="X15" s="191" t="s">
        <v>8</v>
      </c>
      <c r="Y15" s="238">
        <f>SUM(Y7:Y14)</f>
        <v>0</v>
      </c>
      <c r="Z15" s="12"/>
      <c r="AA15" s="191" t="s">
        <v>8</v>
      </c>
      <c r="AB15" s="238">
        <f>SUM(AB7:AB14)</f>
        <v>0</v>
      </c>
      <c r="AC15" s="12"/>
      <c r="AD15" s="191" t="s">
        <v>8</v>
      </c>
      <c r="AE15" s="238">
        <f>SUM(AE7:AE14)</f>
        <v>0</v>
      </c>
      <c r="AF15" s="12"/>
      <c r="AG15" s="191" t="s">
        <v>8</v>
      </c>
      <c r="AH15" s="238">
        <f>SUM(AH7:AH14)</f>
        <v>0</v>
      </c>
      <c r="AI15" s="12"/>
      <c r="AJ15" s="191" t="s">
        <v>8</v>
      </c>
      <c r="AK15" s="238">
        <f>SUM(AK7:AK14)</f>
        <v>0</v>
      </c>
      <c r="AL15" s="12"/>
      <c r="AM15" s="191" t="s">
        <v>8</v>
      </c>
      <c r="AN15" s="238">
        <f>SUM(AN7:AN14)</f>
        <v>0</v>
      </c>
    </row>
  </sheetData>
  <hyperlinks>
    <hyperlink ref="A2" location="Menu!A1" display="Menu" xr:uid="{00000000-0004-0000-2200-000000000000}"/>
  </hyperlinks>
  <pageMargins left="0.511811024" right="0.511811024" top="0.78740157499999996" bottom="0.78740157499999996" header="0.31496062000000002" footer="0.31496062000000002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AN15"/>
  <sheetViews>
    <sheetView workbookViewId="0">
      <selection activeCell="C3" sqref="C3"/>
    </sheetView>
  </sheetViews>
  <sheetFormatPr defaultColWidth="9.109375" defaultRowHeight="14.4" x14ac:dyDescent="0.3"/>
  <cols>
    <col min="1" max="1" width="29.33203125" style="1" bestFit="1" customWidth="1"/>
    <col min="2" max="2" width="10.109375" style="1" customWidth="1"/>
    <col min="3" max="3" width="18.88671875" style="1" bestFit="1" customWidth="1"/>
    <col min="4" max="4" width="16.6640625" style="1" bestFit="1" customWidth="1"/>
    <col min="5" max="5" width="14.109375" style="1" bestFit="1" customWidth="1"/>
    <col min="6" max="6" width="9.5546875" style="1" bestFit="1" customWidth="1"/>
    <col min="7" max="7" width="12.109375" style="1" bestFit="1" customWidth="1"/>
    <col min="8" max="8" width="14.109375" style="1" bestFit="1" customWidth="1"/>
    <col min="9" max="9" width="9.109375" style="1"/>
    <col min="10" max="10" width="10.88671875" style="1" bestFit="1" customWidth="1"/>
    <col min="11" max="11" width="14.109375" style="1" bestFit="1" customWidth="1"/>
    <col min="12" max="12" width="10.6640625" style="1" bestFit="1" customWidth="1"/>
    <col min="13" max="13" width="12.109375" style="1" bestFit="1" customWidth="1"/>
    <col min="14" max="14" width="14.109375" style="1" bestFit="1" customWidth="1"/>
    <col min="15" max="15" width="9.109375" style="1"/>
    <col min="16" max="16" width="10.88671875" style="1" bestFit="1" customWidth="1"/>
    <col min="17" max="17" width="14.109375" style="1" bestFit="1" customWidth="1"/>
    <col min="18" max="18" width="9.109375" style="1"/>
    <col min="19" max="19" width="10.88671875" style="1" bestFit="1" customWidth="1"/>
    <col min="20" max="20" width="14.109375" style="1" bestFit="1" customWidth="1"/>
    <col min="21" max="21" width="9.109375" style="1"/>
    <col min="22" max="22" width="10.88671875" style="1" bestFit="1" customWidth="1"/>
    <col min="23" max="23" width="14.109375" style="1" bestFit="1" customWidth="1"/>
    <col min="24" max="24" width="9.109375" style="1"/>
    <col min="25" max="25" width="10.88671875" style="1" bestFit="1" customWidth="1"/>
    <col min="26" max="26" width="14.109375" style="1" bestFit="1" customWidth="1"/>
    <col min="27" max="27" width="9.109375" style="1"/>
    <col min="28" max="28" width="10.88671875" style="1" bestFit="1" customWidth="1"/>
    <col min="29" max="29" width="14.109375" style="1" bestFit="1" customWidth="1"/>
    <col min="30" max="30" width="9.109375" style="1"/>
    <col min="31" max="31" width="10.88671875" style="1" bestFit="1" customWidth="1"/>
    <col min="32" max="32" width="14.109375" style="1" bestFit="1" customWidth="1"/>
    <col min="33" max="33" width="9.109375" style="1"/>
    <col min="34" max="34" width="10.88671875" style="1" bestFit="1" customWidth="1"/>
    <col min="35" max="35" width="14.109375" style="1" bestFit="1" customWidth="1"/>
    <col min="36" max="36" width="9.5546875" style="1" bestFit="1" customWidth="1"/>
    <col min="37" max="37" width="10.88671875" style="1" bestFit="1" customWidth="1"/>
    <col min="38" max="38" width="14.109375" style="1" bestFit="1" customWidth="1"/>
    <col min="39" max="39" width="9.5546875" style="1" bestFit="1" customWidth="1"/>
    <col min="40" max="40" width="10.88671875" style="1" bestFit="1" customWidth="1"/>
    <col min="41" max="16384" width="9.109375" style="1"/>
  </cols>
  <sheetData>
    <row r="1" spans="1:40" ht="21.6" thickBot="1" x14ac:dyDescent="0.45">
      <c r="A1" s="217"/>
      <c r="B1" s="217"/>
    </row>
    <row r="2" spans="1:40" ht="29.4" thickBot="1" x14ac:dyDescent="0.35">
      <c r="A2" s="262" t="s">
        <v>110</v>
      </c>
      <c r="B2" s="177"/>
    </row>
    <row r="3" spans="1:40" ht="29.4" thickBot="1" x14ac:dyDescent="0.35">
      <c r="A3" s="256" t="s">
        <v>0</v>
      </c>
      <c r="B3" s="244"/>
      <c r="C3" s="164"/>
      <c r="D3" s="164"/>
      <c r="E3" s="164"/>
      <c r="F3" s="164"/>
      <c r="G3" s="164"/>
    </row>
    <row r="4" spans="1:40" ht="15" customHeight="1" x14ac:dyDescent="0.3">
      <c r="A4" s="165"/>
      <c r="B4" s="165"/>
      <c r="C4" s="165"/>
      <c r="D4" s="165"/>
      <c r="E4" s="165"/>
      <c r="F4" s="165"/>
      <c r="G4" s="165"/>
    </row>
    <row r="5" spans="1:40" x14ac:dyDescent="0.3">
      <c r="A5" s="7"/>
      <c r="B5" s="7"/>
      <c r="C5" s="7"/>
      <c r="D5" s="7"/>
      <c r="E5" s="4">
        <v>45292</v>
      </c>
      <c r="F5" s="4">
        <v>45292</v>
      </c>
      <c r="G5" s="29">
        <v>45292</v>
      </c>
      <c r="H5" s="11">
        <v>45323</v>
      </c>
      <c r="I5" s="11">
        <v>45323</v>
      </c>
      <c r="J5" s="11">
        <v>45323</v>
      </c>
      <c r="K5" s="11">
        <v>45352</v>
      </c>
      <c r="L5" s="11">
        <v>45352</v>
      </c>
      <c r="M5" s="11">
        <v>45352</v>
      </c>
      <c r="N5" s="11">
        <v>45383</v>
      </c>
      <c r="O5" s="11">
        <v>45383</v>
      </c>
      <c r="P5" s="11">
        <v>45383</v>
      </c>
      <c r="Q5" s="11">
        <v>45413</v>
      </c>
      <c r="R5" s="11">
        <v>45413</v>
      </c>
      <c r="S5" s="11">
        <v>45413</v>
      </c>
      <c r="T5" s="11">
        <v>45444</v>
      </c>
      <c r="U5" s="11">
        <v>45444</v>
      </c>
      <c r="V5" s="11">
        <v>45444</v>
      </c>
      <c r="W5" s="11">
        <v>45474</v>
      </c>
      <c r="X5" s="11">
        <v>45474</v>
      </c>
      <c r="Y5" s="11">
        <v>45474</v>
      </c>
      <c r="Z5" s="11">
        <v>45505</v>
      </c>
      <c r="AA5" s="11">
        <v>45505</v>
      </c>
      <c r="AB5" s="11">
        <v>45505</v>
      </c>
      <c r="AC5" s="11">
        <v>45536</v>
      </c>
      <c r="AD5" s="11">
        <v>45536</v>
      </c>
      <c r="AE5" s="11">
        <v>45536</v>
      </c>
      <c r="AF5" s="11">
        <v>45566</v>
      </c>
      <c r="AG5" s="11">
        <v>45566</v>
      </c>
      <c r="AH5" s="11">
        <v>45566</v>
      </c>
      <c r="AI5" s="11">
        <v>45597</v>
      </c>
      <c r="AJ5" s="11">
        <v>45597</v>
      </c>
      <c r="AK5" s="11">
        <v>45597</v>
      </c>
      <c r="AL5" s="11">
        <v>45627</v>
      </c>
      <c r="AM5" s="11">
        <v>45627</v>
      </c>
      <c r="AN5" s="11">
        <v>45627</v>
      </c>
    </row>
    <row r="6" spans="1:40" x14ac:dyDescent="0.3">
      <c r="A6" s="5" t="s">
        <v>1</v>
      </c>
      <c r="B6" s="5" t="s">
        <v>2</v>
      </c>
      <c r="C6" s="5" t="s">
        <v>3</v>
      </c>
      <c r="D6" s="5" t="s">
        <v>9</v>
      </c>
      <c r="E6" s="5" t="s">
        <v>5</v>
      </c>
      <c r="F6" s="5" t="s">
        <v>6</v>
      </c>
      <c r="G6" s="23" t="s">
        <v>7</v>
      </c>
      <c r="H6" s="13" t="s">
        <v>5</v>
      </c>
      <c r="I6" s="13" t="s">
        <v>6</v>
      </c>
      <c r="J6" s="26" t="s">
        <v>7</v>
      </c>
      <c r="K6" s="13" t="s">
        <v>5</v>
      </c>
      <c r="L6" s="13" t="s">
        <v>116</v>
      </c>
      <c r="M6" s="26" t="s">
        <v>7</v>
      </c>
      <c r="N6" s="13" t="s">
        <v>5</v>
      </c>
      <c r="O6" s="13" t="s">
        <v>6</v>
      </c>
      <c r="P6" s="26" t="s">
        <v>7</v>
      </c>
      <c r="Q6" s="13" t="s">
        <v>5</v>
      </c>
      <c r="R6" s="13" t="s">
        <v>6</v>
      </c>
      <c r="S6" s="26" t="s">
        <v>7</v>
      </c>
      <c r="T6" s="13" t="s">
        <v>5</v>
      </c>
      <c r="U6" s="13" t="s">
        <v>6</v>
      </c>
      <c r="V6" s="26" t="s">
        <v>7</v>
      </c>
      <c r="W6" s="13" t="s">
        <v>5</v>
      </c>
      <c r="X6" s="13" t="s">
        <v>6</v>
      </c>
      <c r="Y6" s="26" t="s">
        <v>7</v>
      </c>
      <c r="Z6" s="13" t="s">
        <v>5</v>
      </c>
      <c r="AA6" s="13" t="s">
        <v>6</v>
      </c>
      <c r="AB6" s="26" t="s">
        <v>7</v>
      </c>
      <c r="AC6" s="13" t="s">
        <v>5</v>
      </c>
      <c r="AD6" s="13" t="s">
        <v>6</v>
      </c>
      <c r="AE6" s="26" t="s">
        <v>7</v>
      </c>
      <c r="AF6" s="13" t="s">
        <v>5</v>
      </c>
      <c r="AG6" s="13" t="s">
        <v>6</v>
      </c>
      <c r="AH6" s="26" t="s">
        <v>7</v>
      </c>
      <c r="AI6" s="13" t="s">
        <v>5</v>
      </c>
      <c r="AJ6" s="13" t="s">
        <v>6</v>
      </c>
      <c r="AK6" s="26" t="s">
        <v>7</v>
      </c>
      <c r="AL6" s="13" t="s">
        <v>5</v>
      </c>
      <c r="AM6" s="13" t="s">
        <v>6</v>
      </c>
      <c r="AN6" s="26" t="s">
        <v>7</v>
      </c>
    </row>
    <row r="7" spans="1:40" x14ac:dyDescent="0.3">
      <c r="A7" s="170" t="s">
        <v>222</v>
      </c>
      <c r="B7" s="169">
        <v>5643</v>
      </c>
      <c r="C7" s="8">
        <v>3000</v>
      </c>
      <c r="D7" s="5">
        <v>0</v>
      </c>
      <c r="E7" s="9">
        <v>0</v>
      </c>
      <c r="F7" s="223">
        <v>0</v>
      </c>
      <c r="G7" s="229">
        <f>F7*E7</f>
        <v>0</v>
      </c>
      <c r="H7" s="14">
        <v>0</v>
      </c>
      <c r="I7" s="231">
        <v>0</v>
      </c>
      <c r="J7" s="233">
        <f t="shared" ref="J7:J13" si="0">I7*H7</f>
        <v>0</v>
      </c>
      <c r="K7" s="25">
        <v>125</v>
      </c>
      <c r="L7" s="223">
        <v>0</v>
      </c>
      <c r="M7" s="233">
        <f t="shared" ref="M7:M13" si="1">L7*K7</f>
        <v>0</v>
      </c>
      <c r="N7" s="14">
        <v>75</v>
      </c>
      <c r="O7" s="231">
        <v>0</v>
      </c>
      <c r="P7" s="233">
        <f t="shared" ref="P7:P13" si="2">O7*N7</f>
        <v>0</v>
      </c>
      <c r="Q7" s="14">
        <v>0</v>
      </c>
      <c r="R7" s="231">
        <v>0</v>
      </c>
      <c r="S7" s="233">
        <f t="shared" ref="S7:S13" si="3">R7*Q7</f>
        <v>0</v>
      </c>
      <c r="T7" s="14">
        <v>0</v>
      </c>
      <c r="U7" s="231">
        <v>0</v>
      </c>
      <c r="V7" s="233">
        <f t="shared" ref="V7:V13" si="4">U7*T7</f>
        <v>0</v>
      </c>
      <c r="W7" s="14">
        <v>0</v>
      </c>
      <c r="X7" s="231">
        <v>0</v>
      </c>
      <c r="Y7" s="233">
        <f t="shared" ref="Y7:Y13" si="5">X7*W7</f>
        <v>0</v>
      </c>
      <c r="Z7" s="14">
        <v>0</v>
      </c>
      <c r="AA7" s="231">
        <v>0</v>
      </c>
      <c r="AB7" s="233">
        <f t="shared" ref="AB7:AB13" si="6">AA7*Z7</f>
        <v>0</v>
      </c>
      <c r="AC7" s="14">
        <v>0</v>
      </c>
      <c r="AD7" s="231">
        <v>0</v>
      </c>
      <c r="AE7" s="233">
        <f t="shared" ref="AE7:AE13" si="7">AD7*AC7</f>
        <v>0</v>
      </c>
      <c r="AF7" s="14">
        <v>0</v>
      </c>
      <c r="AG7" s="231">
        <v>0</v>
      </c>
      <c r="AH7" s="233">
        <f t="shared" ref="AH7:AH13" si="8">AG7*AF7</f>
        <v>0</v>
      </c>
      <c r="AI7" s="14">
        <v>0</v>
      </c>
      <c r="AJ7" s="231">
        <v>0</v>
      </c>
      <c r="AK7" s="233">
        <f t="shared" ref="AK7:AK13" si="9">AJ7*AI7</f>
        <v>0</v>
      </c>
      <c r="AL7" s="14">
        <v>0</v>
      </c>
      <c r="AM7" s="231">
        <v>0</v>
      </c>
      <c r="AN7" s="233">
        <f t="shared" ref="AN7:AN13" si="10">AM7*AL7</f>
        <v>0</v>
      </c>
    </row>
    <row r="8" spans="1:40" x14ac:dyDescent="0.3">
      <c r="A8" s="170" t="s">
        <v>223</v>
      </c>
      <c r="B8" s="245"/>
      <c r="C8" s="8">
        <v>0</v>
      </c>
      <c r="D8" s="5">
        <v>0</v>
      </c>
      <c r="E8" s="9">
        <v>0</v>
      </c>
      <c r="F8" s="223">
        <v>0</v>
      </c>
      <c r="G8" s="229">
        <f t="shared" ref="G8:G13" si="11">F8*E8</f>
        <v>0</v>
      </c>
      <c r="H8" s="14">
        <v>0</v>
      </c>
      <c r="I8" s="231">
        <v>0</v>
      </c>
      <c r="J8" s="233">
        <f t="shared" si="0"/>
        <v>0</v>
      </c>
      <c r="K8" s="25">
        <v>75</v>
      </c>
      <c r="L8" s="223">
        <v>10.5</v>
      </c>
      <c r="M8" s="233">
        <f t="shared" si="1"/>
        <v>787.5</v>
      </c>
      <c r="N8" s="14">
        <v>75</v>
      </c>
      <c r="O8" s="231">
        <v>10.5</v>
      </c>
      <c r="P8" s="233">
        <f t="shared" si="2"/>
        <v>787.5</v>
      </c>
      <c r="Q8" s="14">
        <v>0</v>
      </c>
      <c r="R8" s="231">
        <v>0</v>
      </c>
      <c r="S8" s="233">
        <f t="shared" si="3"/>
        <v>0</v>
      </c>
      <c r="T8" s="14">
        <v>0</v>
      </c>
      <c r="U8" s="231">
        <v>0</v>
      </c>
      <c r="V8" s="233">
        <f t="shared" si="4"/>
        <v>0</v>
      </c>
      <c r="W8" s="14">
        <v>0</v>
      </c>
      <c r="X8" s="231">
        <v>0</v>
      </c>
      <c r="Y8" s="233">
        <f t="shared" si="5"/>
        <v>0</v>
      </c>
      <c r="Z8" s="14">
        <v>0</v>
      </c>
      <c r="AA8" s="231">
        <v>0</v>
      </c>
      <c r="AB8" s="233">
        <f t="shared" si="6"/>
        <v>0</v>
      </c>
      <c r="AC8" s="14">
        <v>0</v>
      </c>
      <c r="AD8" s="231">
        <v>0</v>
      </c>
      <c r="AE8" s="233">
        <f t="shared" si="7"/>
        <v>0</v>
      </c>
      <c r="AF8" s="14">
        <v>0</v>
      </c>
      <c r="AG8" s="231">
        <v>0</v>
      </c>
      <c r="AH8" s="233">
        <f t="shared" si="8"/>
        <v>0</v>
      </c>
      <c r="AI8" s="14">
        <v>0</v>
      </c>
      <c r="AJ8" s="231">
        <v>0</v>
      </c>
      <c r="AK8" s="233">
        <f t="shared" si="9"/>
        <v>0</v>
      </c>
      <c r="AL8" s="14">
        <v>0</v>
      </c>
      <c r="AM8" s="231">
        <v>0</v>
      </c>
      <c r="AN8" s="233">
        <f t="shared" si="10"/>
        <v>0</v>
      </c>
    </row>
    <row r="9" spans="1:40" x14ac:dyDescent="0.3">
      <c r="A9" s="170" t="s">
        <v>224</v>
      </c>
      <c r="B9" s="245"/>
      <c r="C9" s="8">
        <v>0</v>
      </c>
      <c r="D9" s="5">
        <v>0</v>
      </c>
      <c r="E9" s="9">
        <v>0</v>
      </c>
      <c r="F9" s="223">
        <v>0</v>
      </c>
      <c r="G9" s="229">
        <f t="shared" si="11"/>
        <v>0</v>
      </c>
      <c r="H9" s="14">
        <v>0</v>
      </c>
      <c r="I9" s="231">
        <v>0</v>
      </c>
      <c r="J9" s="233">
        <f t="shared" si="0"/>
        <v>0</v>
      </c>
      <c r="K9" s="25">
        <v>0</v>
      </c>
      <c r="L9" s="223">
        <v>0</v>
      </c>
      <c r="M9" s="233">
        <f t="shared" si="1"/>
        <v>0</v>
      </c>
      <c r="N9" s="14">
        <v>0</v>
      </c>
      <c r="O9" s="231">
        <v>48.59</v>
      </c>
      <c r="P9" s="233">
        <f t="shared" si="2"/>
        <v>0</v>
      </c>
      <c r="Q9" s="14">
        <v>0</v>
      </c>
      <c r="R9" s="231">
        <v>0</v>
      </c>
      <c r="S9" s="233">
        <f t="shared" si="3"/>
        <v>0</v>
      </c>
      <c r="T9" s="14">
        <v>0</v>
      </c>
      <c r="U9" s="231">
        <v>0</v>
      </c>
      <c r="V9" s="233">
        <f t="shared" si="4"/>
        <v>0</v>
      </c>
      <c r="W9" s="14">
        <v>0</v>
      </c>
      <c r="X9" s="231">
        <v>0</v>
      </c>
      <c r="Y9" s="233">
        <f t="shared" si="5"/>
        <v>0</v>
      </c>
      <c r="Z9" s="14">
        <v>0</v>
      </c>
      <c r="AA9" s="231">
        <v>0</v>
      </c>
      <c r="AB9" s="233">
        <f t="shared" si="6"/>
        <v>0</v>
      </c>
      <c r="AC9" s="14">
        <v>0</v>
      </c>
      <c r="AD9" s="231">
        <v>0</v>
      </c>
      <c r="AE9" s="233">
        <f t="shared" si="7"/>
        <v>0</v>
      </c>
      <c r="AF9" s="14">
        <v>0</v>
      </c>
      <c r="AG9" s="231">
        <v>0</v>
      </c>
      <c r="AH9" s="233">
        <f t="shared" si="8"/>
        <v>0</v>
      </c>
      <c r="AI9" s="14">
        <v>0</v>
      </c>
      <c r="AJ9" s="231">
        <v>0</v>
      </c>
      <c r="AK9" s="233">
        <f t="shared" si="9"/>
        <v>0</v>
      </c>
      <c r="AL9" s="14">
        <v>0</v>
      </c>
      <c r="AM9" s="231">
        <v>0</v>
      </c>
      <c r="AN9" s="233">
        <f t="shared" si="10"/>
        <v>0</v>
      </c>
    </row>
    <row r="10" spans="1:40" x14ac:dyDescent="0.3">
      <c r="A10" s="170" t="s">
        <v>225</v>
      </c>
      <c r="C10" s="8">
        <v>0</v>
      </c>
      <c r="D10" s="5">
        <v>0</v>
      </c>
      <c r="E10" s="9">
        <v>0</v>
      </c>
      <c r="F10" s="223">
        <v>0</v>
      </c>
      <c r="G10" s="229">
        <f t="shared" si="11"/>
        <v>0</v>
      </c>
      <c r="H10" s="14">
        <v>0</v>
      </c>
      <c r="I10" s="231">
        <v>0</v>
      </c>
      <c r="J10" s="233">
        <f t="shared" si="0"/>
        <v>0</v>
      </c>
      <c r="K10" s="25">
        <v>50</v>
      </c>
      <c r="L10" s="223">
        <v>11.11</v>
      </c>
      <c r="M10" s="233">
        <f t="shared" si="1"/>
        <v>555.5</v>
      </c>
      <c r="N10" s="14">
        <v>25</v>
      </c>
      <c r="O10" s="231">
        <v>11.11</v>
      </c>
      <c r="P10" s="233">
        <f t="shared" si="2"/>
        <v>277.75</v>
      </c>
      <c r="Q10" s="14">
        <v>0</v>
      </c>
      <c r="R10" s="231">
        <v>0</v>
      </c>
      <c r="S10" s="233">
        <f t="shared" si="3"/>
        <v>0</v>
      </c>
      <c r="T10" s="14">
        <v>0</v>
      </c>
      <c r="U10" s="231">
        <v>0</v>
      </c>
      <c r="V10" s="233">
        <f t="shared" si="4"/>
        <v>0</v>
      </c>
      <c r="W10" s="14">
        <v>0</v>
      </c>
      <c r="X10" s="231">
        <v>0</v>
      </c>
      <c r="Y10" s="233">
        <f t="shared" si="5"/>
        <v>0</v>
      </c>
      <c r="Z10" s="14">
        <v>0</v>
      </c>
      <c r="AA10" s="231">
        <v>0</v>
      </c>
      <c r="AB10" s="233">
        <f t="shared" si="6"/>
        <v>0</v>
      </c>
      <c r="AC10" s="14">
        <v>0</v>
      </c>
      <c r="AD10" s="231">
        <v>0</v>
      </c>
      <c r="AE10" s="233">
        <f t="shared" si="7"/>
        <v>0</v>
      </c>
      <c r="AF10" s="14">
        <v>0</v>
      </c>
      <c r="AG10" s="231">
        <v>0</v>
      </c>
      <c r="AH10" s="233">
        <f t="shared" si="8"/>
        <v>0</v>
      </c>
      <c r="AI10" s="14">
        <v>0</v>
      </c>
      <c r="AJ10" s="231">
        <v>0</v>
      </c>
      <c r="AK10" s="233">
        <f t="shared" si="9"/>
        <v>0</v>
      </c>
      <c r="AL10" s="14">
        <v>0</v>
      </c>
      <c r="AM10" s="231">
        <v>0</v>
      </c>
      <c r="AN10" s="233">
        <f t="shared" si="10"/>
        <v>0</v>
      </c>
    </row>
    <row r="11" spans="1:40" x14ac:dyDescent="0.3">
      <c r="A11" s="170" t="s">
        <v>226</v>
      </c>
      <c r="B11" s="5">
        <v>65073</v>
      </c>
      <c r="C11" s="8">
        <v>600</v>
      </c>
      <c r="D11" s="5">
        <v>0</v>
      </c>
      <c r="E11" s="9">
        <v>0</v>
      </c>
      <c r="F11" s="223">
        <v>0</v>
      </c>
      <c r="G11" s="229">
        <f t="shared" si="11"/>
        <v>0</v>
      </c>
      <c r="H11" s="14">
        <v>0</v>
      </c>
      <c r="I11" s="231">
        <v>0</v>
      </c>
      <c r="J11" s="236">
        <f t="shared" si="0"/>
        <v>0</v>
      </c>
      <c r="K11" s="25">
        <v>175</v>
      </c>
      <c r="L11" s="223">
        <v>11.61</v>
      </c>
      <c r="M11" s="236">
        <f t="shared" si="1"/>
        <v>2031.75</v>
      </c>
      <c r="N11" s="14">
        <v>125</v>
      </c>
      <c r="O11" s="231">
        <v>11.61</v>
      </c>
      <c r="P11" s="236">
        <f t="shared" si="2"/>
        <v>1451.25</v>
      </c>
      <c r="Q11" s="14">
        <v>0</v>
      </c>
      <c r="R11" s="231">
        <v>0</v>
      </c>
      <c r="S11" s="236">
        <f t="shared" si="3"/>
        <v>0</v>
      </c>
      <c r="T11" s="14">
        <v>0</v>
      </c>
      <c r="U11" s="231">
        <v>0</v>
      </c>
      <c r="V11" s="236">
        <f t="shared" si="4"/>
        <v>0</v>
      </c>
      <c r="W11" s="14">
        <v>0</v>
      </c>
      <c r="X11" s="231">
        <v>0</v>
      </c>
      <c r="Y11" s="236">
        <f t="shared" si="5"/>
        <v>0</v>
      </c>
      <c r="Z11" s="14">
        <v>0</v>
      </c>
      <c r="AA11" s="231">
        <v>0</v>
      </c>
      <c r="AB11" s="236">
        <f t="shared" si="6"/>
        <v>0</v>
      </c>
      <c r="AC11" s="14">
        <v>0</v>
      </c>
      <c r="AD11" s="231">
        <v>0</v>
      </c>
      <c r="AE11" s="236">
        <f t="shared" si="7"/>
        <v>0</v>
      </c>
      <c r="AF11" s="14">
        <v>0</v>
      </c>
      <c r="AG11" s="231">
        <v>0</v>
      </c>
      <c r="AH11" s="236">
        <f t="shared" si="8"/>
        <v>0</v>
      </c>
      <c r="AI11" s="14">
        <v>0</v>
      </c>
      <c r="AJ11" s="231">
        <v>0</v>
      </c>
      <c r="AK11" s="236">
        <f t="shared" si="9"/>
        <v>0</v>
      </c>
      <c r="AL11" s="14">
        <v>0</v>
      </c>
      <c r="AM11" s="231">
        <v>0</v>
      </c>
      <c r="AN11" s="236">
        <f t="shared" si="10"/>
        <v>0</v>
      </c>
    </row>
    <row r="12" spans="1:40" x14ac:dyDescent="0.3">
      <c r="A12" s="199" t="s">
        <v>227</v>
      </c>
      <c r="B12" s="5">
        <v>64965</v>
      </c>
      <c r="C12" s="5">
        <v>300</v>
      </c>
      <c r="D12" s="5">
        <v>0</v>
      </c>
      <c r="E12" s="5">
        <v>0</v>
      </c>
      <c r="F12" s="223">
        <v>0</v>
      </c>
      <c r="G12" s="229">
        <f t="shared" si="11"/>
        <v>0</v>
      </c>
      <c r="H12" s="13">
        <v>0</v>
      </c>
      <c r="I12" s="231">
        <v>0</v>
      </c>
      <c r="J12" s="235">
        <f t="shared" si="0"/>
        <v>0</v>
      </c>
      <c r="K12" s="31">
        <v>0</v>
      </c>
      <c r="L12" s="223">
        <v>0</v>
      </c>
      <c r="M12" s="235">
        <f t="shared" si="1"/>
        <v>0</v>
      </c>
      <c r="N12" s="13">
        <v>0</v>
      </c>
      <c r="O12" s="231">
        <v>0</v>
      </c>
      <c r="P12" s="235">
        <f t="shared" si="2"/>
        <v>0</v>
      </c>
      <c r="Q12" s="13">
        <v>0</v>
      </c>
      <c r="R12" s="231">
        <v>0</v>
      </c>
      <c r="S12" s="235">
        <f t="shared" si="3"/>
        <v>0</v>
      </c>
      <c r="T12" s="13">
        <v>0</v>
      </c>
      <c r="U12" s="231">
        <v>0</v>
      </c>
      <c r="V12" s="235">
        <f t="shared" si="4"/>
        <v>0</v>
      </c>
      <c r="W12" s="13">
        <v>0</v>
      </c>
      <c r="X12" s="231">
        <v>0</v>
      </c>
      <c r="Y12" s="235">
        <f t="shared" si="5"/>
        <v>0</v>
      </c>
      <c r="Z12" s="13">
        <v>0</v>
      </c>
      <c r="AA12" s="231">
        <v>0</v>
      </c>
      <c r="AB12" s="235">
        <f t="shared" si="6"/>
        <v>0</v>
      </c>
      <c r="AC12" s="13">
        <v>0</v>
      </c>
      <c r="AD12" s="231">
        <v>0</v>
      </c>
      <c r="AE12" s="235">
        <f t="shared" si="7"/>
        <v>0</v>
      </c>
      <c r="AF12" s="13">
        <v>0</v>
      </c>
      <c r="AG12" s="231">
        <v>0</v>
      </c>
      <c r="AH12" s="235">
        <f t="shared" si="8"/>
        <v>0</v>
      </c>
      <c r="AI12" s="13">
        <v>0</v>
      </c>
      <c r="AJ12" s="231">
        <v>0</v>
      </c>
      <c r="AK12" s="235">
        <f t="shared" si="9"/>
        <v>0</v>
      </c>
      <c r="AL12" s="13">
        <v>0</v>
      </c>
      <c r="AM12" s="231">
        <v>0</v>
      </c>
      <c r="AN12" s="235">
        <f t="shared" si="10"/>
        <v>0</v>
      </c>
    </row>
    <row r="13" spans="1:40" x14ac:dyDescent="0.3">
      <c r="A13" s="5" t="s">
        <v>228</v>
      </c>
      <c r="B13" s="5">
        <v>67567</v>
      </c>
      <c r="C13" s="24">
        <v>400</v>
      </c>
      <c r="D13" s="5">
        <v>0</v>
      </c>
      <c r="E13" s="5">
        <v>0</v>
      </c>
      <c r="F13" s="223">
        <v>0</v>
      </c>
      <c r="G13" s="229">
        <f t="shared" si="11"/>
        <v>0</v>
      </c>
      <c r="H13" s="13">
        <v>0</v>
      </c>
      <c r="I13" s="231">
        <v>0</v>
      </c>
      <c r="J13" s="235">
        <f t="shared" si="0"/>
        <v>0</v>
      </c>
      <c r="K13" s="32"/>
      <c r="L13" s="558"/>
      <c r="M13" s="235">
        <f t="shared" si="1"/>
        <v>0</v>
      </c>
      <c r="N13" s="13">
        <v>0</v>
      </c>
      <c r="O13" s="231">
        <v>0</v>
      </c>
      <c r="P13" s="235">
        <f t="shared" si="2"/>
        <v>0</v>
      </c>
      <c r="Q13" s="13">
        <v>0</v>
      </c>
      <c r="R13" s="231">
        <v>0</v>
      </c>
      <c r="S13" s="235">
        <f t="shared" si="3"/>
        <v>0</v>
      </c>
      <c r="T13" s="13">
        <v>0</v>
      </c>
      <c r="U13" s="231">
        <v>0</v>
      </c>
      <c r="V13" s="235">
        <f t="shared" si="4"/>
        <v>0</v>
      </c>
      <c r="W13" s="13">
        <v>0</v>
      </c>
      <c r="X13" s="231">
        <v>0</v>
      </c>
      <c r="Y13" s="235">
        <f t="shared" si="5"/>
        <v>0</v>
      </c>
      <c r="Z13" s="13">
        <v>0</v>
      </c>
      <c r="AA13" s="231">
        <v>0</v>
      </c>
      <c r="AB13" s="235">
        <f t="shared" si="6"/>
        <v>0</v>
      </c>
      <c r="AC13" s="13">
        <v>0</v>
      </c>
      <c r="AD13" s="231">
        <v>0</v>
      </c>
      <c r="AE13" s="235">
        <f t="shared" si="7"/>
        <v>0</v>
      </c>
      <c r="AF13" s="13">
        <v>0</v>
      </c>
      <c r="AG13" s="231">
        <v>0</v>
      </c>
      <c r="AH13" s="235">
        <f t="shared" si="8"/>
        <v>0</v>
      </c>
      <c r="AI13" s="13">
        <v>0</v>
      </c>
      <c r="AJ13" s="231">
        <v>0</v>
      </c>
      <c r="AK13" s="235">
        <f t="shared" si="9"/>
        <v>0</v>
      </c>
      <c r="AL13" s="13">
        <v>0</v>
      </c>
      <c r="AM13" s="231">
        <v>0</v>
      </c>
      <c r="AN13" s="235">
        <f t="shared" si="10"/>
        <v>0</v>
      </c>
    </row>
    <row r="14" spans="1:40" x14ac:dyDescent="0.3">
      <c r="A14" s="22"/>
      <c r="B14" s="22"/>
      <c r="C14" s="8">
        <v>0</v>
      </c>
      <c r="D14" s="5">
        <v>0</v>
      </c>
      <c r="E14" s="5">
        <v>0</v>
      </c>
      <c r="F14" s="223"/>
      <c r="G14" s="230"/>
      <c r="H14" s="12"/>
      <c r="I14" s="232"/>
      <c r="J14" s="233"/>
      <c r="K14" s="12"/>
      <c r="L14" s="232"/>
      <c r="M14" s="233"/>
      <c r="N14" s="12"/>
      <c r="O14" s="232"/>
      <c r="P14" s="233"/>
      <c r="Q14" s="12"/>
      <c r="R14" s="232"/>
      <c r="S14" s="233"/>
      <c r="T14" s="12"/>
      <c r="U14" s="232"/>
      <c r="V14" s="233"/>
      <c r="W14" s="12"/>
      <c r="X14" s="232"/>
      <c r="Y14" s="233"/>
      <c r="Z14" s="12"/>
      <c r="AA14" s="232"/>
      <c r="AB14" s="233"/>
      <c r="AC14" s="12"/>
      <c r="AD14" s="232"/>
      <c r="AE14" s="233"/>
      <c r="AF14" s="12"/>
      <c r="AG14" s="232"/>
      <c r="AH14" s="233"/>
      <c r="AI14" s="12"/>
      <c r="AJ14" s="232"/>
      <c r="AK14" s="233"/>
      <c r="AL14" s="12"/>
      <c r="AM14" s="232"/>
      <c r="AN14" s="233"/>
    </row>
    <row r="15" spans="1:40" ht="16.2" x14ac:dyDescent="0.45">
      <c r="A15" s="22"/>
      <c r="B15" s="22"/>
      <c r="C15" s="8"/>
      <c r="D15" s="5"/>
      <c r="E15" s="5"/>
      <c r="F15" s="189" t="s">
        <v>8</v>
      </c>
      <c r="G15" s="239">
        <f>SUM(G7:G14)</f>
        <v>0</v>
      </c>
      <c r="H15" s="12"/>
      <c r="I15" s="191" t="s">
        <v>8</v>
      </c>
      <c r="J15" s="238">
        <f>SUM(J7:J14)</f>
        <v>0</v>
      </c>
      <c r="K15" s="12"/>
      <c r="L15" s="191" t="s">
        <v>8</v>
      </c>
      <c r="M15" s="238">
        <f>SUM(M7:M14)</f>
        <v>3374.75</v>
      </c>
      <c r="N15" s="12"/>
      <c r="O15" s="191" t="s">
        <v>8</v>
      </c>
      <c r="P15" s="238">
        <f>SUM(P7:P14)</f>
        <v>2516.5</v>
      </c>
      <c r="Q15" s="12"/>
      <c r="R15" s="191" t="s">
        <v>8</v>
      </c>
      <c r="S15" s="238">
        <f>SUM(S7:S14)</f>
        <v>0</v>
      </c>
      <c r="T15" s="12"/>
      <c r="U15" s="191" t="s">
        <v>8</v>
      </c>
      <c r="V15" s="238">
        <f>SUM(V7:V14)</f>
        <v>0</v>
      </c>
      <c r="W15" s="12"/>
      <c r="X15" s="191" t="s">
        <v>8</v>
      </c>
      <c r="Y15" s="238">
        <f>SUM(Y7:Y14)</f>
        <v>0</v>
      </c>
      <c r="Z15" s="12"/>
      <c r="AA15" s="191" t="s">
        <v>8</v>
      </c>
      <c r="AB15" s="238">
        <f>SUM(AB7:AB14)</f>
        <v>0</v>
      </c>
      <c r="AC15" s="12"/>
      <c r="AD15" s="191" t="s">
        <v>8</v>
      </c>
      <c r="AE15" s="238">
        <f>SUM(AE7:AE14)</f>
        <v>0</v>
      </c>
      <c r="AF15" s="12"/>
      <c r="AG15" s="191" t="s">
        <v>8</v>
      </c>
      <c r="AH15" s="238">
        <f>SUM(AH7:AH14)</f>
        <v>0</v>
      </c>
      <c r="AI15" s="12"/>
      <c r="AJ15" s="191" t="s">
        <v>8</v>
      </c>
      <c r="AK15" s="238">
        <f>SUM(AK7:AK14)</f>
        <v>0</v>
      </c>
      <c r="AL15" s="12"/>
      <c r="AM15" s="191" t="s">
        <v>8</v>
      </c>
      <c r="AN15" s="238">
        <f>SUM(AN7:AN14)</f>
        <v>0</v>
      </c>
    </row>
  </sheetData>
  <hyperlinks>
    <hyperlink ref="A2" location="Menu!A1" display="Menu" xr:uid="{00000000-0004-0000-2300-000000000000}"/>
  </hyperlink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36</vt:i4>
      </vt:variant>
    </vt:vector>
  </HeadingPairs>
  <TitlesOfParts>
    <vt:vector size="36" baseType="lpstr">
      <vt:lpstr>Menu</vt:lpstr>
      <vt:lpstr>Resumo de Custo</vt:lpstr>
      <vt:lpstr>Custo Galvanoplastia (2)</vt:lpstr>
      <vt:lpstr>Peças por Hora Galvanoplast (2</vt:lpstr>
      <vt:lpstr>Custo Galvanoplastia</vt:lpstr>
      <vt:lpstr>Peças por Hora Galvanoplastia</vt:lpstr>
      <vt:lpstr>Custo Verniz</vt:lpstr>
      <vt:lpstr>Peças por Hora Verniz</vt:lpstr>
      <vt:lpstr>Pré Tratamento</vt:lpstr>
      <vt:lpstr>Cobre Alcalino</vt:lpstr>
      <vt:lpstr>Níquel Strik</vt:lpstr>
      <vt:lpstr>Cobre Ácido</vt:lpstr>
      <vt:lpstr>Desengraxante Quí</vt:lpstr>
      <vt:lpstr>Níquel Brilhante</vt:lpstr>
      <vt:lpstr>Níquel Strik (2)</vt:lpstr>
      <vt:lpstr>Cromo</vt:lpstr>
      <vt:lpstr>Linha 9</vt:lpstr>
      <vt:lpstr>Linha 10</vt:lpstr>
      <vt:lpstr>Linha 11</vt:lpstr>
      <vt:lpstr>Desplacante  </vt:lpstr>
      <vt:lpstr>Pré Tratamento Verniz</vt:lpstr>
      <vt:lpstr>Verniz Cataforético</vt:lpstr>
      <vt:lpstr>Verniz Imersão</vt:lpstr>
      <vt:lpstr>Desplacante de gancheira </vt:lpstr>
      <vt:lpstr>E.T.E</vt:lpstr>
      <vt:lpstr>Transporte</vt:lpstr>
      <vt:lpstr>Manutenção</vt:lpstr>
      <vt:lpstr>Outros Custos</vt:lpstr>
      <vt:lpstr>M.O</vt:lpstr>
      <vt:lpstr>Resumo M.O</vt:lpstr>
      <vt:lpstr>Resumo Custos Variáveis</vt:lpstr>
      <vt:lpstr>Custos Variáveis</vt:lpstr>
      <vt:lpstr>Investimentos</vt:lpstr>
      <vt:lpstr>Plan1</vt:lpstr>
      <vt:lpstr>Plan2</vt:lpstr>
      <vt:lpstr>Plan3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Geraldo</dc:creator>
  <cp:lastModifiedBy>Gutemberg Santos Berg</cp:lastModifiedBy>
  <cp:lastPrinted>2024-06-07T00:21:09Z</cp:lastPrinted>
  <dcterms:created xsi:type="dcterms:W3CDTF">2024-02-09T13:43:20Z</dcterms:created>
  <dcterms:modified xsi:type="dcterms:W3CDTF">2026-03-20T13:03:22Z</dcterms:modified>
</cp:coreProperties>
</file>